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connections.xml" ContentType="application/vnd.openxmlformats-officedocument.spreadsheetml.connections+xml"/>
  <Override PartName="/xl/worksheets/sheet48.xml" ContentType="application/vnd.openxmlformats-officedocument.spreadsheetml.worksheet+xml"/>
  <Override PartName="/xl/drawings/drawing4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720" firstSheet="0" activeTab="0"/>
  </bookViews>
  <sheets>
    <sheet name="MOS analysis " sheetId="100" state="visible" r:id="rId1"/>
    <sheet name="Merged" sheetId="99" state="visible" r:id="rId2"/>
    <sheet name="POPtable" sheetId="98" state="hidden" r:id="rId3"/>
    <sheet name="Mcondomstable" sheetId="97" state="hidden" r:id="rId4"/>
    <sheet name="Implant3yrstable" sheetId="96" state="hidden" r:id="rId5"/>
    <sheet name="implant2rod5yrstable" sheetId="95" state="hidden" r:id="rId6"/>
    <sheet name="implant1rodtable" sheetId="94" state="hidden" r:id="rId7"/>
    <sheet name="HormonalIUDtable" sheetId="93" state="hidden" r:id="rId8"/>
    <sheet name="Fcondomstable" sheetId="92" state="hidden" r:id="rId9"/>
    <sheet name="EPtable" sheetId="91" state="hidden" r:id="rId10"/>
    <sheet name="DMPASCtable" sheetId="90" state="hidden" r:id="rId11"/>
    <sheet name="DMPAIMtable" sheetId="89" state="hidden" r:id="rId12"/>
    <sheet name="cyclebeadstable" sheetId="88" state="hidden" r:id="rId13"/>
    <sheet name="CopperIUDtable" sheetId="87" state="hidden" r:id="rId14"/>
    <sheet name="COCtable" sheetId="86" state="hidden" r:id="rId15"/>
    <sheet name="Male condoms " sheetId="1" state="visible" r:id="rId16"/>
    <sheet name="Female condoms" sheetId="6" state="visible" r:id="rId17"/>
    <sheet name="Beads" sheetId="7" state="visible" r:id="rId18"/>
    <sheet name="Implant 1 rod" sheetId="8" state="visible" r:id="rId19"/>
    <sheet name="Implant 2 rod 3 yrs" sheetId="9" state="visible" r:id="rId20"/>
    <sheet name="Implant 2 rod 5 yrs" sheetId="10" state="visible" r:id="rId21"/>
    <sheet name="MPA SC" sheetId="11" state="visible" r:id="rId22"/>
    <sheet name="MPA IM" sheetId="12" state="visible" r:id="rId23"/>
    <sheet name="Copper IUD" sheetId="13" state="visible" r:id="rId24"/>
    <sheet name="HIUD" sheetId="14" state="visible" r:id="rId25"/>
    <sheet name="CoC" sheetId="15" state="visible" r:id="rId26"/>
    <sheet name="EP" sheetId="16" state="visible" r:id="rId27"/>
    <sheet name="POP" sheetId="17" state="visible" r:id="rId28"/>
    <sheet name="Drapes" sheetId="18" state="visible" r:id="rId29"/>
    <sheet name="Trays" sheetId="19" state="visible" r:id="rId30"/>
    <sheet name="Oxytocin" sheetId="20" state="visible" r:id="rId31"/>
    <sheet name="Miso" sheetId="21" state="visible" r:id="rId32"/>
    <sheet name="Mife" sheetId="34" state="visible" r:id="rId33"/>
    <sheet name="TXA" sheetId="22" state="visible" r:id="rId34"/>
    <sheet name="HSC" sheetId="23" state="visible" r:id="rId35"/>
    <sheet name="NASG" sheetId="24" state="visible" r:id="rId36"/>
    <sheet name="UBT" sheetId="25" state="visible" r:id="rId37"/>
    <sheet name="CC_10mgml" sheetId="26" state="visible" r:id="rId38"/>
    <sheet name="CC_5mgml" sheetId="33" state="visible" r:id="rId39"/>
    <sheet name="CC_10mg2ml" sheetId="35" state="visible" r:id="rId40"/>
    <sheet name="Surfactants" sheetId="27" state="visible" r:id="rId41"/>
    <sheet name="CPAP" sheetId="28" state="visible" r:id="rId42"/>
    <sheet name="NICU Ventilator" sheetId="29" state="visible" r:id="rId43"/>
    <sheet name="Resuscitator" sheetId="30" state="visible" r:id="rId44"/>
    <sheet name="choices countries " sheetId="4" state="visible" r:id="rId45"/>
    <sheet name="product list " sheetId="5" state="visible" r:id="rId46"/>
    <sheet name="Merged_Updated" sheetId="101" state="visible" r:id="rId47"/>
    <sheet name="Merged_Updated_V2" sheetId="102" state="visible" r:id="rId48"/>
  </sheets>
  <definedNames>
    <definedName name="ExternalData_1" localSheetId="14" hidden="1">'COCtable'!$A$1:$W$115</definedName>
    <definedName name="ExternalData_10" localSheetId="5" hidden="1">implant2rod5yrstable!$A$1:$W$109</definedName>
    <definedName name="ExternalData_11" localSheetId="4" hidden="1">Implant3yrstable!$A$1:$W$52</definedName>
    <definedName name="ExternalData_12" localSheetId="3" hidden="1">Mcondomstable!$A$1:$W$99</definedName>
    <definedName name="ExternalData_13" localSheetId="2" hidden="1">POPtable!$A$1:$W$116</definedName>
    <definedName name="ExternalData_14" localSheetId="1" hidden="1">Merged!$A$1:$W$1184</definedName>
    <definedName name="ExternalData_2" localSheetId="13" hidden="1">'CopperIUDtable'!$A$1:$W$107</definedName>
    <definedName name="ExternalData_3" localSheetId="12" hidden="1">'cyclebeadstable'!$A$1:$W$36</definedName>
    <definedName name="ExternalData_4" localSheetId="11" hidden="1">DMPAIMtable!$A$1:$W$107</definedName>
    <definedName name="ExternalData_5" localSheetId="10" hidden="1">DMPASCtable!$A$1:$W$109</definedName>
    <definedName name="ExternalData_6" localSheetId="9" hidden="1">EPtable!$A$1:$W$98</definedName>
    <definedName name="ExternalData_7" localSheetId="8" hidden="1">Fcondomstable!$A$1:$W$87</definedName>
    <definedName name="ExternalData_8" localSheetId="7" hidden="1">HormonalIUDtable!$A$1:$W$61</definedName>
    <definedName name="ExternalData_9" localSheetId="6" hidden="1">implant1rodtable!$A$1:$W$100</definedName>
  </definedNames>
  <calcPr calcId="191028"/>
  <pivotCaches>
    <pivotCache cacheId="18" r:id="rId20001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D5961-E18C-4C93-9456-45FBC3C9C423}" keepAlive="1" name="Query - COCtable" description="Connection to the 'COCtable' query in the workbook." type="5" refreshedVersion="8" background="1" saveData="1">
    <dbPr connection="Provider=Microsoft.Mashup.OleDb.1;Data Source=$Workbook$;Location=COCtable;Extended Properties=&quot;&quot;" command="SELECT * FROM [COCtable]"/>
  </connection>
  <connection id="2" xr16:uid="{829F8677-72FA-4C62-B20F-3D29B74D639C}" keepAlive="1" name="Query - CopperIUDtable" description="Connection to the 'CopperIUDtable' query in the workbook." type="5" refreshedVersion="8" background="1" saveData="1">
    <dbPr connection="Provider=Microsoft.Mashup.OleDb.1;Data Source=$Workbook$;Location=CopperIUDtable;Extended Properties=&quot;&quot;" command="SELECT * FROM [CopperIUDtable]"/>
  </connection>
  <connection id="3" xr16:uid="{1247AEA6-D878-419C-850F-9929D4F559F8}" keepAlive="1" name="Query - cyclebeadstable" description="Connection to the 'cyclebeadstable' query in the workbook." type="5" refreshedVersion="8" background="1" saveData="1">
    <dbPr connection="Provider=Microsoft.Mashup.OleDb.1;Data Source=$Workbook$;Location=cyclebeadstable;Extended Properties=&quot;&quot;" command="SELECT * FROM [cyclebeadstable]"/>
  </connection>
  <connection id="4" xr16:uid="{7C414304-88C6-448D-9CBD-C46ECB334714}" keepAlive="1" name="Query - DMPAIMtable" description="Connection to the 'DMPAIMtable' query in the workbook." type="5" refreshedVersion="8" background="1" saveData="1">
    <dbPr connection="Provider=Microsoft.Mashup.OleDb.1;Data Source=$Workbook$;Location=DMPAIMtable;Extended Properties=&quot;&quot;" command="SELECT * FROM [DMPAIMtable]"/>
  </connection>
  <connection id="5" xr16:uid="{DF8A7F42-BBBE-4EC8-805A-2074A799C318}" keepAlive="1" name="Query - DMPASCtable" description="Connection to the 'DMPASCtable' query in the workbook." type="5" refreshedVersion="8" background="1" saveData="1">
    <dbPr connection="Provider=Microsoft.Mashup.OleDb.1;Data Source=$Workbook$;Location=DMPASCtable;Extended Properties=&quot;&quot;" command="SELECT * FROM [DMPASCtable]"/>
  </connection>
  <connection id="6" xr16:uid="{C18951BD-54B5-4427-A4AA-D3D9772F95AD}" keepAlive="1" name="Query - EPtable" description="Connection to the 'EPtable' query in the workbook." type="5" refreshedVersion="8" background="1" saveData="1">
    <dbPr connection="Provider=Microsoft.Mashup.OleDb.1;Data Source=$Workbook$;Location=EPtable;Extended Properties=&quot;&quot;" command="SELECT * FROM [EPtable]"/>
  </connection>
  <connection id="7" xr16:uid="{C55E9454-4278-437B-A261-E9DEDE01C10C}" keepAlive="1" name="Query - Fcondomstable" description="Connection to the 'Fcondomstable' query in the workbook." type="5" refreshedVersion="8" background="1" saveData="1">
    <dbPr connection="Provider=Microsoft.Mashup.OleDb.1;Data Source=$Workbook$;Location=Fcondomstable;Extended Properties=&quot;&quot;" command="SELECT * FROM [Fcondomstable]"/>
  </connection>
  <connection id="8" xr16:uid="{1BA832A8-A93E-4E39-A93B-1D2765D769CF}" keepAlive="1" name="Query - HormonalIUDtable" description="Connection to the 'HormonalIUDtable' query in the workbook." type="5" refreshedVersion="8" background="1" saveData="1">
    <dbPr connection="Provider=Microsoft.Mashup.OleDb.1;Data Source=$Workbook$;Location=HormonalIUDtable;Extended Properties=&quot;&quot;" command="SELECT * FROM [HormonalIUDtable]"/>
  </connection>
  <connection id="9" xr16:uid="{E457EF63-7EA0-401D-AE3D-5B848DF53287}" keepAlive="1" name="Query - implant1rodtable" description="Connection to the 'implant1rodtable' query in the workbook." type="5" refreshedVersion="8" background="1" saveData="1">
    <dbPr connection="Provider=Microsoft.Mashup.OleDb.1;Data Source=$Workbook$;Location=implant1rodtable;Extended Properties=&quot;&quot;" command="SELECT * FROM [implant1rodtable]"/>
  </connection>
  <connection id="10" xr16:uid="{7C7D6F3A-93C3-496E-9BD1-455EC5CDAA97}" keepAlive="1" name="Query - implant2rod5yrstable" description="Connection to the 'implant2rod5yrstable' query in the workbook." type="5" refreshedVersion="8" background="1" saveData="1">
    <dbPr connection="Provider=Microsoft.Mashup.OleDb.1;Data Source=$Workbook$;Location=implant2rod5yrstable;Extended Properties=&quot;&quot;" command="SELECT * FROM [implant2rod5yrstable]"/>
  </connection>
  <connection id="11" xr16:uid="{843D11E9-CCC2-45F3-93F2-1898F1A5EC2C}" keepAlive="1" name="Query - Implant3yrstable" description="Connection to the 'Implant3yrstable' query in the workbook." type="5" refreshedVersion="8" background="1" saveData="1">
    <dbPr connection="Provider=Microsoft.Mashup.OleDb.1;Data Source=$Workbook$;Location=Implant3yrstable;Extended Properties=&quot;&quot;" command="SELECT * FROM [Implant3yrstable]"/>
  </connection>
  <connection id="12" xr16:uid="{8841B446-211A-4DDC-BE88-1392AE3F5E93}" keepAlive="1" name="Query - Mcondomstable" description="Connection to the 'Mcondomstable' query in the workbook." type="5" refreshedVersion="8" background="1" saveData="1">
    <dbPr connection="Provider=Microsoft.Mashup.OleDb.1;Data Source=$Workbook$;Location=Mcondomstable;Extended Properties=&quot;&quot;" command="SELECT * FROM [Mcondomstable]"/>
  </connection>
  <connection id="13" xr16:uid="{8D2B668E-6380-4EFE-B3C9-2DB2548AB399}" keepAlive="1" name="Query - Merged" description="Connection to the 'Merged' query in the workbook." type="5" refreshedVersion="8" background="1" saveData="1">
    <dbPr connection="Provider=Microsoft.Mashup.OleDb.1;Data Source=$Workbook$;Location=Merged;Extended Properties=&quot;&quot;" command="SELECT * FROM [Merged]"/>
  </connection>
  <connection id="14" xr16:uid="{B8ADC25E-2B85-4512-9631-3BA1240F8BD6}" keepAlive="1" name="Query - POPtable" description="Connection to the 'POPtable' query in the workbook." type="5" refreshedVersion="8" background="1" saveData="1">
    <dbPr connection="Provider=Microsoft.Mashup.OleDb.1;Data Source=$Workbook$;Location=POPtable;Extended Properties=&quot;&quot;" command="SELECT * FROM [POPtable]"/>
  </connection>
</connections>
</file>

<file path=xl/sharedStrings.xml><?xml version="1.0" encoding="utf-8"?>
<sst xmlns="http://schemas.openxmlformats.org/spreadsheetml/2006/main" count="2578" uniqueCount="2578">
  <si>
    <t xml:space="preserve">Period </t>
  </si>
  <si>
    <t>Desired MOS</t>
  </si>
  <si>
    <t>TBD</t>
  </si>
  <si>
    <t>USAID</t>
  </si>
  <si>
    <t>Planned</t>
  </si>
  <si>
    <t xml:space="preserve">Funding gap analysis template </t>
  </si>
  <si>
    <t xml:space="preserve">Country </t>
  </si>
  <si>
    <t xml:space="preserve">Product </t>
  </si>
  <si>
    <t>UoM</t>
  </si>
  <si>
    <t xml:space="preserve">Iventory reporting level </t>
  </si>
  <si>
    <t>Period</t>
  </si>
  <si>
    <t>Stock on hand(opening balance)</t>
  </si>
  <si>
    <t xml:space="preserve">Actual monthly consumption </t>
  </si>
  <si>
    <t>Forecasted consumption</t>
  </si>
  <si>
    <t xml:space="preserve">Closing balance </t>
  </si>
  <si>
    <t xml:space="preserve">Procurer </t>
  </si>
  <si>
    <t xml:space="preserve">Funding source </t>
  </si>
  <si>
    <t xml:space="preserve">Status </t>
  </si>
  <si>
    <t xml:space="preserve">Quantity </t>
  </si>
  <si>
    <t xml:space="preserve">Unit cost </t>
  </si>
  <si>
    <t xml:space="preserve">Total cost </t>
  </si>
  <si>
    <t>ETA</t>
  </si>
  <si>
    <t xml:space="preserve">Lead times </t>
  </si>
  <si>
    <t>Projected Inventory</t>
  </si>
  <si>
    <t xml:space="preserve">Min MOS </t>
  </si>
  <si>
    <t xml:space="preserve">Max MOS </t>
  </si>
  <si>
    <t xml:space="preserve">MOS </t>
  </si>
  <si>
    <t xml:space="preserve">Projected Expired stock </t>
  </si>
  <si>
    <t>Rwanda</t>
  </si>
  <si>
    <t>Male Condom (Latex), 53 mm</t>
  </si>
  <si>
    <t>pieces</t>
  </si>
  <si>
    <t>All levels</t>
  </si>
  <si>
    <t>GHSC-PSM</t>
  </si>
  <si>
    <t xml:space="preserve">County </t>
  </si>
  <si>
    <t>Female Condom (Nitrile), Inner Retention Ring</t>
  </si>
  <si>
    <t>piece</t>
  </si>
  <si>
    <t>Color-Coded Plastic Beads</t>
  </si>
  <si>
    <t xml:space="preserve">pack </t>
  </si>
  <si>
    <t>Etonogestrel 68 mg/rod, 1 Rod Implant</t>
  </si>
  <si>
    <t>set</t>
  </si>
  <si>
    <t>Levonorgestrel 75 mg/rod, 2 Rod Implant, 3 Year Efficacy</t>
  </si>
  <si>
    <t>Levonorgestrel 75 mg/rod, 2 Rod Implant, 5 Year Efficacy</t>
  </si>
  <si>
    <t>Medroxyprogesterone Acetate 104 mg/0.65 mL, Subcutaneous, Pre-Filled Device</t>
  </si>
  <si>
    <t>vial</t>
  </si>
  <si>
    <t>Medroxyprogesterone Acetate 150 mg/mL (1 mL) Vial, Intramuscular</t>
  </si>
  <si>
    <t>vials</t>
  </si>
  <si>
    <t>TCu380A Intrauterine Device</t>
  </si>
  <si>
    <t>Levonorgestrel 52 mg, Intrauterine Device</t>
  </si>
  <si>
    <t xml:space="preserve">device </t>
  </si>
  <si>
    <t>Levonorgestrel/Ethinyl Estradiol 150/30 mcg + Placebo 28 Tablets/Cycle</t>
  </si>
  <si>
    <t xml:space="preserve">cycle </t>
  </si>
  <si>
    <t>UNFPA</t>
  </si>
  <si>
    <t>Levonorgestrel 0.75 mg Tablet, 2 Tablets</t>
  </si>
  <si>
    <t>pack of 2</t>
  </si>
  <si>
    <t>Levonorgestrel 30 mcg Tablet, 35 Tablets/Cycle</t>
  </si>
  <si>
    <t>Drapes</t>
  </si>
  <si>
    <t>Trays</t>
  </si>
  <si>
    <t>Oxytocin</t>
  </si>
  <si>
    <t>Misoprostol 200 mcg Tablet 3-tab blister pack</t>
  </si>
  <si>
    <t>tablet</t>
  </si>
  <si>
    <t>TXA</t>
  </si>
  <si>
    <t>HSC</t>
  </si>
  <si>
    <t>NASG</t>
  </si>
  <si>
    <t>UBT</t>
  </si>
  <si>
    <t>Caffeine citrate 10 mg/ml 1 ml injection Vial 1 Vial</t>
  </si>
  <si>
    <t>Caffeine Citrate 5 mg/mL Solution 5 mL Bottle</t>
  </si>
  <si>
    <t>bottle</t>
  </si>
  <si>
    <t>Surfactants</t>
  </si>
  <si>
    <t>CPAP</t>
  </si>
  <si>
    <t>NICU ventilator</t>
  </si>
  <si>
    <t>Resuscitator</t>
  </si>
  <si>
    <t xml:space="preserve">Sno </t>
  </si>
  <si>
    <t>Ghana</t>
  </si>
  <si>
    <t>Nigeria</t>
  </si>
  <si>
    <t>Uganda</t>
  </si>
  <si>
    <t>Malawi</t>
  </si>
  <si>
    <t>Zambia</t>
  </si>
  <si>
    <t>Ethiopia</t>
  </si>
  <si>
    <t>Kenya</t>
  </si>
  <si>
    <t xml:space="preserve">lesotho </t>
  </si>
  <si>
    <t xml:space="preserve">Senegal </t>
  </si>
  <si>
    <t>L5</t>
  </si>
  <si>
    <t>Product ID</t>
  </si>
  <si>
    <t>CYP Factor</t>
  </si>
  <si>
    <t>Base UOM</t>
  </si>
  <si>
    <t>Estimated Unit Value (USD)</t>
  </si>
  <si>
    <t>Female Condom (Latex), Inner Retention Ring</t>
  </si>
  <si>
    <t>Piece</t>
  </si>
  <si>
    <t>Female Condom (Latex), Inner Retention Sponge</t>
  </si>
  <si>
    <t>Female Condom (Polyurethane), Inner Retention Ring</t>
  </si>
  <si>
    <t>Male Condom (Latex), 49 mm</t>
  </si>
  <si>
    <t>Male Condom (Latex), 51 mm</t>
  </si>
  <si>
    <t>Male Condom (Latex), 52 mm</t>
  </si>
  <si>
    <t>Male Condom (Latex), 53 mm,  Black Colored, Chocolate Scented</t>
  </si>
  <si>
    <t>Each</t>
  </si>
  <si>
    <t>Male Condom (Latex), 53 mm,  Black Colored, Peppermint Scented</t>
  </si>
  <si>
    <t>Male Condom (Latex), 53 mm, Banana Scented</t>
  </si>
  <si>
    <t>Male Condom (Latex), 53 mm, Blue Colored, Vanilla Scented</t>
  </si>
  <si>
    <t>Male Condom (Latex), 53 mm, Dotted</t>
  </si>
  <si>
    <t>Male Condom (Latex), 53 mm, Dotted, Banana Flavored</t>
  </si>
  <si>
    <t>Male Condom (Latex), 53 mm, Dotted, Mint Flavored</t>
  </si>
  <si>
    <t>Male Condom (Latex), 53 mm, Dotted, Strawberry Flavored</t>
  </si>
  <si>
    <t>Male Condom (Latex), 53 mm, Mint Scented</t>
  </si>
  <si>
    <t>Male Condom (Latex), 53 mm, Mint Scented, Mint Flavored</t>
  </si>
  <si>
    <t>Male Condom (Latex), 53 mm, Strawberry Scented</t>
  </si>
  <si>
    <t>Male Condom (Latex), 53 mm, Strawberry Scented, Strawberry Flavored</t>
  </si>
  <si>
    <t>Male Condom (Latex), 53 mm, Vanilla Scented</t>
  </si>
  <si>
    <t>Male Condom (Latex), 53 mm, Yellow Colored</t>
  </si>
  <si>
    <t>Male Condom (Latex), 53 mm,  Black Colored, Peppermint Scented + Personal Lubricant Sachet</t>
  </si>
  <si>
    <t>Male Condom (Latex), 53 mm, Strawberry Scented, Strawberry Flavored + Personal Lubricant Sachet</t>
  </si>
  <si>
    <t>Male Condom (Latex), 53 mm, Vanilla Scented + Personal Lubricant (Water-Based) Sachet</t>
  </si>
  <si>
    <t>Male Condom (Latex), 56 mm</t>
  </si>
  <si>
    <t>Male Condom (Latex), 58 mm</t>
  </si>
  <si>
    <t>Set</t>
  </si>
  <si>
    <t>Unit</t>
  </si>
  <si>
    <t>Vial</t>
  </si>
  <si>
    <t>Norethisterone Enantate 200 mg/mL (1 mL) Ampoule, Intramuscular</t>
  </si>
  <si>
    <t>Ampoule</t>
  </si>
  <si>
    <t>Norethisterone Enantate/Estradiol Valerate 50/5 mg/mL (1 mL) Ampoule, Intramuscular</t>
  </si>
  <si>
    <t>Cu375 Intrauterine Device</t>
  </si>
  <si>
    <t>TCu380A Intrauterine Device, Long Inserter</t>
  </si>
  <si>
    <t>Desogestrel/Ethinyl Estradiol 150/30 mcg, 21 Tablets/Cycle</t>
  </si>
  <si>
    <t>Cycle</t>
  </si>
  <si>
    <t>Desogestrel/Ethinyl Estradiol 150/30 mcg + Placebo 28 Tablets/Cycle</t>
  </si>
  <si>
    <t>Levonorgestrel/Ethinyl Estradiol 150/30 mcg, 21 Tablets/Cycle</t>
  </si>
  <si>
    <t>Levonorgestrel/Ethinyl Estradiol 150/30 mcg + Ferrous Fumarate 75 mg, 28 Tablets/Cycle</t>
  </si>
  <si>
    <t>Norgestrel/Ethinyl Estradiol 300/30 mcg + Placebo 28 Tablets/Cycle</t>
  </si>
  <si>
    <t>1 Cycle</t>
  </si>
  <si>
    <t>Norgestrel/Ethinyl Estradiol 500/50 mcg + Placebo 28 Tablets/Cycle</t>
  </si>
  <si>
    <t>Dose</t>
  </si>
  <si>
    <t>Levonorgestrel 1.5 mg Tablet, 1 Tablet</t>
  </si>
  <si>
    <t>Levonorgestrel 30 mcg Tablet, 28 Tablets/Cycle</t>
  </si>
  <si>
    <t>Lynestrenol 0.5 mg Tablet, 28 Tablets/Cycle</t>
  </si>
  <si>
    <t>Norethisterone 350 mcg Tablet, 28 Tablets/Cycle</t>
  </si>
  <si>
    <t>Norgestrel 75 mcg, 28 Tablets/Cycle</t>
  </si>
  <si>
    <t>Misoprostol</t>
  </si>
  <si>
    <t>Caffeine Citrate</t>
  </si>
  <si>
    <t>1 vial</t>
  </si>
  <si>
    <t>Calcium Gluconate 10% (10 mL) Vial 1 Vial</t>
  </si>
  <si>
    <t>Calibrated obstetric drape 1 piece</t>
  </si>
  <si>
    <t>1 piece</t>
  </si>
  <si>
    <t>Carbetocin (Heat Stable) 100 mcg/mL (1 mL)</t>
  </si>
  <si>
    <t>Magnesium Sulfate 50% (20 mL) Vial 1 Vial</t>
  </si>
  <si>
    <t>Mifepristone 200mg + misoprostol (4x200mcg) tablets</t>
  </si>
  <si>
    <t>Oxytocin 10 IU/mL (2 mL) Ampoule 1 Ampoule</t>
  </si>
  <si>
    <t>Tranexamic acid injection 100 mg/ml 10ml 10 Vials</t>
  </si>
  <si>
    <t>UNFPA supplies</t>
  </si>
  <si>
    <t>Committed</t>
  </si>
  <si>
    <t xml:space="preserve">Reporting month </t>
  </si>
  <si>
    <r>
      <t xml:space="preserve">Instructions: </t>
    </r>
    <r>
      <rPr>
        <sz val="10"/>
        <rFont val="Trebuchet MS"/>
        <family val="2"/>
      </rPr>
      <t xml:space="preserve">Populate all rows with the information from the recent approved supply plan  or supply plan </t>
    </r>
  </si>
  <si>
    <r>
      <t xml:space="preserve">Objective: </t>
    </r>
    <r>
      <rPr>
        <sz val="10"/>
        <rFont val="Trebuchet MS"/>
        <family val="2"/>
      </rPr>
      <t xml:space="preserve">To collect current information on choices countries forecasting and supply planning to inform commodity security monitoring </t>
    </r>
  </si>
  <si>
    <t xml:space="preserve">set </t>
  </si>
  <si>
    <t>Placed</t>
  </si>
  <si>
    <t>Received</t>
  </si>
  <si>
    <t>Expected Deliveries</t>
  </si>
  <si>
    <t xml:space="preserve">Govt </t>
  </si>
  <si>
    <t>GFATM</t>
  </si>
  <si>
    <t xml:space="preserve">PSM </t>
  </si>
  <si>
    <t>U</t>
  </si>
  <si>
    <t>Ap 25</t>
  </si>
  <si>
    <t>UNPA</t>
  </si>
  <si>
    <t>PSM</t>
  </si>
  <si>
    <t>WAHO</t>
  </si>
  <si>
    <t>Postpartum Intrauterine Contraceptive Device (PPIUCD)</t>
  </si>
  <si>
    <t xml:space="preserve">each </t>
  </si>
  <si>
    <t>eswatini</t>
  </si>
  <si>
    <t xml:space="preserve">Sierra Leone </t>
  </si>
  <si>
    <t>DRC</t>
  </si>
  <si>
    <t>Govt</t>
  </si>
  <si>
    <t>MIN MOS</t>
  </si>
  <si>
    <t>MAX MOS</t>
  </si>
  <si>
    <t>MOS</t>
  </si>
  <si>
    <t xml:space="preserve">Country</t>
  </si>
  <si>
    <t xml:space="preserve">Product</t>
  </si>
  <si>
    <t xml:space="preserve">UoM</t>
  </si>
  <si>
    <t xml:space="preserve">Iventory reporting level</t>
  </si>
  <si>
    <t xml:space="preserve">Procurer</t>
  </si>
  <si>
    <t xml:space="preserve">Funding source</t>
  </si>
  <si>
    <t xml:space="preserve">Status</t>
  </si>
  <si>
    <t xml:space="preserve">Quantity</t>
  </si>
  <si>
    <t xml:space="preserve">Unit cost</t>
  </si>
  <si>
    <t xml:space="preserve">Total cost</t>
  </si>
  <si>
    <t xml:space="preserve">ETA</t>
  </si>
  <si>
    <t xml:space="preserve">Lead times</t>
  </si>
  <si>
    <t xml:space="preserve">Projected Inventory</t>
  </si>
  <si>
    <t xml:space="preserve">data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</si>
  <si>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</si>
  <si>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</si>
  <si>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</si>
  <si>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</si>
  <si>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</si>
  <si>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</si>
  <si>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</si>
  <si>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</si>
  <si>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</si>
  <si>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</si>
  <si>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</si>
  <si>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</si>
  <si>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</si>
  <si>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</si>
  <si>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</si>
  <si>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</si>
  <si>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</si>
  <si>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</si>
  <si>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</si>
  <si>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</si>
  <si>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2026-09-01</t>
  </si>
  <si>
    <t xml:space="preserve">2026-10-01</t>
  </si>
  <si>
    <t xml:space="preserve">2026-11-01</t>
  </si>
  <si>
    <t xml:space="preserve">2026-12-01</t>
  </si>
  <si>
    <t xml:space="preserve">Ethiopia</t>
  </si>
  <si>
    <t xml:space="preserve">Levonorgestrel/Ethinyl Estradiol 150/30 mcg + Ferrous Fumarate 75 mg, 28 Tablets/Cycle</t>
  </si>
  <si>
    <t xml:space="preserve">cycle</t>
  </si>
  <si>
    <t xml:space="preserve">All levels</t>
  </si>
  <si>
    <t xml:space="preserve">Stock on hand(opening balance)</t>
  </si>
  <si>
    <t xml:space="preserve">Actual monthly consumption</t>
  </si>
  <si>
    <t xml:space="preserve">Forecasted consumption</t>
  </si>
  <si>
    <t xml:space="preserve">Closing balance</t>
  </si>
  <si>
    <t xml:space="preserve">Min MOS</t>
  </si>
  <si>
    <t xml:space="preserve">Max MOS</t>
  </si>
  <si>
    <t xml:space="preserve">Desired MOS</t>
  </si>
  <si>
    <t xml:space="preserve">MOS</t>
  </si>
  <si>
    <t xml:space="preserve">Projected Expired stock</t>
  </si>
  <si>
    <t xml:space="preserve">eswatini</t>
  </si>
  <si>
    <t xml:space="preserve">Levonorgestrel 0.75 mg Tablet, 2 Tablets</t>
  </si>
  <si>
    <t xml:space="preserve">pack of 2</t>
  </si>
  <si>
    <t xml:space="preserve">Zambia</t>
  </si>
  <si>
    <t xml:space="preserve">Female Condom (Nitrile), Inner Retention Ring</t>
  </si>
  <si>
    <t xml:space="preserve">piece</t>
  </si>
  <si>
    <t xml:space="preserve">Sierra Leone</t>
  </si>
  <si>
    <t xml:space="preserve">Levonorgestrel 75 mg/rod, 2 Rod Implant, 3 Year Efficacy</t>
  </si>
  <si>
    <t xml:space="preserve">set</t>
  </si>
  <si>
    <t xml:space="preserve">Male Condom (Latex), 53 mm</t>
  </si>
  <si>
    <t xml:space="preserve">Uganda</t>
  </si>
  <si>
    <t xml:space="preserve">Levonorgestrel 30 mcg Tablet, 35 Tablets/Cycle</t>
  </si>
  <si>
    <t xml:space="preserve">Ghana</t>
  </si>
  <si>
    <t xml:space="preserve">UNFPA</t>
  </si>
  <si>
    <t xml:space="preserve">Received</t>
  </si>
  <si>
    <t xml:space="preserve">TCu380A Intrauterine Device</t>
  </si>
  <si>
    <t xml:space="preserve">Color-Coded Plastic Beads</t>
  </si>
  <si>
    <t xml:space="preserve">Medroxyprogesterone Acetate 150 mg/mL (1 mL) Vial, Intramuscular</t>
  </si>
  <si>
    <t xml:space="preserve">vials</t>
  </si>
  <si>
    <t xml:space="preserve">PSM</t>
  </si>
  <si>
    <t xml:space="preserve">USAID</t>
  </si>
  <si>
    <t xml:space="preserve">45689</t>
  </si>
  <si>
    <t xml:space="preserve">Medroxyprogesterone Acetate 104 mg/0.65 mL, Subcutaneous, Pre-Filled Device</t>
  </si>
  <si>
    <t xml:space="preserve">vial</t>
  </si>
  <si>
    <t xml:space="preserve">Etonogestrel 68 mg/rod, 1 Rod Implant</t>
  </si>
  <si>
    <t xml:space="preserve">Levonorgestrel 75 mg/rod, 2 Rod Implant, 5 Year Efficacy</t>
  </si>
  <si>
    <t xml:space="preserve">45717</t>
  </si>
  <si>
    <t xml:space="preserve">Malawi</t>
  </si>
  <si>
    <t xml:space="preserve">each</t>
  </si>
  <si>
    <t xml:space="preserve">U</t>
  </si>
  <si>
    <t xml:space="preserve">45748</t>
  </si>
  <si>
    <t xml:space="preserve">Expected Deliveries</t>
  </si>
  <si>
    <t xml:space="preserve">Levonorgestrel 52 mg, Intrauterine Device</t>
  </si>
  <si>
    <t xml:space="preserve">device</t>
  </si>
  <si>
    <t xml:space="preserve">Ap 25</t>
  </si>
  <si>
    <t xml:space="preserve">45778</t>
  </si>
  <si>
    <t xml:space="preserve">Committed</t>
  </si>
  <si>
    <t xml:space="preserve">45809</t>
  </si>
  <si>
    <t xml:space="preserve">Rwanda</t>
  </si>
  <si>
    <t xml:space="preserve">Levonorgestrel/Ethinyl Estradiol 150/30 mcg + Placebo 28 Tablets/Cycle</t>
  </si>
  <si>
    <t xml:space="preserve">Postpartum Intrauterine Contraceptive Device (PPIUCD)</t>
  </si>
  <si>
    <t xml:space="preserve">pack</t>
  </si>
  <si>
    <t xml:space="preserve">pieces</t>
  </si>
  <si>
    <t xml:space="preserve">Govt</t>
  </si>
  <si>
    <t xml:space="preserve">45839</t>
  </si>
  <si>
    <t xml:space="preserve">Norethisterone 350 mcg Tablet, 28 Tablets/Cycle</t>
  </si>
  <si>
    <t xml:space="preserve">Planned</t>
  </si>
  <si>
    <t xml:space="preserve">45870</t>
  </si>
  <si>
    <t xml:space="preserve">Placed</t>
  </si>
  <si>
    <t xml:space="preserve">TBD</t>
  </si>
  <si>
    <t xml:space="preserve">GHSC-PSM</t>
  </si>
  <si>
    <t xml:space="preserve">UNFPA supplies</t>
  </si>
  <si>
    <t xml:space="preserve">42217</t>
  </si>
  <si>
    <t xml:space="preserve">45901</t>
  </si>
  <si>
    <t xml:space="preserve">GFATM</t>
  </si>
  <si>
    <t xml:space="preserve">45931</t>
  </si>
  <si>
    <t xml:space="preserve">UNPA</t>
  </si>
  <si>
    <t xml:space="preserve">45962</t>
  </si>
  <si>
    <t xml:space="preserve">45992</t>
  </si>
  <si>
    <t xml:space="preserve">46023</t>
  </si>
  <si>
    <t xml:space="preserve">46054</t>
  </si>
  <si>
    <t xml:space="preserve">46082</t>
  </si>
  <si>
    <t xml:space="preserve">46143</t>
  </si>
  <si>
    <t xml:space="preserve">46174</t>
  </si>
  <si>
    <t xml:space="preserve">46204</t>
  </si>
  <si>
    <t xml:space="preserve">46266</t>
  </si>
  <si>
    <t xml:space="preserve">46296</t>
  </si>
  <si>
    <t xml:space="preserve">46327</t>
  </si>
  <si>
    <t xml:space="preserve">46357</t>
  </si>
  <si>
    <t xml:space="preserve">WAHO</t>
  </si>
  <si>
    <t xml:space="preserve">country</t>
  </si>
  <si>
    <t xml:space="preserve">product</t>
  </si>
  <si>
    <t xml:space="preserve">uo_m</t>
  </si>
  <si>
    <t xml:space="preserve">iventory_reporting_level</t>
  </si>
  <si>
    <t xml:space="preserve">stock_on_hand_opening_balance</t>
  </si>
  <si>
    <t xml:space="preserve">603989</t>
  </si>
  <si>
    <t xml:space="preserve">560842</t>
  </si>
  <si>
    <t xml:space="preserve">517695</t>
  </si>
  <si>
    <t xml:space="preserve">474548</t>
  </si>
  <si>
    <t xml:space="preserve">431401</t>
  </si>
  <si>
    <t xml:space="preserve">388254</t>
  </si>
  <si>
    <t xml:space="preserve">1493412</t>
  </si>
  <si>
    <t xml:space="preserve">1209844</t>
  </si>
  <si>
    <t xml:space="preserve">926276</t>
  </si>
  <si>
    <t xml:space="preserve">1643652</t>
  </si>
  <si>
    <t xml:space="preserve">3157204</t>
  </si>
  <si>
    <t xml:space="preserve">2873636</t>
  </si>
  <si>
    <t xml:space="preserve">2590068</t>
  </si>
  <si>
    <t xml:space="preserve">2306500</t>
  </si>
  <si>
    <t xml:space="preserve">2022932</t>
  </si>
  <si>
    <t xml:space="preserve">1739364</t>
  </si>
  <si>
    <t xml:space="preserve">1455796</t>
  </si>
  <si>
    <t xml:space="preserve">1172228</t>
  </si>
  <si>
    <t xml:space="preserve">actual_monthly_consumption</t>
  </si>
  <si>
    <t xml:space="preserve">forecasted_consumption</t>
  </si>
  <si>
    <t xml:space="preserve">43147</t>
  </si>
  <si>
    <t xml:space="preserve">283568</t>
  </si>
  <si>
    <t xml:space="preserve">closing_balance</t>
  </si>
  <si>
    <t xml:space="preserve">345107</t>
  </si>
  <si>
    <t xml:space="preserve">888660</t>
  </si>
  <si>
    <t xml:space="preserve">procurer</t>
  </si>
  <si>
    <t xml:space="preserve">funding_source</t>
  </si>
  <si>
    <t xml:space="preserve">status</t>
  </si>
  <si>
    <t xml:space="preserve">quantity</t>
  </si>
  <si>
    <t xml:space="preserve">1000944</t>
  </si>
  <si>
    <t xml:space="preserve">1797120</t>
  </si>
  <si>
    <t xml:space="preserve">unit_cost</t>
  </si>
  <si>
    <t xml:space="preserve">total_cost</t>
  </si>
  <si>
    <t xml:space="preserve">eta</t>
  </si>
  <si>
    <t xml:space="preserve">lead_times</t>
  </si>
  <si>
    <t xml:space="preserve">projected_inventory</t>
  </si>
  <si>
    <t xml:space="preserve">min_mos</t>
  </si>
  <si>
    <t xml:space="preserve">6</t>
  </si>
  <si>
    <t xml:space="preserve">max_mos</t>
  </si>
  <si>
    <t xml:space="preserve">12</t>
  </si>
  <si>
    <t xml:space="preserve">desired_mos</t>
  </si>
  <si>
    <t xml:space="preserve">mos</t>
  </si>
  <si>
    <t xml:space="preserve">12.9984008158157</t>
  </si>
  <si>
    <t xml:space="preserve">11.9984008158157</t>
  </si>
  <si>
    <t xml:space="preserve">10.9984008158157</t>
  </si>
  <si>
    <t xml:space="preserve">9.9984008158157</t>
  </si>
  <si>
    <t xml:space="preserve">8.9984008158157</t>
  </si>
  <si>
    <t xml:space="preserve">7.9984008158157</t>
  </si>
  <si>
    <t xml:space="preserve">4.26650397788185</t>
  </si>
  <si>
    <t xml:space="preserve">3.26650397788185</t>
  </si>
  <si>
    <t xml:space="preserve">5.79632398578119</t>
  </si>
  <si>
    <t xml:space="preserve">11.133851492411</t>
  </si>
  <si>
    <t xml:space="preserve">10.133851492411</t>
  </si>
  <si>
    <t xml:space="preserve">9.13385149241099</t>
  </si>
  <si>
    <t xml:space="preserve">8.13385149241099</t>
  </si>
  <si>
    <t xml:space="preserve">7.13385149241099</t>
  </si>
  <si>
    <t xml:space="preserve">6.13385149241099</t>
  </si>
  <si>
    <t xml:space="preserve">5.13385149241099</t>
  </si>
  <si>
    <t xml:space="preserve">4.13385149241099</t>
  </si>
  <si>
    <t xml:space="preserve">3.13385149241099</t>
  </si>
  <si>
    <t xml:space="preserve">projected_expired_stock</t>
  </si>
  <si>
    <t xml:space="preserve">483</t>
  </si>
  <si>
    <t xml:space="preserve">0</t>
  </si>
  <si>
    <t xml:space="preserve">111000</t>
  </si>
  <si>
    <t xml:space="preserve">101000</t>
  </si>
  <si>
    <t xml:space="preserve">91000</t>
  </si>
  <si>
    <t xml:space="preserve">81000</t>
  </si>
  <si>
    <t xml:space="preserve">71000</t>
  </si>
  <si>
    <t xml:space="preserve">61000</t>
  </si>
  <si>
    <t xml:space="preserve">51000</t>
  </si>
  <si>
    <t xml:space="preserve">41000</t>
  </si>
  <si>
    <t xml:space="preserve">31000</t>
  </si>
  <si>
    <t xml:space="preserve">116700</t>
  </si>
  <si>
    <t xml:space="preserve">106700</t>
  </si>
  <si>
    <t xml:space="preserve">96700</t>
  </si>
  <si>
    <t xml:space="preserve">86700</t>
  </si>
  <si>
    <t xml:space="preserve">76700</t>
  </si>
  <si>
    <t xml:space="preserve">66700</t>
  </si>
  <si>
    <t xml:space="preserve">67166</t>
  </si>
  <si>
    <t xml:space="preserve">57166</t>
  </si>
  <si>
    <t xml:space="preserve">47166</t>
  </si>
  <si>
    <t xml:space="preserve">41166</t>
  </si>
  <si>
    <t xml:space="preserve">31166</t>
  </si>
  <si>
    <t xml:space="preserve">21166</t>
  </si>
  <si>
    <t xml:space="preserve">10000</t>
  </si>
  <si>
    <t xml:space="preserve">42139</t>
  </si>
  <si>
    <t xml:space="preserve">95700</t>
  </si>
  <si>
    <t xml:space="preserve">10466</t>
  </si>
  <si>
    <t xml:space="preserve">4000</t>
  </si>
  <si>
    <t xml:space="preserve">30973</t>
  </si>
  <si>
    <t xml:space="preserve">47850</t>
  </si>
  <si>
    <t xml:space="preserve">6802.9</t>
  </si>
  <si>
    <t xml:space="preserve">2600</t>
  </si>
  <si>
    <t xml:space="preserve">20458.1</t>
  </si>
  <si>
    <t xml:space="preserve">3</t>
  </si>
  <si>
    <t xml:space="preserve">10.1</t>
  </si>
  <si>
    <t xml:space="preserve">9.1</t>
  </si>
  <si>
    <t xml:space="preserve">8.1</t>
  </si>
  <si>
    <t xml:space="preserve">7.1</t>
  </si>
  <si>
    <t xml:space="preserve">6.1</t>
  </si>
  <si>
    <t xml:space="preserve">5.1</t>
  </si>
  <si>
    <t xml:space="preserve">4.1</t>
  </si>
  <si>
    <t xml:space="preserve">3.1</t>
  </si>
  <si>
    <t xml:space="preserve">11.67</t>
  </si>
  <si>
    <t xml:space="preserve">10.67</t>
  </si>
  <si>
    <t xml:space="preserve">9.67</t>
  </si>
  <si>
    <t xml:space="preserve">8.67</t>
  </si>
  <si>
    <t xml:space="preserve">7.67</t>
  </si>
  <si>
    <t xml:space="preserve">6.67</t>
  </si>
  <si>
    <t xml:space="preserve">6.7166</t>
  </si>
  <si>
    <t xml:space="preserve">5.7166</t>
  </si>
  <si>
    <t xml:space="preserve">4.7166</t>
  </si>
  <si>
    <t xml:space="preserve">4.1166</t>
  </si>
  <si>
    <t xml:space="preserve">3.1166</t>
  </si>
  <si>
    <t xml:space="preserve">2.1166</t>
  </si>
  <si>
    <t xml:space="preserve">4.2139</t>
  </si>
  <si>
    <t xml:space="preserve">4500</t>
  </si>
  <si>
    <t xml:space="preserve">7294</t>
  </si>
  <si>
    <t xml:space="preserve">9</t>
  </si>
  <si>
    <t xml:space="preserve">15</t>
  </si>
  <si>
    <t xml:space="preserve">181834416</t>
  </si>
  <si>
    <t xml:space="preserve">167625496</t>
  </si>
  <si>
    <t xml:space="preserve">153416576</t>
  </si>
  <si>
    <t xml:space="preserve">153607656</t>
  </si>
  <si>
    <t xml:space="preserve">141016144</t>
  </si>
  <si>
    <t xml:space="preserve">126807224</t>
  </si>
  <si>
    <t xml:space="preserve">148581168</t>
  </si>
  <si>
    <t xml:space="preserve">167549848</t>
  </si>
  <si>
    <t xml:space="preserve">153340928</t>
  </si>
  <si>
    <t xml:space="preserve">139132008</t>
  </si>
  <si>
    <t xml:space="preserve">122555110</t>
  </si>
  <si>
    <t xml:space="preserve">105978212</t>
  </si>
  <si>
    <t xml:space="preserve">89401314</t>
  </si>
  <si>
    <t xml:space="preserve">72824416</t>
  </si>
  <si>
    <t xml:space="preserve">56247518</t>
  </si>
  <si>
    <t xml:space="preserve">39670620</t>
  </si>
  <si>
    <t xml:space="preserve">23093722</t>
  </si>
  <si>
    <t xml:space="preserve">6516824</t>
  </si>
  <si>
    <t xml:space="preserve">14208920</t>
  </si>
  <si>
    <t xml:space="preserve">16576898</t>
  </si>
  <si>
    <t xml:space="preserve">14400000</t>
  </si>
  <si>
    <t xml:space="preserve">1617408</t>
  </si>
  <si>
    <t xml:space="preserve">35982864</t>
  </si>
  <si>
    <t xml:space="preserve">33177600</t>
  </si>
  <si>
    <t xml:space="preserve">432000</t>
  </si>
  <si>
    <t xml:space="preserve">48522.24</t>
  </si>
  <si>
    <t xml:space="preserve">1079485.92</t>
  </si>
  <si>
    <t xml:space="preserve">995328</t>
  </si>
  <si>
    <t xml:space="preserve">11.7972017577691</t>
  </si>
  <si>
    <t xml:space="preserve">10.7972017577691</t>
  </si>
  <si>
    <t xml:space="preserve">10.8106496482491</t>
  </si>
  <si>
    <t xml:space="preserve">9.92448011530785</t>
  </si>
  <si>
    <t xml:space="preserve">8.92448011530785</t>
  </si>
  <si>
    <t xml:space="preserve">10.4568938385183</t>
  </si>
  <si>
    <t xml:space="preserve">11.7918777781844</t>
  </si>
  <si>
    <t xml:space="preserve">10.7918777781844</t>
  </si>
  <si>
    <t xml:space="preserve">9.79187777818441</t>
  </si>
  <si>
    <t xml:space="preserve">7.3931268684889</t>
  </si>
  <si>
    <t xml:space="preserve">6.3931268684889</t>
  </si>
  <si>
    <t xml:space="preserve">5.39312686848891</t>
  </si>
  <si>
    <t xml:space="preserve">4.39312686848891</t>
  </si>
  <si>
    <t xml:space="preserve">3.39312686848891</t>
  </si>
  <si>
    <t xml:space="preserve">2.39312686848891</t>
  </si>
  <si>
    <t xml:space="preserve">1.39312686848891</t>
  </si>
  <si>
    <t xml:space="preserve">0.393126868488905</t>
  </si>
  <si>
    <t xml:space="preserve">5304</t>
  </si>
  <si>
    <t xml:space="preserve">124714</t>
  </si>
  <si>
    <t xml:space="preserve">96714</t>
  </si>
  <si>
    <t xml:space="preserve">68714</t>
  </si>
  <si>
    <t xml:space="preserve">40714</t>
  </si>
  <si>
    <t xml:space="preserve">12714</t>
  </si>
  <si>
    <t xml:space="preserve">28000</t>
  </si>
  <si>
    <t xml:space="preserve">152714</t>
  </si>
  <si>
    <t xml:space="preserve">4.45407142857143</t>
  </si>
  <si>
    <t xml:space="preserve">3.45407142857143</t>
  </si>
  <si>
    <t xml:space="preserve">2.45407142857143</t>
  </si>
  <si>
    <t xml:space="preserve">1.45407142857143</t>
  </si>
  <si>
    <t xml:space="preserve">0.454071428571429</t>
  </si>
  <si>
    <t xml:space="preserve">446096</t>
  </si>
  <si>
    <t xml:space="preserve">477685</t>
  </si>
  <si>
    <t xml:space="preserve">434538</t>
  </si>
  <si>
    <t xml:space="preserve">391391</t>
  </si>
  <si>
    <t xml:space="preserve">348244</t>
  </si>
  <si>
    <t xml:space="preserve">305097</t>
  </si>
  <si>
    <t xml:space="preserve">261950</t>
  </si>
  <si>
    <t xml:space="preserve">519187</t>
  </si>
  <si>
    <t xml:space="preserve">676632</t>
  </si>
  <si>
    <t xml:space="preserve">633485</t>
  </si>
  <si>
    <t xml:space="preserve">590338</t>
  </si>
  <si>
    <t xml:space="preserve">547191</t>
  </si>
  <si>
    <t xml:space="preserve">809715</t>
  </si>
  <si>
    <t xml:space="preserve">766568</t>
  </si>
  <si>
    <t xml:space="preserve">723421</t>
  </si>
  <si>
    <t xml:space="preserve">680274</t>
  </si>
  <si>
    <t xml:space="preserve">637127</t>
  </si>
  <si>
    <t xml:space="preserve">593980</t>
  </si>
  <si>
    <t xml:space="preserve">550833</t>
  </si>
  <si>
    <t xml:space="preserve">507686</t>
  </si>
  <si>
    <t xml:space="preserve">464539</t>
  </si>
  <si>
    <t xml:space="preserve">421392</t>
  </si>
  <si>
    <t xml:space="preserve">378245</t>
  </si>
  <si>
    <t xml:space="preserve">74736</t>
  </si>
  <si>
    <t xml:space="preserve">300384</t>
  </si>
  <si>
    <t xml:space="preserve">200592</t>
  </si>
  <si>
    <t xml:space="preserve">305671</t>
  </si>
  <si>
    <t xml:space="preserve">268891</t>
  </si>
  <si>
    <t xml:space="preserve">21763</t>
  </si>
  <si>
    <t xml:space="preserve">87472</t>
  </si>
  <si>
    <t xml:space="preserve">58412</t>
  </si>
  <si>
    <t xml:space="preserve">89011</t>
  </si>
  <si>
    <t xml:space="preserve">78302</t>
  </si>
  <si>
    <t xml:space="preserve">11.0711057547454</t>
  </si>
  <si>
    <t xml:space="preserve">10.0711057547454</t>
  </si>
  <si>
    <t xml:space="preserve">9.0711057547454</t>
  </si>
  <si>
    <t xml:space="preserve">8.0711057547454</t>
  </si>
  <si>
    <t xml:space="preserve">7.0711057547454</t>
  </si>
  <si>
    <t xml:space="preserve">6.0711057547454</t>
  </si>
  <si>
    <t xml:space="preserve">12.0329802767284</t>
  </si>
  <si>
    <t xml:space="preserve">15.6820172897305</t>
  </si>
  <si>
    <t xml:space="preserve">14.6820172897305</t>
  </si>
  <si>
    <t xml:space="preserve">13.6820172897305</t>
  </si>
  <si>
    <t xml:space="preserve">12.6820172897305</t>
  </si>
  <si>
    <t xml:space="preserve">18.7664264027626</t>
  </si>
  <si>
    <t xml:space="preserve">17.7664264027626</t>
  </si>
  <si>
    <t xml:space="preserve">16.7664264027626</t>
  </si>
  <si>
    <t xml:space="preserve">15.7664264027626</t>
  </si>
  <si>
    <t xml:space="preserve">14.7664264027626</t>
  </si>
  <si>
    <t xml:space="preserve">13.7664264027626</t>
  </si>
  <si>
    <t xml:space="preserve">12.7664264027626</t>
  </si>
  <si>
    <t xml:space="preserve">11.7664264027626</t>
  </si>
  <si>
    <t xml:space="preserve">10.7664264027626</t>
  </si>
  <si>
    <t xml:space="preserve">9.76642640276265</t>
  </si>
  <si>
    <t xml:space="preserve">8.76642640276265</t>
  </si>
  <si>
    <t xml:space="preserve">13.9984008158157</t>
  </si>
  <si>
    <t xml:space="preserve">14632</t>
  </si>
  <si>
    <t xml:space="preserve">12847</t>
  </si>
  <si>
    <t xml:space="preserve">11062</t>
  </si>
  <si>
    <t xml:space="preserve">9277</t>
  </si>
  <si>
    <t xml:space="preserve">7492</t>
  </si>
  <si>
    <t xml:space="preserve">5707</t>
  </si>
  <si>
    <t xml:space="preserve">3922</t>
  </si>
  <si>
    <t xml:space="preserve">24137</t>
  </si>
  <si>
    <t xml:space="preserve">22352</t>
  </si>
  <si>
    <t xml:space="preserve">20567</t>
  </si>
  <si>
    <t xml:space="preserve">18782</t>
  </si>
  <si>
    <t xml:space="preserve">16997</t>
  </si>
  <si>
    <t xml:space="preserve">15212</t>
  </si>
  <si>
    <t xml:space="preserve">13427</t>
  </si>
  <si>
    <t xml:space="preserve">11642</t>
  </si>
  <si>
    <t xml:space="preserve">9857</t>
  </si>
  <si>
    <t xml:space="preserve">20420</t>
  </si>
  <si>
    <t xml:space="preserve">18635</t>
  </si>
  <si>
    <t xml:space="preserve">16850</t>
  </si>
  <si>
    <t xml:space="preserve">15065</t>
  </si>
  <si>
    <t xml:space="preserve">13280</t>
  </si>
  <si>
    <t xml:space="preserve">11495</t>
  </si>
  <si>
    <t xml:space="preserve">21840</t>
  </si>
  <si>
    <t xml:space="preserve">988</t>
  </si>
  <si>
    <t xml:space="preserve">670</t>
  </si>
  <si>
    <t xml:space="preserve">1396</t>
  </si>
  <si>
    <t xml:space="preserve">830</t>
  </si>
  <si>
    <t xml:space="preserve">946</t>
  </si>
  <si>
    <t xml:space="preserve">1178</t>
  </si>
  <si>
    <t xml:space="preserve">1785</t>
  </si>
  <si>
    <t xml:space="preserve">20055</t>
  </si>
  <si>
    <t xml:space="preserve">22000</t>
  </si>
  <si>
    <t xml:space="preserve">12348</t>
  </si>
  <si>
    <t xml:space="preserve">12130</t>
  </si>
  <si>
    <t xml:space="preserve">14784</t>
  </si>
  <si>
    <t xml:space="preserve">8297.86</t>
  </si>
  <si>
    <t xml:space="preserve">8151.36</t>
  </si>
  <si>
    <t xml:space="preserve">7.19719887955182</t>
  </si>
  <si>
    <t xml:space="preserve">6.19719887955182</t>
  </si>
  <si>
    <t xml:space="preserve">5.19719887955182</t>
  </si>
  <si>
    <t xml:space="preserve">4.19719887955182</t>
  </si>
  <si>
    <t xml:space="preserve">3.19719887955182</t>
  </si>
  <si>
    <t xml:space="preserve">2.19719887955182</t>
  </si>
  <si>
    <t xml:space="preserve">13.5221288515406</t>
  </si>
  <si>
    <t xml:space="preserve">12.5221288515406</t>
  </si>
  <si>
    <t xml:space="preserve">11.5221288515406</t>
  </si>
  <si>
    <t xml:space="preserve">10.5221288515406</t>
  </si>
  <si>
    <t xml:space="preserve">9.52212885154062</t>
  </si>
  <si>
    <t xml:space="preserve">8.52212885154062</t>
  </si>
  <si>
    <t xml:space="preserve">7.52212885154062</t>
  </si>
  <si>
    <t xml:space="preserve">6.52212885154062</t>
  </si>
  <si>
    <t xml:space="preserve">5.52212885154062</t>
  </si>
  <si>
    <t xml:space="preserve">11.4397759103641</t>
  </si>
  <si>
    <t xml:space="preserve">10.4397759103641</t>
  </si>
  <si>
    <t xml:space="preserve">9.43977591036415</t>
  </si>
  <si>
    <t xml:space="preserve">8.43977591036415</t>
  </si>
  <si>
    <t xml:space="preserve">7.43977591036415</t>
  </si>
  <si>
    <t xml:space="preserve">6.43977591036415</t>
  </si>
  <si>
    <t xml:space="preserve">12.2352941176471</t>
  </si>
  <si>
    <t xml:space="preserve">11.2352941176471</t>
  </si>
  <si>
    <t xml:space="preserve">1538</t>
  </si>
  <si>
    <t xml:space="preserve">1245</t>
  </si>
  <si>
    <t xml:space="preserve">952</t>
  </si>
  <si>
    <t xml:space="preserve">659</t>
  </si>
  <si>
    <t xml:space="preserve">366</t>
  </si>
  <si>
    <t xml:space="preserve">73</t>
  </si>
  <si>
    <t xml:space="preserve">1906</t>
  </si>
  <si>
    <t xml:space="preserve">1613</t>
  </si>
  <si>
    <t xml:space="preserve">1320</t>
  </si>
  <si>
    <t xml:space="preserve">1027</t>
  </si>
  <si>
    <t xml:space="preserve">734</t>
  </si>
  <si>
    <t xml:space="preserve">441</t>
  </si>
  <si>
    <t xml:space="preserve">293</t>
  </si>
  <si>
    <t xml:space="preserve">2209</t>
  </si>
  <si>
    <t xml:space="preserve">2199</t>
  </si>
  <si>
    <t xml:space="preserve">2061</t>
  </si>
  <si>
    <t xml:space="preserve">3695</t>
  </si>
  <si>
    <t xml:space="preserve">3462</t>
  </si>
  <si>
    <t xml:space="preserve">4.24914675767918</t>
  </si>
  <si>
    <t xml:space="preserve">3.24914675767918</t>
  </si>
  <si>
    <t xml:space="preserve">2.24914675767918</t>
  </si>
  <si>
    <t xml:space="preserve">1.24914675767918</t>
  </si>
  <si>
    <t xml:space="preserve">0.249146757679181</t>
  </si>
  <si>
    <t xml:space="preserve">6.50511945392492</t>
  </si>
  <si>
    <t xml:space="preserve">5.50511945392492</t>
  </si>
  <si>
    <t xml:space="preserve">4.50511945392492</t>
  </si>
  <si>
    <t xml:space="preserve">3.50511945392491</t>
  </si>
  <si>
    <t xml:space="preserve">2.50511945392491</t>
  </si>
  <si>
    <t xml:space="preserve">1.50511945392491</t>
  </si>
  <si>
    <t xml:space="preserve">7.53924914675768</t>
  </si>
  <si>
    <t xml:space="preserve">515585</t>
  </si>
  <si>
    <t xml:space="preserve">920156</t>
  </si>
  <si>
    <t xml:space="preserve">916527</t>
  </si>
  <si>
    <t xml:space="preserve">1106098</t>
  </si>
  <si>
    <t xml:space="preserve">1495669</t>
  </si>
  <si>
    <t xml:space="preserve">1385240</t>
  </si>
  <si>
    <t xml:space="preserve">1274811</t>
  </si>
  <si>
    <t xml:space="preserve">1264382</t>
  </si>
  <si>
    <t xml:space="preserve">1153953</t>
  </si>
  <si>
    <t xml:space="preserve">1262124</t>
  </si>
  <si>
    <t xml:space="preserve">1175695</t>
  </si>
  <si>
    <t xml:space="preserve">1065266</t>
  </si>
  <si>
    <t xml:space="preserve">954837</t>
  </si>
  <si>
    <t xml:space="preserve">844408</t>
  </si>
  <si>
    <t xml:space="preserve">1365995</t>
  </si>
  <si>
    <t xml:space="preserve">1255566</t>
  </si>
  <si>
    <t xml:space="preserve">1145137</t>
  </si>
  <si>
    <t xml:space="preserve">1034708</t>
  </si>
  <si>
    <t xml:space="preserve">924279</t>
  </si>
  <si>
    <t xml:space="preserve">813850</t>
  </si>
  <si>
    <t xml:space="preserve">703421</t>
  </si>
  <si>
    <t xml:space="preserve">1290024</t>
  </si>
  <si>
    <t xml:space="preserve">1179595</t>
  </si>
  <si>
    <t xml:space="preserve">110429</t>
  </si>
  <si>
    <t xml:space="preserve">1069166</t>
  </si>
  <si>
    <t xml:space="preserve">515000</t>
  </si>
  <si>
    <t xml:space="preserve">106800</t>
  </si>
  <si>
    <t xml:space="preserve">300000</t>
  </si>
  <si>
    <t xml:space="preserve">500000</t>
  </si>
  <si>
    <t xml:space="preserve">100000</t>
  </si>
  <si>
    <t xml:space="preserve">218600</t>
  </si>
  <si>
    <t xml:space="preserve">24000</t>
  </si>
  <si>
    <t xml:space="preserve">632016</t>
  </si>
  <si>
    <t xml:space="preserve">697032</t>
  </si>
  <si>
    <t xml:space="preserve">351848</t>
  </si>
  <si>
    <t xml:space="preserve">101674</t>
  </si>
  <si>
    <t xml:space="preserve">258720</t>
  </si>
  <si>
    <t xml:space="preserve">341600</t>
  </si>
  <si>
    <t xml:space="preserve">95200</t>
  </si>
  <si>
    <t xml:space="preserve">195913</t>
  </si>
  <si>
    <t xml:space="preserve">20697</t>
  </si>
  <si>
    <t xml:space="preserve">545051</t>
  </si>
  <si>
    <t xml:space="preserve">601120</t>
  </si>
  <si>
    <t xml:space="preserve">8.33255757092793</t>
  </si>
  <si>
    <t xml:space="preserve">8.29969482654013</t>
  </si>
  <si>
    <t xml:space="preserve">10.0163725108441</t>
  </si>
  <si>
    <t xml:space="preserve">13.5441686513506</t>
  </si>
  <si>
    <t xml:space="preserve">12.5441686513506</t>
  </si>
  <si>
    <t xml:space="preserve">11.5441686513506</t>
  </si>
  <si>
    <t xml:space="preserve">11.449727879452</t>
  </si>
  <si>
    <t xml:space="preserve">10.449727879452</t>
  </si>
  <si>
    <t xml:space="preserve">11.4292803520814</t>
  </si>
  <si>
    <t xml:space="preserve">10.6466145668257</t>
  </si>
  <si>
    <t xml:space="preserve">9.64661456682574</t>
  </si>
  <si>
    <t xml:space="preserve">8.64661456682574</t>
  </si>
  <si>
    <t xml:space="preserve">7.64661456682574</t>
  </si>
  <si>
    <t xml:space="preserve">12.3698937779025</t>
  </si>
  <si>
    <t xml:space="preserve">11.3698937779025</t>
  </si>
  <si>
    <t xml:space="preserve">10.3698937779025</t>
  </si>
  <si>
    <t xml:space="preserve">9.36989377790254</t>
  </si>
  <si>
    <t xml:space="preserve">8.36989377790254</t>
  </si>
  <si>
    <t xml:space="preserve">7.36989377790254</t>
  </si>
  <si>
    <t xml:space="preserve">6.36989377790254</t>
  </si>
  <si>
    <t xml:space="preserve">11.6819313767217</t>
  </si>
  <si>
    <t xml:space="preserve">10.6819313767217</t>
  </si>
  <si>
    <t xml:space="preserve">9.68193137672169</t>
  </si>
  <si>
    <t xml:space="preserve">113300</t>
  </si>
  <si>
    <t xml:space="preserve">378682</t>
  </si>
  <si>
    <t xml:space="preserve">450864</t>
  </si>
  <si>
    <t xml:space="preserve">416246</t>
  </si>
  <si>
    <t xml:space="preserve">381628</t>
  </si>
  <si>
    <t xml:space="preserve">347010</t>
  </si>
  <si>
    <t xml:space="preserve">312392</t>
  </si>
  <si>
    <t xml:space="preserve">277774</t>
  </si>
  <si>
    <t xml:space="preserve">990556</t>
  </si>
  <si>
    <t xml:space="preserve">955938</t>
  </si>
  <si>
    <t xml:space="preserve">921320</t>
  </si>
  <si>
    <t xml:space="preserve">886702</t>
  </si>
  <si>
    <t xml:space="preserve">852084</t>
  </si>
  <si>
    <t xml:space="preserve">817466</t>
  </si>
  <si>
    <t xml:space="preserve">782848</t>
  </si>
  <si>
    <t xml:space="preserve">748230</t>
  </si>
  <si>
    <t xml:space="preserve">713612</t>
  </si>
  <si>
    <t xml:space="preserve">678994</t>
  </si>
  <si>
    <t xml:space="preserve">644376</t>
  </si>
  <si>
    <t xml:space="preserve">609758</t>
  </si>
  <si>
    <t xml:space="preserve">575140</t>
  </si>
  <si>
    <t xml:space="preserve">540522</t>
  </si>
  <si>
    <t xml:space="preserve">505904</t>
  </si>
  <si>
    <t xml:space="preserve">34618</t>
  </si>
  <si>
    <t xml:space="preserve">471286</t>
  </si>
  <si>
    <t xml:space="preserve">747400</t>
  </si>
  <si>
    <t xml:space="preserve">285600</t>
  </si>
  <si>
    <t xml:space="preserve">90780</t>
  </si>
  <si>
    <t xml:space="preserve">711525</t>
  </si>
  <si>
    <t xml:space="preserve">10.9388757293893</t>
  </si>
  <si>
    <t xml:space="preserve">13.0239759662603</t>
  </si>
  <si>
    <t xml:space="preserve">12.0239759662603</t>
  </si>
  <si>
    <t xml:space="preserve">11.0239759662603</t>
  </si>
  <si>
    <t xml:space="preserve">10.0239759662603</t>
  </si>
  <si>
    <t xml:space="preserve">9.02397596626033</t>
  </si>
  <si>
    <t xml:space="preserve">8.02397596626033</t>
  </si>
  <si>
    <t xml:space="preserve">28.6139002830897</t>
  </si>
  <si>
    <t xml:space="preserve">27.6139002830897</t>
  </si>
  <si>
    <t xml:space="preserve">26.6139002830897</t>
  </si>
  <si>
    <t xml:space="preserve">25.6139002830897</t>
  </si>
  <si>
    <t xml:space="preserve">24.6139002830897</t>
  </si>
  <si>
    <t xml:space="preserve">23.6139002830897</t>
  </si>
  <si>
    <t xml:space="preserve">22.6139002830897</t>
  </si>
  <si>
    <t xml:space="preserve">21.6139002830897</t>
  </si>
  <si>
    <t xml:space="preserve">20.6139002830897</t>
  </si>
  <si>
    <t xml:space="preserve">19.6139002830897</t>
  </si>
  <si>
    <t xml:space="preserve">18.6139002830897</t>
  </si>
  <si>
    <t xml:space="preserve">17.6139002830897</t>
  </si>
  <si>
    <t xml:space="preserve">16.6139002830897</t>
  </si>
  <si>
    <t xml:space="preserve">15.6139002830897</t>
  </si>
  <si>
    <t xml:space="preserve">14.6139002830897</t>
  </si>
  <si>
    <t xml:space="preserve">13.6139002830897</t>
  </si>
  <si>
    <t xml:space="preserve">14184</t>
  </si>
  <si>
    <t xml:space="preserve">6368</t>
  </si>
  <si>
    <t xml:space="preserve">8910</t>
  </si>
  <si>
    <t xml:space="preserve">1094</t>
  </si>
  <si>
    <t xml:space="preserve">8538</t>
  </si>
  <si>
    <t xml:space="preserve">722</t>
  </si>
  <si>
    <t xml:space="preserve">7816</t>
  </si>
  <si>
    <t xml:space="preserve">16726</t>
  </si>
  <si>
    <t xml:space="preserve">16354</t>
  </si>
  <si>
    <t xml:space="preserve">12320</t>
  </si>
  <si>
    <t xml:space="preserve">9336</t>
  </si>
  <si>
    <t xml:space="preserve">9158</t>
  </si>
  <si>
    <t xml:space="preserve">1.81473899692938</t>
  </si>
  <si>
    <t xml:space="preserve">0.814738996929376</t>
  </si>
  <si>
    <t xml:space="preserve">1.1399692937564</t>
  </si>
  <si>
    <t xml:space="preserve">0.139969293756397</t>
  </si>
  <si>
    <t xml:space="preserve">1.09237461617195</t>
  </si>
  <si>
    <t xml:space="preserve">0.092374616171955</t>
  </si>
  <si>
    <t xml:space="preserve">74423</t>
  </si>
  <si>
    <t xml:space="preserve">59887</t>
  </si>
  <si>
    <t xml:space="preserve">45351</t>
  </si>
  <si>
    <t xml:space="preserve">70815</t>
  </si>
  <si>
    <t xml:space="preserve">122015</t>
  </si>
  <si>
    <t xml:space="preserve">107479</t>
  </si>
  <si>
    <t xml:space="preserve">92943</t>
  </si>
  <si>
    <t xml:space="preserve">78407</t>
  </si>
  <si>
    <t xml:space="preserve">86903</t>
  </si>
  <si>
    <t xml:space="preserve">72367</t>
  </si>
  <si>
    <t xml:space="preserve">57831</t>
  </si>
  <si>
    <t xml:space="preserve">241467</t>
  </si>
  <si>
    <t xml:space="preserve">330805</t>
  </si>
  <si>
    <t xml:space="preserve">316269</t>
  </si>
  <si>
    <t xml:space="preserve">301733</t>
  </si>
  <si>
    <t xml:space="preserve">287197</t>
  </si>
  <si>
    <t xml:space="preserve">272661</t>
  </si>
  <si>
    <t xml:space="preserve">258125</t>
  </si>
  <si>
    <t xml:space="preserve">243589</t>
  </si>
  <si>
    <t xml:space="preserve">229053</t>
  </si>
  <si>
    <t xml:space="preserve">214517</t>
  </si>
  <si>
    <t xml:space="preserve">199981</t>
  </si>
  <si>
    <t xml:space="preserve">185445</t>
  </si>
  <si>
    <t xml:space="preserve">14536</t>
  </si>
  <si>
    <t xml:space="preserve">268251</t>
  </si>
  <si>
    <t xml:space="preserve">40000</t>
  </si>
  <si>
    <t xml:space="preserve">65736</t>
  </si>
  <si>
    <t xml:space="preserve">23032</t>
  </si>
  <si>
    <t xml:space="preserve">198172</t>
  </si>
  <si>
    <t xml:space="preserve">103874</t>
  </si>
  <si>
    <t xml:space="preserve">97342</t>
  </si>
  <si>
    <t xml:space="preserve">380800</t>
  </si>
  <si>
    <t xml:space="preserve">625807</t>
  </si>
  <si>
    <t xml:space="preserve">219265</t>
  </si>
  <si>
    <t xml:space="preserve">1886597</t>
  </si>
  <si>
    <t xml:space="preserve">988880</t>
  </si>
  <si>
    <t xml:space="preserve">926268</t>
  </si>
  <si>
    <t xml:space="preserve">4.11990919097413</t>
  </si>
  <si>
    <t xml:space="preserve">3.11990919097413</t>
  </si>
  <si>
    <t xml:space="preserve">4.87169785360484</t>
  </si>
  <si>
    <t xml:space="preserve">8.39398734177215</t>
  </si>
  <si>
    <t xml:space="preserve">7.39398734177215</t>
  </si>
  <si>
    <t xml:space="preserve">6.39398734177215</t>
  </si>
  <si>
    <t xml:space="preserve">5.39398734177215</t>
  </si>
  <si>
    <t xml:space="preserve">5.97846725371492</t>
  </si>
  <si>
    <t xml:space="preserve">4.97846725371492</t>
  </si>
  <si>
    <t xml:space="preserve">3.97846725371491</t>
  </si>
  <si>
    <t xml:space="preserve">16.6116538249862</t>
  </si>
  <si>
    <t xml:space="preserve">22.7576362135388</t>
  </si>
  <si>
    <t xml:space="preserve">21.7576362135388</t>
  </si>
  <si>
    <t xml:space="preserve">20.7576362135388</t>
  </si>
  <si>
    <t xml:space="preserve">19.7576362135388</t>
  </si>
  <si>
    <t xml:space="preserve">18.7576362135388</t>
  </si>
  <si>
    <t xml:space="preserve">17.7576362135388</t>
  </si>
  <si>
    <t xml:space="preserve">16.7576362135388</t>
  </si>
  <si>
    <t xml:space="preserve">15.7576362135388</t>
  </si>
  <si>
    <t xml:space="preserve">14.7576362135388</t>
  </si>
  <si>
    <t xml:space="preserve">13.7576362135388</t>
  </si>
  <si>
    <t xml:space="preserve">12.7576362135388</t>
  </si>
  <si>
    <t xml:space="preserve">18.4542515134838</t>
  </si>
  <si>
    <t xml:space="preserve">77320</t>
  </si>
  <si>
    <t xml:space="preserve">97699</t>
  </si>
  <si>
    <t xml:space="preserve">129278</t>
  </si>
  <si>
    <t xml:space="preserve">164657</t>
  </si>
  <si>
    <t xml:space="preserve">150036</t>
  </si>
  <si>
    <t xml:space="preserve">135415</t>
  </si>
  <si>
    <t xml:space="preserve">120794</t>
  </si>
  <si>
    <t xml:space="preserve">106173</t>
  </si>
  <si>
    <t xml:space="preserve">91552</t>
  </si>
  <si>
    <t xml:space="preserve">86931</t>
  </si>
  <si>
    <t xml:space="preserve">107310</t>
  </si>
  <si>
    <t xml:space="preserve">237449</t>
  </si>
  <si>
    <t xml:space="preserve">222828</t>
  </si>
  <si>
    <t xml:space="preserve">208207</t>
  </si>
  <si>
    <t xml:space="preserve">193586</t>
  </si>
  <si>
    <t xml:space="preserve">178965</t>
  </si>
  <si>
    <t xml:space="preserve">164344</t>
  </si>
  <si>
    <t xml:space="preserve">254332</t>
  </si>
  <si>
    <t xml:space="preserve">239711</t>
  </si>
  <si>
    <t xml:space="preserve">225090</t>
  </si>
  <si>
    <t xml:space="preserve">210469</t>
  </si>
  <si>
    <t xml:space="preserve">195848</t>
  </si>
  <si>
    <t xml:space="preserve">181227</t>
  </si>
  <si>
    <t xml:space="preserve">14621</t>
  </si>
  <si>
    <t xml:space="preserve">264641</t>
  </si>
  <si>
    <t xml:space="preserve">35000</t>
  </si>
  <si>
    <t xml:space="preserve">46200</t>
  </si>
  <si>
    <t xml:space="preserve">50000</t>
  </si>
  <si>
    <t xml:space="preserve">144760</t>
  </si>
  <si>
    <t xml:space="preserve">104609</t>
  </si>
  <si>
    <t xml:space="preserve">98035</t>
  </si>
  <si>
    <t xml:space="preserve">327250</t>
  </si>
  <si>
    <t xml:space="preserve">439824</t>
  </si>
  <si>
    <t xml:space="preserve">476000</t>
  </si>
  <si>
    <t xml:space="preserve">333200</t>
  </si>
  <si>
    <t xml:space="preserve">1378115</t>
  </si>
  <si>
    <t xml:space="preserve">995878</t>
  </si>
  <si>
    <t xml:space="preserve">933294</t>
  </si>
  <si>
    <t xml:space="preserve">6.68210108747692</t>
  </si>
  <si>
    <t xml:space="preserve">8.84193967580877</t>
  </si>
  <si>
    <t xml:space="preserve">11.2616784077696</t>
  </si>
  <si>
    <t xml:space="preserve">10.2616784077696</t>
  </si>
  <si>
    <t xml:space="preserve">9.26167840776965</t>
  </si>
  <si>
    <t xml:space="preserve">8.26167840776965</t>
  </si>
  <si>
    <t xml:space="preserve">7.26167840776965</t>
  </si>
  <si>
    <t xml:space="preserve">6.26167840776965</t>
  </si>
  <si>
    <t xml:space="preserve">5.94562615416182</t>
  </si>
  <si>
    <t xml:space="preserve">7.33944326653444</t>
  </si>
  <si>
    <t xml:space="preserve">16.2402708433076</t>
  </si>
  <si>
    <t xml:space="preserve">15.2402708433076</t>
  </si>
  <si>
    <t xml:space="preserve">14.2402708433076</t>
  </si>
  <si>
    <t xml:space="preserve">13.2402708433076</t>
  </si>
  <si>
    <t xml:space="preserve">12.2402708433076</t>
  </si>
  <si>
    <t xml:space="preserve">11.2402708433076</t>
  </si>
  <si>
    <t xml:space="preserve">17.3949798235415</t>
  </si>
  <si>
    <t xml:space="preserve">16.3949798235415</t>
  </si>
  <si>
    <t xml:space="preserve">15.3949798235415</t>
  </si>
  <si>
    <t xml:space="preserve">14.3949798235415</t>
  </si>
  <si>
    <t xml:space="preserve">13.3949798235415</t>
  </si>
  <si>
    <t xml:space="preserve">12.3949798235415</t>
  </si>
  <si>
    <t xml:space="preserve">18.1000615552972</t>
  </si>
  <si>
    <t xml:space="preserve">17368146</t>
  </si>
  <si>
    <t xml:space="preserve">2556052</t>
  </si>
  <si>
    <t xml:space="preserve">14812094</t>
  </si>
  <si>
    <t xml:space="preserve">4139948</t>
  </si>
  <si>
    <t xml:space="preserve">15793376</t>
  </si>
  <si>
    <t xml:space="preserve">16740599</t>
  </si>
  <si>
    <t xml:space="preserve">12870812</t>
  </si>
  <si>
    <t xml:space="preserve">6696000</t>
  </si>
  <si>
    <t xml:space="preserve">2160000</t>
  </si>
  <si>
    <t xml:space="preserve">18349428</t>
  </si>
  <si>
    <t xml:space="preserve">19296651</t>
  </si>
  <si>
    <t xml:space="preserve">15426864</t>
  </si>
  <si>
    <t xml:space="preserve">224986</t>
  </si>
  <si>
    <t xml:space="preserve">72576</t>
  </si>
  <si>
    <t xml:space="preserve">616540</t>
  </si>
  <si>
    <t xml:space="preserve">648368</t>
  </si>
  <si>
    <t xml:space="preserve">518343</t>
  </si>
  <si>
    <t xml:space="preserve">5.79491105814749</t>
  </si>
  <si>
    <t xml:space="preserve">1.61966501463976</t>
  </si>
  <si>
    <t xml:space="preserve">6.17881639340671</t>
  </si>
  <si>
    <t xml:space="preserve">6.54939688237954</t>
  </si>
  <si>
    <t xml:space="preserve">5.03542650931984</t>
  </si>
  <si>
    <t xml:space="preserve">100821</t>
  </si>
  <si>
    <t xml:space="preserve">57674</t>
  </si>
  <si>
    <t xml:space="preserve">81487</t>
  </si>
  <si>
    <t xml:space="preserve">38340</t>
  </si>
  <si>
    <t xml:space="preserve">19122</t>
  </si>
  <si>
    <t xml:space="preserve">23773</t>
  </si>
  <si>
    <t xml:space="preserve">24231</t>
  </si>
  <si>
    <t xml:space="preserve">66960</t>
  </si>
  <si>
    <t xml:space="preserve">62269</t>
  </si>
  <si>
    <t xml:space="preserve">66920</t>
  </si>
  <si>
    <t xml:space="preserve">67378</t>
  </si>
  <si>
    <t xml:space="preserve">22499</t>
  </si>
  <si>
    <t xml:space="preserve">20922</t>
  </si>
  <si>
    <t xml:space="preserve">22485</t>
  </si>
  <si>
    <t xml:space="preserve">22639</t>
  </si>
  <si>
    <t xml:space="preserve">1.33668621225114</t>
  </si>
  <si>
    <t xml:space="preserve">1.88859016849375</t>
  </si>
  <si>
    <t xml:space="preserve">0.888590168493754</t>
  </si>
  <si>
    <t xml:space="preserve">0.443182608292581</t>
  </si>
  <si>
    <t xml:space="preserve">0.550976892947366</t>
  </si>
  <si>
    <t xml:space="preserve">0.561591767677938</t>
  </si>
  <si>
    <t xml:space="preserve">1382615</t>
  </si>
  <si>
    <t xml:space="preserve">1232249</t>
  </si>
  <si>
    <t xml:space="preserve">1081471</t>
  </si>
  <si>
    <t xml:space="preserve">930281</t>
  </si>
  <si>
    <t xml:space="preserve">778679</t>
  </si>
  <si>
    <t xml:space="preserve">626665</t>
  </si>
  <si>
    <t xml:space="preserve">474239</t>
  </si>
  <si>
    <t xml:space="preserve">2283300</t>
  </si>
  <si>
    <t xml:space="preserve">2130050</t>
  </si>
  <si>
    <t xml:space="preserve">1976388</t>
  </si>
  <si>
    <t xml:space="preserve">1822314</t>
  </si>
  <si>
    <t xml:space="preserve">1667828</t>
  </si>
  <si>
    <t xml:space="preserve">1512930</t>
  </si>
  <si>
    <t xml:space="preserve">1357620</t>
  </si>
  <si>
    <t xml:space="preserve">1201898</t>
  </si>
  <si>
    <t xml:space="preserve">2332740</t>
  </si>
  <si>
    <t xml:space="preserve">2176194</t>
  </si>
  <si>
    <t xml:space="preserve">2019236</t>
  </si>
  <si>
    <t xml:space="preserve">150366</t>
  </si>
  <si>
    <t xml:space="preserve">150778</t>
  </si>
  <si>
    <t xml:space="preserve">151190</t>
  </si>
  <si>
    <t xml:space="preserve">151602</t>
  </si>
  <si>
    <t xml:space="preserve">152014</t>
  </si>
  <si>
    <t xml:space="preserve">152426</t>
  </si>
  <si>
    <t xml:space="preserve">152838</t>
  </si>
  <si>
    <t xml:space="preserve">153250</t>
  </si>
  <si>
    <t xml:space="preserve">153662</t>
  </si>
  <si>
    <t xml:space="preserve">154074</t>
  </si>
  <si>
    <t xml:space="preserve">154486</t>
  </si>
  <si>
    <t xml:space="preserve">154898</t>
  </si>
  <si>
    <t xml:space="preserve">155310</t>
  </si>
  <si>
    <t xml:space="preserve">155722</t>
  </si>
  <si>
    <t xml:space="preserve">156134</t>
  </si>
  <si>
    <t xml:space="preserve">156546</t>
  </si>
  <si>
    <t xml:space="preserve">156958</t>
  </si>
  <si>
    <t xml:space="preserve">157370</t>
  </si>
  <si>
    <t xml:space="preserve">1861866</t>
  </si>
  <si>
    <t xml:space="preserve">1961899</t>
  </si>
  <si>
    <t xml:space="preserve">1286976</t>
  </si>
  <si>
    <t xml:space="preserve">7</t>
  </si>
  <si>
    <t xml:space="preserve">8.19499753933735</t>
  </si>
  <si>
    <t xml:space="preserve">7.17260475666211</t>
  </si>
  <si>
    <t xml:space="preserve">6.15305906475296</t>
  </si>
  <si>
    <t xml:space="preserve">5.13633725148745</t>
  </si>
  <si>
    <t xml:space="preserve">4.12241635638823</t>
  </si>
  <si>
    <t xml:space="preserve">3.11127366722213</t>
  </si>
  <si>
    <t xml:space="preserve">14.9393475444588</t>
  </si>
  <si>
    <t xml:space="preserve">13.8991843393148</t>
  </si>
  <si>
    <t xml:space="preserve">12.8619177155055</t>
  </si>
  <si>
    <t xml:space="preserve">11.8275244363098</t>
  </si>
  <si>
    <t xml:space="preserve">10.7959815128879</t>
  </si>
  <si>
    <t xml:space="preserve">9.76726620098387</t>
  </si>
  <si>
    <t xml:space="preserve">8.74135599768205</t>
  </si>
  <si>
    <t xml:space="preserve">7.71822863821425</t>
  </si>
  <si>
    <t xml:space="preserve">14.9406279221694</t>
  </si>
  <si>
    <t xml:space="preserve">13.9013069640872</t>
  </si>
  <si>
    <t xml:space="preserve">12.8648173396705</t>
  </si>
  <si>
    <t xml:space="preserve">11.8311368113363</t>
  </si>
  <si>
    <t xml:space="preserve">2715813</t>
  </si>
  <si>
    <t xml:space="preserve">2554395</t>
  </si>
  <si>
    <t xml:space="preserve">2392977</t>
  </si>
  <si>
    <t xml:space="preserve">2231559</t>
  </si>
  <si>
    <t xml:space="preserve">2070141</t>
  </si>
  <si>
    <t xml:space="preserve">1908723</t>
  </si>
  <si>
    <t xml:space="preserve">1747305</t>
  </si>
  <si>
    <t xml:space="preserve">1585887</t>
  </si>
  <si>
    <t xml:space="preserve">1424469</t>
  </si>
  <si>
    <t xml:space="preserve">1263051</t>
  </si>
  <si>
    <t xml:space="preserve">1158126</t>
  </si>
  <si>
    <t xml:space="preserve">1053201</t>
  </si>
  <si>
    <t xml:space="preserve">948276</t>
  </si>
  <si>
    <t xml:space="preserve">843351</t>
  </si>
  <si>
    <t xml:space="preserve">738426</t>
  </si>
  <si>
    <t xml:space="preserve">633501</t>
  </si>
  <si>
    <t xml:space="preserve">528576</t>
  </si>
  <si>
    <t xml:space="preserve">423651</t>
  </si>
  <si>
    <t xml:space="preserve">318726</t>
  </si>
  <si>
    <t xml:space="preserve">213801</t>
  </si>
  <si>
    <t xml:space="preserve">108876</t>
  </si>
  <si>
    <t xml:space="preserve">161418</t>
  </si>
  <si>
    <t xml:space="preserve">104925</t>
  </si>
  <si>
    <t xml:space="preserve">3951</t>
  </si>
  <si>
    <t xml:space="preserve">15.8247221499461</t>
  </si>
  <si>
    <t xml:space="preserve">14.8247221499461</t>
  </si>
  <si>
    <t xml:space="preserve">13.8247221499461</t>
  </si>
  <si>
    <t xml:space="preserve">12.8247221499461</t>
  </si>
  <si>
    <t xml:space="preserve">11.8247221499461</t>
  </si>
  <si>
    <t xml:space="preserve">10.8247221499461</t>
  </si>
  <si>
    <t xml:space="preserve">9.8247221499461</t>
  </si>
  <si>
    <t xml:space="preserve">8.8247221499461</t>
  </si>
  <si>
    <t xml:space="preserve">7.8247221499461</t>
  </si>
  <si>
    <t xml:space="preserve">11.0376554681916</t>
  </si>
  <si>
    <t xml:space="preserve">10.0376554681916</t>
  </si>
  <si>
    <t xml:space="preserve">9.03765546819156</t>
  </si>
  <si>
    <t xml:space="preserve">8.03765546819156</t>
  </si>
  <si>
    <t xml:space="preserve">7.03765546819157</t>
  </si>
  <si>
    <t xml:space="preserve">6.03765546819157</t>
  </si>
  <si>
    <t xml:space="preserve">5.03765546819157</t>
  </si>
  <si>
    <t xml:space="preserve">4.03765546819157</t>
  </si>
  <si>
    <t xml:space="preserve">3.03765546819157</t>
  </si>
  <si>
    <t xml:space="preserve">2.03765546819157</t>
  </si>
  <si>
    <t xml:space="preserve">1.03765546819157</t>
  </si>
  <si>
    <t xml:space="preserve">0.0376554681915654</t>
  </si>
  <si>
    <t xml:space="preserve">528688</t>
  </si>
  <si>
    <t xml:space="preserve">481881</t>
  </si>
  <si>
    <t xml:space="preserve">435074</t>
  </si>
  <si>
    <t xml:space="preserve">388267</t>
  </si>
  <si>
    <t xml:space="preserve">444276</t>
  </si>
  <si>
    <t xml:space="preserve">397469</t>
  </si>
  <si>
    <t xml:space="preserve">350662</t>
  </si>
  <si>
    <t xml:space="preserve">303855</t>
  </si>
  <si>
    <t xml:space="preserve">257048</t>
  </si>
  <si>
    <t xml:space="preserve">46807</t>
  </si>
  <si>
    <t xml:space="preserve">210241</t>
  </si>
  <si>
    <t xml:space="preserve">102816</t>
  </si>
  <si>
    <t xml:space="preserve">10.2950627042964</t>
  </si>
  <si>
    <t xml:space="preserve">9.29506270429637</t>
  </si>
  <si>
    <t xml:space="preserve">8.29506270429637</t>
  </si>
  <si>
    <t xml:space="preserve">9.49165723075608</t>
  </si>
  <si>
    <t xml:space="preserve">8.49165723075608</t>
  </si>
  <si>
    <t xml:space="preserve">7.49165723075608</t>
  </si>
  <si>
    <t xml:space="preserve">6.49165723075608</t>
  </si>
  <si>
    <t xml:space="preserve">5.49165723075608</t>
  </si>
  <si>
    <t xml:space="preserve">4.49165723075608</t>
  </si>
  <si>
    <t xml:space="preserve">17844</t>
  </si>
  <si>
    <t xml:space="preserve">16182</t>
  </si>
  <si>
    <t xml:space="preserve">14517</t>
  </si>
  <si>
    <t xml:space="preserve">12849</t>
  </si>
  <si>
    <t xml:space="preserve">11178</t>
  </si>
  <si>
    <t xml:space="preserve">17504</t>
  </si>
  <si>
    <t xml:space="preserve">15827</t>
  </si>
  <si>
    <t xml:space="preserve">14147</t>
  </si>
  <si>
    <t xml:space="preserve">12465</t>
  </si>
  <si>
    <t xml:space="preserve">25130</t>
  </si>
  <si>
    <t xml:space="preserve">23445</t>
  </si>
  <si>
    <t xml:space="preserve">21760</t>
  </si>
  <si>
    <t xml:space="preserve">20075</t>
  </si>
  <si>
    <t xml:space="preserve">18390</t>
  </si>
  <si>
    <t xml:space="preserve">16705</t>
  </si>
  <si>
    <t xml:space="preserve">15020</t>
  </si>
  <si>
    <t xml:space="preserve">13335</t>
  </si>
  <si>
    <t xml:space="preserve">25275</t>
  </si>
  <si>
    <t xml:space="preserve">1662</t>
  </si>
  <si>
    <t xml:space="preserve">1665</t>
  </si>
  <si>
    <t xml:space="preserve">1668</t>
  </si>
  <si>
    <t xml:space="preserve">1671</t>
  </si>
  <si>
    <t xml:space="preserve">1674</t>
  </si>
  <si>
    <t xml:space="preserve">1677</t>
  </si>
  <si>
    <t xml:space="preserve">1680</t>
  </si>
  <si>
    <t xml:space="preserve">1682</t>
  </si>
  <si>
    <t xml:space="preserve">1685</t>
  </si>
  <si>
    <t xml:space="preserve">23590</t>
  </si>
  <si>
    <t xml:space="preserve">8000</t>
  </si>
  <si>
    <t xml:space="preserve">14350</t>
  </si>
  <si>
    <t xml:space="preserve">13625</t>
  </si>
  <si>
    <t xml:space="preserve">9.73646209386282</t>
  </si>
  <si>
    <t xml:space="preserve">8.71891891891892</t>
  </si>
  <si>
    <t xml:space="preserve">7.70323741007194</t>
  </si>
  <si>
    <t xml:space="preserve">6.68940754039497</t>
  </si>
  <si>
    <t xml:space="preserve">10.4563918757467</t>
  </si>
  <si>
    <t xml:space="preserve">9.43768634466309</t>
  </si>
  <si>
    <t xml:space="preserve">8.42083333333333</t>
  </si>
  <si>
    <t xml:space="preserve">7.41082045184304</t>
  </si>
  <si>
    <t xml:space="preserve">14.9139465875371</t>
  </si>
  <si>
    <t xml:space="preserve">13.9139465875371</t>
  </si>
  <si>
    <t xml:space="preserve">12.9139465875371</t>
  </si>
  <si>
    <t xml:space="preserve">11.9139465875371</t>
  </si>
  <si>
    <t xml:space="preserve">10.9139465875371</t>
  </si>
  <si>
    <t xml:space="preserve">9.91394658753709</t>
  </si>
  <si>
    <t xml:space="preserve">8.91394658753709</t>
  </si>
  <si>
    <t xml:space="preserve">7.91394658753709</t>
  </si>
  <si>
    <t xml:space="preserve">14</t>
  </si>
  <si>
    <t xml:space="preserve">1193</t>
  </si>
  <si>
    <t xml:space="preserve">17897</t>
  </si>
  <si>
    <t xml:space="preserve">12204</t>
  </si>
  <si>
    <t xml:space="preserve">6511</t>
  </si>
  <si>
    <t xml:space="preserve">818</t>
  </si>
  <si>
    <t xml:space="preserve">5693</t>
  </si>
  <si>
    <t xml:space="preserve">14161</t>
  </si>
  <si>
    <t xml:space="preserve">3.14368522747233</t>
  </si>
  <si>
    <t xml:space="preserve">2.14368522747233</t>
  </si>
  <si>
    <t xml:space="preserve">1.14368522747233</t>
  </si>
  <si>
    <t xml:space="preserve">0.143685227472334</t>
  </si>
  <si>
    <t xml:space="preserve">7000</t>
  </si>
  <si>
    <t xml:space="preserve">4747</t>
  </si>
  <si>
    <t xml:space="preserve">2494</t>
  </si>
  <si>
    <t xml:space="preserve">33691</t>
  </si>
  <si>
    <t xml:space="preserve">31438</t>
  </si>
  <si>
    <t xml:space="preserve">29185</t>
  </si>
  <si>
    <t xml:space="preserve">26932</t>
  </si>
  <si>
    <t xml:space="preserve">24679</t>
  </si>
  <si>
    <t xml:space="preserve">2253</t>
  </si>
  <si>
    <t xml:space="preserve">22426</t>
  </si>
  <si>
    <t xml:space="preserve">33450</t>
  </si>
  <si>
    <t xml:space="preserve">2.10696848646249</t>
  </si>
  <si>
    <t xml:space="preserve">1.10696848646249</t>
  </si>
  <si>
    <t xml:space="preserve">14.953839325344</t>
  </si>
  <si>
    <t xml:space="preserve">13.953839325344</t>
  </si>
  <si>
    <t xml:space="preserve">12.953839325344</t>
  </si>
  <si>
    <t xml:space="preserve">11.953839325344</t>
  </si>
  <si>
    <t xml:space="preserve">10.953839325344</t>
  </si>
  <si>
    <t xml:space="preserve">9.95383932534398</t>
  </si>
  <si>
    <t xml:space="preserve">2388682</t>
  </si>
  <si>
    <t xml:space="preserve">2079857</t>
  </si>
  <si>
    <t xml:space="preserve">2267011</t>
  </si>
  <si>
    <t xml:space="preserve">1950144</t>
  </si>
  <si>
    <t xml:space="preserve">1629256</t>
  </si>
  <si>
    <t xml:space="preserve">1304346</t>
  </si>
  <si>
    <t xml:space="preserve">1875415</t>
  </si>
  <si>
    <t xml:space="preserve">3923043</t>
  </si>
  <si>
    <t xml:space="preserve">3586070</t>
  </si>
  <si>
    <t xml:space="preserve">3245076</t>
  </si>
  <si>
    <t xml:space="preserve">2900060</t>
  </si>
  <si>
    <t xml:space="preserve">2551023</t>
  </si>
  <si>
    <t xml:space="preserve">2197965</t>
  </si>
  <si>
    <t xml:space="preserve">4212570</t>
  </si>
  <si>
    <t xml:space="preserve">3851470</t>
  </si>
  <si>
    <t xml:space="preserve">3486349</t>
  </si>
  <si>
    <t xml:space="preserve">3117206</t>
  </si>
  <si>
    <t xml:space="preserve">2744042</t>
  </si>
  <si>
    <t xml:space="preserve">308825</t>
  </si>
  <si>
    <t xml:space="preserve">312846</t>
  </si>
  <si>
    <t xml:space="preserve">316867</t>
  </si>
  <si>
    <t xml:space="preserve">320888</t>
  </si>
  <si>
    <t xml:space="preserve">324910</t>
  </si>
  <si>
    <t xml:space="preserve">328931</t>
  </si>
  <si>
    <t xml:space="preserve">332952</t>
  </si>
  <si>
    <t xml:space="preserve">336973</t>
  </si>
  <si>
    <t xml:space="preserve">340994</t>
  </si>
  <si>
    <t xml:space="preserve">345016</t>
  </si>
  <si>
    <t xml:space="preserve">349037</t>
  </si>
  <si>
    <t xml:space="preserve">353058</t>
  </si>
  <si>
    <t xml:space="preserve">357079</t>
  </si>
  <si>
    <t xml:space="preserve">361100</t>
  </si>
  <si>
    <t xml:space="preserve">365121</t>
  </si>
  <si>
    <t xml:space="preserve">369143</t>
  </si>
  <si>
    <t xml:space="preserve">373164</t>
  </si>
  <si>
    <t xml:space="preserve">377185</t>
  </si>
  <si>
    <t xml:space="preserve">2366857</t>
  </si>
  <si>
    <t xml:space="preserve">900000</t>
  </si>
  <si>
    <t xml:space="preserve">2380580</t>
  </si>
  <si>
    <t xml:space="preserve">2371684</t>
  </si>
  <si>
    <t xml:space="preserve">6.73474297741439</t>
  </si>
  <si>
    <t xml:space="preserve">7.24641197266387</t>
  </si>
  <si>
    <t xml:space="preserve">6.15445597048604</t>
  </si>
  <si>
    <t xml:space="preserve">5.07733539428087</t>
  </si>
  <si>
    <t xml:space="preserve">4.01448401095688</t>
  </si>
  <si>
    <t xml:space="preserve">5.70154530889457</t>
  </si>
  <si>
    <t xml:space="preserve">11.7826083038997</t>
  </si>
  <si>
    <t xml:space="preserve">10.6420098939678</t>
  </si>
  <si>
    <t xml:space="preserve">9.51651935224667</t>
  </si>
  <si>
    <t xml:space="preserve">8.40558119043754</t>
  </si>
  <si>
    <t xml:space="preserve">7.308746637176</t>
  </si>
  <si>
    <t xml:space="preserve">6.22550685723026</t>
  </si>
  <si>
    <t xml:space="preserve">11.797305358198</t>
  </si>
  <si>
    <t xml:space="preserve">10.6659374134589</t>
  </si>
  <si>
    <t xml:space="preserve">9.54847571079176</t>
  </si>
  <si>
    <t xml:space="preserve">8.44444023047979</t>
  </si>
  <si>
    <t xml:space="preserve">7.35344781382984</t>
  </si>
  <si>
    <t xml:space="preserve">6.27505600699922</t>
  </si>
  <si>
    <t xml:space="preserve">1248680</t>
  </si>
  <si>
    <t xml:space="preserve">1117065</t>
  </si>
  <si>
    <t xml:space="preserve">985450</t>
  </si>
  <si>
    <t xml:space="preserve">853835</t>
  </si>
  <si>
    <t xml:space="preserve">722220</t>
  </si>
  <si>
    <t xml:space="preserve">590605</t>
  </si>
  <si>
    <t xml:space="preserve">458990</t>
  </si>
  <si>
    <t xml:space="preserve">327375</t>
  </si>
  <si>
    <t xml:space="preserve">195760</t>
  </si>
  <si>
    <t xml:space="preserve">64145</t>
  </si>
  <si>
    <t xml:space="preserve">131615</t>
  </si>
  <si>
    <t xml:space="preserve">140803</t>
  </si>
  <si>
    <t xml:space="preserve">8.48736846104167</t>
  </si>
  <si>
    <t xml:space="preserve">7.48736846104167</t>
  </si>
  <si>
    <t xml:space="preserve">6.48736846104167</t>
  </si>
  <si>
    <t xml:space="preserve">5.48736846104167</t>
  </si>
  <si>
    <t xml:space="preserve">4.48736846104167</t>
  </si>
  <si>
    <t xml:space="preserve">3.48736846104167</t>
  </si>
  <si>
    <t xml:space="preserve">2.48736846104167</t>
  </si>
  <si>
    <t xml:space="preserve">1.48736846104167</t>
  </si>
  <si>
    <t xml:space="preserve">0.487368461041675</t>
  </si>
  <si>
    <t xml:space="preserve">214450</t>
  </si>
  <si>
    <t xml:space="preserve">181230</t>
  </si>
  <si>
    <t xml:space="preserve">148010</t>
  </si>
  <si>
    <t xml:space="preserve">264790</t>
  </si>
  <si>
    <t xml:space="preserve">231570</t>
  </si>
  <si>
    <t xml:space="preserve">198350</t>
  </si>
  <si>
    <t xml:space="preserve">165130</t>
  </si>
  <si>
    <t xml:space="preserve">131910</t>
  </si>
  <si>
    <t xml:space="preserve">98690</t>
  </si>
  <si>
    <t xml:space="preserve">33220</t>
  </si>
  <si>
    <t xml:space="preserve">65470</t>
  </si>
  <si>
    <t xml:space="preserve">150000</t>
  </si>
  <si>
    <t xml:space="preserve">5.45544852498495</t>
  </si>
  <si>
    <t xml:space="preserve">4.45544852498495</t>
  </si>
  <si>
    <t xml:space="preserve">7.97080072245635</t>
  </si>
  <si>
    <t xml:space="preserve">6.97080072245635</t>
  </si>
  <si>
    <t xml:space="preserve">5.97080072245635</t>
  </si>
  <si>
    <t xml:space="preserve">4.97080072245635</t>
  </si>
  <si>
    <t xml:space="preserve">3.97080072245635</t>
  </si>
  <si>
    <t xml:space="preserve">2.97080072245635</t>
  </si>
  <si>
    <t xml:space="preserve">1.97080072245635</t>
  </si>
  <si>
    <t xml:space="preserve">11876</t>
  </si>
  <si>
    <t xml:space="preserve">197423</t>
  </si>
  <si>
    <t xml:space="preserve">258958</t>
  </si>
  <si>
    <t xml:space="preserve">31200</t>
  </si>
  <si>
    <t xml:space="preserve">25022</t>
  </si>
  <si>
    <t xml:space="preserve">18844</t>
  </si>
  <si>
    <t xml:space="preserve">32666</t>
  </si>
  <si>
    <t xml:space="preserve">26488</t>
  </si>
  <si>
    <t xml:space="preserve">20310</t>
  </si>
  <si>
    <t xml:space="preserve">14132</t>
  </si>
  <si>
    <t xml:space="preserve">7954</t>
  </si>
  <si>
    <t xml:space="preserve">1776</t>
  </si>
  <si>
    <t xml:space="preserve">6178</t>
  </si>
  <si>
    <t xml:space="preserve">20000</t>
  </si>
  <si>
    <t xml:space="preserve">4.05017805114924</t>
  </si>
  <si>
    <t xml:space="preserve">3.05017805114924</t>
  </si>
  <si>
    <t xml:space="preserve">5.2874716736808</t>
  </si>
  <si>
    <t xml:space="preserve">4.2874716736808</t>
  </si>
  <si>
    <t xml:space="preserve">3.2874716736808</t>
  </si>
  <si>
    <t xml:space="preserve">2.2874716736808</t>
  </si>
  <si>
    <t xml:space="preserve">1.2874716736808</t>
  </si>
  <si>
    <t xml:space="preserve">0.287471673680803</t>
  </si>
  <si>
    <t xml:space="preserve">105984</t>
  </si>
  <si>
    <t xml:space="preserve">202736</t>
  </si>
  <si>
    <t xml:space="preserve">178737</t>
  </si>
  <si>
    <t xml:space="preserve">437520</t>
  </si>
  <si>
    <t xml:space="preserve">413823</t>
  </si>
  <si>
    <t xml:space="preserve">390261</t>
  </si>
  <si>
    <t xml:space="preserve">1249538</t>
  </si>
  <si>
    <t xml:space="preserve">1225880</t>
  </si>
  <si>
    <t xml:space="preserve">1202154</t>
  </si>
  <si>
    <t xml:space="preserve">1178474</t>
  </si>
  <si>
    <t xml:space="preserve">1154816</t>
  </si>
  <si>
    <t xml:space="preserve">1131165</t>
  </si>
  <si>
    <t xml:space="preserve">1107499</t>
  </si>
  <si>
    <t xml:space="preserve">1083826</t>
  </si>
  <si>
    <t xml:space="preserve">1060150</t>
  </si>
  <si>
    <t xml:space="preserve">1036483</t>
  </si>
  <si>
    <t xml:space="preserve">1012818</t>
  </si>
  <si>
    <t xml:space="preserve">989152</t>
  </si>
  <si>
    <t xml:space="preserve">23248</t>
  </si>
  <si>
    <t xml:space="preserve">23999</t>
  </si>
  <si>
    <t xml:space="preserve">23817</t>
  </si>
  <si>
    <t xml:space="preserve">23697</t>
  </si>
  <si>
    <t xml:space="preserve">23562</t>
  </si>
  <si>
    <t xml:space="preserve">23623</t>
  </si>
  <si>
    <t xml:space="preserve">23658</t>
  </si>
  <si>
    <t xml:space="preserve">23726</t>
  </si>
  <si>
    <t xml:space="preserve">23680</t>
  </si>
  <si>
    <t xml:space="preserve">23651</t>
  </si>
  <si>
    <t xml:space="preserve">23666</t>
  </si>
  <si>
    <t xml:space="preserve">23673</t>
  </si>
  <si>
    <t xml:space="preserve">23676</t>
  </si>
  <si>
    <t xml:space="preserve">23667</t>
  </si>
  <si>
    <t xml:space="preserve">23665</t>
  </si>
  <si>
    <t xml:space="preserve">23669</t>
  </si>
  <si>
    <t xml:space="preserve">965483</t>
  </si>
  <si>
    <t xml:space="preserve">120000</t>
  </si>
  <si>
    <t xml:space="preserve">282600</t>
  </si>
  <si>
    <t xml:space="preserve">882900</t>
  </si>
  <si>
    <t xml:space="preserve">8.72057811424639</t>
  </si>
  <si>
    <t xml:space="preserve">7.44768532022168</t>
  </si>
  <si>
    <t xml:space="preserve">18.3700717974556</t>
  </si>
  <si>
    <t xml:space="preserve">17.4630965945056</t>
  </si>
  <si>
    <t xml:space="preserve">16.5631525337408</t>
  </si>
  <si>
    <t xml:space="preserve">52.8949752359988</t>
  </si>
  <si>
    <t xml:space="preserve">51.8167216163666</t>
  </si>
  <si>
    <t xml:space="preserve">50.6682120880047</t>
  </si>
  <si>
    <t xml:space="preserve">49.7666385135135</t>
  </si>
  <si>
    <t xml:space="preserve">48.8129174063742</t>
  </si>
  <si>
    <t xml:space="preserve">47.8273645934633</t>
  </si>
  <si>
    <t xml:space="preserve">46.7970506211443</t>
  </si>
  <si>
    <t xml:space="preserve">45.7832129430153</t>
  </si>
  <si>
    <t xml:space="preserve">44.7774117249535</t>
  </si>
  <si>
    <t xml:space="preserve">43.7944395149364</t>
  </si>
  <si>
    <t xml:space="preserve">42.7981407141348</t>
  </si>
  <si>
    <t xml:space="preserve">41.7963322910505</t>
  </si>
  <si>
    <t xml:space="preserve">40.791034686721</t>
  </si>
  <si>
    <t xml:space="preserve">307052</t>
  </si>
  <si>
    <t xml:space="preserve">293188</t>
  </si>
  <si>
    <t xml:space="preserve">279324</t>
  </si>
  <si>
    <t xml:space="preserve">265460</t>
  </si>
  <si>
    <t xml:space="preserve">251596</t>
  </si>
  <si>
    <t xml:space="preserve">237732</t>
  </si>
  <si>
    <t xml:space="preserve">223868</t>
  </si>
  <si>
    <t xml:space="preserve">210004</t>
  </si>
  <si>
    <t xml:space="preserve">196140</t>
  </si>
  <si>
    <t xml:space="preserve">182276</t>
  </si>
  <si>
    <t xml:space="preserve">174534</t>
  </si>
  <si>
    <t xml:space="preserve">166792</t>
  </si>
  <si>
    <t xml:space="preserve">159050</t>
  </si>
  <si>
    <t xml:space="preserve">151308</t>
  </si>
  <si>
    <t xml:space="preserve">143566</t>
  </si>
  <si>
    <t xml:space="preserve">135824</t>
  </si>
  <si>
    <t xml:space="preserve">128082</t>
  </si>
  <si>
    <t xml:space="preserve">120340</t>
  </si>
  <si>
    <t xml:space="preserve">112598</t>
  </si>
  <si>
    <t xml:space="preserve">104856</t>
  </si>
  <si>
    <t xml:space="preserve">97114</t>
  </si>
  <si>
    <t xml:space="preserve">13864</t>
  </si>
  <si>
    <t xml:space="preserve">7742</t>
  </si>
  <si>
    <t xml:space="preserve">89372</t>
  </si>
  <si>
    <t xml:space="preserve">21.1474321984997</t>
  </si>
  <si>
    <t xml:space="preserve">20.1474321984997</t>
  </si>
  <si>
    <t xml:space="preserve">19.1474321984997</t>
  </si>
  <si>
    <t xml:space="preserve">18.1474321984997</t>
  </si>
  <si>
    <t xml:space="preserve">17.1474321984997</t>
  </si>
  <si>
    <t xml:space="preserve">16.1474321984997</t>
  </si>
  <si>
    <t xml:space="preserve">15.1474321984997</t>
  </si>
  <si>
    <t xml:space="preserve">14.1474321984997</t>
  </si>
  <si>
    <t xml:space="preserve">13.1474321984997</t>
  </si>
  <si>
    <t xml:space="preserve">22.5437871351072</t>
  </si>
  <si>
    <t xml:space="preserve">21.5437871351072</t>
  </si>
  <si>
    <t xml:space="preserve">20.5437871351072</t>
  </si>
  <si>
    <t xml:space="preserve">19.5437871351072</t>
  </si>
  <si>
    <t xml:space="preserve">18.5437871351072</t>
  </si>
  <si>
    <t xml:space="preserve">17.5437871351072</t>
  </si>
  <si>
    <t xml:space="preserve">16.5437871351072</t>
  </si>
  <si>
    <t xml:space="preserve">15.5437871351072</t>
  </si>
  <si>
    <t xml:space="preserve">14.5437871351072</t>
  </si>
  <si>
    <t xml:space="preserve">13.5437871351072</t>
  </si>
  <si>
    <t xml:space="preserve">12.5437871351072</t>
  </si>
  <si>
    <t xml:space="preserve">11.5437871351072</t>
  </si>
  <si>
    <t xml:space="preserve">87339</t>
  </si>
  <si>
    <t xml:space="preserve">76797</t>
  </si>
  <si>
    <t xml:space="preserve">66255</t>
  </si>
  <si>
    <t xml:space="preserve">55713</t>
  </si>
  <si>
    <t xml:space="preserve">69471</t>
  </si>
  <si>
    <t xml:space="preserve">58929</t>
  </si>
  <si>
    <t xml:space="preserve">48387</t>
  </si>
  <si>
    <t xml:space="preserve">37845</t>
  </si>
  <si>
    <t xml:space="preserve">27303</t>
  </si>
  <si>
    <t xml:space="preserve">10542</t>
  </si>
  <si>
    <t xml:space="preserve">16761</t>
  </si>
  <si>
    <t xml:space="preserve">24300</t>
  </si>
  <si>
    <t xml:space="preserve">7.28486055776892</t>
  </si>
  <si>
    <t xml:space="preserve">6.28486055776892</t>
  </si>
  <si>
    <t xml:space="preserve">5.28486055776892</t>
  </si>
  <si>
    <t xml:space="preserve">6.58992601024474</t>
  </si>
  <si>
    <t xml:space="preserve">5.58992601024474</t>
  </si>
  <si>
    <t xml:space="preserve">4.58992601024474</t>
  </si>
  <si>
    <t xml:space="preserve">3.58992601024474</t>
  </si>
  <si>
    <t xml:space="preserve">2.58992601024474</t>
  </si>
  <si>
    <t xml:space="preserve">1.58992601024474</t>
  </si>
  <si>
    <t xml:space="preserve">331</t>
  </si>
  <si>
    <t xml:space="preserve">297</t>
  </si>
  <si>
    <t xml:space="preserve">266</t>
  </si>
  <si>
    <t xml:space="preserve">234</t>
  </si>
  <si>
    <t xml:space="preserve">202</t>
  </si>
  <si>
    <t xml:space="preserve">169</t>
  </si>
  <si>
    <t xml:space="preserve">137</t>
  </si>
  <si>
    <t xml:space="preserve">105</t>
  </si>
  <si>
    <t xml:space="preserve">487</t>
  </si>
  <si>
    <t xml:space="preserve">455</t>
  </si>
  <si>
    <t xml:space="preserve">423</t>
  </si>
  <si>
    <t xml:space="preserve">391</t>
  </si>
  <si>
    <t xml:space="preserve">359</t>
  </si>
  <si>
    <t xml:space="preserve">327</t>
  </si>
  <si>
    <t xml:space="preserve">295</t>
  </si>
  <si>
    <t xml:space="preserve">263</t>
  </si>
  <si>
    <t xml:space="preserve">231</t>
  </si>
  <si>
    <t xml:space="preserve">489</t>
  </si>
  <si>
    <t xml:space="preserve">34</t>
  </si>
  <si>
    <t xml:space="preserve">31</t>
  </si>
  <si>
    <t xml:space="preserve">32</t>
  </si>
  <si>
    <t xml:space="preserve">33</t>
  </si>
  <si>
    <t xml:space="preserve">457</t>
  </si>
  <si>
    <t xml:space="preserve">414</t>
  </si>
  <si>
    <t xml:space="preserve">290</t>
  </si>
  <si>
    <t xml:space="preserve">8.73529411764706</t>
  </si>
  <si>
    <t xml:space="preserve">8.58064516129032</t>
  </si>
  <si>
    <t xml:space="preserve">7.3125</t>
  </si>
  <si>
    <t xml:space="preserve">6.3125</t>
  </si>
  <si>
    <t xml:space="preserve">5.12121212121212</t>
  </si>
  <si>
    <t xml:space="preserve">4.28125</t>
  </si>
  <si>
    <t xml:space="preserve">3.28125</t>
  </si>
  <si>
    <t xml:space="preserve">15.21875</t>
  </si>
  <si>
    <t xml:space="preserve">14.21875</t>
  </si>
  <si>
    <t xml:space="preserve">13.21875</t>
  </si>
  <si>
    <t xml:space="preserve">12.21875</t>
  </si>
  <si>
    <t xml:space="preserve">11.21875</t>
  </si>
  <si>
    <t xml:space="preserve">10.21875</t>
  </si>
  <si>
    <t xml:space="preserve">9.21875</t>
  </si>
  <si>
    <t xml:space="preserve">8.21875</t>
  </si>
  <si>
    <t xml:space="preserve">7.21875</t>
  </si>
  <si>
    <t xml:space="preserve">15.28125</t>
  </si>
  <si>
    <t xml:space="preserve">14.28125</t>
  </si>
  <si>
    <t xml:space="preserve">18800</t>
  </si>
  <si>
    <t xml:space="preserve">15954</t>
  </si>
  <si>
    <t xml:space="preserve">13108</t>
  </si>
  <si>
    <t xml:space="preserve">43262</t>
  </si>
  <si>
    <t xml:space="preserve">40416</t>
  </si>
  <si>
    <t xml:space="preserve">37570</t>
  </si>
  <si>
    <t xml:space="preserve">34724</t>
  </si>
  <si>
    <t xml:space="preserve">31878</t>
  </si>
  <si>
    <t xml:space="preserve">29032</t>
  </si>
  <si>
    <t xml:space="preserve">2846</t>
  </si>
  <si>
    <t xml:space="preserve">26186</t>
  </si>
  <si>
    <t xml:space="preserve">33000</t>
  </si>
  <si>
    <t xml:space="preserve">5.60576247364722</t>
  </si>
  <si>
    <t xml:space="preserve">4.60576247364722</t>
  </si>
  <si>
    <t xml:space="preserve">15.2009838369642</t>
  </si>
  <si>
    <t xml:space="preserve">14.2009838369642</t>
  </si>
  <si>
    <t xml:space="preserve">13.2009838369642</t>
  </si>
  <si>
    <t xml:space="preserve">12.2009838369642</t>
  </si>
  <si>
    <t xml:space="preserve">11.2009838369642</t>
  </si>
  <si>
    <t xml:space="preserve">10.2009838369642</t>
  </si>
  <si>
    <t xml:space="preserve">9.20098383696416</t>
  </si>
  <si>
    <t xml:space="preserve">2436</t>
  </si>
  <si>
    <t xml:space="preserve">2235</t>
  </si>
  <si>
    <t xml:space="preserve">13071</t>
  </si>
  <si>
    <t xml:space="preserve">12865</t>
  </si>
  <si>
    <t xml:space="preserve">12658</t>
  </si>
  <si>
    <t xml:space="preserve">12453</t>
  </si>
  <si>
    <t xml:space="preserve">12249</t>
  </si>
  <si>
    <t xml:space="preserve">12045</t>
  </si>
  <si>
    <t xml:space="preserve">20870</t>
  </si>
  <si>
    <t xml:space="preserve">20665</t>
  </si>
  <si>
    <t xml:space="preserve">20460</t>
  </si>
  <si>
    <t xml:space="preserve">20255</t>
  </si>
  <si>
    <t xml:space="preserve">20050</t>
  </si>
  <si>
    <t xml:space="preserve">19845</t>
  </si>
  <si>
    <t xml:space="preserve">19640</t>
  </si>
  <si>
    <t xml:space="preserve">19435</t>
  </si>
  <si>
    <t xml:space="preserve">19230</t>
  </si>
  <si>
    <t xml:space="preserve">19025</t>
  </si>
  <si>
    <t xml:space="preserve">201</t>
  </si>
  <si>
    <t xml:space="preserve">204</t>
  </si>
  <si>
    <t xml:space="preserve">206</t>
  </si>
  <si>
    <t xml:space="preserve">207</t>
  </si>
  <si>
    <t xml:space="preserve">205</t>
  </si>
  <si>
    <t xml:space="preserve">18820</t>
  </si>
  <si>
    <t xml:space="preserve">11040</t>
  </si>
  <si>
    <t xml:space="preserve">9030</t>
  </si>
  <si>
    <t xml:space="preserve">11.1194029850746</t>
  </si>
  <si>
    <t xml:space="preserve">64.0735294117647</t>
  </si>
  <si>
    <t xml:space="preserve">62.4514563106796</t>
  </si>
  <si>
    <t xml:space="preserve">61.1497584541063</t>
  </si>
  <si>
    <t xml:space="preserve">60.7463414634146</t>
  </si>
  <si>
    <t xml:space="preserve">60.0441176470588</t>
  </si>
  <si>
    <t xml:space="preserve">59.0441176470588</t>
  </si>
  <si>
    <t xml:space="preserve">101.80487804878</t>
  </si>
  <si>
    <t xml:space="preserve">100.80487804878</t>
  </si>
  <si>
    <t xml:space="preserve">99.8048780487805</t>
  </si>
  <si>
    <t xml:space="preserve">98.8048780487805</t>
  </si>
  <si>
    <t xml:space="preserve">97.8048780487805</t>
  </si>
  <si>
    <t xml:space="preserve">96.8048780487805</t>
  </si>
  <si>
    <t xml:space="preserve">95.8048780487805</t>
  </si>
  <si>
    <t xml:space="preserve">94.8048780487805</t>
  </si>
  <si>
    <t xml:space="preserve">93.8048780487805</t>
  </si>
  <si>
    <t xml:space="preserve">92.8048780487805</t>
  </si>
  <si>
    <t xml:space="preserve">91.8048780487805</t>
  </si>
  <si>
    <t xml:space="preserve">6330</t>
  </si>
  <si>
    <t xml:space="preserve">4754</t>
  </si>
  <si>
    <t xml:space="preserve">3178</t>
  </si>
  <si>
    <t xml:space="preserve">1602</t>
  </si>
  <si>
    <t xml:space="preserve">26</t>
  </si>
  <si>
    <t xml:space="preserve">1576</t>
  </si>
  <si>
    <t xml:space="preserve">3.01649746192893</t>
  </si>
  <si>
    <t xml:space="preserve">2.01649746192893</t>
  </si>
  <si>
    <t xml:space="preserve">1.01649746192893</t>
  </si>
  <si>
    <t xml:space="preserve">0.016497461928934</t>
  </si>
  <si>
    <t xml:space="preserve">61</t>
  </si>
  <si>
    <t xml:space="preserve">68852</t>
  </si>
  <si>
    <t xml:space="preserve">49783</t>
  </si>
  <si>
    <t xml:space="preserve">60704</t>
  </si>
  <si>
    <t xml:space="preserve">41567</t>
  </si>
  <si>
    <t xml:space="preserve">22396</t>
  </si>
  <si>
    <t xml:space="preserve">3191</t>
  </si>
  <si>
    <t xml:space="preserve">58976</t>
  </si>
  <si>
    <t xml:space="preserve">39703</t>
  </si>
  <si>
    <t xml:space="preserve">178048</t>
  </si>
  <si>
    <t xml:space="preserve">158708</t>
  </si>
  <si>
    <t xml:space="preserve">139368</t>
  </si>
  <si>
    <t xml:space="preserve">290028</t>
  </si>
  <si>
    <t xml:space="preserve">270688</t>
  </si>
  <si>
    <t xml:space="preserve">251348</t>
  </si>
  <si>
    <t xml:space="preserve">232008</t>
  </si>
  <si>
    <t xml:space="preserve">212668</t>
  </si>
  <si>
    <t xml:space="preserve">193328</t>
  </si>
  <si>
    <t xml:space="preserve">173988</t>
  </si>
  <si>
    <t xml:space="preserve">19069</t>
  </si>
  <si>
    <t xml:space="preserve">19103</t>
  </si>
  <si>
    <t xml:space="preserve">19137</t>
  </si>
  <si>
    <t xml:space="preserve">19171</t>
  </si>
  <si>
    <t xml:space="preserve">19205</t>
  </si>
  <si>
    <t xml:space="preserve">19239</t>
  </si>
  <si>
    <t xml:space="preserve">19273</t>
  </si>
  <si>
    <t xml:space="preserve">19307</t>
  </si>
  <si>
    <t xml:space="preserve">19340</t>
  </si>
  <si>
    <t xml:space="preserve">154648</t>
  </si>
  <si>
    <t xml:space="preserve">30024</t>
  </si>
  <si>
    <t xml:space="preserve">75024</t>
  </si>
  <si>
    <t xml:space="preserve">157652</t>
  </si>
  <si>
    <t xml:space="preserve">170000</t>
  </si>
  <si>
    <t xml:space="preserve">2.61067701505061</t>
  </si>
  <si>
    <t xml:space="preserve">3.17772077684133</t>
  </si>
  <si>
    <t xml:space="preserve">2.17207503788473</t>
  </si>
  <si>
    <t xml:space="preserve">1.16822283657608</t>
  </si>
  <si>
    <t xml:space="preserve">0.166154647227285</t>
  </si>
  <si>
    <t xml:space="preserve">3.06543999168356</t>
  </si>
  <si>
    <t xml:space="preserve">2.06003216935609</t>
  </si>
  <si>
    <t xml:space="preserve">9.22194022893251</t>
  </si>
  <si>
    <t xml:space="preserve">8.20620475698035</t>
  </si>
  <si>
    <t xml:space="preserve">7.20620475698035</t>
  </si>
  <si>
    <t xml:space="preserve">14.9962771458118</t>
  </si>
  <si>
    <t xml:space="preserve">13.9962771458118</t>
  </si>
  <si>
    <t xml:space="preserve">12.9962771458118</t>
  </si>
  <si>
    <t xml:space="preserve">11.9962771458118</t>
  </si>
  <si>
    <t xml:space="preserve">10.9962771458118</t>
  </si>
  <si>
    <t xml:space="preserve">9.99627714581179</t>
  </si>
  <si>
    <t xml:space="preserve">8.99627714581179</t>
  </si>
  <si>
    <t xml:space="preserve">7.99627714581179</t>
  </si>
  <si>
    <t xml:space="preserve">150800</t>
  </si>
  <si>
    <t xml:space="preserve">133547</t>
  </si>
  <si>
    <t xml:space="preserve">116294</t>
  </si>
  <si>
    <t xml:space="preserve">99041</t>
  </si>
  <si>
    <t xml:space="preserve">81788</t>
  </si>
  <si>
    <t xml:space="preserve">64535</t>
  </si>
  <si>
    <t xml:space="preserve">47282</t>
  </si>
  <si>
    <t xml:space="preserve">30029</t>
  </si>
  <si>
    <t xml:space="preserve">12776</t>
  </si>
  <si>
    <t xml:space="preserve">17253</t>
  </si>
  <si>
    <t xml:space="preserve">7.74050889700342</t>
  </si>
  <si>
    <t xml:space="preserve">6.74050889700342</t>
  </si>
  <si>
    <t xml:space="preserve">5.74050889700342</t>
  </si>
  <si>
    <t xml:space="preserve">4.74050889700342</t>
  </si>
  <si>
    <t xml:space="preserve">3.74050889700342</t>
  </si>
  <si>
    <t xml:space="preserve">2.74050889700342</t>
  </si>
  <si>
    <t xml:space="preserve">1.74050889700342</t>
  </si>
  <si>
    <t xml:space="preserve">0.74050889700342</t>
  </si>
  <si>
    <t xml:space="preserve">85486</t>
  </si>
  <si>
    <t xml:space="preserve">60808</t>
  </si>
  <si>
    <t xml:space="preserve">36086</t>
  </si>
  <si>
    <t xml:space="preserve">66320</t>
  </si>
  <si>
    <t xml:space="preserve">41510</t>
  </si>
  <si>
    <t xml:space="preserve">16657</t>
  </si>
  <si>
    <t xml:space="preserve">114548</t>
  </si>
  <si>
    <t xml:space="preserve">89607</t>
  </si>
  <si>
    <t xml:space="preserve">374059</t>
  </si>
  <si>
    <t xml:space="preserve">349030</t>
  </si>
  <si>
    <t xml:space="preserve">324001</t>
  </si>
  <si>
    <t xml:space="preserve">298972</t>
  </si>
  <si>
    <t xml:space="preserve">425043</t>
  </si>
  <si>
    <t xml:space="preserve">400014</t>
  </si>
  <si>
    <t xml:space="preserve">374985</t>
  </si>
  <si>
    <t xml:space="preserve">349956</t>
  </si>
  <si>
    <t xml:space="preserve">324927</t>
  </si>
  <si>
    <t xml:space="preserve">299898</t>
  </si>
  <si>
    <t xml:space="preserve">24678</t>
  </si>
  <si>
    <t xml:space="preserve">24722</t>
  </si>
  <si>
    <t xml:space="preserve">24766</t>
  </si>
  <si>
    <t xml:space="preserve">24810</t>
  </si>
  <si>
    <t xml:space="preserve">24853</t>
  </si>
  <si>
    <t xml:space="preserve">24897</t>
  </si>
  <si>
    <t xml:space="preserve">24941</t>
  </si>
  <si>
    <t xml:space="preserve">24985</t>
  </si>
  <si>
    <t xml:space="preserve">25029</t>
  </si>
  <si>
    <t xml:space="preserve">274869</t>
  </si>
  <si>
    <t xml:space="preserve">55000</t>
  </si>
  <si>
    <t xml:space="preserve">122788</t>
  </si>
  <si>
    <t xml:space="preserve">309437</t>
  </si>
  <si>
    <t xml:space="preserve">151100</t>
  </si>
  <si>
    <t xml:space="preserve">2.46405705486668</t>
  </si>
  <si>
    <t xml:space="preserve">1.45967154760942</t>
  </si>
  <si>
    <t xml:space="preserve">2.67786481466527</t>
  </si>
  <si>
    <t xml:space="preserve">1.67311567916163</t>
  </si>
  <si>
    <t xml:space="preserve">0.670220898885446</t>
  </si>
  <si>
    <t xml:space="preserve">4.60087560750291</t>
  </si>
  <si>
    <t xml:space="preserve">3.59275891103003</t>
  </si>
  <si>
    <t xml:space="preserve">14.9713428056834</t>
  </si>
  <si>
    <t xml:space="preserve">13.945023772424</t>
  </si>
  <si>
    <t xml:space="preserve">12.945023772424</t>
  </si>
  <si>
    <t xml:space="preserve">11.945023772424</t>
  </si>
  <si>
    <t xml:space="preserve">16.9820208558073</t>
  </si>
  <si>
    <t xml:space="preserve">15.9820208558073</t>
  </si>
  <si>
    <t xml:space="preserve">14.9820208558073</t>
  </si>
  <si>
    <t xml:space="preserve">13.9820208558073</t>
  </si>
  <si>
    <t xml:space="preserve">12.9820208558073</t>
  </si>
  <si>
    <t xml:space="preserve">11.9820208558073</t>
  </si>
  <si>
    <t xml:space="preserve">10.9820208558073</t>
  </si>
  <si>
    <t xml:space="preserve">13803</t>
  </si>
  <si>
    <t xml:space="preserve">9115</t>
  </si>
  <si>
    <t xml:space="preserve">89100</t>
  </si>
  <si>
    <t xml:space="preserve">65253</t>
  </si>
  <si>
    <t xml:space="preserve">41406</t>
  </si>
  <si>
    <t xml:space="preserve">17559</t>
  </si>
  <si>
    <t xml:space="preserve">51712</t>
  </si>
  <si>
    <t xml:space="preserve">27865</t>
  </si>
  <si>
    <t xml:space="preserve">4018</t>
  </si>
  <si>
    <t xml:space="preserve">23847</t>
  </si>
  <si>
    <t xml:space="preserve">58000</t>
  </si>
  <si>
    <t xml:space="preserve">2.73631903384073</t>
  </si>
  <si>
    <t xml:space="preserve">1.73631903384073</t>
  </si>
  <si>
    <t xml:space="preserve">0.736319033840735</t>
  </si>
  <si>
    <t xml:space="preserve">2.1684907954879</t>
  </si>
  <si>
    <t xml:space="preserve">1.1684907954879</t>
  </si>
  <si>
    <t xml:space="preserve">0.168490795487902</t>
  </si>
  <si>
    <t xml:space="preserve">67753</t>
  </si>
  <si>
    <t xml:space="preserve">55749</t>
  </si>
  <si>
    <t xml:space="preserve">43355</t>
  </si>
  <si>
    <t xml:space="preserve">30898</t>
  </si>
  <si>
    <t xml:space="preserve">18559</t>
  </si>
  <si>
    <t xml:space="preserve">6585</t>
  </si>
  <si>
    <t xml:space="preserve">151722</t>
  </si>
  <si>
    <t xml:space="preserve">139504</t>
  </si>
  <si>
    <t xml:space="preserve">127250</t>
  </si>
  <si>
    <t xml:space="preserve">115020</t>
  </si>
  <si>
    <t xml:space="preserve">102828</t>
  </si>
  <si>
    <t xml:space="preserve">90660</t>
  </si>
  <si>
    <t xml:space="preserve">78460</t>
  </si>
  <si>
    <t xml:space="preserve">146310</t>
  </si>
  <si>
    <t xml:space="preserve">134101</t>
  </si>
  <si>
    <t xml:space="preserve">121899</t>
  </si>
  <si>
    <t xml:space="preserve">109702</t>
  </si>
  <si>
    <t xml:space="preserve">97504</t>
  </si>
  <si>
    <t xml:space="preserve">12004</t>
  </si>
  <si>
    <t xml:space="preserve">12394</t>
  </si>
  <si>
    <t xml:space="preserve">12457</t>
  </si>
  <si>
    <t xml:space="preserve">12339</t>
  </si>
  <si>
    <t xml:space="preserve">11974</t>
  </si>
  <si>
    <t xml:space="preserve">12139</t>
  </si>
  <si>
    <t xml:space="preserve">12218</t>
  </si>
  <si>
    <t xml:space="preserve">12254</t>
  </si>
  <si>
    <t xml:space="preserve">12230</t>
  </si>
  <si>
    <t xml:space="preserve">12192</t>
  </si>
  <si>
    <t xml:space="preserve">12168</t>
  </si>
  <si>
    <t xml:space="preserve">12200</t>
  </si>
  <si>
    <t xml:space="preserve">12210</t>
  </si>
  <si>
    <t xml:space="preserve">12209</t>
  </si>
  <si>
    <t xml:space="preserve">12202</t>
  </si>
  <si>
    <t xml:space="preserve">12197</t>
  </si>
  <si>
    <t xml:space="preserve">12198</t>
  </si>
  <si>
    <t xml:space="preserve">12203</t>
  </si>
  <si>
    <t xml:space="preserve">85301</t>
  </si>
  <si>
    <t xml:space="preserve">157276</t>
  </si>
  <si>
    <t xml:space="preserve">80060</t>
  </si>
  <si>
    <t xml:space="preserve">4.6442019326891</t>
  </si>
  <si>
    <t xml:space="preserve">3.4980635791512</t>
  </si>
  <si>
    <t xml:space="preserve">2.4803724813358</t>
  </si>
  <si>
    <t xml:space="preserve">1.50409271415836</t>
  </si>
  <si>
    <t xml:space="preserve">0.549941540003341</t>
  </si>
  <si>
    <t xml:space="preserve">12.4987231238158</t>
  </si>
  <si>
    <t xml:space="preserve">11.4179080045834</t>
  </si>
  <si>
    <t xml:space="preserve">10.3843642892117</t>
  </si>
  <si>
    <t xml:space="preserve">9.40474243663123</t>
  </si>
  <si>
    <t xml:space="preserve">8.43405511811024</t>
  </si>
  <si>
    <t xml:space="preserve">7.45069033530572</t>
  </si>
  <si>
    <t xml:space="preserve">6.43114754098361</t>
  </si>
  <si>
    <t xml:space="preserve">11.982800982801</t>
  </si>
  <si>
    <t xml:space="preserve">10.9837824555656</t>
  </si>
  <si>
    <t xml:space="preserve">9.99008359285363</t>
  </si>
  <si>
    <t xml:space="preserve">8.99417889644995</t>
  </si>
  <si>
    <t xml:space="preserve">7.99344154779472</t>
  </si>
  <si>
    <t xml:space="preserve">6.99016635253626</t>
  </si>
  <si>
    <t xml:space="preserve">3551</t>
  </si>
  <si>
    <t xml:space="preserve">1773</t>
  </si>
  <si>
    <t xml:space="preserve">22567</t>
  </si>
  <si>
    <t xml:space="preserve">26270</t>
  </si>
  <si>
    <t xml:space="preserve">29487</t>
  </si>
  <si>
    <t xml:space="preserve">25806</t>
  </si>
  <si>
    <t xml:space="preserve">30246</t>
  </si>
  <si>
    <t xml:space="preserve">26569</t>
  </si>
  <si>
    <t xml:space="preserve">22884</t>
  </si>
  <si>
    <t xml:space="preserve">55218</t>
  </si>
  <si>
    <t xml:space="preserve">51535</t>
  </si>
  <si>
    <t xml:space="preserve">47854</t>
  </si>
  <si>
    <t xml:space="preserve">44173</t>
  </si>
  <si>
    <t xml:space="preserve">40491</t>
  </si>
  <si>
    <t xml:space="preserve">36808</t>
  </si>
  <si>
    <t xml:space="preserve">33126</t>
  </si>
  <si>
    <t xml:space="preserve">29444</t>
  </si>
  <si>
    <t xml:space="preserve">25762</t>
  </si>
  <si>
    <t xml:space="preserve">55240</t>
  </si>
  <si>
    <t xml:space="preserve">51558</t>
  </si>
  <si>
    <t xml:space="preserve">3689</t>
  </si>
  <si>
    <t xml:space="preserve">3681</t>
  </si>
  <si>
    <t xml:space="preserve">3677</t>
  </si>
  <si>
    <t xml:space="preserve">3685</t>
  </si>
  <si>
    <t xml:space="preserve">3684</t>
  </si>
  <si>
    <t xml:space="preserve">3683</t>
  </si>
  <si>
    <t xml:space="preserve">3682</t>
  </si>
  <si>
    <t xml:space="preserve">47876</t>
  </si>
  <si>
    <t xml:space="preserve">7392</t>
  </si>
  <si>
    <t xml:space="preserve">6912</t>
  </si>
  <si>
    <t xml:space="preserve">8117</t>
  </si>
  <si>
    <t xml:space="preserve">36018</t>
  </si>
  <si>
    <t xml:space="preserve">33160</t>
  </si>
  <si>
    <t xml:space="preserve">7.12117104906479</t>
  </si>
  <si>
    <t xml:space="preserve">7.98024357239513</t>
  </si>
  <si>
    <t xml:space="preserve">7.01059494702526</t>
  </si>
  <si>
    <t xml:space="preserve">8.22572749524068</t>
  </si>
  <si>
    <t xml:space="preserve">7.22572749524068</t>
  </si>
  <si>
    <t xml:space="preserve">6.21004070556309</t>
  </si>
  <si>
    <t xml:space="preserve">14.9885993485342</t>
  </si>
  <si>
    <t xml:space="preserve">13.9926690198208</t>
  </si>
  <si>
    <t xml:space="preserve">13.0002716653083</t>
  </si>
  <si>
    <t xml:space="preserve">12.0002716653083</t>
  </si>
  <si>
    <t xml:space="preserve">10.9970124932102</t>
  </si>
  <si>
    <t xml:space="preserve">9.99402660874287</t>
  </si>
  <si>
    <t xml:space="preserve">8.99674090168387</t>
  </si>
  <si>
    <t xml:space="preserve">7.99674090168387</t>
  </si>
  <si>
    <t xml:space="preserve">6.99674090168387</t>
  </si>
  <si>
    <t xml:space="preserve">15.0027159152634</t>
  </si>
  <si>
    <t xml:space="preserve">14.0027159152634</t>
  </si>
  <si>
    <t xml:space="preserve">13.0027159152634</t>
  </si>
  <si>
    <t xml:space="preserve">7265492</t>
  </si>
  <si>
    <t xml:space="preserve">6936456</t>
  </si>
  <si>
    <t xml:space="preserve">6607420</t>
  </si>
  <si>
    <t xml:space="preserve">6278384</t>
  </si>
  <si>
    <t xml:space="preserve">5949348</t>
  </si>
  <si>
    <t xml:space="preserve">5620312</t>
  </si>
  <si>
    <t xml:space="preserve">5291276</t>
  </si>
  <si>
    <t xml:space="preserve">4962240</t>
  </si>
  <si>
    <t xml:space="preserve">4633204</t>
  </si>
  <si>
    <t xml:space="preserve">329036</t>
  </si>
  <si>
    <t xml:space="preserve">4304168</t>
  </si>
  <si>
    <t xml:space="preserve">21.0811461359851</t>
  </si>
  <si>
    <t xml:space="preserve">20.0811461359851</t>
  </si>
  <si>
    <t xml:space="preserve">19.0811461359851</t>
  </si>
  <si>
    <t xml:space="preserve">18.0811461359851</t>
  </si>
  <si>
    <t xml:space="preserve">17.0811461359851</t>
  </si>
  <si>
    <t xml:space="preserve">16.0811461359851</t>
  </si>
  <si>
    <t xml:space="preserve">15.0811461359851</t>
  </si>
  <si>
    <t xml:space="preserve">14.0811461359851</t>
  </si>
  <si>
    <t xml:space="preserve">13.0811461359851</t>
  </si>
  <si>
    <t xml:space="preserve">38405</t>
  </si>
  <si>
    <t xml:space="preserve">31674</t>
  </si>
  <si>
    <t xml:space="preserve">24962</t>
  </si>
  <si>
    <t xml:space="preserve">18268</t>
  </si>
  <si>
    <t xml:space="preserve">11592</t>
  </si>
  <si>
    <t xml:space="preserve">4935</t>
  </si>
  <si>
    <t xml:space="preserve">148296</t>
  </si>
  <si>
    <t xml:space="preserve">141675</t>
  </si>
  <si>
    <t xml:space="preserve">135073</t>
  </si>
  <si>
    <t xml:space="preserve">128489</t>
  </si>
  <si>
    <t xml:space="preserve">121923</t>
  </si>
  <si>
    <t xml:space="preserve">115376</t>
  </si>
  <si>
    <t xml:space="preserve">108847</t>
  </si>
  <si>
    <t xml:space="preserve">102336</t>
  </si>
  <si>
    <t xml:space="preserve">95844</t>
  </si>
  <si>
    <t xml:space="preserve">89370</t>
  </si>
  <si>
    <t xml:space="preserve">82914</t>
  </si>
  <si>
    <t xml:space="preserve">76477</t>
  </si>
  <si>
    <t xml:space="preserve">6731</t>
  </si>
  <si>
    <t xml:space="preserve">6712</t>
  </si>
  <si>
    <t xml:space="preserve">6694</t>
  </si>
  <si>
    <t xml:space="preserve">6676</t>
  </si>
  <si>
    <t xml:space="preserve">6657</t>
  </si>
  <si>
    <t xml:space="preserve">6639</t>
  </si>
  <si>
    <t xml:space="preserve">6621</t>
  </si>
  <si>
    <t xml:space="preserve">6602</t>
  </si>
  <si>
    <t xml:space="preserve">6584</t>
  </si>
  <si>
    <t xml:space="preserve">6566</t>
  </si>
  <si>
    <t xml:space="preserve">6547</t>
  </si>
  <si>
    <t xml:space="preserve">6529</t>
  </si>
  <si>
    <t xml:space="preserve">6492</t>
  </si>
  <si>
    <t xml:space="preserve">6474</t>
  </si>
  <si>
    <t xml:space="preserve">6456</t>
  </si>
  <si>
    <t xml:space="preserve">6437</t>
  </si>
  <si>
    <t xml:space="preserve">6419</t>
  </si>
  <si>
    <t xml:space="preserve">70058</t>
  </si>
  <si>
    <t xml:space="preserve">4.70569009062546</t>
  </si>
  <si>
    <t xml:space="preserve">3.71901072705602</t>
  </si>
  <si>
    <t xml:space="preserve">2.72901105467583</t>
  </si>
  <si>
    <t xml:space="preserve">1.7363690832834</t>
  </si>
  <si>
    <t xml:space="preserve">0.741324921135647</t>
  </si>
  <si>
    <t xml:space="preserve">22.3370989606869</t>
  </si>
  <si>
    <t xml:space="preserve">21.3978251019483</t>
  </si>
  <si>
    <t xml:space="preserve">20.4594062405332</t>
  </si>
  <si>
    <t xml:space="preserve">19.515340218712</t>
  </si>
  <si>
    <t xml:space="preserve">18.5688394760889</t>
  </si>
  <si>
    <t xml:space="preserve">17.6227279670078</t>
  </si>
  <si>
    <t xml:space="preserve">16.6713126052994</t>
  </si>
  <si>
    <t xml:space="preserve">15.7174013208417</t>
  </si>
  <si>
    <t xml:space="preserve">14.7634011090573</t>
  </si>
  <si>
    <t xml:space="preserve">13.8044485634847</t>
  </si>
  <si>
    <t xml:space="preserve">12.842936802974</t>
  </si>
  <si>
    <t xml:space="preserve">11.8808451141836</t>
  </si>
  <si>
    <t xml:space="preserve">10.914161084281</t>
  </si>
  <si>
    <t xml:space="preserve">595110</t>
  </si>
  <si>
    <t xml:space="preserve">580758</t>
  </si>
  <si>
    <t xml:space="preserve">566406</t>
  </si>
  <si>
    <t xml:space="preserve">552054</t>
  </si>
  <si>
    <t xml:space="preserve">537702</t>
  </si>
  <si>
    <t xml:space="preserve">523350</t>
  </si>
  <si>
    <t xml:space="preserve">508998</t>
  </si>
  <si>
    <t xml:space="preserve">494646</t>
  </si>
  <si>
    <t xml:space="preserve">480294</t>
  </si>
  <si>
    <t xml:space="preserve">465942</t>
  </si>
  <si>
    <t xml:space="preserve">453505</t>
  </si>
  <si>
    <t xml:space="preserve">441068</t>
  </si>
  <si>
    <t xml:space="preserve">428631</t>
  </si>
  <si>
    <t xml:space="preserve">416194</t>
  </si>
  <si>
    <t xml:space="preserve">403757</t>
  </si>
  <si>
    <t xml:space="preserve">391320</t>
  </si>
  <si>
    <t xml:space="preserve">378883</t>
  </si>
  <si>
    <t xml:space="preserve">366446</t>
  </si>
  <si>
    <t xml:space="preserve">354009</t>
  </si>
  <si>
    <t xml:space="preserve">341572</t>
  </si>
  <si>
    <t xml:space="preserve">329135</t>
  </si>
  <si>
    <t xml:space="preserve">14352</t>
  </si>
  <si>
    <t xml:space="preserve">12437</t>
  </si>
  <si>
    <t xml:space="preserve">316698</t>
  </si>
  <si>
    <t xml:space="preserve">40.4653010033445</t>
  </si>
  <si>
    <t xml:space="preserve">39.4653010033445</t>
  </si>
  <si>
    <t xml:space="preserve">38.4653010033445</t>
  </si>
  <si>
    <t xml:space="preserve">37.4653010033445</t>
  </si>
  <si>
    <t xml:space="preserve">36.4653010033445</t>
  </si>
  <si>
    <t xml:space="preserve">35.4653010033445</t>
  </si>
  <si>
    <t xml:space="preserve">34.4653010033445</t>
  </si>
  <si>
    <t xml:space="preserve">33.4653010033445</t>
  </si>
  <si>
    <t xml:space="preserve">32.4653010033445</t>
  </si>
  <si>
    <t xml:space="preserve">36.4641794645011</t>
  </si>
  <si>
    <t xml:space="preserve">35.4641794645011</t>
  </si>
  <si>
    <t xml:space="preserve">34.4641794645011</t>
  </si>
  <si>
    <t xml:space="preserve">33.4641794645011</t>
  </si>
  <si>
    <t xml:space="preserve">32.4641794645011</t>
  </si>
  <si>
    <t xml:space="preserve">31.4641794645011</t>
  </si>
  <si>
    <t xml:space="preserve">30.4641794645011</t>
  </si>
  <si>
    <t xml:space="preserve">29.4641794645011</t>
  </si>
  <si>
    <t xml:space="preserve">28.4641794645011</t>
  </si>
  <si>
    <t xml:space="preserve">27.4641794645011</t>
  </si>
  <si>
    <t xml:space="preserve">26.4641794645011</t>
  </si>
  <si>
    <t xml:space="preserve">25.4641794645011</t>
  </si>
  <si>
    <t xml:space="preserve">226023</t>
  </si>
  <si>
    <t xml:space="preserve">203625</t>
  </si>
  <si>
    <t xml:space="preserve">304989</t>
  </si>
  <si>
    <t xml:space="preserve">282591</t>
  </si>
  <si>
    <t xml:space="preserve">260193</t>
  </si>
  <si>
    <t xml:space="preserve">237795</t>
  </si>
  <si>
    <t xml:space="preserve">215397</t>
  </si>
  <si>
    <t xml:space="preserve">192999</t>
  </si>
  <si>
    <t xml:space="preserve">22398</t>
  </si>
  <si>
    <t xml:space="preserve">170601</t>
  </si>
  <si>
    <t xml:space="preserve">146160</t>
  </si>
  <si>
    <t xml:space="preserve">9.09121350120546</t>
  </si>
  <si>
    <t xml:space="preserve">8.09121350120546</t>
  </si>
  <si>
    <t xml:space="preserve">13.6167961425127</t>
  </si>
  <si>
    <t xml:space="preserve">12.6167961425127</t>
  </si>
  <si>
    <t xml:space="preserve">11.6167961425127</t>
  </si>
  <si>
    <t xml:space="preserve">10.6167961425127</t>
  </si>
  <si>
    <t xml:space="preserve">9.61679614251272</t>
  </si>
  <si>
    <t xml:space="preserve">8.61679614251272</t>
  </si>
  <si>
    <t xml:space="preserve">7.61679614251272</t>
  </si>
  <si>
    <t xml:space="preserve">369278</t>
  </si>
  <si>
    <t xml:space="preserve">274634</t>
  </si>
  <si>
    <t xml:space="preserve">698529</t>
  </si>
  <si>
    <t xml:space="preserve">603885</t>
  </si>
  <si>
    <t xml:space="preserve">509241</t>
  </si>
  <si>
    <t xml:space="preserve">414597</t>
  </si>
  <si>
    <t xml:space="preserve">319953</t>
  </si>
  <si>
    <t xml:space="preserve">733789</t>
  </si>
  <si>
    <t xml:space="preserve">639145</t>
  </si>
  <si>
    <t xml:space="preserve">544501</t>
  </si>
  <si>
    <t xml:space="preserve">449857</t>
  </si>
  <si>
    <t xml:space="preserve">355213</t>
  </si>
  <si>
    <t xml:space="preserve">94644</t>
  </si>
  <si>
    <t xml:space="preserve">783151</t>
  </si>
  <si>
    <t xml:space="preserve">518539</t>
  </si>
  <si>
    <t xml:space="preserve">508480</t>
  </si>
  <si>
    <t xml:space="preserve">522582</t>
  </si>
  <si>
    <t xml:space="preserve">136894</t>
  </si>
  <si>
    <t xml:space="preserve">134239</t>
  </si>
  <si>
    <t xml:space="preserve">137962</t>
  </si>
  <si>
    <t xml:space="preserve">13</t>
  </si>
  <si>
    <t xml:space="preserve">2.90175816744854</t>
  </si>
  <si>
    <t xml:space="preserve">7.3805946494231</t>
  </si>
  <si>
    <t xml:space="preserve">6.3805946494231</t>
  </si>
  <si>
    <t xml:space="preserve">5.3805946494231</t>
  </si>
  <si>
    <t xml:space="preserve">4.3805946494231</t>
  </si>
  <si>
    <t xml:space="preserve">3.3805946494231</t>
  </si>
  <si>
    <t xml:space="preserve">7.75314864122396</t>
  </si>
  <si>
    <t xml:space="preserve">6.75314864122396</t>
  </si>
  <si>
    <t xml:space="preserve">5.75314864122396</t>
  </si>
  <si>
    <t xml:space="preserve">4.75314864122396</t>
  </si>
  <si>
    <t xml:space="preserve">3.75314864122396</t>
  </si>
  <si>
    <t xml:space="preserve">8.27470309792485</t>
  </si>
  <si>
    <t xml:space="preserve">4488</t>
  </si>
  <si>
    <t xml:space="preserve">3582</t>
  </si>
  <si>
    <t xml:space="preserve">2676</t>
  </si>
  <si>
    <t xml:space="preserve">1770</t>
  </si>
  <si>
    <t xml:space="preserve">864</t>
  </si>
  <si>
    <t xml:space="preserve">4541</t>
  </si>
  <si>
    <t xml:space="preserve">3635</t>
  </si>
  <si>
    <t xml:space="preserve">2729</t>
  </si>
  <si>
    <t xml:space="preserve">1823</t>
  </si>
  <si>
    <t xml:space="preserve">917</t>
  </si>
  <si>
    <t xml:space="preserve">4616</t>
  </si>
  <si>
    <t xml:space="preserve">3710</t>
  </si>
  <si>
    <t xml:space="preserve">906</t>
  </si>
  <si>
    <t xml:space="preserve">2804</t>
  </si>
  <si>
    <t xml:space="preserve">4583</t>
  </si>
  <si>
    <t xml:space="preserve">4605</t>
  </si>
  <si>
    <t xml:space="preserve">2310</t>
  </si>
  <si>
    <t xml:space="preserve">2321</t>
  </si>
  <si>
    <t xml:space="preserve">3.95364238410596</t>
  </si>
  <si>
    <t xml:space="preserve">2.95364238410596</t>
  </si>
  <si>
    <t xml:space="preserve">1.95364238410596</t>
  </si>
  <si>
    <t xml:space="preserve">0.95364238410596</t>
  </si>
  <si>
    <t xml:space="preserve">5.0121412803532</t>
  </si>
  <si>
    <t xml:space="preserve">4.0121412803532</t>
  </si>
  <si>
    <t xml:space="preserve">3.0121412803532</t>
  </si>
  <si>
    <t xml:space="preserve">2.0121412803532</t>
  </si>
  <si>
    <t xml:space="preserve">1.0121412803532</t>
  </si>
  <si>
    <t xml:space="preserve">5.09492273730684</t>
  </si>
  <si>
    <t xml:space="preserve">4.09492273730684</t>
  </si>
  <si>
    <t xml:space="preserve">3.09492273730684</t>
  </si>
  <si>
    <t xml:space="preserve">297935</t>
  </si>
  <si>
    <t xml:space="preserve">255994</t>
  </si>
  <si>
    <t xml:space="preserve">214053</t>
  </si>
  <si>
    <t xml:space="preserve">172112</t>
  </si>
  <si>
    <t xml:space="preserve">130171</t>
  </si>
  <si>
    <t xml:space="preserve">88230</t>
  </si>
  <si>
    <t xml:space="preserve">46289</t>
  </si>
  <si>
    <t xml:space="preserve">41941</t>
  </si>
  <si>
    <t xml:space="preserve">4348</t>
  </si>
  <si>
    <t xml:space="preserve">339876</t>
  </si>
  <si>
    <t xml:space="preserve">7.10366944040438</t>
  </si>
  <si>
    <t xml:space="preserve">6.10366944040438</t>
  </si>
  <si>
    <t xml:space="preserve">5.10366944040438</t>
  </si>
  <si>
    <t xml:space="preserve">4.10366944040438</t>
  </si>
  <si>
    <t xml:space="preserve">3.10366944040438</t>
  </si>
  <si>
    <t xml:space="preserve">2.10366944040438</t>
  </si>
  <si>
    <t xml:space="preserve">1.10366944040438</t>
  </si>
  <si>
    <t xml:space="preserve">0.103669440404378</t>
  </si>
  <si>
    <t xml:space="preserve">68632</t>
  </si>
  <si>
    <t xml:space="preserve">63402</t>
  </si>
  <si>
    <t xml:space="preserve">58172</t>
  </si>
  <si>
    <t xml:space="preserve">52942</t>
  </si>
  <si>
    <t xml:space="preserve">47712</t>
  </si>
  <si>
    <t xml:space="preserve">42482</t>
  </si>
  <si>
    <t xml:space="preserve">37252</t>
  </si>
  <si>
    <t xml:space="preserve">32022</t>
  </si>
  <si>
    <t xml:space="preserve">26792</t>
  </si>
  <si>
    <t xml:space="preserve">21562</t>
  </si>
  <si>
    <t xml:space="preserve">16332</t>
  </si>
  <si>
    <t xml:space="preserve">11102</t>
  </si>
  <si>
    <t xml:space="preserve">5230</t>
  </si>
  <si>
    <t xml:space="preserve">5872</t>
  </si>
  <si>
    <t xml:space="preserve">12.1227533460803</t>
  </si>
  <si>
    <t xml:space="preserve">11.1227533460803</t>
  </si>
  <si>
    <t xml:space="preserve">10.1227533460803</t>
  </si>
  <si>
    <t xml:space="preserve">9.1227533460803</t>
  </si>
  <si>
    <t xml:space="preserve">8.1227533460803</t>
  </si>
  <si>
    <t xml:space="preserve">7.12275334608031</t>
  </si>
  <si>
    <t xml:space="preserve">6.12275334608031</t>
  </si>
  <si>
    <t xml:space="preserve">5.12275334608031</t>
  </si>
  <si>
    <t xml:space="preserve">4.12275334608031</t>
  </si>
  <si>
    <t xml:space="preserve">3.12275334608031</t>
  </si>
  <si>
    <t xml:space="preserve">2.12275334608031</t>
  </si>
  <si>
    <t xml:space="preserve">1.12275334608031</t>
  </si>
  <si>
    <t xml:space="preserve">2833</t>
  </si>
  <si>
    <t xml:space="preserve">2774</t>
  </si>
  <si>
    <t xml:space="preserve">2715</t>
  </si>
  <si>
    <t xml:space="preserve">2656</t>
  </si>
  <si>
    <t xml:space="preserve">2597</t>
  </si>
  <si>
    <t xml:space="preserve">2538</t>
  </si>
  <si>
    <t xml:space="preserve">2479</t>
  </si>
  <si>
    <t xml:space="preserve">2420</t>
  </si>
  <si>
    <t xml:space="preserve">2361</t>
  </si>
  <si>
    <t xml:space="preserve">2302</t>
  </si>
  <si>
    <t xml:space="preserve">2243</t>
  </si>
  <si>
    <t xml:space="preserve">2184</t>
  </si>
  <si>
    <t xml:space="preserve">59</t>
  </si>
  <si>
    <t xml:space="preserve">2125</t>
  </si>
  <si>
    <t xml:space="preserve">47.0169491525424</t>
  </si>
  <si>
    <t xml:space="preserve">46.0169491525424</t>
  </si>
  <si>
    <t xml:space="preserve">45.0169491525424</t>
  </si>
  <si>
    <t xml:space="preserve">44.0169491525424</t>
  </si>
  <si>
    <t xml:space="preserve">43.0169491525424</t>
  </si>
  <si>
    <t xml:space="preserve">42.0169491525424</t>
  </si>
  <si>
    <t xml:space="preserve">41.0169491525424</t>
  </si>
  <si>
    <t xml:space="preserve">40.0169491525424</t>
  </si>
  <si>
    <t xml:space="preserve">39.0169491525424</t>
  </si>
  <si>
    <t xml:space="preserve">38.0169491525424</t>
  </si>
  <si>
    <t xml:space="preserve">37.0169491525424</t>
  </si>
  <si>
    <t xml:space="preserve">36.0169491525424</t>
  </si>
  <si>
    <t xml:space="preserve">238677</t>
  </si>
  <si>
    <t xml:space="preserve">159709</t>
  </si>
  <si>
    <t xml:space="preserve">80741</t>
  </si>
  <si>
    <t xml:space="preserve">402646</t>
  </si>
  <si>
    <t xml:space="preserve">323678</t>
  </si>
  <si>
    <t xml:space="preserve">244710</t>
  </si>
  <si>
    <t xml:space="preserve">165742</t>
  </si>
  <si>
    <t xml:space="preserve">86774</t>
  </si>
  <si>
    <t xml:space="preserve">412374</t>
  </si>
  <si>
    <t xml:space="preserve">333406</t>
  </si>
  <si>
    <t xml:space="preserve">254438</t>
  </si>
  <si>
    <t xml:space="preserve">175470</t>
  </si>
  <si>
    <t xml:space="preserve">78968</t>
  </si>
  <si>
    <t xml:space="preserve">96502</t>
  </si>
  <si>
    <t xml:space="preserve">400873</t>
  </si>
  <si>
    <t xml:space="preserve">404568</t>
  </si>
  <si>
    <t xml:space="preserve">365596</t>
  </si>
  <si>
    <t xml:space="preserve">368966</t>
  </si>
  <si>
    <t xml:space="preserve">2.02245213250937</t>
  </si>
  <si>
    <t xml:space="preserve">1.02245213250937</t>
  </si>
  <si>
    <t xml:space="preserve">5.09885016715632</t>
  </si>
  <si>
    <t xml:space="preserve">4.09885016715632</t>
  </si>
  <si>
    <t xml:space="preserve">3.09885016715632</t>
  </si>
  <si>
    <t xml:space="preserve">2.09885016715632</t>
  </si>
  <si>
    <t xml:space="preserve">1.09885016715632</t>
  </si>
  <si>
    <t xml:space="preserve">5.22203930706109</t>
  </si>
  <si>
    <t xml:space="preserve">4.22203930706109</t>
  </si>
  <si>
    <t xml:space="preserve">3.22203930706109</t>
  </si>
  <si>
    <t xml:space="preserve">2.22203930706109</t>
  </si>
  <si>
    <t xml:space="preserve">1.22203930706109</t>
  </si>
  <si>
    <t xml:space="preserve">2250291</t>
  </si>
  <si>
    <t xml:space="preserve">917756</t>
  </si>
  <si>
    <t xml:space="preserve">1355221</t>
  </si>
  <si>
    <t xml:space="preserve">5019157</t>
  </si>
  <si>
    <t xml:space="preserve">3686622</t>
  </si>
  <si>
    <t xml:space="preserve">2354087</t>
  </si>
  <si>
    <t xml:space="preserve">6151620</t>
  </si>
  <si>
    <t xml:space="preserve">4819085</t>
  </si>
  <si>
    <t xml:space="preserve">3486550</t>
  </si>
  <si>
    <t xml:space="preserve">2154015</t>
  </si>
  <si>
    <t xml:space="preserve">1332535</t>
  </si>
  <si>
    <t xml:space="preserve">821480</t>
  </si>
  <si>
    <t xml:space="preserve">1770000</t>
  </si>
  <si>
    <t xml:space="preserve">4996471</t>
  </si>
  <si>
    <t xml:space="preserve">5130068</t>
  </si>
  <si>
    <t xml:space="preserve">0.688729376714308</t>
  </si>
  <si>
    <t xml:space="preserve">1.01702469353525</t>
  </si>
  <si>
    <t xml:space="preserve">3.76662301553055</t>
  </si>
  <si>
    <t xml:space="preserve">2.76662301553055</t>
  </si>
  <si>
    <t xml:space="preserve">1.76662301553055</t>
  </si>
  <si>
    <t xml:space="preserve">4.61647911687123</t>
  </si>
  <si>
    <t xml:space="preserve">3.61647911687123</t>
  </si>
  <si>
    <t xml:space="preserve">2.61647911687123</t>
  </si>
  <si>
    <t xml:space="preserve">1.61647911687123</t>
  </si>
  <si>
    <t xml:space="preserve">0.616479116871227</t>
  </si>
  <si>
    <t xml:space="preserve">368535</t>
  </si>
  <si>
    <t xml:space="preserve">343120</t>
  </si>
  <si>
    <t xml:space="preserve">317705</t>
  </si>
  <si>
    <t xml:space="preserve">292290</t>
  </si>
  <si>
    <t xml:space="preserve">266875</t>
  </si>
  <si>
    <t xml:space="preserve">241460</t>
  </si>
  <si>
    <t xml:space="preserve">216045</t>
  </si>
  <si>
    <t xml:space="preserve">190630</t>
  </si>
  <si>
    <t xml:space="preserve">312920</t>
  </si>
  <si>
    <t xml:space="preserve">287505</t>
  </si>
  <si>
    <t xml:space="preserve">262090</t>
  </si>
  <si>
    <t xml:space="preserve">236675</t>
  </si>
  <si>
    <t xml:space="preserve">25415</t>
  </si>
  <si>
    <t xml:space="preserve">211260</t>
  </si>
  <si>
    <t xml:space="preserve">147705</t>
  </si>
  <si>
    <t xml:space="preserve">150659</t>
  </si>
  <si>
    <t xml:space="preserve">13.5006885697423</t>
  </si>
  <si>
    <t xml:space="preserve">12.5006885697423</t>
  </si>
  <si>
    <t xml:space="preserve">11.5006885697423</t>
  </si>
  <si>
    <t xml:space="preserve">10.5006885697423</t>
  </si>
  <si>
    <t xml:space="preserve">9.50068856974228</t>
  </si>
  <si>
    <t xml:space="preserve">8.50068856974228</t>
  </si>
  <si>
    <t xml:space="preserve">7.50068856974228</t>
  </si>
  <si>
    <t xml:space="preserve">12.3124139287822</t>
  </si>
  <si>
    <t xml:space="preserve">11.3124139287822</t>
  </si>
  <si>
    <t xml:space="preserve">10.3124139287822</t>
  </si>
  <si>
    <t xml:space="preserve">9.31241392878221</t>
  </si>
  <si>
    <t xml:space="preserve">8.31241392878221</t>
  </si>
  <si>
    <t xml:space="preserve">501800</t>
  </si>
  <si>
    <t xml:space="preserve">435173</t>
  </si>
  <si>
    <t xml:space="preserve">368546</t>
  </si>
  <si>
    <t xml:space="preserve">301919</t>
  </si>
  <si>
    <t xml:space="preserve">235292</t>
  </si>
  <si>
    <t xml:space="preserve">168665</t>
  </si>
  <si>
    <t xml:space="preserve">102038</t>
  </si>
  <si>
    <t xml:space="preserve">35411</t>
  </si>
  <si>
    <t xml:space="preserve">66627</t>
  </si>
  <si>
    <t xml:space="preserve">6.53148123133264</t>
  </si>
  <si>
    <t xml:space="preserve">5.53148123133264</t>
  </si>
  <si>
    <t xml:space="preserve">4.53148123133264</t>
  </si>
  <si>
    <t xml:space="preserve">3.53148123133264</t>
  </si>
  <si>
    <t xml:space="preserve">2.53148123133264</t>
  </si>
  <si>
    <t xml:space="preserve">1.53148123133264</t>
  </si>
  <si>
    <t xml:space="preserve">0.531481231332643</t>
  </si>
  <si>
    <t xml:space="preserve">68360</t>
  </si>
  <si>
    <t xml:space="preserve">60364</t>
  </si>
  <si>
    <t xml:space="preserve">52368</t>
  </si>
  <si>
    <t xml:space="preserve">89224</t>
  </si>
  <si>
    <t xml:space="preserve">81228</t>
  </si>
  <si>
    <t xml:space="preserve">73232</t>
  </si>
  <si>
    <t xml:space="preserve">65236</t>
  </si>
  <si>
    <t xml:space="preserve">57240</t>
  </si>
  <si>
    <t xml:space="preserve">90206</t>
  </si>
  <si>
    <t xml:space="preserve">82210</t>
  </si>
  <si>
    <t xml:space="preserve">74214</t>
  </si>
  <si>
    <t xml:space="preserve">66218</t>
  </si>
  <si>
    <t xml:space="preserve">7996</t>
  </si>
  <si>
    <t xml:space="preserve">58222</t>
  </si>
  <si>
    <t xml:space="preserve">44852</t>
  </si>
  <si>
    <t xml:space="preserve">40962</t>
  </si>
  <si>
    <t xml:space="preserve">11841</t>
  </si>
  <si>
    <t xml:space="preserve">10814</t>
  </si>
  <si>
    <t xml:space="preserve">7.54927463731866</t>
  </si>
  <si>
    <t xml:space="preserve">6.54927463731866</t>
  </si>
  <si>
    <t xml:space="preserve">11.1585792896448</t>
  </si>
  <si>
    <t xml:space="preserve">10.1585792896448</t>
  </si>
  <si>
    <t xml:space="preserve">9.15857928964482</t>
  </si>
  <si>
    <t xml:space="preserve">8.15857928964482</t>
  </si>
  <si>
    <t xml:space="preserve">7.15857928964482</t>
  </si>
  <si>
    <t xml:space="preserve">11.2813906953477</t>
  </si>
  <si>
    <t xml:space="preserve">10.2813906953477</t>
  </si>
  <si>
    <t xml:space="preserve">9.28139069534767</t>
  </si>
  <si>
    <t xml:space="preserve">8.28139069534767</t>
  </si>
  <si>
    <t xml:space="preserve">7.28139069534767</t>
  </si>
  <si>
    <t xml:space="preserve">599823</t>
  </si>
  <si>
    <t xml:space="preserve">531846</t>
  </si>
  <si>
    <t xml:space="preserve">463869</t>
  </si>
  <si>
    <t xml:space="preserve">395892</t>
  </si>
  <si>
    <t xml:space="preserve">327915</t>
  </si>
  <si>
    <t xml:space="preserve">259938</t>
  </si>
  <si>
    <t xml:space="preserve">191961</t>
  </si>
  <si>
    <t xml:space="preserve">123984</t>
  </si>
  <si>
    <t xml:space="preserve">56007</t>
  </si>
  <si>
    <t xml:space="preserve">67977</t>
  </si>
  <si>
    <t xml:space="preserve">667800</t>
  </si>
  <si>
    <t xml:space="preserve">8.82391102873031</t>
  </si>
  <si>
    <t xml:space="preserve">7.82391102873031</t>
  </si>
  <si>
    <t xml:space="preserve">6.82391102873031</t>
  </si>
  <si>
    <t xml:space="preserve">5.82391102873031</t>
  </si>
  <si>
    <t xml:space="preserve">4.82391102873031</t>
  </si>
  <si>
    <t xml:space="preserve">3.82391102873031</t>
  </si>
  <si>
    <t xml:space="preserve">2.82391102873031</t>
  </si>
  <si>
    <t xml:space="preserve">1.82391102873031</t>
  </si>
  <si>
    <t xml:space="preserve">0.823911028730306</t>
  </si>
  <si>
    <t xml:space="preserve">1408</t>
  </si>
  <si>
    <t xml:space="preserve">1350</t>
  </si>
  <si>
    <t xml:space="preserve">1292</t>
  </si>
  <si>
    <t xml:space="preserve">1234</t>
  </si>
  <si>
    <t xml:space="preserve">1176</t>
  </si>
  <si>
    <t xml:space="preserve">1118</t>
  </si>
  <si>
    <t xml:space="preserve">1060</t>
  </si>
  <si>
    <t xml:space="preserve">1002</t>
  </si>
  <si>
    <t xml:space="preserve">944</t>
  </si>
  <si>
    <t xml:space="preserve">886</t>
  </si>
  <si>
    <t xml:space="preserve">828</t>
  </si>
  <si>
    <t xml:space="preserve">770</t>
  </si>
  <si>
    <t xml:space="preserve">58</t>
  </si>
  <si>
    <t xml:space="preserve">712</t>
  </si>
  <si>
    <t xml:space="preserve">23.2758620689655</t>
  </si>
  <si>
    <t xml:space="preserve">22.2758620689655</t>
  </si>
  <si>
    <t xml:space="preserve">21.2758620689655</t>
  </si>
  <si>
    <t xml:space="preserve">20.2758620689655</t>
  </si>
  <si>
    <t xml:space="preserve">19.2758620689655</t>
  </si>
  <si>
    <t xml:space="preserve">18.2758620689655</t>
  </si>
  <si>
    <t xml:space="preserve">17.2758620689655</t>
  </si>
  <si>
    <t xml:space="preserve">16.2758620689655</t>
  </si>
  <si>
    <t xml:space="preserve">15.2758620689655</t>
  </si>
  <si>
    <t xml:space="preserve">14.2758620689655</t>
  </si>
  <si>
    <t xml:space="preserve">13.2758620689655</t>
  </si>
  <si>
    <t xml:space="preserve">12.2758620689655</t>
  </si>
  <si>
    <t xml:space="preserve">18025</t>
  </si>
  <si>
    <t xml:space="preserve">17123</t>
  </si>
  <si>
    <t xml:space="preserve">16221</t>
  </si>
  <si>
    <t xml:space="preserve">15319</t>
  </si>
  <si>
    <t xml:space="preserve">14417</t>
  </si>
  <si>
    <t xml:space="preserve">13515</t>
  </si>
  <si>
    <t xml:space="preserve">12613</t>
  </si>
  <si>
    <t xml:space="preserve">11711</t>
  </si>
  <si>
    <t xml:space="preserve">10809</t>
  </si>
  <si>
    <t xml:space="preserve">15259</t>
  </si>
  <si>
    <t xml:space="preserve">14357</t>
  </si>
  <si>
    <t xml:space="preserve">13455</t>
  </si>
  <si>
    <t xml:space="preserve">902</t>
  </si>
  <si>
    <t xml:space="preserve">12553</t>
  </si>
  <si>
    <t xml:space="preserve">5352</t>
  </si>
  <si>
    <t xml:space="preserve">70004</t>
  </si>
  <si>
    <t xml:space="preserve">18.9833702882483</t>
  </si>
  <si>
    <t xml:space="preserve">17.9833702882483</t>
  </si>
  <si>
    <t xml:space="preserve">16.9833702882483</t>
  </si>
  <si>
    <t xml:space="preserve">15.9833702882483</t>
  </si>
  <si>
    <t xml:space="preserve">14.9833702882483</t>
  </si>
  <si>
    <t xml:space="preserve">13.9833702882483</t>
  </si>
  <si>
    <t xml:space="preserve">12.9833702882483</t>
  </si>
  <si>
    <t xml:space="preserve">11.9833702882483</t>
  </si>
  <si>
    <t xml:space="preserve">16.9168514412417</t>
  </si>
  <si>
    <t xml:space="preserve">15.9168514412417</t>
  </si>
  <si>
    <t xml:space="preserve">14.9168514412417</t>
  </si>
  <si>
    <t xml:space="preserve">13.9168514412417</t>
  </si>
  <si>
    <t xml:space="preserve">174612</t>
  </si>
  <si>
    <t xml:space="preserve">156722</t>
  </si>
  <si>
    <t xml:space="preserve">138832</t>
  </si>
  <si>
    <t xml:space="preserve">120942</t>
  </si>
  <si>
    <t xml:space="preserve">103052</t>
  </si>
  <si>
    <t xml:space="preserve">85162</t>
  </si>
  <si>
    <t xml:space="preserve">67272</t>
  </si>
  <si>
    <t xml:space="preserve">49382</t>
  </si>
  <si>
    <t xml:space="preserve">31492</t>
  </si>
  <si>
    <t xml:space="preserve">13602</t>
  </si>
  <si>
    <t xml:space="preserve">17890</t>
  </si>
  <si>
    <t xml:space="preserve">222163</t>
  </si>
  <si>
    <t xml:space="preserve">130475</t>
  </si>
  <si>
    <t xml:space="preserve">101221</t>
  </si>
  <si>
    <t xml:space="preserve">98983</t>
  </si>
  <si>
    <t xml:space="preserve">1032454</t>
  </si>
  <si>
    <t xml:space="preserve">1009627</t>
  </si>
  <si>
    <t xml:space="preserve">8.76031302403577</t>
  </si>
  <si>
    <t xml:space="preserve">7.76031302403577</t>
  </si>
  <si>
    <t xml:space="preserve">12.4182783678032</t>
  </si>
  <si>
    <t xml:space="preserve">5.76031302403577</t>
  </si>
  <si>
    <t xml:space="preserve">4.76031302403577</t>
  </si>
  <si>
    <t xml:space="preserve">3.76031302403577</t>
  </si>
  <si>
    <t xml:space="preserve">2.76031302403577</t>
  </si>
  <si>
    <t xml:space="preserve">7.29318054779206</t>
  </si>
  <si>
    <t xml:space="preserve">0.760313024035774</t>
  </si>
  <si>
    <t xml:space="preserve">455606</t>
  </si>
  <si>
    <t xml:space="preserve">274933</t>
  </si>
  <si>
    <t xml:space="preserve">240132</t>
  </si>
  <si>
    <t xml:space="preserve">59459</t>
  </si>
  <si>
    <t xml:space="preserve">72610</t>
  </si>
  <si>
    <t xml:space="preserve">180673</t>
  </si>
  <si>
    <t xml:space="preserve">145872</t>
  </si>
  <si>
    <t xml:space="preserve">193824</t>
  </si>
  <si>
    <t xml:space="preserve">1.52171602840491</t>
  </si>
  <si>
    <t xml:space="preserve">1.32909731946666</t>
  </si>
  <si>
    <t xml:space="preserve">0.329097319466661</t>
  </si>
  <si>
    <t xml:space="preserve">0.401886280739236</t>
  </si>
  <si>
    <t xml:space="preserve">72151</t>
  </si>
  <si>
    <t xml:space="preserve">64377</t>
  </si>
  <si>
    <t xml:space="preserve">97837</t>
  </si>
  <si>
    <t xml:space="preserve">90063</t>
  </si>
  <si>
    <t xml:space="preserve">82289</t>
  </si>
  <si>
    <t xml:space="preserve">74515</t>
  </si>
  <si>
    <t xml:space="preserve">66741</t>
  </si>
  <si>
    <t xml:space="preserve">98720</t>
  </si>
  <si>
    <t xml:space="preserve">90946</t>
  </si>
  <si>
    <t xml:space="preserve">83172</t>
  </si>
  <si>
    <t xml:space="preserve">75398</t>
  </si>
  <si>
    <t xml:space="preserve">67624</t>
  </si>
  <si>
    <t xml:space="preserve">7774</t>
  </si>
  <si>
    <t xml:space="preserve">99966</t>
  </si>
  <si>
    <t xml:space="preserve">41234</t>
  </si>
  <si>
    <t xml:space="preserve">39753</t>
  </si>
  <si>
    <t xml:space="preserve">40116</t>
  </si>
  <si>
    <t xml:space="preserve">420587</t>
  </si>
  <si>
    <t xml:space="preserve">405481</t>
  </si>
  <si>
    <t xml:space="preserve">409183</t>
  </si>
  <si>
    <t xml:space="preserve">8.2810650887574</t>
  </si>
  <si>
    <t xml:space="preserve">12.5851556470286</t>
  </si>
  <si>
    <t xml:space="preserve">11.5851556470286</t>
  </si>
  <si>
    <t xml:space="preserve">10.5851556470286</t>
  </si>
  <si>
    <t xml:space="preserve">9.58515564702856</t>
  </si>
  <si>
    <t xml:space="preserve">8.58515564702856</t>
  </si>
  <si>
    <t xml:space="preserve">12.6987393877026</t>
  </si>
  <si>
    <t xml:space="preserve">11.6987393877026</t>
  </si>
  <si>
    <t xml:space="preserve">10.6987393877026</t>
  </si>
  <si>
    <t xml:space="preserve">9.6987393877026</t>
  </si>
  <si>
    <t xml:space="preserve">8.6987393877026</t>
  </si>
  <si>
    <t xml:space="preserve">12.8590172369437</t>
  </si>
  <si>
    <t xml:space="preserve">246633</t>
  </si>
  <si>
    <t xml:space="preserve">198988</t>
  </si>
  <si>
    <t xml:space="preserve">151343</t>
  </si>
  <si>
    <t xml:space="preserve">103698</t>
  </si>
  <si>
    <t xml:space="preserve">56053</t>
  </si>
  <si>
    <t xml:space="preserve">8408</t>
  </si>
  <si>
    <t xml:space="preserve">47645</t>
  </si>
  <si>
    <t xml:space="preserve">4.17647182285654</t>
  </si>
  <si>
    <t xml:space="preserve">3.17647182285654</t>
  </si>
  <si>
    <t xml:space="preserve">2.17647182285654</t>
  </si>
  <si>
    <t xml:space="preserve">1.17647182285654</t>
  </si>
  <si>
    <t xml:space="preserve">0.176471822856543</t>
  </si>
  <si>
    <t xml:space="preserve">12652697</t>
  </si>
  <si>
    <t xml:space="preserve">11553574</t>
  </si>
  <si>
    <t xml:space="preserve">16547451</t>
  </si>
  <si>
    <t xml:space="preserve">17464328</t>
  </si>
  <si>
    <t xml:space="preserve">16365205</t>
  </si>
  <si>
    <t xml:space="preserve">15266082</t>
  </si>
  <si>
    <t xml:space="preserve">14166959</t>
  </si>
  <si>
    <t xml:space="preserve">19774036</t>
  </si>
  <si>
    <t xml:space="preserve">18674913</t>
  </si>
  <si>
    <t xml:space="preserve">17575790</t>
  </si>
  <si>
    <t xml:space="preserve">16476667</t>
  </si>
  <si>
    <t xml:space="preserve">15377544</t>
  </si>
  <si>
    <t xml:space="preserve">1099123</t>
  </si>
  <si>
    <t xml:space="preserve">20360008</t>
  </si>
  <si>
    <t xml:space="preserve">6093000</t>
  </si>
  <si>
    <t xml:space="preserve">2016000</t>
  </si>
  <si>
    <t xml:space="preserve">6706200</t>
  </si>
  <si>
    <t xml:space="preserve">6081587</t>
  </si>
  <si>
    <t xml:space="preserve">219348</t>
  </si>
  <si>
    <t xml:space="preserve">65722</t>
  </si>
  <si>
    <t xml:space="preserve">241423</t>
  </si>
  <si>
    <t xml:space="preserve">218937</t>
  </si>
  <si>
    <t xml:space="preserve">10.5116297266093</t>
  </si>
  <si>
    <t xml:space="preserve">15.0551403255141</t>
  </si>
  <si>
    <t xml:space="preserve">15.8893299476037</t>
  </si>
  <si>
    <t xml:space="preserve">14.8893299476037</t>
  </si>
  <si>
    <t xml:space="preserve">13.8893299476037</t>
  </si>
  <si>
    <t xml:space="preserve">12.8893299476037</t>
  </si>
  <si>
    <t xml:space="preserve">17.990739889894</t>
  </si>
  <si>
    <t xml:space="preserve">16.990739889894</t>
  </si>
  <si>
    <t xml:space="preserve">15.990739889894</t>
  </si>
  <si>
    <t xml:space="preserve">14.990739889894</t>
  </si>
  <si>
    <t xml:space="preserve">13.990739889894</t>
  </si>
  <si>
    <t xml:space="preserve">18.523866755586</t>
  </si>
  <si>
    <t xml:space="preserve">3400970</t>
  </si>
  <si>
    <t xml:space="preserve">1365677</t>
  </si>
  <si>
    <t xml:space="preserve">7310307</t>
  </si>
  <si>
    <t xml:space="preserve">5275014</t>
  </si>
  <si>
    <t xml:space="preserve">24304579</t>
  </si>
  <si>
    <t xml:space="preserve">22269286</t>
  </si>
  <si>
    <t xml:space="preserve">20233993</t>
  </si>
  <si>
    <t xml:space="preserve">18198700</t>
  </si>
  <si>
    <t xml:space="preserve">16163407</t>
  </si>
  <si>
    <t xml:space="preserve">14128114</t>
  </si>
  <si>
    <t xml:space="preserve">12092821</t>
  </si>
  <si>
    <t xml:space="preserve">2035293</t>
  </si>
  <si>
    <t xml:space="preserve">10057528</t>
  </si>
  <si>
    <t xml:space="preserve">9345600</t>
  </si>
  <si>
    <t xml:space="preserve">21064858</t>
  </si>
  <si>
    <t xml:space="preserve">0.670997738409163</t>
  </si>
  <si>
    <t xml:space="preserve">3.59177130762008</t>
  </si>
  <si>
    <t xml:space="preserve">2.59177130762008</t>
  </si>
  <si>
    <t xml:space="preserve">11.9415627135749</t>
  </si>
  <si>
    <t xml:space="preserve">10.9415627135749</t>
  </si>
  <si>
    <t xml:space="preserve">9.9415627135749</t>
  </si>
  <si>
    <t xml:space="preserve">8.9415627135749</t>
  </si>
  <si>
    <t xml:space="preserve">7.9415627135749</t>
  </si>
  <si>
    <t xml:space="preserve">6.9415627135749</t>
  </si>
  <si>
    <t xml:space="preserve">5.9415627135749</t>
  </si>
  <si>
    <t xml:space="preserve">4.9415627135749</t>
  </si>
  <si>
    <t xml:space="preserve">193964</t>
  </si>
  <si>
    <t xml:space="preserve">174887</t>
  </si>
  <si>
    <t xml:space="preserve">674349</t>
  </si>
  <si>
    <t xml:space="preserve">655272</t>
  </si>
  <si>
    <t xml:space="preserve">636195</t>
  </si>
  <si>
    <t xml:space="preserve">617118</t>
  </si>
  <si>
    <t xml:space="preserve">598041</t>
  </si>
  <si>
    <t xml:space="preserve">1087444</t>
  </si>
  <si>
    <t xml:space="preserve">1068367</t>
  </si>
  <si>
    <t xml:space="preserve">1049290</t>
  </si>
  <si>
    <t xml:space="preserve">1030213</t>
  </si>
  <si>
    <t xml:space="preserve">1011136</t>
  </si>
  <si>
    <t xml:space="preserve">19077</t>
  </si>
  <si>
    <t xml:space="preserve">1514641</t>
  </si>
  <si>
    <t xml:space="preserve">9.167426744247</t>
  </si>
  <si>
    <t xml:space="preserve">35.3487969806573</t>
  </si>
  <si>
    <t xml:space="preserve">34.3487969806573</t>
  </si>
  <si>
    <t xml:space="preserve">33.3487969806573</t>
  </si>
  <si>
    <t xml:space="preserve">32.3487969806573</t>
  </si>
  <si>
    <t xml:space="preserve">31.3487969806573</t>
  </si>
  <si>
    <t xml:space="preserve">57.0028830528909</t>
  </si>
  <si>
    <t xml:space="preserve">56.0028830528909</t>
  </si>
  <si>
    <t xml:space="preserve">55.0028830528909</t>
  </si>
  <si>
    <t xml:space="preserve">54.0028830528909</t>
  </si>
  <si>
    <t xml:space="preserve">53.0028830528909</t>
  </si>
  <si>
    <t xml:space="preserve">79.3961838863553</t>
  </si>
  <si>
    <t xml:space="preserve">542712</t>
  </si>
  <si>
    <t xml:space="preserve">424739</t>
  </si>
  <si>
    <t xml:space="preserve">1785646</t>
  </si>
  <si>
    <t xml:space="preserve">1667673</t>
  </si>
  <si>
    <t xml:space="preserve">1549700</t>
  </si>
  <si>
    <t xml:space="preserve">1431727</t>
  </si>
  <si>
    <t xml:space="preserve">1313754</t>
  </si>
  <si>
    <t xml:space="preserve">1402803</t>
  </si>
  <si>
    <t xml:space="preserve">1284830</t>
  </si>
  <si>
    <t xml:space="preserve">1166857</t>
  </si>
  <si>
    <t xml:space="preserve">1048884</t>
  </si>
  <si>
    <t xml:space="preserve">930911</t>
  </si>
  <si>
    <t xml:space="preserve">117973</t>
  </si>
  <si>
    <t xml:space="preserve">812938</t>
  </si>
  <si>
    <t xml:space="preserve">1478880</t>
  </si>
  <si>
    <t xml:space="preserve">207022</t>
  </si>
  <si>
    <t xml:space="preserve">3.60030684987243</t>
  </si>
  <si>
    <t xml:space="preserve">15.1360565553135</t>
  </si>
  <si>
    <t xml:space="preserve">14.1360565553135</t>
  </si>
  <si>
    <t xml:space="preserve">13.1360565553135</t>
  </si>
  <si>
    <t xml:space="preserve">12.1360565553135</t>
  </si>
  <si>
    <t xml:space="preserve">11.1360565553135</t>
  </si>
  <si>
    <t xml:space="preserve">11.89088181194</t>
  </si>
  <si>
    <t xml:space="preserve">10.89088181194</t>
  </si>
  <si>
    <t xml:space="preserve">9.89088181194002</t>
  </si>
  <si>
    <t xml:space="preserve">8.89088181194002</t>
  </si>
  <si>
    <t xml:space="preserve">7.89088181194002</t>
  </si>
  <si>
    <t xml:space="preserve">6.89088181194002</t>
  </si>
  <si>
    <t xml:space="preserve">133925</t>
  </si>
  <si>
    <t xml:space="preserve">85925</t>
  </si>
  <si>
    <t xml:space="preserve">68405</t>
  </si>
  <si>
    <t xml:space="preserve">121445</t>
  </si>
  <si>
    <t xml:space="preserve">43445</t>
  </si>
  <si>
    <t xml:space="preserve">371800</t>
  </si>
  <si>
    <t xml:space="preserve">293800</t>
  </si>
  <si>
    <t xml:space="preserve">215800</t>
  </si>
  <si>
    <t xml:space="preserve">380417</t>
  </si>
  <si>
    <t xml:space="preserve">302417</t>
  </si>
  <si>
    <t xml:space="preserve">224417</t>
  </si>
  <si>
    <t xml:space="preserve">399917</t>
  </si>
  <si>
    <t xml:space="preserve">78000</t>
  </si>
  <si>
    <t xml:space="preserve">321917</t>
  </si>
  <si>
    <t xml:space="preserve">30000</t>
  </si>
  <si>
    <t xml:space="preserve">60480</t>
  </si>
  <si>
    <t xml:space="preserve">131040</t>
  </si>
  <si>
    <t xml:space="preserve">449800</t>
  </si>
  <si>
    <t xml:space="preserve">242617</t>
  </si>
  <si>
    <t xml:space="preserve">253500</t>
  </si>
  <si>
    <t xml:space="preserve">1.10160256410256</t>
  </si>
  <si>
    <t xml:space="preserve">0.87698717948718</t>
  </si>
  <si>
    <t xml:space="preserve">1.55698717948718</t>
  </si>
  <si>
    <t xml:space="preserve">0.556987179487179</t>
  </si>
  <si>
    <t xml:space="preserve">4.76666666666667</t>
  </si>
  <si>
    <t xml:space="preserve">3.76666666666667</t>
  </si>
  <si>
    <t xml:space="preserve">2.76666666666667</t>
  </si>
  <si>
    <t xml:space="preserve">4.87714102564103</t>
  </si>
  <si>
    <t xml:space="preserve">3.87714102564103</t>
  </si>
  <si>
    <t xml:space="preserve">2.87714102564103</t>
  </si>
  <si>
    <t xml:space="preserve">5.12714102564103</t>
  </si>
  <si>
    <t xml:space="preserve">4.12714102564103</t>
  </si>
  <si>
    <t xml:space="preserve">1624145</t>
  </si>
  <si>
    <t xml:space="preserve">1694145</t>
  </si>
  <si>
    <t xml:space="preserve">1564145</t>
  </si>
  <si>
    <t xml:space="preserve">1434145</t>
  </si>
  <si>
    <t xml:space="preserve">1304145</t>
  </si>
  <si>
    <t xml:space="preserve">1174145</t>
  </si>
  <si>
    <t xml:space="preserve">1044145</t>
  </si>
  <si>
    <t xml:space="preserve">914145</t>
  </si>
  <si>
    <t xml:space="preserve">784145</t>
  </si>
  <si>
    <t xml:space="preserve">755020</t>
  </si>
  <si>
    <t xml:space="preserve">1061595</t>
  </si>
  <si>
    <t xml:space="preserve">931595</t>
  </si>
  <si>
    <t xml:space="preserve">801595</t>
  </si>
  <si>
    <t xml:space="preserve">130000</t>
  </si>
  <si>
    <t xml:space="preserve">1321667</t>
  </si>
  <si>
    <t xml:space="preserve">200000</t>
  </si>
  <si>
    <t xml:space="preserve">100875</t>
  </si>
  <si>
    <t xml:space="preserve">436575</t>
  </si>
  <si>
    <t xml:space="preserve">650072</t>
  </si>
  <si>
    <t xml:space="preserve">13.0318846153846</t>
  </si>
  <si>
    <t xml:space="preserve">12.0318846153846</t>
  </si>
  <si>
    <t xml:space="preserve">11.0318846153846</t>
  </si>
  <si>
    <t xml:space="preserve">10.0318846153846</t>
  </si>
  <si>
    <t xml:space="preserve">9.03188461538462</t>
  </si>
  <si>
    <t xml:space="preserve">8.03188461538462</t>
  </si>
  <si>
    <t xml:space="preserve">7.03188461538462</t>
  </si>
  <si>
    <t xml:space="preserve">6.03188461538462</t>
  </si>
  <si>
    <t xml:space="preserve">5.80784615384615</t>
  </si>
  <si>
    <t xml:space="preserve">8.16611538461538</t>
  </si>
  <si>
    <t xml:space="preserve">7.16611538461538</t>
  </si>
  <si>
    <t xml:space="preserve">6.16611538461538</t>
  </si>
  <si>
    <t xml:space="preserve">10.1666692307692</t>
  </si>
  <si>
    <t xml:space="preserve">2530800</t>
  </si>
  <si>
    <t xml:space="preserve">3870800</t>
  </si>
  <si>
    <t xml:space="preserve">3706400</t>
  </si>
  <si>
    <t xml:space="preserve">3496400</t>
  </si>
  <si>
    <t xml:space="preserve">3286400</t>
  </si>
  <si>
    <t xml:space="preserve">3076400</t>
  </si>
  <si>
    <t xml:space="preserve">2866400</t>
  </si>
  <si>
    <t xml:space="preserve">2656400</t>
  </si>
  <si>
    <t xml:space="preserve">2446400</t>
  </si>
  <si>
    <t xml:space="preserve">2236400</t>
  </si>
  <si>
    <t xml:space="preserve">2811000</t>
  </si>
  <si>
    <t xml:space="preserve">2601000</t>
  </si>
  <si>
    <t xml:space="preserve">2633800</t>
  </si>
  <si>
    <t xml:space="preserve">210000</t>
  </si>
  <si>
    <t xml:space="preserve">2823800</t>
  </si>
  <si>
    <t xml:space="preserve">1550000</t>
  </si>
  <si>
    <t xml:space="preserve">45600</t>
  </si>
  <si>
    <t xml:space="preserve">784600</t>
  </si>
  <si>
    <t xml:space="preserve">242800</t>
  </si>
  <si>
    <t xml:space="preserve">400000</t>
  </si>
  <si>
    <t xml:space="preserve">18.432380952381</t>
  </si>
  <si>
    <t xml:space="preserve">17.6495238095238</t>
  </si>
  <si>
    <t xml:space="preserve">16.6495238095238</t>
  </si>
  <si>
    <t xml:space="preserve">15.6495238095238</t>
  </si>
  <si>
    <t xml:space="preserve">14.6495238095238</t>
  </si>
  <si>
    <t xml:space="preserve">13.6495238095238</t>
  </si>
  <si>
    <t xml:space="preserve">12.6495238095238</t>
  </si>
  <si>
    <t xml:space="preserve">11.6495238095238</t>
  </si>
  <si>
    <t xml:space="preserve">10.6495238095238</t>
  </si>
  <si>
    <t xml:space="preserve">13.3857142857143</t>
  </si>
  <si>
    <t xml:space="preserve">12.3857142857143</t>
  </si>
  <si>
    <t xml:space="preserve">12.5419047619048</t>
  </si>
  <si>
    <t xml:space="preserve">13.4466666666667</t>
  </si>
  <si>
    <t xml:space="preserve">165698</t>
  </si>
  <si>
    <t xml:space="preserve">144198</t>
  </si>
  <si>
    <t xml:space="preserve">122698</t>
  </si>
  <si>
    <t xml:space="preserve">101198</t>
  </si>
  <si>
    <t xml:space="preserve">79698</t>
  </si>
  <si>
    <t xml:space="preserve">58198</t>
  </si>
  <si>
    <t xml:space="preserve">36698</t>
  </si>
  <si>
    <t xml:space="preserve">15198</t>
  </si>
  <si>
    <t xml:space="preserve">24829</t>
  </si>
  <si>
    <t xml:space="preserve">34665</t>
  </si>
  <si>
    <t xml:space="preserve">13165</t>
  </si>
  <si>
    <t xml:space="preserve">12422</t>
  </si>
  <si>
    <t xml:space="preserve">21500</t>
  </si>
  <si>
    <t xml:space="preserve">46329</t>
  </si>
  <si>
    <t xml:space="preserve">31336</t>
  </si>
  <si>
    <t xml:space="preserve">6.70688372093023</t>
  </si>
  <si>
    <t xml:space="preserve">5.70688372093023</t>
  </si>
  <si>
    <t xml:space="preserve">4.70688372093023</t>
  </si>
  <si>
    <t xml:space="preserve">3.70688372093023</t>
  </si>
  <si>
    <t xml:space="preserve">2.70688372093023</t>
  </si>
  <si>
    <t xml:space="preserve">1.70688372093023</t>
  </si>
  <si>
    <t xml:space="preserve">0.706883720930233</t>
  </si>
  <si>
    <t xml:space="preserve">1.15483720930233</t>
  </si>
  <si>
    <t xml:space="preserve">1.61232558139535</t>
  </si>
  <si>
    <t xml:space="preserve">0.612325581395349</t>
  </si>
  <si>
    <t xml:space="preserve">256580</t>
  </si>
  <si>
    <t xml:space="preserve">287332</t>
  </si>
  <si>
    <t xml:space="preserve">277332</t>
  </si>
  <si>
    <t xml:space="preserve">300164</t>
  </si>
  <si>
    <t xml:space="preserve">290164</t>
  </si>
  <si>
    <t xml:space="preserve">280164</t>
  </si>
  <si>
    <t xml:space="preserve">255177</t>
  </si>
  <si>
    <t xml:space="preserve">230174</t>
  </si>
  <si>
    <t xml:space="preserve">219174</t>
  </si>
  <si>
    <t xml:space="preserve">208174</t>
  </si>
  <si>
    <t xml:space="preserve">197174</t>
  </si>
  <si>
    <t xml:space="preserve">186174</t>
  </si>
  <si>
    <t xml:space="preserve">175174</t>
  </si>
  <si>
    <t xml:space="preserve">24987</t>
  </si>
  <si>
    <t xml:space="preserve">25003</t>
  </si>
  <si>
    <t xml:space="preserve">11000</t>
  </si>
  <si>
    <t xml:space="preserve">164174</t>
  </si>
  <si>
    <t xml:space="preserve">40752</t>
  </si>
  <si>
    <t xml:space="preserve">32832</t>
  </si>
  <si>
    <t xml:space="preserve">28.7332</t>
  </si>
  <si>
    <t xml:space="preserve">27.7332</t>
  </si>
  <si>
    <t xml:space="preserve">30.0164</t>
  </si>
  <si>
    <t xml:space="preserve">29.0164</t>
  </si>
  <si>
    <t xml:space="preserve">28.0164</t>
  </si>
  <si>
    <t xml:space="preserve">10.2123904430304</t>
  </si>
  <si>
    <t xml:space="preserve">9.20585529736432</t>
  </si>
  <si>
    <t xml:space="preserve">19.9249090909091</t>
  </si>
  <si>
    <t xml:space="preserve">18.9249090909091</t>
  </si>
  <si>
    <t xml:space="preserve">17.9249090909091</t>
  </si>
  <si>
    <t xml:space="preserve">16.9249090909091</t>
  </si>
  <si>
    <t xml:space="preserve">15.9249090909091</t>
  </si>
  <si>
    <t xml:space="preserve">14.9249090909091</t>
  </si>
  <si>
    <t xml:space="preserve">151590</t>
  </si>
  <si>
    <t xml:space="preserve">123700</t>
  </si>
  <si>
    <t xml:space="preserve">95810</t>
  </si>
  <si>
    <t xml:space="preserve">67920</t>
  </si>
  <si>
    <t xml:space="preserve">40030</t>
  </si>
  <si>
    <t xml:space="preserve">160538</t>
  </si>
  <si>
    <t xml:space="preserve">132648</t>
  </si>
  <si>
    <t xml:space="preserve">104758</t>
  </si>
  <si>
    <t xml:space="preserve">76868</t>
  </si>
  <si>
    <t xml:space="preserve">48978</t>
  </si>
  <si>
    <t xml:space="preserve">21088</t>
  </si>
  <si>
    <t xml:space="preserve">27890</t>
  </si>
  <si>
    <t xml:space="preserve">148398</t>
  </si>
  <si>
    <t xml:space="preserve">4.43528146288992</t>
  </si>
  <si>
    <t xml:space="preserve">3.43528146288992</t>
  </si>
  <si>
    <t xml:space="preserve">2.43528146288992</t>
  </si>
  <si>
    <t xml:space="preserve">1.43528146288992</t>
  </si>
  <si>
    <t xml:space="preserve">5.75611330225887</t>
  </si>
  <si>
    <t xml:space="preserve">4.75611330225887</t>
  </si>
  <si>
    <t xml:space="preserve">3.75611330225887</t>
  </si>
  <si>
    <t xml:space="preserve">2.75611330225887</t>
  </si>
  <si>
    <t xml:space="preserve">1.75611330225887</t>
  </si>
  <si>
    <t xml:space="preserve">0.756113302258874</t>
  </si>
</sst>
</file>

<file path=xl/styles.xml><?xml version="1.0" encoding="UTF-8" standalone="yes"?><styleSheet xmlns="http://schemas.openxmlformats.org/spreadsheetml/2006/main" xmlns:mc="http://schemas.openxmlformats.org/markup-compatibility/2006" mc:Ignorable="x14ac x16r2 xr" xmlns:x14ac="http://schemas.microsoft.com/office/spreadsheetml/2009/9/ac" xmlns:x16r2="http://schemas.microsoft.com/office/spreadsheetml/2015/02/main" xmlns:xr="http://schemas.microsoft.com/office/spreadsheetml/2014/revision"><numFmts count="2"><numFmt numFmtId="164" formatCode="0.0"/><numFmt numFmtId="165" formatCode="#,##0.0"/></numFmts><fonts count="13"><font><sz val="11"/><color theme="1"/><name val="Aptos Narrow"/><family val="2"/><scheme val="minor"/></font><font><sz val="10"/><color theme="1"/><name val="Trebuchet MS"/></font><font><sz val="9"/><color theme="1"/><name val="Trebuchet MS"/></font><font><sz val="11"/><color theme="1"/><name val="Aptos Narrow"/></font><font><sz val="10"/><color theme="1"/><name val="Trebuchet MS"/><b/></font><font><sz val="10"/><color theme="1"/><name val="Trebuchet MS"/><i/></font><font><sz val="10"/><color theme="3" tint="0.249977111117893"/><name val="Trebuchet MS"/></font><font><sz val="10"/><color rgb="FF003E78"/><name val="Trebuchet MS"/></font><font><sz val="10"/><color rgb="FF003E78"/><name val="Trebuchet MS"/><b/></font><font><sz val="10"/><color theme="1"/><name val="Times New Roman"/></font><font><sz val="10"/><color rgb="FF000000"/><name val="Times New Roman"/><b/></font><font><sz val="10"/><color rgb="FF000000"/><name val="Times New Roman"/></font><font><sz val="9"/><color theme="1"/><name val="Aptos Narrow"/></font></fonts><fills count="4"><fill><patternFill patternType="none"/></fill><fill><patternFill patternType="gray125"/></fill><fill><patternFill patternType="solid"><fgColor  theme="2"/><bgColor  indexed="64"/></patternFill></fill><fill><patternFill patternType="solid"><fgColor  rgb="FFFDE9D9"/><bgColor  rgb="FF000000"/></patternFill></fill></fills><borders count="10"><border><left/><right/><top/><bottom/><diagonal/></border><border><left style="thin"><color indexed="64"/></left><right style="thin"><color indexed="64"/></right><top style="thin"><color indexed="64"/></top><bottom style="thin"><color indexed="64"/></bottom></border><border><right style="thin"><color indexed="64"/></right></border><border><left style="thin"><color indexed="64"/></left><right style="thin"><color indexed="64"/></right><bottom style="thin"><color indexed="64"/></bottom></border><border><left style="thin"><color indexed="64"/></left><bottom style="thin"><color indexed="64"/></bottom></border><border><right style="thin"><color indexed="64"/></right><top style="thin"><color indexed="64"/></top></border><border><left style="thin"><color indexed="64"/></left><right style="thin"><color indexed="64"/></right><top style="thin"><color indexed="64"/></top></border><border><left style="thin"><color indexed="64"/></left><top style="thin"><color indexed="64"/></top></border><border><left style="thin"><color indexed="64"/></left><top style="thin"><color indexed="64"/></top><bottom style="thin"><color indexed="64"/></bottom></border><border><left style="thin"><color indexed="64"/></left><right style="thin"><color indexed="64"/></right></border></borders><cellStyleXfs count="1"><xf numFmtId="0" fontId="0" fillId="0" borderId="0"/></cellStyleXfs><cellXfs count="42"><xf numFmtId="0" fontId="0" fillId="0" borderId="0" xfId="0"/><xf numFmtId="0" fontId="1" fillId="0" borderId="1" xfId="0" applyFont="1" applyBorder="1" applyAlignment="1"><alignment horizontal="left"/></xf><xf numFmtId="0" fontId="1" fillId="0" borderId="1" xfId="0" applyFont="1" applyBorder="1"></xf><xf numFmtId="164" fontId="1" fillId="0" borderId="1" xfId="0" applyFont="1" applyNumberFormat="1" applyBorder="1"></xf><xf numFmtId="17" fontId="1" fillId="0" borderId="1" xfId="0" applyFont="1" applyNumberFormat="1" applyBorder="1" applyAlignment="1"><alignment horizontal="left"/></xf><xf numFmtId="0" fontId="1" fillId="0" borderId="1" xfId="0" applyFont="1" applyBorder="1" applyAlignment="1"><alignment horizontal="center"/></xf><xf numFmtId="0" fontId="1" fillId="0" borderId="0" xfId="0" applyFont="1"></xf><xf numFmtId="0" fontId="2" fillId="0" borderId="0" xfId="0" applyFont="1"></xf><xf numFmtId="14" fontId="2" fillId="0" borderId="0" xfId="0" applyFont="1" applyNumberFormat="1"></xf><xf numFmtId="164" fontId="2" fillId="0" borderId="0" xfId="0" applyFont="1" applyNumberFormat="1"></xf><xf numFmtId="0" fontId="3" fillId="0" borderId="0" xfId="0" applyFont="1"></xf><xf numFmtId="14" fontId="3" fillId="0" borderId="0" xfId="0" applyFont="1" applyNumberFormat="1"></xf><xf numFmtId="0" fontId="4" fillId="0" borderId="0" xfId="0" applyFont="1" applyAlignment="1"><alignment horizontal="center"/></xf><xf numFmtId="0" fontId="5" fillId="0" borderId="0" xfId="0" applyFont="1"></xf><xf numFmtId="0" fontId="1" fillId="2" borderId="2" xfId="0" applyFont="1" applyFill="1" applyBorder="1"></xf><xf numFmtId="0" fontId="1" fillId="2" borderId="3" xfId="0" applyFont="1" applyFill="1" applyBorder="1"></xf><xf numFmtId="0" fontId="1" fillId="2" borderId="4" xfId="0" applyFont="1" applyFill="1" applyBorder="1"></xf><xf numFmtId="0" fontId="1" fillId="0" borderId="5" xfId="0" applyFont="1" applyBorder="1"></xf><xf numFmtId="0" fontId="1" fillId="0" borderId="6" xfId="0" applyFont="1" applyBorder="1"></xf><xf numFmtId="17" fontId="1" fillId="0" borderId="6" xfId="0" applyFont="1" applyNumberFormat="1" applyBorder="1"></xf><xf numFmtId="3" fontId="1" fillId="0" borderId="6" xfId="0" applyFont="1" applyNumberFormat="1" applyBorder="1"></xf><xf numFmtId="164" fontId="1" fillId="0" borderId="6" xfId="0" applyFont="1" applyNumberFormat="1" applyBorder="1"></xf><xf numFmtId="0" fontId="1" fillId="0" borderId="7" xfId="0" applyFont="1" applyBorder="1"></xf><xf numFmtId="3" fontId="1" fillId="0" borderId="1" xfId="0" applyFont="1" applyNumberFormat="1" applyBorder="1"></xf><xf numFmtId="17" fontId="1" fillId="0" borderId="1" xfId="0" applyFont="1" applyNumberFormat="1" applyBorder="1"></xf><xf numFmtId="0" fontId="1" fillId="0" borderId="8" xfId="0" applyFont="1" applyBorder="1"></xf><xf numFmtId="14" fontId="5" fillId="0" borderId="0" xfId="0" applyFont="1" applyNumberFormat="1"></xf><xf numFmtId="0" fontId="6" fillId="0" borderId="0" xfId="0" applyFont="1" applyAlignment="1"><alignment horizontal="left" vertical="center"/></xf><xf numFmtId="0" fontId="7" fillId="0" borderId="0" xfId="0" applyFont="1" applyAlignment="1"><alignment horizontal="left" vertical="center"/></xf><xf numFmtId="0" fontId="8" fillId="0" borderId="0" xfId="0" applyFont="1" applyAlignment="1"><alignment horizontal="left" vertical="center"/></xf><xf numFmtId="0" fontId="3" fillId="0" borderId="1" xfId="0" applyFont="1" applyBorder="1"></xf><xf numFmtId="3" fontId="1" fillId="0" borderId="9" xfId="0" applyFont="1" applyNumberFormat="1" applyBorder="1"></xf><xf numFmtId="165" fontId="1" fillId="0" borderId="6" xfId="0" applyFont="1" applyNumberFormat="1" applyBorder="1"></xf><xf numFmtId="0" fontId="1" fillId="0" borderId="9" xfId="0" applyFont="1" applyBorder="1"></xf><xf numFmtId="165" fontId="1" fillId="0" borderId="1" xfId="0" applyFont="1" applyNumberFormat="1" applyBorder="1"></xf><xf numFmtId="0" fontId="1" fillId="0" borderId="2" xfId="0" applyFont="1" applyBorder="1"></xf><xf numFmtId="0" fontId="9" fillId="0" borderId="0" xfId="0" applyFont="1"></xf><xf numFmtId="0" fontId="10" fillId="0" borderId="0" xfId="0" applyFont="1"></xf><xf numFmtId="0" fontId="10" fillId="3" borderId="0" xfId="0" applyFont="1" applyFill="1"></xf><xf numFmtId="0" fontId="11" fillId="0" borderId="0" xfId="0" applyFont="1"></xf><xf numFmtId="0" fontId="12" fillId="0" borderId="0" xfId="0" applyFont="1"></xf><xf numFmtId="3" fontId="9" fillId="0" borderId="0" xfId="0" applyFont="1" applyNumberFormat="1"></xf></cellXfs><cellStyles count="1"><cellStyle name="Normal" xfId="0" builtinId="0"/></cellStyles><dxfs count="987"><dxf><numFmt numFmtId="164" formatCode="0.0"/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font><name val="Trebuchet MS"/><scheme val="none"/></font></dxf><dxf><font><name val="Trebuchet MS"/><scheme val="none"/></font></dxf><dxf><font><name val="Trebuchet MS"/><scheme val="none"/></font></dxf><dxf><font><sz val="10"/></font></dxf><dxf><font><sz val="10"/></font></dxf><dxf><font><sz val="10"/></font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numFmt numFmtId="164" formatCode="0.0"/></dxf><dxf><font><name val="Trebuchet MS"/><scheme val="none"/></font></dxf><dxf><font><name val="Trebuchet MS"/><scheme val="none"/></font></dxf><dxf><font><name val="Trebuchet MS"/><scheme val="none"/></font></dxf><dxf><font><name val="Trebuchet MS"/><scheme val="none"/></font></dxf><dxf><font><name val="Trebuchet MS"/><scheme val="none"/></font></dxf><dxf><font><sz val="10"/></font></dxf><dxf><font><sz val="10"/></font></dxf><dxf><font><sz val="10"/></font></dxf><dxf><font><sz val="10"/></font></dxf><dxf><font><sz val="10"/></font></dxf><dxf><alignment horizontal="center"/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numFmt numFmtId="164" formatCode="0.0"/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numFmt numFmtId="19" formatCode="dd/mm/yyyy"/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><left style="thin"><color indexed="64"/></left><right style="thin"><color indexed="64"/></right><top style="thin"><color indexed="64"/></top><bottom/><vertical/><horizontal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/><color theme="1"/></font><border><bottom style="thin"><color theme="9"/></bottom><vertical/><horizontal/></border></dxf><dxf><font><sz val="8"/><color theme="1"/><name val="Aptos Narrow"/><family val="2"/><scheme val="minor"/></font><border><left style="thin"><color theme="9"/></left><right style="thin"><color theme="9"/></right><top style="thin"><color theme="9"/></top><bottom style="thin"><color theme="9"/></bottom><vertical/><horizontal/></border></dxf><dxf><font><b/><color theme="1"/></font><border><bottom style="thin"><color theme="9"/></bottom><vertical/><horizontal/></border></dxf><dxf><font><b val="0"/><i val="0"/><sz val="8"/><color theme="1"/><name val="Aptos Narrow"/><family val="2"/><scheme val="minor"/></font><border><left style="thin"><color theme="9"/></left><right style="thin"><color theme="9"/></right><top style="thin"><color theme="9"/></top><bottom style="thin"><color theme="9"/></bottom><vertical/><horizontal/></border></dxf></dxfs><tableStyles count="2" defaultTableStyle="TableStyleMedium2" defaultPivotStyle="PivotStyleLight16"><tableStyle name="SlicerStyleDark6 2" pivot="0" table="0" count="10" xr9:uid="{E506B53E-BE22-4523-904E-1B85B6755BF8}"><tableStyleElement type="wholeTable" dxfId="986"/><tableStyleElement type="headerRow" dxfId="985"/></tableStyle><tableStyle name="Test " pivot="0" table="0" count="10" xr9:uid="{9BC909E9-8C86-43D7-9404-6396552126E8}"><tableStyleElement type="wholeTable" dxfId="984"/><tableStyleElement type="headerRow" dxfId="983"/></tableStyle></tableStyles><extLst><ext uri="{46F421CA-312F-682f-3DD2-61675219B42D}" xmlns:x14="http://schemas.microsoft.com/office/spreadsheetml/2009/9/main"><x14:dxfs count="16"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theme="9" tint="-0.249977111117893"/></font><fill><patternFill patternType="solid"><fgColor theme="9" tint="0.59999389629810485"/><bgColor theme="9" tint="0.59999389629810485"/></patternFill></fill><border><left style="thin"><color theme="9" tint="0.59999389629810485"/></left><right style="thin"><color theme="9" tint="0.59999389629810485"/></right><top style="thin"><color theme="9" tint="0.59999389629810485"/></top><bottom style="thin"><color theme="9" tint="0.59999389629810485"/></bottom><vertical/><horizontal/></border></dxf><dxf><font><color theme="0"/></font><fill><patternFill patternType="solid"><fgColor theme="9"/><bgColor theme="9"/></patternFill></fill><border><left style="thin"><color theme="9"/></left><right style="thin"><color theme="9"/></right><top style="thin"><color theme="9"/></top><bottom style="thin"><color theme="9"/></bottom><vertical/><horizontal/></border></dxf><dxf><font><color rgb="FF959595"/></font><fill><patternFill patternType="solid"><fgColor rgb="FFDFDFDF"/><bgColor rgb="FFDFDFDF"/></patternFill></fill><border><left style="thin"><color rgb="FFDFDFDF"/></left><right style="thin"><color rgb="FFDFDFDF"/></right><top style="thin"><color rgb="FFDFDFDF"/></top><bottom style="thin"><color rgb="FFDFDFDF"/></bottom><vertical/><horizontal/></border></dxf><dxf><font><color rgb="FF000000"/></font><fill><patternFill patternType="solid"><fgColor rgb="FFC0C0C0"/><bgColor rgb="FFC0C0C0"/></patternFill></fill><border><left style="thin"><color rgb="FFC0C0C0"/></left><right style="thin"><color rgb="FFC0C0C0"/></right><top style="thin"><color rgb="FFC0C0C0"/></top><bottom style="thin"><color rgb="FFC0C0C0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theme="9" tint="-0.249977111117893"/></font><fill><patternFill patternType="solid"><fgColor theme="9" tint="0.59999389629810485"/><bgColor theme="9" tint="0.59999389629810485"/></patternFill></fill><border><left style="thin"><color theme="9" tint="0.59999389629810485"/></left><right style="thin"><color theme="9" tint="0.59999389629810485"/></right><top style="thin"><color theme="9" tint="0.59999389629810485"/></top><bottom style="thin"><color theme="9" tint="0.59999389629810485"/></bottom><vertical/><horizontal/></border></dxf><dxf><font><color theme="0"/></font><fill><patternFill patternType="solid"><fgColor theme="9"/><bgColor theme="9"/></patternFill></fill><border><left style="thin"><color theme="9"/></left><right style="thin"><color theme="9"/></right><top style="thin"><color theme="9"/></top><bottom style="thin"><color theme="9"/></bottom><vertical/><horizontal/></border></dxf><dxf><font><color rgb="FF959595"/></font><fill><patternFill patternType="solid"><fgColor rgb="FFDFDFDF"/><bgColor rgb="FFDFDFDF"/></patternFill></fill><border><left style="thin"><color rgb="FFDFDFDF"/></left><right style="thin"><color rgb="FFDFDFDF"/></right><top style="thin"><color rgb="FFDFDFDF"/></top><bottom style="thin"><color rgb="FFDFDFDF"/></bottom><vertical/><horizontal/></border></dxf><dxf><font><color rgb="FF000000"/></font><fill><patternFill patternType="solid"><fgColor rgb="FFC0C0C0"/><bgColor rgb="FFC0C0C0"/></patternFill></fill><border><left style="thin"><color rgb="FFC0C0C0"/></left><right style="thin"><color rgb="FFC0C0C0"/></right><top style="thin"><color rgb="FFC0C0C0"/></top><bottom style="thin"><color rgb="FFC0C0C0"/></bottom><vertical/><horizontal/></border></dxf></x14:dxfs></ext><ext uri="{EB79DEF2-80B8-43e5-95BD-54CBDDF9020C}" xmlns:x14="http://schemas.microsoft.com/office/spreadsheetml/2009/9/main"><x14:slicerStyles defaultSlicerStyle="SlicerStyleDark6 2"><x14:slicerStyle name="SlicerStyleDark6 2"><x14:slicerStyleElements><x14:slicerStyleElement type="unselectedItemWithData" dxfId="15"/><x14:slicerStyleElement type="unselectedItemWithNoData" dxfId="14"/><x14:slicerStyleElement type="selectedItemWithData" dxfId="13"/><x14:slicerStyleElement type="selectedItemWithNoData" dxfId="12"/><x14:slicerStyleElement type="hoveredUnselectedItemWithData" dxfId="11"/><x14:slicerStyleElement type="hoveredSelectedItemWithData" dxfId="10"/><x14:slicerStyleElement type="hoveredUnselectedItemWithNoData" dxfId="9"/><x14:slicerStyleElement type="hoveredSelectedItemWithNoData" dxfId="8"/></x14:slicerStyleElements></x14:slicerStyle><x14:slicerStyle name="Test "><x14:slicerStyleElements><x14:slicerStyleElement type="unselectedItemWithData" dxfId="7"/><x14:slicerStyleElement type="unselectedItemWithNoData" dxfId="6"/><x14:slicerStyleElement type="selectedItemWithData" dxfId="5"/><x14:slicerStyleElement type="selectedItemWithNoData" dxfId="4"/><x14:slicerStyleElement type="hoveredUnselectedItemWithData" dxfId="3"/><x14:slicerStyleElement type="hoveredSelectedItemWithData" dxfId="2"/><x14:slicerStyleElement type="hoveredUnselectedItemWithNoData" dxfId="1"/><x14:slicerStyleElement type="hoveredSelectedItemWithNoData" dxfId="0"/></x14:slicerStyleElements></x14:slicerStyle></x14:slicerStyles></ext><ext uri="{9260A510-F301-46a8-8635-F512D64BE5F5}" xmlns:x15="http://schemas.microsoft.com/office/spreadsheetml/2010/11/main"><x15:timelineStyles defaultTimelineStyle="TimeSlicerStyleLight1"/></ext></extLst>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connections" Target="connections.xml"/><Relationship Id="rId51" Type="http://schemas.openxmlformats.org/officeDocument/2006/relationships/styles" Target="styles.xml"/><Relationship Id="rId52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Mumbia" refreshedDate="45926.968340740743" createdVersion="8" refreshedVersion="8" minRefreshableVersion="3" recordCount="1183" xr:uid="{F34A804A-AB92-47DA-AE7D-4F7AA02E8287}">
  <cacheSource type="worksheet">
    <worksheetSource name="Merged"/>
  </cacheSource>
  <cacheFields count="23">
    <cacheField name="Country " numFmtId="0">
      <sharedItems count="8">
        <s v="Rwanda"/>
        <s v="Malawi"/>
        <s v="Zambia"/>
        <s v="Ghana"/>
        <s v="Ethiopia"/>
        <s v="Uganda"/>
        <s v="Sierra Leone "/>
        <s v="eswatini"/>
      </sharedItems>
    </cacheField>
    <cacheField name="Product " numFmtId="0">
      <sharedItems count="16">
        <s v="Levonorgestrel/Ethinyl Estradiol 150/30 mcg + Placebo 28 Tablets/Cycle"/>
        <s v="Levonorgestrel/Ethinyl Estradiol 150/30 mcg + Ferrous Fumarate 75 mg, 28 Tablets/Cycle"/>
        <s v="TCu380A Intrauterine Device"/>
        <s v="Postpartum Intrauterine Contraceptive Device (PPIUCD)"/>
        <s v="Color-Coded Plastic Beads"/>
        <s v="Medroxyprogesterone Acetate 150 mg/mL (1 mL) Vial, Intramuscular"/>
        <s v="Medroxyprogesterone Acetate 104 mg/0.65 mL, Subcutaneous, Pre-Filled Device"/>
        <s v="Levonorgestrel 0.75 mg Tablet, 2 Tablets"/>
        <s v="Female Condom (Nitrile), Inner Retention Ring"/>
        <s v="Levonorgestrel 52 mg, Intrauterine Device"/>
        <s v="Etonogestrel 68 mg/rod, 1 Rod Implant"/>
        <s v="Levonorgestrel 75 mg/rod, 2 Rod Implant, 5 Year Efficacy"/>
        <s v="Levonorgestrel 75 mg/rod, 2 Rod Implant, 3 Year Efficacy"/>
        <s v="Male Condom (Latex), 53 mm"/>
        <s v="Levonorgestrel 30 mcg Tablet, 35 Tablets/Cycle"/>
        <s v="Norethisterone 350 mcg Tablet, 28 Tablets/Cycle"/>
      </sharedItems>
    </cacheField>
    <cacheField name="UoM" numFmtId="0">
      <sharedItems containsBlank="1"/>
    </cacheField>
    <cacheField name="Iventory reporting level " numFmtId="0">
      <sharedItems containsBlank="1"/>
    </cacheField>
    <cacheField name="Period" numFmtId="14">
      <sharedItems containsSemiMixedTypes="0" containsNonDate="0" containsDate="1" containsString="0" minDate="2025-01-01T00:00:00" maxDate="2026-12-02T00:00:00" count="24"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5-04-01T00:00:00"/>
        <d v="2025-05-01T00:00:00"/>
        <d v="2025-06-01T00:00:00"/>
        <d v="2026-07-01T00:00:00"/>
        <d v="2026-08-01T00:00:00"/>
        <d v="2026-09-01T00:00:00"/>
        <d v="2026-10-01T00:00:00"/>
        <d v="2026-11-01T00:00:00"/>
        <d v="2026-12-01T00:00:00"/>
        <d v="2025-02-01T00:00:00"/>
        <d v="2025-03-01T00:00:00"/>
        <d v="2025-01-01T00:00:00"/>
      </sharedItems>
    </cacheField>
    <cacheField name="Stock on hand(opening balance)" numFmtId="0">
      <sharedItems containsString="0" containsBlank="1" containsNumber="1" containsInteger="1" minValue="0" maxValue="181834416"/>
    </cacheField>
    <cacheField name="Actual monthly consumption " numFmtId="0">
      <sharedItems containsString="0" containsBlank="1" containsNumber="1" containsInteger="1" minValue="670" maxValue="12422"/>
    </cacheField>
    <cacheField name="Forecasted consumption" numFmtId="0">
      <sharedItems containsSemiMixedTypes="0" containsString="0" containsNumber="1" containsInteger="1" minValue="31" maxValue="16576898"/>
    </cacheField>
    <cacheField name="Closing balance " numFmtId="0">
      <sharedItems containsSemiMixedTypes="0" containsString="0" containsNumber="1" containsInteger="1" minValue="0" maxValue="167625496"/>
    </cacheField>
    <cacheField name="Procurer " numFmtId="0">
      <sharedItems containsBlank="1"/>
    </cacheField>
    <cacheField name="Funding source " numFmtId="0">
      <sharedItems containsBlank="1"/>
    </cacheField>
    <cacheField name="Status " numFmtId="0">
      <sharedItems containsBlank="1"/>
    </cacheField>
    <cacheField name="Quantity " numFmtId="0">
      <sharedItems containsString="0" containsBlank="1" containsNumber="1" containsInteger="1" minValue="290" maxValue="35982864"/>
    </cacheField>
    <cacheField name="Unit cost " numFmtId="0">
      <sharedItems containsString="0" containsBlank="1" containsNumber="1" containsInteger="1" minValue="45809" maxValue="45992"/>
    </cacheField>
    <cacheField name="Total cost " numFmtId="0">
      <sharedItems containsString="0" containsBlank="1" containsNumber="1" minValue="2310" maxValue="1886597"/>
    </cacheField>
    <cacheField name="ETA" numFmtId="0">
      <sharedItems containsBlank="1" containsMixedTypes="1" containsNumber="1" containsInteger="1" minValue="42217" maxValue="46357"/>
    </cacheField>
    <cacheField name="Lead times " numFmtId="0">
      <sharedItems containsNonDate="0" containsString="0" containsBlank="1"/>
    </cacheField>
    <cacheField name="Projected Inventory" numFmtId="0">
      <sharedItems containsNonDate="0" containsString="0" containsBlank="1"/>
    </cacheField>
    <cacheField name="Min MOS " numFmtId="0">
      <sharedItems containsString="0" containsBlank="1" containsNumber="1" containsInteger="1" minValue="3" maxValue="9" count="5">
        <n v="9"/>
        <n v="7"/>
        <n v="3"/>
        <n v="6"/>
        <m/>
      </sharedItems>
    </cacheField>
    <cacheField name="Max MOS " numFmtId="0">
      <sharedItems containsString="0" containsBlank="1" containsNumber="1" containsInteger="1" minValue="6" maxValue="15" count="5">
        <n v="14"/>
        <n v="15"/>
        <n v="6"/>
        <n v="12"/>
        <m/>
      </sharedItems>
    </cacheField>
    <cacheField name="Desired MOS" numFmtId="0">
      <sharedItems containsString="0" containsBlank="1" containsNumber="1" containsInteger="1" minValue="6" maxValue="15"/>
    </cacheField>
    <cacheField name="MOS " numFmtId="164">
      <sharedItems containsSemiMixedTypes="0" containsString="0" containsNumber="1" minValue="0" maxValue="101.80487804878049" count="881">
        <n v="2.901758167448544"/>
        <n v="7.3805946494231014"/>
        <n v="6.3805946494231014"/>
        <n v="5.3805946494231014"/>
        <n v="4.3805946494231014"/>
        <n v="3.3805946494231014"/>
        <n v="7.7531486412239552"/>
        <n v="6.7531486412239552"/>
        <n v="5.7531486412239552"/>
        <n v="4.7531486412239552"/>
        <n v="3.7531486412239552"/>
        <n v="8.2747030979248546"/>
        <n v="8.1949975393373506"/>
        <n v="7.1726047566621123"/>
        <n v="6.1530590647529602"/>
        <n v="5.136337251487447"/>
        <n v="4.1224163563882277"/>
        <n v="3.1112736672221275"/>
        <n v="14.939347544458839"/>
        <n v="13.899184339314845"/>
        <n v="12.861917715505459"/>
        <n v="11.827524436309826"/>
        <n v="10.795981512887899"/>
        <n v="9.7672662009838724"/>
        <n v="8.7413559976820547"/>
        <n v="7.7182286382142538"/>
        <n v="14.940627922169419"/>
        <n v="13.901306964087233"/>
        <n v="12.864817339670486"/>
        <n v="11.831136811336341"/>
        <n v="15.824722149946103"/>
        <n v="14.824722149946103"/>
        <n v="13.824722149946103"/>
        <n v="12.824722149946103"/>
        <n v="11.824722149946103"/>
        <n v="10.824722149946103"/>
        <n v="9.824722149946103"/>
        <n v="8.824722149946103"/>
        <n v="7.824722149946103"/>
        <n v="11.037655468191565"/>
        <n v="10.037655468191565"/>
        <n v="9.0376554681915646"/>
        <n v="8.0376554681915646"/>
        <n v="7.0376554681915655"/>
        <n v="6.0376554681915655"/>
        <n v="5.0376554681915655"/>
        <n v="4.0376554681915655"/>
        <n v="3.0376554681915655"/>
        <n v="2.0376554681915655"/>
        <n v="1.0376554681915655"/>
        <n v="3.7655468191565407E-2"/>
        <n v="11.071105754745405"/>
        <n v="10.071105754745405"/>
        <n v="9.071105754745405"/>
        <n v="8.071105754745405"/>
        <n v="7.071105754745405"/>
        <n v="6.071105754745405"/>
        <n v="12.032980276728393"/>
        <n v="15.682017289730457"/>
        <n v="14.682017289730457"/>
        <n v="13.682017289730457"/>
        <n v="12.682017289730457"/>
        <n v="18.766426402762647"/>
        <n v="17.766426402762647"/>
        <n v="16.766426402762647"/>
        <n v="15.766426402762649"/>
        <n v="14.766426402762649"/>
        <n v="13.766426402762649"/>
        <n v="12.766426402762649"/>
        <n v="11.766426402762649"/>
        <n v="10.766426402762649"/>
        <n v="9.7664264027626491"/>
        <n v="8.7664264027626491"/>
        <n v="13.9984008158157"/>
        <n v="12.9984008158157"/>
        <n v="11.9984008158157"/>
        <n v="10.9984008158157"/>
        <n v="9.9984008158156996"/>
        <n v="8.9984008158156996"/>
        <n v="7.9984008158156996"/>
        <n v="4.2665039778818485"/>
        <n v="3.2665039778818485"/>
        <n v="5.7963239857811883"/>
        <n v="11.133851492410992"/>
        <n v="10.133851492410992"/>
        <n v="9.1338514924109919"/>
        <n v="8.1338514924109919"/>
        <n v="7.133851492410991"/>
        <n v="6.133851492410991"/>
        <n v="5.133851492410991"/>
        <n v="4.133851492410991"/>
        <n v="3.1338514924109915"/>
        <n v="1.1016025641025642"/>
        <n v="0.87698717948717952"/>
        <n v="1.5569871794871795"/>
        <n v="0.55698717948717946"/>
        <n v="0"/>
        <n v="4.7666666666666666"/>
        <n v="3.7666666666666666"/>
        <n v="2.7666666666666666"/>
        <n v="4.8771410256410253"/>
        <n v="3.8771410256410257"/>
        <n v="2.8771410256410257"/>
        <n v="5.1271410256410253"/>
        <n v="4.1271410256410253"/>
        <n v="10.295062704296367"/>
        <n v="9.2950627042963667"/>
        <n v="8.2950627042963667"/>
        <n v="9.4916572307560827"/>
        <n v="8.4916572307560827"/>
        <n v="7.4916572307560836"/>
        <n v="6.4916572307560836"/>
        <n v="5.4916572307560836"/>
        <n v="4.4916572307560836"/>
        <n v="3.9536423841059603"/>
        <n v="2.9536423841059603"/>
        <n v="1.9536423841059603"/>
        <n v="0.95364238410596025"/>
        <n v="5.0121412803532008"/>
        <n v="4.0121412803532008"/>
        <n v="3.0121412803532008"/>
        <n v="2.0121412803532008"/>
        <n v="1.0121412803532008"/>
        <n v="5.0949227373068435"/>
        <n v="4.0949227373068435"/>
        <n v="3.0949227373068431"/>
        <n v="9.7364620938628157"/>
        <n v="8.7189189189189182"/>
        <n v="7.7032374100719423"/>
        <n v="6.6894075403949733"/>
        <n v="10.456391875746714"/>
        <n v="9.4376863446630885"/>
        <n v="8.4208333333333325"/>
        <n v="7.4108204518430441"/>
        <n v="14.913946587537092"/>
        <n v="13.913946587537092"/>
        <n v="12.913946587537092"/>
        <n v="11.913946587537092"/>
        <n v="10.913946587537092"/>
        <n v="9.913946587537092"/>
        <n v="8.913946587537092"/>
        <n v="7.913946587537092"/>
        <n v="15"/>
        <n v="14"/>
        <n v="3.1436852274723344"/>
        <n v="2.1436852274723344"/>
        <n v="1.1436852274723344"/>
        <n v="0.14368522747233445"/>
        <n v="7.1971988795518209"/>
        <n v="6.1971988795518209"/>
        <n v="5.1971988795518209"/>
        <n v="4.1971988795518209"/>
        <n v="3.1971988795518209"/>
        <n v="2.1971988795518209"/>
        <n v="13.522128851540616"/>
        <n v="12.522128851540616"/>
        <n v="11.522128851540616"/>
        <n v="10.522128851540616"/>
        <n v="9.5221288515406162"/>
        <n v="8.5221288515406162"/>
        <n v="7.5221288515406162"/>
        <n v="6.5221288515406162"/>
        <n v="5.5221288515406162"/>
        <n v="11.439775910364146"/>
        <n v="10.439775910364146"/>
        <n v="9.4397759103641459"/>
        <n v="8.4397759103641459"/>
        <n v="7.4397759103641459"/>
        <n v="6.4397759103641459"/>
        <n v="12.235294117647058"/>
        <n v="11.235294117647058"/>
        <n v="7.1036694404043779"/>
        <n v="6.1036694404043779"/>
        <n v="5.1036694404043779"/>
        <n v="4.1036694404043779"/>
        <n v="3.1036694404043774"/>
        <n v="2.1036694404043774"/>
        <n v="1.1036694404043776"/>
        <n v="0.10366944040437757"/>
        <n v="12.122753346080305"/>
        <n v="11.122753346080305"/>
        <n v="10.122753346080305"/>
        <n v="9.1227533460803052"/>
        <n v="8.1227533460803052"/>
        <n v="7.1227533460803061"/>
        <n v="6.1227533460803061"/>
        <n v="5.1227533460803061"/>
        <n v="4.1227533460803061"/>
        <n v="3.1227533460803061"/>
        <n v="2.1227533460803061"/>
        <n v="1.1227533460803059"/>
        <n v="2.1069684864624945"/>
        <n v="1.1069684864624945"/>
        <n v="14.953839325343985"/>
        <n v="13.953839325343985"/>
        <n v="12.953839325343985"/>
        <n v="11.953839325343985"/>
        <n v="10.953839325343985"/>
        <n v="9.953839325343985"/>
        <n v="47.016949152542374"/>
        <n v="46.016949152542374"/>
        <n v="45.016949152542374"/>
        <n v="44.016949152542374"/>
        <n v="43.016949152542374"/>
        <n v="42.016949152542374"/>
        <n v="41.016949152542374"/>
        <n v="40.016949152542374"/>
        <n v="39.016949152542374"/>
        <n v="38.016949152542374"/>
        <n v="37.016949152542374"/>
        <n v="36.016949152542374"/>
        <n v="4.2491467576791813"/>
        <n v="3.2491467576791808"/>
        <n v="2.2491467576791808"/>
        <n v="1.2491467576791808"/>
        <n v="0.24914675767918087"/>
        <n v="6.5051194539249151"/>
        <n v="5.5051194539249151"/>
        <n v="4.5051194539249151"/>
        <n v="3.5051194539249146"/>
        <n v="2.5051194539249146"/>
        <n v="1.5051194539249146"/>
        <n v="7.5392491467576788"/>
        <n v="2.0224521325093709"/>
        <n v="1.0224521325093709"/>
        <n v="5.0988501671563169"/>
        <n v="4.0988501671563169"/>
        <n v="3.0988501671563164"/>
        <n v="2.0988501671563164"/>
        <n v="1.0988501671563164"/>
        <n v="5.2220393070610882"/>
        <n v="4.2220393070610882"/>
        <n v="3.2220393070610882"/>
        <n v="2.2220393070610882"/>
        <n v="1.222039307061088"/>
        <n v="6.7347429774143936"/>
        <n v="7.2464119726638669"/>
        <n v="6.1544559704860395"/>
        <n v="5.0773353942808708"/>
        <n v="4.0144840109568802"/>
        <n v="5.7015453088945707"/>
        <n v="11.782608303899661"/>
        <n v="10.642009893967765"/>
        <n v="9.5165193522466662"/>
        <n v="8.4055811904375446"/>
        <n v="7.308746637176001"/>
        <n v="6.2255068572302568"/>
        <n v="11.797305358198045"/>
        <n v="10.665937413458876"/>
        <n v="9.5484757107917648"/>
        <n v="8.4444402304797865"/>
        <n v="7.3534478138298445"/>
        <n v="6.2750560069992183"/>
        <n v="8.4873684610416742"/>
        <n v="7.4873684610416742"/>
        <n v="6.4873684610416742"/>
        <n v="5.4873684610416742"/>
        <n v="4.4873684610416742"/>
        <n v="3.4873684610416746"/>
        <n v="2.4873684610416746"/>
        <n v="1.4873684610416746"/>
        <n v="0.48736846104167458"/>
        <n v="8.3325575709279267"/>
        <n v="8.2996948265401294"/>
        <n v="10.016372510844072"/>
        <n v="13.544168651350642"/>
        <n v="12.544168651350642"/>
        <n v="11.544168651350642"/>
        <n v="11.449727879451956"/>
        <n v="10.449727879451956"/>
        <n v="11.429280352081427"/>
        <n v="10.646614566825743"/>
        <n v="9.6466145668257433"/>
        <n v="8.6466145668257433"/>
        <n v="7.6466145668257433"/>
        <n v="12.369893777902544"/>
        <n v="11.369893777902544"/>
        <n v="10.369893777902544"/>
        <n v="9.3698937779025435"/>
        <n v="8.3698937779025435"/>
        <n v="7.3698937779025435"/>
        <n v="6.3698937779025435"/>
        <n v="11.681931376721694"/>
        <n v="10.681931376721694"/>
        <n v="9.6819313767216943"/>
        <n v="0.68872937671430767"/>
        <n v="1.0170246935352543"/>
        <n v="3.7666230155305489"/>
        <n v="2.7666230155305489"/>
        <n v="1.7666230155305489"/>
        <n v="4.6164791168712265"/>
        <n v="3.6164791168712265"/>
        <n v="2.6164791168712265"/>
        <n v="1.6164791168712267"/>
        <n v="0.6164791168712267"/>
        <n v="13.031884615384616"/>
        <n v="12.031884615384616"/>
        <n v="11.031884615384616"/>
        <n v="10.031884615384616"/>
        <n v="9.031884615384616"/>
        <n v="8.031884615384616"/>
        <n v="7.0318846153846151"/>
        <n v="6.0318846153846151"/>
        <n v="5.8078461538461541"/>
        <n v="8.1661153846153844"/>
        <n v="7.1661153846153844"/>
        <n v="6.1661153846153844"/>
        <n v="10.16666923076923"/>
        <n v="5.4554485249849485"/>
        <n v="4.4554485249849485"/>
        <n v="7.9708007224563513"/>
        <n v="6.9708007224563513"/>
        <n v="5.9708007224563513"/>
        <n v="4.9708007224563513"/>
        <n v="3.9708007224563517"/>
        <n v="2.9708007224563517"/>
        <n v="1.9708007224563515"/>
        <n v="13.500688569742278"/>
        <n v="12.500688569742278"/>
        <n v="11.500688569742278"/>
        <n v="10.500688569742278"/>
        <n v="9.5006885697422785"/>
        <n v="8.5006885697422785"/>
        <n v="7.5006885697422785"/>
        <n v="12.312413928782215"/>
        <n v="11.312413928782215"/>
        <n v="10.312413928782215"/>
        <n v="9.312413928782215"/>
        <n v="8.312413928782215"/>
        <n v="10.938875729389334"/>
        <n v="13.023975966260327"/>
        <n v="12.023975966260327"/>
        <n v="11.023975966260327"/>
        <n v="10.023975966260327"/>
        <n v="9.0239759662603269"/>
        <n v="8.0239759662603269"/>
        <n v="28.613900283089723"/>
        <n v="27.613900283089723"/>
        <n v="26.613900283089723"/>
        <n v="25.613900283089723"/>
        <n v="24.613900283089723"/>
        <n v="23.613900283089723"/>
        <n v="22.613900283089723"/>
        <n v="21.613900283089723"/>
        <n v="20.613900283089723"/>
        <n v="19.613900283089723"/>
        <n v="18.613900283089723"/>
        <n v="17.613900283089723"/>
        <n v="16.613900283089723"/>
        <n v="15.613900283089722"/>
        <n v="14.613900283089722"/>
        <n v="13.613900283089722"/>
        <n v="6.5314812313326431"/>
        <n v="5.5314812313326431"/>
        <n v="4.5314812313326431"/>
        <n v="3.5314812313326431"/>
        <n v="2.5314812313326431"/>
        <n v="1.5314812313326429"/>
        <n v="0.53148123133264291"/>
        <n v="18.432380952380953"/>
        <n v="17.64952380952381"/>
        <n v="16.64952380952381"/>
        <n v="15.64952380952381"/>
        <n v="14.64952380952381"/>
        <n v="13.64952380952381"/>
        <n v="12.64952380952381"/>
        <n v="11.64952380952381"/>
        <n v="10.64952380952381"/>
        <n v="13.385714285714286"/>
        <n v="12.385714285714286"/>
        <n v="12.541904761904762"/>
        <n v="13.446666666666667"/>
        <n v="4.0501780511492393"/>
        <n v="3.0501780511492393"/>
        <n v="5.2874716736808027"/>
        <n v="4.2874716736808027"/>
        <n v="3.2874716736808027"/>
        <n v="2.2874716736808027"/>
        <n v="1.287471673680803"/>
        <n v="0.28747167368080284"/>
        <n v="7.5492746373186597"/>
        <n v="6.5492746373186597"/>
        <n v="11.158579289644823"/>
        <n v="10.158579289644823"/>
        <n v="9.1585792896448233"/>
        <n v="8.1585792896448233"/>
        <n v="7.1585792896448224"/>
        <n v="11.281390695347675"/>
        <n v="10.281390695347675"/>
        <n v="9.2813906953476746"/>
        <n v="8.2813906953476746"/>
        <n v="7.2813906953476737"/>
        <n v="8.7205781142463863"/>
        <n v="7.4476853202216757"/>
        <n v="18.370071797455598"/>
        <n v="17.463096594505632"/>
        <n v="16.563152533740769"/>
        <n v="52.894975235998814"/>
        <n v="51.816721616366557"/>
        <n v="50.668212088004722"/>
        <n v="49.766638513513513"/>
        <n v="48.812917406374169"/>
        <n v="47.82736459346328"/>
        <n v="46.797050621144258"/>
        <n v="45.783212943015251"/>
        <n v="44.777411724953538"/>
        <n v="43.794439514936407"/>
        <n v="42.798140714134796"/>
        <n v="41.796332291050454"/>
        <n v="40.791034686721027"/>
        <n v="21.147432198499711"/>
        <n v="20.147432198499711"/>
        <n v="19.147432198499711"/>
        <n v="18.147432198499711"/>
        <n v="17.147432198499711"/>
        <n v="16.147432198499711"/>
        <n v="15.147432198499711"/>
        <n v="14.147432198499711"/>
        <n v="13.147432198499711"/>
        <n v="22.543787135107209"/>
        <n v="21.543787135107209"/>
        <n v="20.543787135107209"/>
        <n v="19.543787135107209"/>
        <n v="18.543787135107209"/>
        <n v="17.543787135107209"/>
        <n v="16.543787135107209"/>
        <n v="15.543787135107207"/>
        <n v="14.543787135107207"/>
        <n v="13.543787135107207"/>
        <n v="12.543787135107207"/>
        <n v="11.543787135107207"/>
        <n v="6.7068837209302323"/>
        <n v="5.7068837209302323"/>
        <n v="4.7068837209302323"/>
        <n v="3.7068837209302328"/>
        <n v="2.7068837209302328"/>
        <n v="1.7068837209302326"/>
        <n v="0.70688372093023255"/>
        <n v="1.1548372093023256"/>
        <n v="1.6123255813953488"/>
        <n v="0.61232558139534887"/>
        <n v="7.2848605577689245"/>
        <n v="6.2848605577689245"/>
        <n v="5.2848605577689245"/>
        <n v="6.589926010244735"/>
        <n v="5.589926010244735"/>
        <n v="4.589926010244735"/>
        <n v="3.5899260102447355"/>
        <n v="2.5899260102447355"/>
        <n v="1.5899260102447355"/>
        <n v="8.823911028730306"/>
        <n v="7.823911028730306"/>
        <n v="6.823911028730306"/>
        <n v="5.823911028730306"/>
        <n v="4.823911028730306"/>
        <n v="3.823911028730306"/>
        <n v="2.823911028730306"/>
        <n v="1.8239110287303058"/>
        <n v="0.82391102873030586"/>
        <n v="23.275862068965516"/>
        <n v="22.275862068965516"/>
        <n v="21.275862068965516"/>
        <n v="20.275862068965516"/>
        <n v="19.275862068965516"/>
        <n v="18.275862068965516"/>
        <n v="17.275862068965516"/>
        <n v="16.275862068965516"/>
        <n v="15.275862068965518"/>
        <n v="14.275862068965518"/>
        <n v="13.275862068965518"/>
        <n v="12.275862068965518"/>
        <n v="8.735294117647058"/>
        <n v="8.5806451612903221"/>
        <n v="7.3125"/>
        <n v="6.3125"/>
        <n v="5.1212121212121211"/>
        <n v="4.28125"/>
        <n v="3.28125"/>
        <n v="15.21875"/>
        <n v="14.21875"/>
        <n v="13.21875"/>
        <n v="12.21875"/>
        <n v="11.21875"/>
        <n v="10.21875"/>
        <n v="9.21875"/>
        <n v="8.21875"/>
        <n v="7.21875"/>
        <n v="15.28125"/>
        <n v="14.28125"/>
        <n v="10.1"/>
        <n v="9.1"/>
        <n v="8.1"/>
        <n v="7.1"/>
        <n v="6.1"/>
        <n v="5.0999999999999996"/>
        <n v="4.0999999999999996"/>
        <n v="3.1"/>
        <n v="11.67"/>
        <n v="10.67"/>
        <n v="9.67"/>
        <n v="8.67"/>
        <n v="7.67"/>
        <n v="6.67"/>
        <n v="6.7165999999999997"/>
        <n v="5.7165999999999997"/>
        <n v="4.7165999999999997"/>
        <n v="4.1166"/>
        <n v="3.1166"/>
        <n v="2.1166"/>
        <n v="4.2138999999999998"/>
        <n v="1.8147389969293757"/>
        <n v="0.81473899692937568"/>
        <n v="1.1399692937563972"/>
        <n v="0.13996929375639713"/>
        <n v="1.092374616171955"/>
        <n v="9.2374616171954971E-2"/>
        <n v="5.605762473647224"/>
        <n v="4.605762473647224"/>
        <n v="15.200983836964161"/>
        <n v="14.200983836964161"/>
        <n v="13.200983836964161"/>
        <n v="12.200983836964161"/>
        <n v="11.200983836964161"/>
        <n v="10.200983836964161"/>
        <n v="9.200983836964161"/>
        <n v="18.983370288248338"/>
        <n v="17.983370288248338"/>
        <n v="16.983370288248338"/>
        <n v="15.983370288248336"/>
        <n v="14.983370288248336"/>
        <n v="13.983370288248336"/>
        <n v="12.983370288248336"/>
        <n v="11.983370288248336"/>
        <n v="16.916851441241686"/>
        <n v="15.916851441241684"/>
        <n v="14.916851441241684"/>
        <n v="13.916851441241684"/>
        <n v="11.119402985074627"/>
        <n v="64.07352941176471"/>
        <n v="62.45145631067961"/>
        <n v="61.149758454106284"/>
        <n v="60.746341463414637"/>
        <n v="60.044117647058826"/>
        <n v="59.044117647058826"/>
        <n v="101.80487804878049"/>
        <n v="100.80487804878049"/>
        <n v="99.804878048780495"/>
        <n v="98.804878048780495"/>
        <n v="97.804878048780495"/>
        <n v="96.804878048780495"/>
        <n v="95.804878048780495"/>
        <n v="94.804878048780495"/>
        <n v="93.804878048780495"/>
        <n v="92.804878048780495"/>
        <n v="91.804878048780495"/>
        <n v="3.016497461928934"/>
        <n v="2.016497461928934"/>
        <n v="1.016497461928934"/>
        <n v="1.6497461928934011E-2"/>
        <n v="8.7603130240357743"/>
        <n v="7.7603130240357743"/>
        <n v="12.418278367803243"/>
        <n v="5.7603130240357743"/>
        <n v="4.7603130240357743"/>
        <n v="3.7603130240357743"/>
        <n v="2.7603130240357743"/>
        <n v="7.2931805477920628"/>
        <n v="0.76031302403577417"/>
        <n v="2.6106770150506056"/>
        <n v="3.1777207768413338"/>
        <n v="2.172075037884726"/>
        <n v="1.1682228365760785"/>
        <n v="0.16615464722728457"/>
        <n v="3.0654399916835593"/>
        <n v="2.0600321693560941"/>
        <n v="9.2219402289325121"/>
        <n v="8.2062047569803518"/>
        <n v="7.2062047569803518"/>
        <n v="14.996277145811789"/>
        <n v="13.996277145811789"/>
        <n v="12.996277145811789"/>
        <n v="11.996277145811789"/>
        <n v="10.996277145811789"/>
        <n v="9.9962771458117885"/>
        <n v="8.9962771458117885"/>
        <n v="7.9962771458117894"/>
        <n v="7.7405088970034193"/>
        <n v="6.7405088970034193"/>
        <n v="5.7405088970034193"/>
        <n v="4.7405088970034193"/>
        <n v="3.7405088970034197"/>
        <n v="2.7405088970034197"/>
        <n v="1.7405088970034197"/>
        <n v="0.74050889700341971"/>
        <n v="4.1199091909741332"/>
        <n v="3.1199091909741332"/>
        <n v="4.871697853604843"/>
        <n v="8.3939873417721511"/>
        <n v="7.393987341772152"/>
        <n v="6.393987341772152"/>
        <n v="5.393987341772152"/>
        <n v="5.9784672537149151"/>
        <n v="4.9784672537149151"/>
        <n v="3.9784672537149146"/>
        <n v="16.611653824986242"/>
        <n v="22.757636213538799"/>
        <n v="21.757636213538799"/>
        <n v="20.757636213538799"/>
        <n v="19.757636213538799"/>
        <n v="18.757636213538799"/>
        <n v="17.757636213538799"/>
        <n v="16.757636213538799"/>
        <n v="15.757636213538801"/>
        <n v="14.757636213538801"/>
        <n v="13.757636213538801"/>
        <n v="12.757636213538801"/>
        <n v="18.454251513483765"/>
        <n v="1.5217160284049083"/>
        <n v="1.3290973194666607"/>
        <n v="0.32909731946666076"/>
        <n v="0.4018862807392361"/>
        <n v="28.7332"/>
        <n v="27.7332"/>
        <n v="30.016400000000001"/>
        <n v="29.016400000000001"/>
        <n v="28.016400000000001"/>
        <n v="10.212390443030376"/>
        <n v="9.205855297364316"/>
        <n v="19.92490909090909"/>
        <n v="18.92490909090909"/>
        <n v="17.92490909090909"/>
        <n v="16.92490909090909"/>
        <n v="15.924909090909091"/>
        <n v="14.924909090909091"/>
        <n v="8.281065088757396"/>
        <n v="12.585155647028557"/>
        <n v="11.585155647028557"/>
        <n v="10.585155647028557"/>
        <n v="9.5851556470285573"/>
        <n v="8.5851556470285573"/>
        <n v="12.698739387702599"/>
        <n v="11.698739387702599"/>
        <n v="10.698739387702599"/>
        <n v="9.6987393877025987"/>
        <n v="8.6987393877025987"/>
        <n v="12.859017236943659"/>
        <n v="2.4640570548666827"/>
        <n v="1.4596715476094166"/>
        <n v="2.6778648146652668"/>
        <n v="1.6731156791616284"/>
        <n v="0.67022089888544645"/>
        <n v="4.6008756075029122"/>
        <n v="3.5927589110300309"/>
        <n v="14.97134280568341"/>
        <n v="13.945023772423989"/>
        <n v="12.945023772423989"/>
        <n v="11.945023772423989"/>
        <n v="16.982020855807264"/>
        <n v="15.982020855807264"/>
        <n v="14.982020855807264"/>
        <n v="13.982020855807264"/>
        <n v="12.982020855807264"/>
        <n v="11.982020855807264"/>
        <n v="10.982020855807264"/>
        <n v="6.6821010874769167"/>
        <n v="8.8419396758087689"/>
        <n v="11.261678407769647"/>
        <n v="10.261678407769647"/>
        <n v="9.2616784077696472"/>
        <n v="8.2616784077696472"/>
        <n v="7.2616784077696463"/>
        <n v="6.2616784077696463"/>
        <n v="5.9456261541618218"/>
        <n v="7.3394432665344365"/>
        <n v="16.24027084330757"/>
        <n v="15.240270843307572"/>
        <n v="14.240270843307572"/>
        <n v="13.240270843307572"/>
        <n v="12.240270843307572"/>
        <n v="11.240270843307572"/>
        <n v="17.394979823541483"/>
        <n v="16.394979823541483"/>
        <n v="15.394979823541481"/>
        <n v="14.394979823541481"/>
        <n v="13.394979823541481"/>
        <n v="12.394979823541481"/>
        <n v="18.100061555297174"/>
        <n v="4.1764718228565432"/>
        <n v="3.1764718228565432"/>
        <n v="2.1764718228565432"/>
        <n v="1.1764718228565432"/>
        <n v="0.17647182285654317"/>
        <n v="4.4352814628899244"/>
        <n v="3.4352814628899249"/>
        <n v="2.4352814628899249"/>
        <n v="1.4352814628899246"/>
        <n v="5.756113302258874"/>
        <n v="4.756113302258874"/>
        <n v="3.756113302258874"/>
        <n v="2.756113302258874"/>
        <n v="1.7561133022588742"/>
        <n v="0.75611330225887419"/>
        <n v="2.7363190338407346"/>
        <n v="1.7363190338407346"/>
        <n v="0.73631903384073472"/>
        <n v="2.168490795487902"/>
        <n v="1.168490795487902"/>
        <n v="0.16849079548790205"/>
        <n v="4.6442019326891035"/>
        <n v="3.4980635791512023"/>
        <n v="2.4803724813357952"/>
        <n v="1.5040927141583598"/>
        <n v="0.54994154000334061"/>
        <n v="12.4987231238158"/>
        <n v="11.417908004583401"/>
        <n v="10.384364289211685"/>
        <n v="9.4047424366312349"/>
        <n v="8.434055118110237"/>
        <n v="7.4506903353057199"/>
        <n v="6.4311475409836065"/>
        <n v="11.982800982800983"/>
        <n v="10.983782455565567"/>
        <n v="9.9900835928536313"/>
        <n v="8.9941788964499469"/>
        <n v="7.9934415477947205"/>
        <n v="6.9901663525362618"/>
        <n v="10.511629726609305"/>
        <n v="15.055140325514069"/>
        <n v="15.889329947603681"/>
        <n v="14.889329947603681"/>
        <n v="13.889329947603681"/>
        <n v="12.889329947603681"/>
        <n v="17.990739889894034"/>
        <n v="16.990739889894034"/>
        <n v="15.990739889894034"/>
        <n v="14.990739889894034"/>
        <n v="13.990739889894034"/>
        <n v="18.523866755586045"/>
        <n v="7.1211710490647873"/>
        <n v="7.9802435723951284"/>
        <n v="7.0105949470252646"/>
        <n v="8.2257274952406849"/>
        <n v="7.2257274952406849"/>
        <n v="6.2100407055630935"/>
        <n v="14.988599348534201"/>
        <n v="13.992669019820799"/>
        <n v="13.00027166530834"/>
        <n v="12.00027166530834"/>
        <n v="10.997012493210212"/>
        <n v="9.9940266087428729"/>
        <n v="8.996740901683868"/>
        <n v="7.9967409016838671"/>
        <n v="6.9967409016838671"/>
        <n v="15.002715915263444"/>
        <n v="14.002715915263444"/>
        <n v="13.002715915263444"/>
        <n v="11.797201757769063"/>
        <n v="10.797201757769063"/>
        <n v="10.810649648249129"/>
        <n v="9.9244801153078495"/>
        <n v="8.9244801153078495"/>
        <n v="10.456893838518338"/>
        <n v="11.791877778184409"/>
        <n v="10.791877778184409"/>
        <n v="9.7918777781844089"/>
        <n v="7.3931268684889053"/>
        <n v="6.3931268684889053"/>
        <n v="5.3931268684889053"/>
        <n v="4.3931268684889053"/>
        <n v="3.3931268684889053"/>
        <n v="2.3931268684889053"/>
        <n v="1.3931268684889055"/>
        <n v="0.39312686848890549"/>
        <n v="5.7949110581474867"/>
        <n v="1.6196650146397649"/>
        <n v="6.1788163934067066"/>
        <n v="6.5493968823795443"/>
        <n v="5.0354265093198416"/>
        <n v="0.67099773840916266"/>
        <n v="3.5917713076200823"/>
        <n v="2.5917713076200823"/>
        <n v="11.9415627135749"/>
        <n v="10.9415627135749"/>
        <n v="9.9415627135748998"/>
        <n v="8.9415627135748998"/>
        <n v="7.9415627135749007"/>
        <n v="6.9415627135749007"/>
        <n v="5.9415627135749007"/>
        <n v="4.9415627135749007"/>
        <n v="21.081146135985119"/>
        <n v="20.081146135985119"/>
        <n v="19.081146135985119"/>
        <n v="18.081146135985119"/>
        <n v="17.081146135985119"/>
        <n v="16.081146135985119"/>
        <n v="15.08114613598512"/>
        <n v="14.08114613598512"/>
        <n v="13.08114613598512"/>
        <n v="9.167426744246999"/>
        <n v="35.348796980657333"/>
        <n v="34.348796980657333"/>
        <n v="33.348796980657333"/>
        <n v="32.348796980657333"/>
        <n v="31.348796980657337"/>
        <n v="57.002883052890915"/>
        <n v="56.002883052890915"/>
        <n v="55.002883052890915"/>
        <n v="54.002883052890915"/>
        <n v="53.002883052890915"/>
        <n v="79.396183886355303"/>
        <n v="4.7056900906254642"/>
        <n v="3.7190107270560189"/>
        <n v="2.7290110546758291"/>
        <n v="1.7363690832834033"/>
        <n v="0.74132492113564674"/>
        <n v="22.337098960686852"/>
        <n v="21.397825101948346"/>
        <n v="20.459406240533173"/>
        <n v="19.51534021871203"/>
        <n v="18.568839476088943"/>
        <n v="17.622727967007791"/>
        <n v="16.671312605299434"/>
        <n v="15.717401320841653"/>
        <n v="14.763401109057302"/>
        <n v="13.804448563484709"/>
        <n v="12.842936802973977"/>
        <n v="11.880845114183625"/>
        <n v="10.914161084281041"/>
        <n v="40.465301003344479"/>
        <n v="39.465301003344479"/>
        <n v="38.465301003344479"/>
        <n v="37.465301003344479"/>
        <n v="36.465301003344479"/>
        <n v="35.465301003344479"/>
        <n v="34.465301003344479"/>
        <n v="33.465301003344479"/>
        <n v="32.465301003344479"/>
        <n v="36.464179464501086"/>
        <n v="35.464179464501086"/>
        <n v="34.464179464501086"/>
        <n v="33.464179464501086"/>
        <n v="32.464179464501086"/>
        <n v="31.464179464501086"/>
        <n v="30.464179464501086"/>
        <n v="29.464179464501086"/>
        <n v="28.464179464501086"/>
        <n v="27.464179464501086"/>
        <n v="26.464179464501086"/>
        <n v="25.464179464501086"/>
        <n v="1.3366862122511414"/>
        <n v="1.8885901684937538"/>
        <n v="0.88859016849375394"/>
        <n v="0.44318260829258116"/>
        <n v="0.55097689294736596"/>
        <n v="0.56159176767793817"/>
        <n v="3.6003068498724282"/>
        <n v="15.136056555313504"/>
        <n v="14.136056555313504"/>
        <n v="13.136056555313504"/>
        <n v="12.136056555313504"/>
        <n v="11.136056555313504"/>
        <n v="11.890881811940019"/>
        <n v="10.890881811940019"/>
        <n v="9.8908818119400195"/>
        <n v="8.8908818119400195"/>
        <n v="7.8908818119400204"/>
        <n v="6.8908818119400204"/>
        <n v="4.4540714285714289"/>
        <n v="3.4540714285714285"/>
        <n v="2.4540714285714285"/>
        <n v="1.4540714285714287"/>
        <n v="0.45407142857142857"/>
        <n v="9.0912135012054645"/>
        <n v="8.0912135012054645"/>
        <n v="13.616796142512724"/>
        <n v="12.616796142512724"/>
        <n v="11.616796142512724"/>
        <n v="10.616796142512724"/>
        <n v="9.6167961425127242"/>
        <n v="8.6167961425127242"/>
        <n v="7.6167961425127242"/>
      </sharedItems>
    </cacheField>
    <cacheField name="Projected Expired stock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5438651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3">
  <r>
    <x v="0"/>
    <x v="0"/>
    <s v="cycle "/>
    <s v="All levels"/>
    <x v="0"/>
    <n v="369278"/>
    <m/>
    <n v="94644"/>
    <n v="274634"/>
    <m/>
    <m/>
    <m/>
    <m/>
    <m/>
    <m/>
    <m/>
    <m/>
    <m/>
    <x v="0"/>
    <x v="0"/>
    <n v="13"/>
    <x v="0"/>
    <m/>
  </r>
  <r>
    <x v="0"/>
    <x v="0"/>
    <s v="cycle "/>
    <s v="All levels"/>
    <x v="1"/>
    <n v="274634"/>
    <m/>
    <n v="94644"/>
    <n v="698529"/>
    <s v="UNFPA"/>
    <s v="UNFPA"/>
    <s v="Planned"/>
    <n v="518539"/>
    <m/>
    <n v="136894"/>
    <n v="45870"/>
    <m/>
    <m/>
    <x v="0"/>
    <x v="0"/>
    <n v="13"/>
    <x v="1"/>
    <m/>
  </r>
  <r>
    <x v="0"/>
    <x v="0"/>
    <s v="cycle "/>
    <s v="All levels"/>
    <x v="2"/>
    <n v="698529"/>
    <m/>
    <n v="94644"/>
    <n v="603885"/>
    <m/>
    <m/>
    <m/>
    <m/>
    <m/>
    <m/>
    <m/>
    <m/>
    <m/>
    <x v="0"/>
    <x v="0"/>
    <n v="13"/>
    <x v="2"/>
    <m/>
  </r>
  <r>
    <x v="0"/>
    <x v="0"/>
    <s v="cycle "/>
    <s v="All levels"/>
    <x v="3"/>
    <n v="603885"/>
    <m/>
    <n v="94644"/>
    <n v="509241"/>
    <m/>
    <m/>
    <m/>
    <m/>
    <m/>
    <m/>
    <m/>
    <m/>
    <m/>
    <x v="0"/>
    <x v="0"/>
    <n v="13"/>
    <x v="3"/>
    <m/>
  </r>
  <r>
    <x v="0"/>
    <x v="0"/>
    <s v="cycle "/>
    <s v="All levels"/>
    <x v="4"/>
    <n v="509241"/>
    <m/>
    <n v="94644"/>
    <n v="414597"/>
    <m/>
    <m/>
    <m/>
    <m/>
    <m/>
    <m/>
    <m/>
    <m/>
    <m/>
    <x v="0"/>
    <x v="0"/>
    <n v="13"/>
    <x v="4"/>
    <m/>
  </r>
  <r>
    <x v="0"/>
    <x v="0"/>
    <s v="cycle "/>
    <s v="All levels"/>
    <x v="5"/>
    <n v="414597"/>
    <m/>
    <n v="94644"/>
    <n v="319953"/>
    <m/>
    <m/>
    <m/>
    <m/>
    <m/>
    <m/>
    <m/>
    <m/>
    <m/>
    <x v="0"/>
    <x v="0"/>
    <n v="13"/>
    <x v="5"/>
    <m/>
  </r>
  <r>
    <x v="0"/>
    <x v="0"/>
    <s v="cycle "/>
    <s v="All levels"/>
    <x v="6"/>
    <n v="319953"/>
    <m/>
    <n v="94644"/>
    <n v="733789"/>
    <s v="TBD"/>
    <s v="TBD"/>
    <s v="Planned"/>
    <n v="508480"/>
    <m/>
    <n v="134239"/>
    <n v="46023"/>
    <m/>
    <m/>
    <x v="0"/>
    <x v="0"/>
    <n v="13"/>
    <x v="6"/>
    <m/>
  </r>
  <r>
    <x v="0"/>
    <x v="0"/>
    <s v="cycle "/>
    <s v="All levels"/>
    <x v="7"/>
    <n v="733789"/>
    <m/>
    <n v="94644"/>
    <n v="639145"/>
    <m/>
    <m/>
    <m/>
    <m/>
    <m/>
    <m/>
    <m/>
    <m/>
    <m/>
    <x v="0"/>
    <x v="0"/>
    <n v="13"/>
    <x v="7"/>
    <m/>
  </r>
  <r>
    <x v="0"/>
    <x v="0"/>
    <s v="cycle "/>
    <s v="All levels"/>
    <x v="8"/>
    <n v="639145"/>
    <m/>
    <n v="94644"/>
    <n v="544501"/>
    <m/>
    <m/>
    <m/>
    <m/>
    <m/>
    <m/>
    <m/>
    <m/>
    <m/>
    <x v="0"/>
    <x v="0"/>
    <n v="13"/>
    <x v="8"/>
    <m/>
  </r>
  <r>
    <x v="0"/>
    <x v="0"/>
    <s v="cycle "/>
    <s v="All levels"/>
    <x v="9"/>
    <n v="544501"/>
    <m/>
    <n v="94644"/>
    <n v="449857"/>
    <m/>
    <m/>
    <m/>
    <m/>
    <m/>
    <m/>
    <m/>
    <m/>
    <m/>
    <x v="0"/>
    <x v="0"/>
    <n v="13"/>
    <x v="9"/>
    <m/>
  </r>
  <r>
    <x v="0"/>
    <x v="0"/>
    <s v="cycle "/>
    <s v="All levels"/>
    <x v="10"/>
    <n v="449857"/>
    <m/>
    <n v="94644"/>
    <n v="355213"/>
    <m/>
    <m/>
    <m/>
    <m/>
    <m/>
    <m/>
    <m/>
    <m/>
    <m/>
    <x v="0"/>
    <x v="0"/>
    <n v="13"/>
    <x v="10"/>
    <m/>
  </r>
  <r>
    <x v="0"/>
    <x v="0"/>
    <s v="cycle "/>
    <s v="All levels"/>
    <x v="11"/>
    <n v="355213"/>
    <m/>
    <n v="94644"/>
    <n v="783151"/>
    <s v="TBD"/>
    <s v="TBD"/>
    <s v="Planned"/>
    <n v="522582"/>
    <m/>
    <n v="137962"/>
    <n v="46174"/>
    <m/>
    <m/>
    <x v="0"/>
    <x v="0"/>
    <n v="13"/>
    <x v="11"/>
    <m/>
  </r>
  <r>
    <x v="1"/>
    <x v="1"/>
    <s v="cycle "/>
    <s v="All levels"/>
    <x v="12"/>
    <n v="1382615"/>
    <m/>
    <n v="150366"/>
    <n v="1232249"/>
    <m/>
    <m/>
    <m/>
    <m/>
    <m/>
    <m/>
    <m/>
    <m/>
    <m/>
    <x v="1"/>
    <x v="1"/>
    <n v="15"/>
    <x v="12"/>
    <m/>
  </r>
  <r>
    <x v="1"/>
    <x v="1"/>
    <s v="cycle "/>
    <s v="All levels"/>
    <x v="13"/>
    <n v="1232249"/>
    <m/>
    <n v="150778"/>
    <n v="1081471"/>
    <m/>
    <m/>
    <m/>
    <m/>
    <m/>
    <m/>
    <m/>
    <m/>
    <m/>
    <x v="1"/>
    <x v="1"/>
    <n v="15"/>
    <x v="13"/>
    <m/>
  </r>
  <r>
    <x v="1"/>
    <x v="1"/>
    <s v="cycle "/>
    <s v="All levels"/>
    <x v="14"/>
    <n v="1081471"/>
    <m/>
    <n v="151190"/>
    <n v="930281"/>
    <m/>
    <m/>
    <m/>
    <m/>
    <m/>
    <m/>
    <m/>
    <m/>
    <m/>
    <x v="1"/>
    <x v="1"/>
    <n v="15"/>
    <x v="14"/>
    <m/>
  </r>
  <r>
    <x v="1"/>
    <x v="1"/>
    <s v="cycle "/>
    <s v="All levels"/>
    <x v="0"/>
    <n v="930281"/>
    <m/>
    <n v="151602"/>
    <n v="778679"/>
    <m/>
    <m/>
    <m/>
    <m/>
    <m/>
    <m/>
    <m/>
    <m/>
    <m/>
    <x v="1"/>
    <x v="1"/>
    <n v="15"/>
    <x v="15"/>
    <m/>
  </r>
  <r>
    <x v="1"/>
    <x v="1"/>
    <s v="cycle "/>
    <s v="All levels"/>
    <x v="1"/>
    <n v="778679"/>
    <m/>
    <n v="152014"/>
    <n v="626665"/>
    <m/>
    <m/>
    <m/>
    <m/>
    <m/>
    <m/>
    <m/>
    <m/>
    <m/>
    <x v="1"/>
    <x v="1"/>
    <n v="15"/>
    <x v="16"/>
    <m/>
  </r>
  <r>
    <x v="1"/>
    <x v="1"/>
    <s v="cycle "/>
    <s v="All levels"/>
    <x v="2"/>
    <n v="626665"/>
    <m/>
    <n v="152426"/>
    <n v="474239"/>
    <m/>
    <m/>
    <m/>
    <m/>
    <m/>
    <m/>
    <m/>
    <m/>
    <m/>
    <x v="1"/>
    <x v="1"/>
    <n v="15"/>
    <x v="17"/>
    <m/>
  </r>
  <r>
    <x v="1"/>
    <x v="1"/>
    <s v="cycle "/>
    <s v="All levels"/>
    <x v="3"/>
    <n v="474239"/>
    <m/>
    <n v="152838"/>
    <n v="2283300"/>
    <m/>
    <m/>
    <s v="Planned"/>
    <n v="1961899"/>
    <m/>
    <m/>
    <m/>
    <m/>
    <m/>
    <x v="1"/>
    <x v="1"/>
    <n v="15"/>
    <x v="18"/>
    <m/>
  </r>
  <r>
    <x v="1"/>
    <x v="1"/>
    <s v="cycle "/>
    <s v="All levels"/>
    <x v="4"/>
    <n v="2283300"/>
    <m/>
    <n v="153250"/>
    <n v="2130050"/>
    <m/>
    <m/>
    <m/>
    <m/>
    <m/>
    <m/>
    <m/>
    <m/>
    <m/>
    <x v="1"/>
    <x v="1"/>
    <n v="15"/>
    <x v="19"/>
    <m/>
  </r>
  <r>
    <x v="1"/>
    <x v="1"/>
    <s v="cycle "/>
    <s v="All levels"/>
    <x v="5"/>
    <n v="2130050"/>
    <m/>
    <n v="153662"/>
    <n v="1976388"/>
    <m/>
    <m/>
    <m/>
    <m/>
    <m/>
    <m/>
    <m/>
    <m/>
    <m/>
    <x v="1"/>
    <x v="1"/>
    <n v="15"/>
    <x v="20"/>
    <m/>
  </r>
  <r>
    <x v="1"/>
    <x v="1"/>
    <s v="cycle "/>
    <s v="All levels"/>
    <x v="6"/>
    <n v="1976388"/>
    <m/>
    <n v="154074"/>
    <n v="1822314"/>
    <m/>
    <m/>
    <m/>
    <m/>
    <m/>
    <m/>
    <m/>
    <m/>
    <m/>
    <x v="1"/>
    <x v="1"/>
    <n v="15"/>
    <x v="21"/>
    <m/>
  </r>
  <r>
    <x v="1"/>
    <x v="1"/>
    <s v="cycle "/>
    <s v="All levels"/>
    <x v="7"/>
    <n v="1822314"/>
    <m/>
    <n v="154486"/>
    <n v="1667828"/>
    <m/>
    <m/>
    <m/>
    <m/>
    <m/>
    <m/>
    <m/>
    <m/>
    <m/>
    <x v="1"/>
    <x v="1"/>
    <n v="15"/>
    <x v="22"/>
    <m/>
  </r>
  <r>
    <x v="1"/>
    <x v="1"/>
    <s v="cycle "/>
    <s v="All levels"/>
    <x v="8"/>
    <n v="1667828"/>
    <m/>
    <n v="154898"/>
    <n v="1512930"/>
    <m/>
    <m/>
    <m/>
    <m/>
    <m/>
    <m/>
    <m/>
    <m/>
    <m/>
    <x v="1"/>
    <x v="1"/>
    <n v="15"/>
    <x v="23"/>
    <m/>
  </r>
  <r>
    <x v="1"/>
    <x v="1"/>
    <s v="cycle "/>
    <s v="All levels"/>
    <x v="9"/>
    <n v="1512930"/>
    <m/>
    <n v="155310"/>
    <n v="1357620"/>
    <m/>
    <m/>
    <m/>
    <m/>
    <m/>
    <m/>
    <m/>
    <m/>
    <m/>
    <x v="1"/>
    <x v="1"/>
    <n v="15"/>
    <x v="24"/>
    <m/>
  </r>
  <r>
    <x v="1"/>
    <x v="1"/>
    <s v="cycle "/>
    <s v="All levels"/>
    <x v="10"/>
    <n v="1357620"/>
    <m/>
    <n v="155722"/>
    <n v="1201898"/>
    <m/>
    <m/>
    <m/>
    <m/>
    <m/>
    <m/>
    <m/>
    <m/>
    <m/>
    <x v="1"/>
    <x v="1"/>
    <n v="15"/>
    <x v="25"/>
    <m/>
  </r>
  <r>
    <x v="1"/>
    <x v="1"/>
    <s v="cycle "/>
    <s v="All levels"/>
    <x v="11"/>
    <n v="1201898"/>
    <m/>
    <n v="156134"/>
    <n v="2332740"/>
    <m/>
    <m/>
    <s v="Planned"/>
    <n v="1286976"/>
    <m/>
    <m/>
    <m/>
    <m/>
    <m/>
    <x v="1"/>
    <x v="1"/>
    <n v="15"/>
    <x v="26"/>
    <m/>
  </r>
  <r>
    <x v="1"/>
    <x v="1"/>
    <s v="cycle "/>
    <s v="All levels"/>
    <x v="15"/>
    <n v="2332740"/>
    <m/>
    <n v="156546"/>
    <n v="2176194"/>
    <m/>
    <m/>
    <m/>
    <m/>
    <m/>
    <m/>
    <m/>
    <m/>
    <m/>
    <x v="1"/>
    <x v="1"/>
    <n v="15"/>
    <x v="27"/>
    <m/>
  </r>
  <r>
    <x v="1"/>
    <x v="1"/>
    <s v="cycle "/>
    <s v="All levels"/>
    <x v="16"/>
    <n v="2176194"/>
    <m/>
    <n v="156958"/>
    <n v="2019236"/>
    <m/>
    <m/>
    <m/>
    <m/>
    <m/>
    <m/>
    <m/>
    <m/>
    <m/>
    <x v="1"/>
    <x v="1"/>
    <n v="15"/>
    <x v="28"/>
    <m/>
  </r>
  <r>
    <x v="1"/>
    <x v="1"/>
    <s v="cycle "/>
    <s v="All levels"/>
    <x v="17"/>
    <n v="2019236"/>
    <m/>
    <n v="157370"/>
    <n v="1861866"/>
    <m/>
    <m/>
    <m/>
    <m/>
    <m/>
    <m/>
    <m/>
    <m/>
    <m/>
    <x v="1"/>
    <x v="1"/>
    <n v="15"/>
    <x v="29"/>
    <m/>
  </r>
  <r>
    <x v="2"/>
    <x v="1"/>
    <s v="cycle "/>
    <s v="All levels"/>
    <x v="12"/>
    <n v="2715813"/>
    <m/>
    <n v="161418"/>
    <n v="2554395"/>
    <m/>
    <m/>
    <m/>
    <m/>
    <m/>
    <m/>
    <m/>
    <m/>
    <m/>
    <x v="2"/>
    <x v="2"/>
    <n v="6"/>
    <x v="30"/>
    <m/>
  </r>
  <r>
    <x v="2"/>
    <x v="1"/>
    <s v="cycle "/>
    <s v="All levels"/>
    <x v="13"/>
    <n v="2554395"/>
    <m/>
    <n v="161418"/>
    <n v="2392977"/>
    <m/>
    <m/>
    <m/>
    <m/>
    <m/>
    <m/>
    <m/>
    <m/>
    <m/>
    <x v="2"/>
    <x v="2"/>
    <n v="6"/>
    <x v="31"/>
    <m/>
  </r>
  <r>
    <x v="2"/>
    <x v="1"/>
    <s v="cycle "/>
    <s v="All levels"/>
    <x v="14"/>
    <n v="2392977"/>
    <m/>
    <n v="161418"/>
    <n v="2231559"/>
    <m/>
    <m/>
    <m/>
    <m/>
    <m/>
    <m/>
    <m/>
    <m/>
    <m/>
    <x v="2"/>
    <x v="2"/>
    <n v="6"/>
    <x v="32"/>
    <m/>
  </r>
  <r>
    <x v="2"/>
    <x v="1"/>
    <s v="cycle "/>
    <s v="All levels"/>
    <x v="0"/>
    <n v="2231559"/>
    <m/>
    <n v="161418"/>
    <n v="2070141"/>
    <m/>
    <m/>
    <m/>
    <m/>
    <m/>
    <m/>
    <m/>
    <m/>
    <m/>
    <x v="2"/>
    <x v="2"/>
    <n v="6"/>
    <x v="33"/>
    <m/>
  </r>
  <r>
    <x v="2"/>
    <x v="1"/>
    <s v="cycle "/>
    <s v="All levels"/>
    <x v="1"/>
    <n v="2070141"/>
    <m/>
    <n v="161418"/>
    <n v="1908723"/>
    <m/>
    <m/>
    <m/>
    <m/>
    <m/>
    <m/>
    <m/>
    <m/>
    <m/>
    <x v="2"/>
    <x v="2"/>
    <n v="6"/>
    <x v="34"/>
    <m/>
  </r>
  <r>
    <x v="2"/>
    <x v="1"/>
    <s v="cycle "/>
    <s v="All levels"/>
    <x v="2"/>
    <n v="1908723"/>
    <m/>
    <n v="161418"/>
    <n v="1747305"/>
    <m/>
    <m/>
    <m/>
    <m/>
    <m/>
    <m/>
    <m/>
    <m/>
    <m/>
    <x v="2"/>
    <x v="2"/>
    <n v="6"/>
    <x v="35"/>
    <m/>
  </r>
  <r>
    <x v="2"/>
    <x v="1"/>
    <s v="cycle "/>
    <s v="All levels"/>
    <x v="3"/>
    <n v="1747305"/>
    <m/>
    <n v="161418"/>
    <n v="1585887"/>
    <m/>
    <m/>
    <m/>
    <m/>
    <m/>
    <m/>
    <m/>
    <m/>
    <m/>
    <x v="2"/>
    <x v="2"/>
    <n v="6"/>
    <x v="36"/>
    <m/>
  </r>
  <r>
    <x v="2"/>
    <x v="1"/>
    <s v="cycle "/>
    <s v="All levels"/>
    <x v="4"/>
    <n v="1585887"/>
    <m/>
    <n v="161418"/>
    <n v="1424469"/>
    <m/>
    <m/>
    <m/>
    <m/>
    <m/>
    <m/>
    <m/>
    <m/>
    <m/>
    <x v="2"/>
    <x v="2"/>
    <n v="6"/>
    <x v="37"/>
    <m/>
  </r>
  <r>
    <x v="2"/>
    <x v="1"/>
    <s v="cycle "/>
    <s v="All levels"/>
    <x v="5"/>
    <n v="1424469"/>
    <m/>
    <n v="161418"/>
    <n v="1263051"/>
    <m/>
    <m/>
    <m/>
    <m/>
    <m/>
    <m/>
    <m/>
    <m/>
    <m/>
    <x v="2"/>
    <x v="2"/>
    <n v="6"/>
    <x v="38"/>
    <m/>
  </r>
  <r>
    <x v="2"/>
    <x v="1"/>
    <s v="cycle "/>
    <s v="All levels"/>
    <x v="6"/>
    <n v="1263051"/>
    <m/>
    <n v="104925"/>
    <n v="1158126"/>
    <m/>
    <m/>
    <m/>
    <m/>
    <m/>
    <m/>
    <m/>
    <m/>
    <m/>
    <x v="2"/>
    <x v="2"/>
    <n v="6"/>
    <x v="39"/>
    <m/>
  </r>
  <r>
    <x v="2"/>
    <x v="1"/>
    <s v="cycle "/>
    <s v="All levels"/>
    <x v="7"/>
    <n v="1158126"/>
    <m/>
    <n v="104925"/>
    <n v="1053201"/>
    <m/>
    <m/>
    <m/>
    <m/>
    <m/>
    <m/>
    <m/>
    <m/>
    <m/>
    <x v="2"/>
    <x v="2"/>
    <n v="6"/>
    <x v="40"/>
    <m/>
  </r>
  <r>
    <x v="2"/>
    <x v="1"/>
    <s v="cycle "/>
    <s v="All levels"/>
    <x v="8"/>
    <n v="1053201"/>
    <m/>
    <n v="104925"/>
    <n v="948276"/>
    <m/>
    <m/>
    <m/>
    <m/>
    <m/>
    <m/>
    <m/>
    <m/>
    <m/>
    <x v="2"/>
    <x v="2"/>
    <n v="6"/>
    <x v="41"/>
    <m/>
  </r>
  <r>
    <x v="2"/>
    <x v="1"/>
    <s v="cycle "/>
    <s v="All levels"/>
    <x v="9"/>
    <n v="948276"/>
    <m/>
    <n v="104925"/>
    <n v="843351"/>
    <m/>
    <m/>
    <m/>
    <m/>
    <m/>
    <m/>
    <m/>
    <m/>
    <m/>
    <x v="2"/>
    <x v="2"/>
    <n v="6"/>
    <x v="42"/>
    <m/>
  </r>
  <r>
    <x v="2"/>
    <x v="1"/>
    <s v="cycle "/>
    <s v="All levels"/>
    <x v="10"/>
    <n v="843351"/>
    <m/>
    <n v="104925"/>
    <n v="738426"/>
    <m/>
    <m/>
    <m/>
    <m/>
    <m/>
    <m/>
    <m/>
    <m/>
    <m/>
    <x v="2"/>
    <x v="2"/>
    <n v="6"/>
    <x v="43"/>
    <m/>
  </r>
  <r>
    <x v="2"/>
    <x v="1"/>
    <s v="cycle "/>
    <s v="All levels"/>
    <x v="11"/>
    <n v="738426"/>
    <m/>
    <n v="104925"/>
    <n v="633501"/>
    <m/>
    <m/>
    <m/>
    <m/>
    <m/>
    <m/>
    <m/>
    <m/>
    <m/>
    <x v="2"/>
    <x v="2"/>
    <n v="6"/>
    <x v="44"/>
    <m/>
  </r>
  <r>
    <x v="2"/>
    <x v="1"/>
    <s v="cycle "/>
    <s v="All levels"/>
    <x v="15"/>
    <n v="633501"/>
    <m/>
    <n v="104925"/>
    <n v="528576"/>
    <m/>
    <m/>
    <m/>
    <m/>
    <m/>
    <m/>
    <m/>
    <m/>
    <m/>
    <x v="2"/>
    <x v="2"/>
    <n v="6"/>
    <x v="45"/>
    <m/>
  </r>
  <r>
    <x v="2"/>
    <x v="1"/>
    <s v="cycle "/>
    <s v="All levels"/>
    <x v="16"/>
    <n v="528576"/>
    <m/>
    <n v="104925"/>
    <n v="423651"/>
    <m/>
    <m/>
    <m/>
    <m/>
    <m/>
    <m/>
    <m/>
    <m/>
    <m/>
    <x v="2"/>
    <x v="2"/>
    <n v="6"/>
    <x v="46"/>
    <m/>
  </r>
  <r>
    <x v="2"/>
    <x v="1"/>
    <s v="cycle "/>
    <s v="All levels"/>
    <x v="17"/>
    <n v="423651"/>
    <m/>
    <n v="104925"/>
    <n v="318726"/>
    <m/>
    <m/>
    <m/>
    <m/>
    <m/>
    <m/>
    <m/>
    <m/>
    <m/>
    <x v="2"/>
    <x v="2"/>
    <n v="6"/>
    <x v="47"/>
    <m/>
  </r>
  <r>
    <x v="2"/>
    <x v="1"/>
    <s v="cycle "/>
    <s v="All levels"/>
    <x v="18"/>
    <n v="318726"/>
    <m/>
    <n v="104925"/>
    <n v="213801"/>
    <m/>
    <m/>
    <m/>
    <m/>
    <m/>
    <m/>
    <m/>
    <m/>
    <m/>
    <x v="2"/>
    <x v="2"/>
    <n v="6"/>
    <x v="48"/>
    <m/>
  </r>
  <r>
    <x v="2"/>
    <x v="1"/>
    <s v="cycle "/>
    <s v="All levels"/>
    <x v="19"/>
    <n v="213801"/>
    <m/>
    <n v="104925"/>
    <n v="108876"/>
    <m/>
    <m/>
    <m/>
    <m/>
    <m/>
    <m/>
    <m/>
    <m/>
    <m/>
    <x v="2"/>
    <x v="2"/>
    <n v="6"/>
    <x v="49"/>
    <m/>
  </r>
  <r>
    <x v="2"/>
    <x v="1"/>
    <s v="cycle "/>
    <s v="All levels"/>
    <x v="20"/>
    <n v="108876"/>
    <m/>
    <n v="104925"/>
    <n v="3951"/>
    <m/>
    <m/>
    <m/>
    <m/>
    <m/>
    <m/>
    <m/>
    <m/>
    <m/>
    <x v="2"/>
    <x v="2"/>
    <n v="6"/>
    <x v="50"/>
    <m/>
  </r>
  <r>
    <x v="3"/>
    <x v="1"/>
    <s v="cycle "/>
    <s v="All levels"/>
    <x v="21"/>
    <n v="446096"/>
    <m/>
    <n v="43147"/>
    <n v="477685"/>
    <s v="UNFPA"/>
    <s v="UNFPA"/>
    <s v="Received"/>
    <n v="74736"/>
    <m/>
    <n v="21763"/>
    <m/>
    <m/>
    <m/>
    <x v="3"/>
    <x v="3"/>
    <n v="12"/>
    <x v="51"/>
    <m/>
  </r>
  <r>
    <x v="3"/>
    <x v="1"/>
    <s v="cycle "/>
    <s v="All levels"/>
    <x v="22"/>
    <n v="477685"/>
    <m/>
    <n v="43147"/>
    <n v="434538"/>
    <m/>
    <m/>
    <m/>
    <m/>
    <m/>
    <m/>
    <m/>
    <m/>
    <m/>
    <x v="3"/>
    <x v="3"/>
    <n v="12"/>
    <x v="52"/>
    <m/>
  </r>
  <r>
    <x v="3"/>
    <x v="1"/>
    <s v="cycle "/>
    <s v="All levels"/>
    <x v="12"/>
    <n v="434538"/>
    <m/>
    <n v="43147"/>
    <n v="391391"/>
    <m/>
    <m/>
    <m/>
    <m/>
    <m/>
    <m/>
    <m/>
    <m/>
    <m/>
    <x v="3"/>
    <x v="3"/>
    <n v="12"/>
    <x v="53"/>
    <m/>
  </r>
  <r>
    <x v="3"/>
    <x v="1"/>
    <s v="cycle "/>
    <s v="All levels"/>
    <x v="13"/>
    <n v="391391"/>
    <m/>
    <n v="43147"/>
    <n v="348244"/>
    <m/>
    <m/>
    <m/>
    <m/>
    <m/>
    <m/>
    <m/>
    <m/>
    <m/>
    <x v="3"/>
    <x v="3"/>
    <n v="12"/>
    <x v="54"/>
    <m/>
  </r>
  <r>
    <x v="3"/>
    <x v="1"/>
    <s v="cycle "/>
    <s v="All levels"/>
    <x v="14"/>
    <n v="348244"/>
    <m/>
    <n v="43147"/>
    <n v="305097"/>
    <m/>
    <m/>
    <m/>
    <m/>
    <m/>
    <m/>
    <m/>
    <m/>
    <m/>
    <x v="3"/>
    <x v="3"/>
    <n v="12"/>
    <x v="55"/>
    <m/>
  </r>
  <r>
    <x v="3"/>
    <x v="1"/>
    <s v="cycle "/>
    <s v="All levels"/>
    <x v="0"/>
    <n v="305097"/>
    <m/>
    <n v="43147"/>
    <n v="261950"/>
    <m/>
    <m/>
    <m/>
    <m/>
    <m/>
    <m/>
    <m/>
    <m/>
    <m/>
    <x v="3"/>
    <x v="3"/>
    <n v="12"/>
    <x v="56"/>
    <m/>
  </r>
  <r>
    <x v="3"/>
    <x v="1"/>
    <s v="cycle "/>
    <s v="All levels"/>
    <x v="1"/>
    <n v="261950"/>
    <m/>
    <n v="43147"/>
    <n v="519187"/>
    <s v="UNFPA"/>
    <s v="UNFPA"/>
    <s v="Expected Deliveries"/>
    <n v="300384"/>
    <m/>
    <n v="87472"/>
    <m/>
    <m/>
    <m/>
    <x v="3"/>
    <x v="3"/>
    <n v="12"/>
    <x v="57"/>
    <m/>
  </r>
  <r>
    <x v="3"/>
    <x v="1"/>
    <s v="cycle "/>
    <s v="All levels"/>
    <x v="2"/>
    <n v="519187"/>
    <m/>
    <n v="43147"/>
    <n v="676632"/>
    <s v="UNFPA"/>
    <s v="UNFPA"/>
    <s v="Expected Deliveries"/>
    <n v="200592"/>
    <m/>
    <n v="58412"/>
    <m/>
    <m/>
    <m/>
    <x v="3"/>
    <x v="3"/>
    <n v="12"/>
    <x v="58"/>
    <m/>
  </r>
  <r>
    <x v="3"/>
    <x v="1"/>
    <s v="cycle "/>
    <s v="All levels"/>
    <x v="3"/>
    <n v="676632"/>
    <m/>
    <n v="43147"/>
    <n v="633485"/>
    <m/>
    <m/>
    <m/>
    <m/>
    <m/>
    <m/>
    <m/>
    <m/>
    <m/>
    <x v="3"/>
    <x v="3"/>
    <n v="12"/>
    <x v="59"/>
    <m/>
  </r>
  <r>
    <x v="3"/>
    <x v="1"/>
    <s v="cycle "/>
    <s v="All levels"/>
    <x v="4"/>
    <n v="633485"/>
    <m/>
    <n v="43147"/>
    <n v="590338"/>
    <m/>
    <m/>
    <m/>
    <m/>
    <m/>
    <m/>
    <m/>
    <m/>
    <m/>
    <x v="3"/>
    <x v="3"/>
    <n v="12"/>
    <x v="60"/>
    <m/>
  </r>
  <r>
    <x v="3"/>
    <x v="1"/>
    <s v="cycle "/>
    <s v="All levels"/>
    <x v="5"/>
    <n v="590338"/>
    <m/>
    <n v="43147"/>
    <n v="547191"/>
    <m/>
    <m/>
    <m/>
    <m/>
    <m/>
    <m/>
    <m/>
    <m/>
    <m/>
    <x v="3"/>
    <x v="3"/>
    <n v="12"/>
    <x v="61"/>
    <m/>
  </r>
  <r>
    <x v="3"/>
    <x v="1"/>
    <s v="cycle "/>
    <s v="All levels"/>
    <x v="6"/>
    <n v="547191"/>
    <m/>
    <n v="43147"/>
    <n v="809715"/>
    <s v="TBD"/>
    <s v="TBD"/>
    <s v="Planned"/>
    <n v="305671"/>
    <m/>
    <n v="89011"/>
    <n v="46023"/>
    <m/>
    <m/>
    <x v="3"/>
    <x v="3"/>
    <n v="12"/>
    <x v="62"/>
    <m/>
  </r>
  <r>
    <x v="3"/>
    <x v="1"/>
    <s v="cycle "/>
    <s v="All levels"/>
    <x v="7"/>
    <n v="809715"/>
    <m/>
    <n v="43147"/>
    <n v="766568"/>
    <m/>
    <m/>
    <m/>
    <m/>
    <m/>
    <m/>
    <m/>
    <m/>
    <m/>
    <x v="3"/>
    <x v="3"/>
    <n v="12"/>
    <x v="63"/>
    <m/>
  </r>
  <r>
    <x v="3"/>
    <x v="1"/>
    <s v="cycle "/>
    <s v="All levels"/>
    <x v="8"/>
    <n v="766568"/>
    <m/>
    <n v="43147"/>
    <n v="723421"/>
    <m/>
    <m/>
    <m/>
    <m/>
    <m/>
    <m/>
    <m/>
    <m/>
    <m/>
    <x v="3"/>
    <x v="3"/>
    <n v="12"/>
    <x v="64"/>
    <m/>
  </r>
  <r>
    <x v="3"/>
    <x v="1"/>
    <s v="cycle "/>
    <s v="All levels"/>
    <x v="9"/>
    <n v="723421"/>
    <m/>
    <n v="43147"/>
    <n v="680274"/>
    <m/>
    <m/>
    <m/>
    <m/>
    <m/>
    <m/>
    <m/>
    <m/>
    <m/>
    <x v="3"/>
    <x v="3"/>
    <n v="12"/>
    <x v="65"/>
    <m/>
  </r>
  <r>
    <x v="3"/>
    <x v="1"/>
    <s v="cycle "/>
    <s v="All levels"/>
    <x v="10"/>
    <n v="680274"/>
    <m/>
    <n v="43147"/>
    <n v="637127"/>
    <m/>
    <m/>
    <m/>
    <m/>
    <m/>
    <m/>
    <m/>
    <m/>
    <m/>
    <x v="3"/>
    <x v="3"/>
    <n v="12"/>
    <x v="66"/>
    <m/>
  </r>
  <r>
    <x v="3"/>
    <x v="1"/>
    <s v="cycle "/>
    <s v="All levels"/>
    <x v="11"/>
    <n v="637127"/>
    <m/>
    <n v="43147"/>
    <n v="593980"/>
    <m/>
    <m/>
    <m/>
    <m/>
    <m/>
    <m/>
    <m/>
    <m/>
    <m/>
    <x v="3"/>
    <x v="3"/>
    <n v="12"/>
    <x v="67"/>
    <m/>
  </r>
  <r>
    <x v="3"/>
    <x v="1"/>
    <s v="cycle "/>
    <s v="All levels"/>
    <x v="15"/>
    <n v="593980"/>
    <m/>
    <n v="43147"/>
    <n v="550833"/>
    <m/>
    <m/>
    <m/>
    <m/>
    <m/>
    <m/>
    <m/>
    <m/>
    <m/>
    <x v="3"/>
    <x v="3"/>
    <n v="12"/>
    <x v="68"/>
    <m/>
  </r>
  <r>
    <x v="3"/>
    <x v="1"/>
    <s v="cycle "/>
    <s v="All levels"/>
    <x v="16"/>
    <n v="550833"/>
    <m/>
    <n v="43147"/>
    <n v="507686"/>
    <m/>
    <m/>
    <m/>
    <m/>
    <m/>
    <m/>
    <m/>
    <m/>
    <m/>
    <x v="3"/>
    <x v="3"/>
    <n v="12"/>
    <x v="69"/>
    <m/>
  </r>
  <r>
    <x v="3"/>
    <x v="1"/>
    <s v="cycle "/>
    <s v="All levels"/>
    <x v="17"/>
    <n v="507686"/>
    <m/>
    <n v="43147"/>
    <n v="464539"/>
    <m/>
    <m/>
    <m/>
    <m/>
    <m/>
    <m/>
    <m/>
    <m/>
    <m/>
    <x v="3"/>
    <x v="3"/>
    <n v="12"/>
    <x v="70"/>
    <m/>
  </r>
  <r>
    <x v="3"/>
    <x v="1"/>
    <s v="cycle "/>
    <s v="All levels"/>
    <x v="18"/>
    <n v="464539"/>
    <m/>
    <n v="43147"/>
    <n v="421392"/>
    <m/>
    <m/>
    <m/>
    <m/>
    <m/>
    <m/>
    <m/>
    <m/>
    <m/>
    <x v="3"/>
    <x v="3"/>
    <n v="12"/>
    <x v="71"/>
    <m/>
  </r>
  <r>
    <x v="3"/>
    <x v="1"/>
    <s v="cycle "/>
    <s v="All levels"/>
    <x v="19"/>
    <n v="421392"/>
    <m/>
    <n v="43147"/>
    <n v="378245"/>
    <m/>
    <m/>
    <m/>
    <m/>
    <m/>
    <m/>
    <m/>
    <m/>
    <m/>
    <x v="3"/>
    <x v="3"/>
    <n v="12"/>
    <x v="72"/>
    <m/>
  </r>
  <r>
    <x v="3"/>
    <x v="1"/>
    <s v="cycle "/>
    <s v="All levels"/>
    <x v="20"/>
    <n v="378245"/>
    <m/>
    <n v="43147"/>
    <n v="603989"/>
    <s v="TBD"/>
    <s v="TBD"/>
    <s v="Planned"/>
    <n v="268891"/>
    <m/>
    <n v="78302"/>
    <n v="46357"/>
    <m/>
    <m/>
    <x v="3"/>
    <x v="3"/>
    <n v="12"/>
    <x v="73"/>
    <m/>
  </r>
  <r>
    <x v="4"/>
    <x v="1"/>
    <s v="cycle "/>
    <s v="All levels"/>
    <x v="23"/>
    <n v="603989"/>
    <m/>
    <n v="43147"/>
    <n v="560842"/>
    <m/>
    <m/>
    <m/>
    <m/>
    <m/>
    <m/>
    <m/>
    <m/>
    <m/>
    <x v="3"/>
    <x v="3"/>
    <n v="12"/>
    <x v="74"/>
    <m/>
  </r>
  <r>
    <x v="4"/>
    <x v="1"/>
    <s v="cycle "/>
    <s v="All levels"/>
    <x v="21"/>
    <n v="560842"/>
    <m/>
    <n v="43147"/>
    <n v="517695"/>
    <m/>
    <m/>
    <m/>
    <m/>
    <m/>
    <m/>
    <m/>
    <m/>
    <m/>
    <x v="3"/>
    <x v="3"/>
    <n v="12"/>
    <x v="75"/>
    <m/>
  </r>
  <r>
    <x v="4"/>
    <x v="1"/>
    <s v="cycle "/>
    <s v="All levels"/>
    <x v="22"/>
    <n v="517695"/>
    <m/>
    <n v="43147"/>
    <n v="474548"/>
    <m/>
    <m/>
    <m/>
    <m/>
    <m/>
    <m/>
    <m/>
    <m/>
    <m/>
    <x v="3"/>
    <x v="3"/>
    <n v="12"/>
    <x v="76"/>
    <m/>
  </r>
  <r>
    <x v="4"/>
    <x v="1"/>
    <s v="cycle "/>
    <s v="All levels"/>
    <x v="12"/>
    <n v="474548"/>
    <m/>
    <n v="43147"/>
    <n v="431401"/>
    <m/>
    <m/>
    <m/>
    <m/>
    <m/>
    <m/>
    <m/>
    <m/>
    <m/>
    <x v="3"/>
    <x v="3"/>
    <n v="12"/>
    <x v="77"/>
    <m/>
  </r>
  <r>
    <x v="4"/>
    <x v="1"/>
    <s v="cycle "/>
    <s v="All levels"/>
    <x v="13"/>
    <n v="431401"/>
    <m/>
    <n v="43147"/>
    <n v="388254"/>
    <m/>
    <m/>
    <m/>
    <m/>
    <m/>
    <m/>
    <m/>
    <m/>
    <m/>
    <x v="3"/>
    <x v="3"/>
    <n v="12"/>
    <x v="78"/>
    <m/>
  </r>
  <r>
    <x v="4"/>
    <x v="1"/>
    <s v="cycle "/>
    <s v="All levels"/>
    <x v="14"/>
    <n v="388254"/>
    <m/>
    <n v="43147"/>
    <n v="345107"/>
    <m/>
    <m/>
    <m/>
    <m/>
    <m/>
    <m/>
    <m/>
    <m/>
    <m/>
    <x v="3"/>
    <x v="3"/>
    <n v="12"/>
    <x v="79"/>
    <m/>
  </r>
  <r>
    <x v="4"/>
    <x v="1"/>
    <s v="cycle "/>
    <s v="All levels"/>
    <x v="0"/>
    <n v="1493412"/>
    <m/>
    <n v="283568"/>
    <n v="1209844"/>
    <m/>
    <m/>
    <m/>
    <m/>
    <m/>
    <m/>
    <m/>
    <m/>
    <m/>
    <x v="3"/>
    <x v="3"/>
    <n v="12"/>
    <x v="80"/>
    <m/>
  </r>
  <r>
    <x v="4"/>
    <x v="1"/>
    <s v="cycle "/>
    <s v="All levels"/>
    <x v="1"/>
    <n v="1209844"/>
    <m/>
    <n v="283568"/>
    <n v="926276"/>
    <m/>
    <m/>
    <m/>
    <m/>
    <m/>
    <m/>
    <m/>
    <m/>
    <m/>
    <x v="3"/>
    <x v="3"/>
    <n v="12"/>
    <x v="81"/>
    <m/>
  </r>
  <r>
    <x v="4"/>
    <x v="1"/>
    <s v="cycle "/>
    <s v="All levels"/>
    <x v="2"/>
    <n v="926276"/>
    <m/>
    <n v="283568"/>
    <n v="1643652"/>
    <s v="UNFPA"/>
    <s v="UNFPA"/>
    <s v="Expected Deliveries"/>
    <n v="1000944"/>
    <m/>
    <m/>
    <m/>
    <m/>
    <m/>
    <x v="3"/>
    <x v="3"/>
    <n v="12"/>
    <x v="82"/>
    <m/>
  </r>
  <r>
    <x v="4"/>
    <x v="1"/>
    <s v="cycle "/>
    <s v="All levels"/>
    <x v="3"/>
    <n v="1643652"/>
    <m/>
    <n v="283568"/>
    <n v="3157204"/>
    <s v="Govt"/>
    <s v="Govt"/>
    <s v="Committed"/>
    <n v="1797120"/>
    <m/>
    <m/>
    <m/>
    <m/>
    <m/>
    <x v="3"/>
    <x v="3"/>
    <n v="12"/>
    <x v="83"/>
    <m/>
  </r>
  <r>
    <x v="4"/>
    <x v="1"/>
    <s v="cycle "/>
    <s v="All levels"/>
    <x v="4"/>
    <n v="3157204"/>
    <m/>
    <n v="283568"/>
    <n v="2873636"/>
    <m/>
    <m/>
    <m/>
    <m/>
    <m/>
    <m/>
    <m/>
    <m/>
    <m/>
    <x v="3"/>
    <x v="3"/>
    <n v="12"/>
    <x v="84"/>
    <m/>
  </r>
  <r>
    <x v="4"/>
    <x v="1"/>
    <s v="cycle "/>
    <s v="All levels"/>
    <x v="5"/>
    <n v="2873636"/>
    <m/>
    <n v="283568"/>
    <n v="2590068"/>
    <m/>
    <m/>
    <m/>
    <m/>
    <m/>
    <m/>
    <m/>
    <m/>
    <m/>
    <x v="3"/>
    <x v="3"/>
    <n v="12"/>
    <x v="85"/>
    <m/>
  </r>
  <r>
    <x v="4"/>
    <x v="1"/>
    <s v="cycle "/>
    <s v="All levels"/>
    <x v="6"/>
    <n v="2590068"/>
    <m/>
    <n v="283568"/>
    <n v="2306500"/>
    <m/>
    <m/>
    <m/>
    <m/>
    <m/>
    <m/>
    <m/>
    <m/>
    <m/>
    <x v="3"/>
    <x v="3"/>
    <n v="12"/>
    <x v="86"/>
    <m/>
  </r>
  <r>
    <x v="4"/>
    <x v="1"/>
    <s v="cycle "/>
    <s v="All levels"/>
    <x v="7"/>
    <n v="2306500"/>
    <m/>
    <n v="283568"/>
    <n v="2022932"/>
    <m/>
    <m/>
    <m/>
    <m/>
    <m/>
    <m/>
    <m/>
    <m/>
    <m/>
    <x v="3"/>
    <x v="3"/>
    <n v="12"/>
    <x v="87"/>
    <m/>
  </r>
  <r>
    <x v="4"/>
    <x v="1"/>
    <s v="cycle "/>
    <s v="All levels"/>
    <x v="8"/>
    <n v="2022932"/>
    <m/>
    <n v="283568"/>
    <n v="1739364"/>
    <m/>
    <m/>
    <m/>
    <m/>
    <m/>
    <m/>
    <m/>
    <m/>
    <m/>
    <x v="3"/>
    <x v="3"/>
    <n v="12"/>
    <x v="88"/>
    <m/>
  </r>
  <r>
    <x v="4"/>
    <x v="1"/>
    <s v="cycle "/>
    <s v="All levels"/>
    <x v="9"/>
    <n v="1739364"/>
    <m/>
    <n v="283568"/>
    <n v="1455796"/>
    <m/>
    <m/>
    <m/>
    <m/>
    <m/>
    <m/>
    <m/>
    <m/>
    <m/>
    <x v="3"/>
    <x v="3"/>
    <n v="12"/>
    <x v="89"/>
    <m/>
  </r>
  <r>
    <x v="4"/>
    <x v="1"/>
    <s v="cycle "/>
    <s v="All levels"/>
    <x v="10"/>
    <n v="1455796"/>
    <m/>
    <n v="283568"/>
    <n v="1172228"/>
    <m/>
    <m/>
    <m/>
    <m/>
    <m/>
    <m/>
    <m/>
    <m/>
    <m/>
    <x v="3"/>
    <x v="3"/>
    <n v="12"/>
    <x v="90"/>
    <m/>
  </r>
  <r>
    <x v="4"/>
    <x v="1"/>
    <s v="cycle "/>
    <s v="All levels"/>
    <x v="11"/>
    <n v="1172228"/>
    <m/>
    <n v="283568"/>
    <n v="888660"/>
    <m/>
    <m/>
    <m/>
    <m/>
    <m/>
    <m/>
    <m/>
    <m/>
    <m/>
    <x v="3"/>
    <x v="3"/>
    <n v="12"/>
    <x v="91"/>
    <m/>
  </r>
  <r>
    <x v="5"/>
    <x v="1"/>
    <s v="cycle "/>
    <s v="All levels"/>
    <x v="1"/>
    <n v="133925"/>
    <m/>
    <n v="78000"/>
    <n v="85925"/>
    <s v="UNFPA"/>
    <s v="UNFPA"/>
    <s v="Expected Deliveries"/>
    <n v="30000"/>
    <m/>
    <m/>
    <m/>
    <m/>
    <m/>
    <x v="2"/>
    <x v="2"/>
    <n v="6"/>
    <x v="92"/>
    <m/>
  </r>
  <r>
    <x v="5"/>
    <x v="1"/>
    <s v="cycle "/>
    <s v="All levels"/>
    <x v="2"/>
    <n v="85925"/>
    <m/>
    <n v="78000"/>
    <n v="68405"/>
    <s v="UNFPA"/>
    <s v="UNFPA"/>
    <s v="Expected Deliveries"/>
    <n v="60480"/>
    <m/>
    <m/>
    <m/>
    <m/>
    <m/>
    <x v="2"/>
    <x v="2"/>
    <n v="6"/>
    <x v="93"/>
    <m/>
  </r>
  <r>
    <x v="5"/>
    <x v="1"/>
    <s v="cycle "/>
    <s v="All levels"/>
    <x v="3"/>
    <n v="68405"/>
    <m/>
    <n v="78000"/>
    <n v="121445"/>
    <s v="UNFPA"/>
    <s v="UNFPA"/>
    <s v="Expected Deliveries"/>
    <n v="131040"/>
    <m/>
    <m/>
    <m/>
    <m/>
    <m/>
    <x v="2"/>
    <x v="2"/>
    <n v="6"/>
    <x v="94"/>
    <m/>
  </r>
  <r>
    <x v="5"/>
    <x v="1"/>
    <s v="cycle "/>
    <s v="All levels"/>
    <x v="4"/>
    <n v="121445"/>
    <m/>
    <n v="78000"/>
    <n v="43445"/>
    <m/>
    <m/>
    <m/>
    <m/>
    <m/>
    <m/>
    <m/>
    <m/>
    <m/>
    <x v="2"/>
    <x v="2"/>
    <n v="6"/>
    <x v="95"/>
    <m/>
  </r>
  <r>
    <x v="5"/>
    <x v="1"/>
    <s v="cycle "/>
    <s v="All levels"/>
    <x v="5"/>
    <n v="43445"/>
    <m/>
    <n v="78000"/>
    <n v="0"/>
    <m/>
    <m/>
    <m/>
    <m/>
    <m/>
    <m/>
    <m/>
    <m/>
    <m/>
    <x v="2"/>
    <x v="2"/>
    <n v="6"/>
    <x v="96"/>
    <m/>
  </r>
  <r>
    <x v="5"/>
    <x v="1"/>
    <s v="cycle "/>
    <s v="All levels"/>
    <x v="6"/>
    <n v="0"/>
    <m/>
    <n v="78000"/>
    <n v="371800"/>
    <s v="TBD"/>
    <s v="TBD"/>
    <s v="Planned"/>
    <n v="449800"/>
    <m/>
    <m/>
    <m/>
    <m/>
    <m/>
    <x v="2"/>
    <x v="2"/>
    <n v="6"/>
    <x v="97"/>
    <m/>
  </r>
  <r>
    <x v="5"/>
    <x v="1"/>
    <s v="cycle "/>
    <s v="All levels"/>
    <x v="7"/>
    <n v="371800"/>
    <m/>
    <n v="78000"/>
    <n v="293800"/>
    <m/>
    <m/>
    <m/>
    <m/>
    <m/>
    <m/>
    <m/>
    <m/>
    <m/>
    <x v="2"/>
    <x v="2"/>
    <n v="6"/>
    <x v="98"/>
    <m/>
  </r>
  <r>
    <x v="5"/>
    <x v="1"/>
    <s v="cycle "/>
    <s v="All levels"/>
    <x v="8"/>
    <n v="293800"/>
    <m/>
    <n v="78000"/>
    <n v="215800"/>
    <m/>
    <m/>
    <m/>
    <m/>
    <m/>
    <m/>
    <m/>
    <m/>
    <m/>
    <x v="2"/>
    <x v="2"/>
    <n v="6"/>
    <x v="99"/>
    <m/>
  </r>
  <r>
    <x v="5"/>
    <x v="1"/>
    <s v="cycle "/>
    <s v="All levels"/>
    <x v="9"/>
    <n v="215800"/>
    <m/>
    <n v="78000"/>
    <n v="380417"/>
    <s v="TBD"/>
    <s v="TBD"/>
    <s v="Planned"/>
    <n v="242617"/>
    <m/>
    <m/>
    <m/>
    <m/>
    <m/>
    <x v="2"/>
    <x v="2"/>
    <n v="6"/>
    <x v="100"/>
    <m/>
  </r>
  <r>
    <x v="5"/>
    <x v="1"/>
    <s v="cycle "/>
    <s v="All levels"/>
    <x v="10"/>
    <n v="380417"/>
    <m/>
    <n v="78000"/>
    <n v="302417"/>
    <m/>
    <m/>
    <m/>
    <m/>
    <m/>
    <m/>
    <m/>
    <m/>
    <m/>
    <x v="2"/>
    <x v="2"/>
    <n v="6"/>
    <x v="101"/>
    <m/>
  </r>
  <r>
    <x v="5"/>
    <x v="1"/>
    <s v="cycle "/>
    <s v="All levels"/>
    <x v="11"/>
    <n v="302417"/>
    <m/>
    <n v="78000"/>
    <n v="224417"/>
    <m/>
    <m/>
    <m/>
    <m/>
    <m/>
    <m/>
    <m/>
    <m/>
    <m/>
    <x v="2"/>
    <x v="2"/>
    <n v="6"/>
    <x v="102"/>
    <m/>
  </r>
  <r>
    <x v="5"/>
    <x v="1"/>
    <s v="cycle "/>
    <s v="All levels"/>
    <x v="15"/>
    <n v="224417"/>
    <m/>
    <n v="78000"/>
    <n v="399917"/>
    <s v="TBD"/>
    <s v="TBD"/>
    <s v="Planned"/>
    <n v="253500"/>
    <m/>
    <m/>
    <m/>
    <m/>
    <m/>
    <x v="2"/>
    <x v="2"/>
    <n v="6"/>
    <x v="103"/>
    <m/>
  </r>
  <r>
    <x v="5"/>
    <x v="1"/>
    <s v="cycle "/>
    <s v="All levels"/>
    <x v="16"/>
    <n v="399917"/>
    <m/>
    <n v="78000"/>
    <n v="321917"/>
    <m/>
    <m/>
    <m/>
    <m/>
    <m/>
    <m/>
    <m/>
    <m/>
    <m/>
    <x v="2"/>
    <x v="2"/>
    <n v="6"/>
    <x v="104"/>
    <m/>
  </r>
  <r>
    <x v="6"/>
    <x v="1"/>
    <s v="cycle "/>
    <s v="All levels"/>
    <x v="12"/>
    <n v="528688"/>
    <m/>
    <n v="46807"/>
    <n v="481881"/>
    <m/>
    <m/>
    <m/>
    <m/>
    <m/>
    <m/>
    <m/>
    <m/>
    <m/>
    <x v="0"/>
    <x v="1"/>
    <n v="15"/>
    <x v="105"/>
    <m/>
  </r>
  <r>
    <x v="6"/>
    <x v="1"/>
    <s v="cycle "/>
    <s v="All levels"/>
    <x v="13"/>
    <n v="481881"/>
    <m/>
    <n v="46807"/>
    <n v="435074"/>
    <m/>
    <m/>
    <m/>
    <m/>
    <m/>
    <m/>
    <m/>
    <m/>
    <m/>
    <x v="0"/>
    <x v="1"/>
    <n v="15"/>
    <x v="106"/>
    <m/>
  </r>
  <r>
    <x v="6"/>
    <x v="1"/>
    <s v="cycle "/>
    <s v="All levels"/>
    <x v="14"/>
    <n v="435074"/>
    <m/>
    <n v="46807"/>
    <n v="388267"/>
    <m/>
    <m/>
    <m/>
    <m/>
    <m/>
    <m/>
    <m/>
    <m/>
    <m/>
    <x v="0"/>
    <x v="1"/>
    <n v="15"/>
    <x v="107"/>
    <m/>
  </r>
  <r>
    <x v="6"/>
    <x v="1"/>
    <s v="cycle "/>
    <s v="All levels"/>
    <x v="0"/>
    <n v="388267"/>
    <m/>
    <n v="46807"/>
    <n v="444276"/>
    <m/>
    <m/>
    <m/>
    <n v="102816"/>
    <m/>
    <m/>
    <m/>
    <m/>
    <m/>
    <x v="0"/>
    <x v="1"/>
    <n v="15"/>
    <x v="108"/>
    <m/>
  </r>
  <r>
    <x v="6"/>
    <x v="1"/>
    <s v="cycle "/>
    <s v="All levels"/>
    <x v="1"/>
    <n v="444276"/>
    <m/>
    <n v="46807"/>
    <n v="397469"/>
    <m/>
    <m/>
    <m/>
    <m/>
    <m/>
    <m/>
    <m/>
    <m/>
    <m/>
    <x v="0"/>
    <x v="1"/>
    <n v="15"/>
    <x v="109"/>
    <m/>
  </r>
  <r>
    <x v="6"/>
    <x v="1"/>
    <s v="cycle "/>
    <s v="All levels"/>
    <x v="2"/>
    <n v="397469"/>
    <m/>
    <n v="46807"/>
    <n v="350662"/>
    <m/>
    <m/>
    <m/>
    <m/>
    <m/>
    <m/>
    <m/>
    <m/>
    <m/>
    <x v="0"/>
    <x v="1"/>
    <n v="15"/>
    <x v="110"/>
    <m/>
  </r>
  <r>
    <x v="6"/>
    <x v="1"/>
    <s v="cycle "/>
    <s v="All levels"/>
    <x v="3"/>
    <n v="350662"/>
    <m/>
    <n v="46807"/>
    <n v="303855"/>
    <m/>
    <m/>
    <m/>
    <m/>
    <m/>
    <m/>
    <m/>
    <m/>
    <m/>
    <x v="0"/>
    <x v="1"/>
    <n v="15"/>
    <x v="111"/>
    <m/>
  </r>
  <r>
    <x v="6"/>
    <x v="1"/>
    <s v="cycle "/>
    <s v="All levels"/>
    <x v="4"/>
    <n v="303855"/>
    <m/>
    <n v="46807"/>
    <n v="257048"/>
    <m/>
    <m/>
    <m/>
    <m/>
    <m/>
    <m/>
    <m/>
    <m/>
    <m/>
    <x v="0"/>
    <x v="1"/>
    <n v="15"/>
    <x v="112"/>
    <m/>
  </r>
  <r>
    <x v="6"/>
    <x v="1"/>
    <s v="cycle "/>
    <s v="All levels"/>
    <x v="5"/>
    <n v="257048"/>
    <m/>
    <n v="46807"/>
    <n v="210241"/>
    <m/>
    <m/>
    <m/>
    <m/>
    <m/>
    <m/>
    <m/>
    <m/>
    <m/>
    <x v="0"/>
    <x v="1"/>
    <n v="15"/>
    <x v="113"/>
    <m/>
  </r>
  <r>
    <x v="0"/>
    <x v="2"/>
    <s v="set "/>
    <s v="All levels"/>
    <x v="0"/>
    <n v="4488"/>
    <m/>
    <n v="906"/>
    <n v="3582"/>
    <m/>
    <m/>
    <m/>
    <m/>
    <m/>
    <m/>
    <m/>
    <m/>
    <m/>
    <x v="0"/>
    <x v="0"/>
    <n v="13"/>
    <x v="114"/>
    <m/>
  </r>
  <r>
    <x v="0"/>
    <x v="2"/>
    <s v="set "/>
    <s v="All levels"/>
    <x v="1"/>
    <n v="3582"/>
    <m/>
    <n v="906"/>
    <n v="2676"/>
    <m/>
    <m/>
    <m/>
    <m/>
    <m/>
    <m/>
    <m/>
    <m/>
    <m/>
    <x v="0"/>
    <x v="0"/>
    <n v="13"/>
    <x v="115"/>
    <m/>
  </r>
  <r>
    <x v="0"/>
    <x v="2"/>
    <s v="set "/>
    <s v="All levels"/>
    <x v="2"/>
    <n v="2676"/>
    <m/>
    <n v="906"/>
    <n v="1770"/>
    <m/>
    <m/>
    <m/>
    <m/>
    <m/>
    <m/>
    <m/>
    <m/>
    <m/>
    <x v="0"/>
    <x v="0"/>
    <n v="13"/>
    <x v="116"/>
    <m/>
  </r>
  <r>
    <x v="0"/>
    <x v="2"/>
    <s v="set "/>
    <s v="All levels"/>
    <x v="3"/>
    <n v="1770"/>
    <m/>
    <n v="906"/>
    <n v="864"/>
    <m/>
    <m/>
    <m/>
    <m/>
    <m/>
    <m/>
    <m/>
    <m/>
    <m/>
    <x v="0"/>
    <x v="0"/>
    <n v="13"/>
    <x v="117"/>
    <m/>
  </r>
  <r>
    <x v="0"/>
    <x v="2"/>
    <s v="set "/>
    <s v="All levels"/>
    <x v="4"/>
    <n v="864"/>
    <m/>
    <n v="906"/>
    <n v="4541"/>
    <s v="TBD"/>
    <s v="TBD"/>
    <s v="Planned"/>
    <n v="4583"/>
    <m/>
    <n v="2310"/>
    <m/>
    <m/>
    <m/>
    <x v="0"/>
    <x v="0"/>
    <n v="13"/>
    <x v="118"/>
    <m/>
  </r>
  <r>
    <x v="0"/>
    <x v="2"/>
    <s v="set "/>
    <s v="All levels"/>
    <x v="5"/>
    <n v="4541"/>
    <m/>
    <n v="906"/>
    <n v="3635"/>
    <m/>
    <m/>
    <m/>
    <m/>
    <m/>
    <m/>
    <m/>
    <m/>
    <m/>
    <x v="0"/>
    <x v="0"/>
    <n v="13"/>
    <x v="119"/>
    <m/>
  </r>
  <r>
    <x v="0"/>
    <x v="2"/>
    <s v="set "/>
    <s v="All levels"/>
    <x v="6"/>
    <n v="3635"/>
    <m/>
    <n v="906"/>
    <n v="2729"/>
    <m/>
    <m/>
    <m/>
    <m/>
    <m/>
    <m/>
    <m/>
    <m/>
    <m/>
    <x v="0"/>
    <x v="0"/>
    <n v="13"/>
    <x v="120"/>
    <m/>
  </r>
  <r>
    <x v="0"/>
    <x v="2"/>
    <s v="set "/>
    <s v="All levels"/>
    <x v="7"/>
    <n v="2729"/>
    <m/>
    <n v="906"/>
    <n v="1823"/>
    <m/>
    <m/>
    <m/>
    <m/>
    <m/>
    <m/>
    <m/>
    <m/>
    <m/>
    <x v="0"/>
    <x v="0"/>
    <n v="13"/>
    <x v="121"/>
    <m/>
  </r>
  <r>
    <x v="0"/>
    <x v="2"/>
    <s v="set "/>
    <s v="All levels"/>
    <x v="8"/>
    <n v="1823"/>
    <m/>
    <n v="906"/>
    <n v="917"/>
    <m/>
    <m/>
    <m/>
    <m/>
    <m/>
    <m/>
    <m/>
    <m/>
    <m/>
    <x v="0"/>
    <x v="0"/>
    <n v="13"/>
    <x v="122"/>
    <m/>
  </r>
  <r>
    <x v="0"/>
    <x v="2"/>
    <s v="set "/>
    <s v="All levels"/>
    <x v="9"/>
    <n v="917"/>
    <m/>
    <n v="906"/>
    <n v="4616"/>
    <s v="TBD"/>
    <s v="TBD"/>
    <s v="Planned"/>
    <n v="4605"/>
    <m/>
    <n v="2321"/>
    <m/>
    <m/>
    <m/>
    <x v="0"/>
    <x v="0"/>
    <n v="13"/>
    <x v="123"/>
    <m/>
  </r>
  <r>
    <x v="0"/>
    <x v="2"/>
    <s v="set "/>
    <s v="All levels"/>
    <x v="10"/>
    <n v="4616"/>
    <m/>
    <n v="906"/>
    <n v="3710"/>
    <m/>
    <m/>
    <m/>
    <m/>
    <m/>
    <m/>
    <m/>
    <m/>
    <m/>
    <x v="0"/>
    <x v="0"/>
    <n v="13"/>
    <x v="124"/>
    <m/>
  </r>
  <r>
    <x v="0"/>
    <x v="2"/>
    <s v="set "/>
    <s v="All levels"/>
    <x v="11"/>
    <n v="3710"/>
    <m/>
    <n v="906"/>
    <n v="2804"/>
    <m/>
    <m/>
    <m/>
    <m/>
    <m/>
    <m/>
    <m/>
    <m/>
    <m/>
    <x v="0"/>
    <x v="0"/>
    <n v="13"/>
    <x v="125"/>
    <m/>
  </r>
  <r>
    <x v="1"/>
    <x v="2"/>
    <s v="set "/>
    <s v="All levels"/>
    <x v="12"/>
    <n v="17844"/>
    <m/>
    <n v="1662"/>
    <n v="16182"/>
    <m/>
    <m/>
    <m/>
    <m/>
    <m/>
    <m/>
    <m/>
    <m/>
    <m/>
    <x v="4"/>
    <x v="4"/>
    <m/>
    <x v="126"/>
    <m/>
  </r>
  <r>
    <x v="1"/>
    <x v="2"/>
    <s v="set "/>
    <s v="All levels"/>
    <x v="13"/>
    <n v="16182"/>
    <m/>
    <n v="1665"/>
    <n v="14517"/>
    <m/>
    <m/>
    <m/>
    <m/>
    <m/>
    <m/>
    <m/>
    <m/>
    <m/>
    <x v="4"/>
    <x v="4"/>
    <m/>
    <x v="127"/>
    <m/>
  </r>
  <r>
    <x v="1"/>
    <x v="2"/>
    <s v="set "/>
    <s v="All levels"/>
    <x v="14"/>
    <n v="14517"/>
    <m/>
    <n v="1668"/>
    <n v="12849"/>
    <m/>
    <m/>
    <m/>
    <m/>
    <m/>
    <m/>
    <m/>
    <m/>
    <m/>
    <x v="4"/>
    <x v="4"/>
    <m/>
    <x v="128"/>
    <m/>
  </r>
  <r>
    <x v="1"/>
    <x v="2"/>
    <s v="set "/>
    <s v="All levels"/>
    <x v="0"/>
    <n v="12849"/>
    <m/>
    <n v="1671"/>
    <n v="11178"/>
    <m/>
    <m/>
    <m/>
    <m/>
    <m/>
    <m/>
    <m/>
    <m/>
    <m/>
    <x v="1"/>
    <x v="1"/>
    <n v="15"/>
    <x v="129"/>
    <m/>
  </r>
  <r>
    <x v="1"/>
    <x v="2"/>
    <s v="set "/>
    <s v="All levels"/>
    <x v="1"/>
    <n v="11178"/>
    <m/>
    <n v="1674"/>
    <n v="17504"/>
    <m/>
    <m/>
    <s v="Placed"/>
    <n v="8000"/>
    <m/>
    <m/>
    <m/>
    <m/>
    <m/>
    <x v="1"/>
    <x v="1"/>
    <n v="15"/>
    <x v="130"/>
    <m/>
  </r>
  <r>
    <x v="1"/>
    <x v="2"/>
    <s v="set "/>
    <s v="All levels"/>
    <x v="2"/>
    <n v="17504"/>
    <m/>
    <n v="1677"/>
    <n v="15827"/>
    <m/>
    <m/>
    <m/>
    <m/>
    <m/>
    <m/>
    <m/>
    <m/>
    <m/>
    <x v="1"/>
    <x v="1"/>
    <n v="15"/>
    <x v="131"/>
    <m/>
  </r>
  <r>
    <x v="1"/>
    <x v="2"/>
    <s v="set "/>
    <s v="All levels"/>
    <x v="3"/>
    <n v="15827"/>
    <m/>
    <n v="1680"/>
    <n v="14147"/>
    <m/>
    <m/>
    <m/>
    <m/>
    <m/>
    <m/>
    <m/>
    <m/>
    <m/>
    <x v="1"/>
    <x v="1"/>
    <n v="15"/>
    <x v="132"/>
    <m/>
  </r>
  <r>
    <x v="1"/>
    <x v="2"/>
    <s v="set "/>
    <s v="All levels"/>
    <x v="4"/>
    <n v="14147"/>
    <m/>
    <n v="1682"/>
    <n v="12465"/>
    <m/>
    <m/>
    <m/>
    <m/>
    <m/>
    <m/>
    <m/>
    <m/>
    <m/>
    <x v="1"/>
    <x v="1"/>
    <n v="15"/>
    <x v="133"/>
    <m/>
  </r>
  <r>
    <x v="1"/>
    <x v="2"/>
    <s v="set "/>
    <s v="All levels"/>
    <x v="5"/>
    <n v="12465"/>
    <m/>
    <n v="1685"/>
    <n v="25130"/>
    <m/>
    <m/>
    <s v="Planned"/>
    <n v="14350"/>
    <m/>
    <m/>
    <m/>
    <m/>
    <m/>
    <x v="1"/>
    <x v="1"/>
    <n v="15"/>
    <x v="134"/>
    <m/>
  </r>
  <r>
    <x v="1"/>
    <x v="2"/>
    <s v="set "/>
    <s v="All levels"/>
    <x v="6"/>
    <n v="25130"/>
    <m/>
    <n v="1685"/>
    <n v="23445"/>
    <m/>
    <m/>
    <m/>
    <m/>
    <m/>
    <m/>
    <m/>
    <m/>
    <m/>
    <x v="1"/>
    <x v="1"/>
    <n v="15"/>
    <x v="135"/>
    <m/>
  </r>
  <r>
    <x v="1"/>
    <x v="2"/>
    <s v="set "/>
    <s v="All levels"/>
    <x v="7"/>
    <n v="23445"/>
    <m/>
    <n v="1685"/>
    <n v="21760"/>
    <m/>
    <m/>
    <m/>
    <m/>
    <m/>
    <m/>
    <m/>
    <m/>
    <m/>
    <x v="1"/>
    <x v="1"/>
    <n v="15"/>
    <x v="136"/>
    <m/>
  </r>
  <r>
    <x v="1"/>
    <x v="2"/>
    <s v="set "/>
    <s v="All levels"/>
    <x v="8"/>
    <n v="21760"/>
    <m/>
    <n v="1685"/>
    <n v="20075"/>
    <m/>
    <m/>
    <m/>
    <m/>
    <m/>
    <m/>
    <m/>
    <m/>
    <m/>
    <x v="1"/>
    <x v="1"/>
    <n v="15"/>
    <x v="137"/>
    <m/>
  </r>
  <r>
    <x v="1"/>
    <x v="2"/>
    <s v="set "/>
    <s v="All levels"/>
    <x v="9"/>
    <n v="20075"/>
    <m/>
    <n v="1685"/>
    <n v="18390"/>
    <m/>
    <m/>
    <m/>
    <m/>
    <m/>
    <m/>
    <m/>
    <m/>
    <m/>
    <x v="1"/>
    <x v="1"/>
    <n v="15"/>
    <x v="138"/>
    <m/>
  </r>
  <r>
    <x v="1"/>
    <x v="2"/>
    <s v="set "/>
    <s v="All levels"/>
    <x v="10"/>
    <n v="18390"/>
    <m/>
    <n v="1685"/>
    <n v="16705"/>
    <m/>
    <m/>
    <m/>
    <m/>
    <m/>
    <m/>
    <m/>
    <m/>
    <m/>
    <x v="1"/>
    <x v="1"/>
    <n v="15"/>
    <x v="139"/>
    <m/>
  </r>
  <r>
    <x v="1"/>
    <x v="2"/>
    <s v="set "/>
    <s v="All levels"/>
    <x v="11"/>
    <n v="16705"/>
    <m/>
    <n v="1685"/>
    <n v="15020"/>
    <m/>
    <m/>
    <m/>
    <m/>
    <m/>
    <m/>
    <m/>
    <m/>
    <m/>
    <x v="1"/>
    <x v="1"/>
    <n v="15"/>
    <x v="140"/>
    <m/>
  </r>
  <r>
    <x v="1"/>
    <x v="2"/>
    <s v="set "/>
    <s v="All levels"/>
    <x v="15"/>
    <n v="15020"/>
    <m/>
    <n v="1685"/>
    <n v="13335"/>
    <m/>
    <m/>
    <m/>
    <m/>
    <m/>
    <m/>
    <m/>
    <m/>
    <m/>
    <x v="1"/>
    <x v="1"/>
    <n v="15"/>
    <x v="141"/>
    <m/>
  </r>
  <r>
    <x v="1"/>
    <x v="2"/>
    <s v="set "/>
    <s v="All levels"/>
    <x v="16"/>
    <n v="13335"/>
    <m/>
    <n v="1685"/>
    <n v="25275"/>
    <m/>
    <m/>
    <s v="Planned"/>
    <n v="13625"/>
    <m/>
    <m/>
    <m/>
    <m/>
    <m/>
    <x v="1"/>
    <x v="1"/>
    <n v="15"/>
    <x v="142"/>
    <m/>
  </r>
  <r>
    <x v="1"/>
    <x v="2"/>
    <s v="set "/>
    <s v="All levels"/>
    <x v="17"/>
    <n v="25275"/>
    <m/>
    <n v="1685"/>
    <n v="23590"/>
    <m/>
    <m/>
    <m/>
    <m/>
    <m/>
    <m/>
    <m/>
    <m/>
    <m/>
    <x v="1"/>
    <x v="1"/>
    <n v="15"/>
    <x v="143"/>
    <m/>
  </r>
  <r>
    <x v="2"/>
    <x v="2"/>
    <s v="set "/>
    <s v="All levels"/>
    <x v="12"/>
    <n v="1193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13"/>
    <n v="23590"/>
    <m/>
    <n v="5693"/>
    <n v="17897"/>
    <m/>
    <m/>
    <m/>
    <m/>
    <m/>
    <m/>
    <m/>
    <m/>
    <m/>
    <x v="2"/>
    <x v="2"/>
    <n v="6"/>
    <x v="144"/>
    <m/>
  </r>
  <r>
    <x v="2"/>
    <x v="2"/>
    <s v="set "/>
    <s v="All levels"/>
    <x v="14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0"/>
    <n v="17897"/>
    <m/>
    <n v="5693"/>
    <n v="12204"/>
    <m/>
    <m/>
    <m/>
    <m/>
    <m/>
    <m/>
    <m/>
    <m/>
    <m/>
    <x v="2"/>
    <x v="2"/>
    <n v="6"/>
    <x v="145"/>
    <m/>
  </r>
  <r>
    <x v="2"/>
    <x v="2"/>
    <s v="set "/>
    <s v="All levels"/>
    <x v="1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2"/>
    <n v="12204"/>
    <m/>
    <n v="5693"/>
    <n v="6511"/>
    <m/>
    <m/>
    <m/>
    <m/>
    <m/>
    <m/>
    <m/>
    <m/>
    <m/>
    <x v="2"/>
    <x v="2"/>
    <n v="6"/>
    <x v="146"/>
    <m/>
  </r>
  <r>
    <x v="2"/>
    <x v="2"/>
    <s v="set "/>
    <s v="All levels"/>
    <x v="3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4"/>
    <n v="6511"/>
    <m/>
    <n v="5693"/>
    <n v="818"/>
    <m/>
    <m/>
    <m/>
    <m/>
    <m/>
    <m/>
    <m/>
    <m/>
    <m/>
    <x v="2"/>
    <x v="2"/>
    <n v="6"/>
    <x v="147"/>
    <m/>
  </r>
  <r>
    <x v="2"/>
    <x v="2"/>
    <s v="set "/>
    <s v="All levels"/>
    <x v="5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6"/>
    <n v="818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7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8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9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0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1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5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6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7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8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9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20"/>
    <n v="0"/>
    <m/>
    <n v="14161"/>
    <n v="0"/>
    <m/>
    <m/>
    <m/>
    <m/>
    <m/>
    <m/>
    <m/>
    <m/>
    <m/>
    <x v="2"/>
    <x v="2"/>
    <n v="6"/>
    <x v="96"/>
    <m/>
  </r>
  <r>
    <x v="3"/>
    <x v="2"/>
    <s v="set "/>
    <s v="All levels"/>
    <x v="21"/>
    <n v="14632"/>
    <n v="988"/>
    <n v="1785"/>
    <n v="12847"/>
    <m/>
    <m/>
    <m/>
    <m/>
    <m/>
    <m/>
    <m/>
    <m/>
    <m/>
    <x v="3"/>
    <x v="3"/>
    <n v="12"/>
    <x v="148"/>
    <m/>
  </r>
  <r>
    <x v="3"/>
    <x v="2"/>
    <s v="set "/>
    <s v="All levels"/>
    <x v="22"/>
    <n v="12847"/>
    <n v="670"/>
    <n v="1785"/>
    <n v="11062"/>
    <m/>
    <m/>
    <m/>
    <m/>
    <m/>
    <m/>
    <m/>
    <m/>
    <m/>
    <x v="3"/>
    <x v="3"/>
    <n v="12"/>
    <x v="149"/>
    <m/>
  </r>
  <r>
    <x v="3"/>
    <x v="2"/>
    <s v="set "/>
    <s v="All levels"/>
    <x v="12"/>
    <n v="11062"/>
    <n v="1396"/>
    <n v="1785"/>
    <n v="9277"/>
    <m/>
    <m/>
    <m/>
    <m/>
    <m/>
    <m/>
    <m/>
    <m/>
    <m/>
    <x v="3"/>
    <x v="3"/>
    <n v="12"/>
    <x v="150"/>
    <m/>
  </r>
  <r>
    <x v="3"/>
    <x v="2"/>
    <s v="set "/>
    <s v="All levels"/>
    <x v="13"/>
    <n v="9277"/>
    <n v="830"/>
    <n v="1785"/>
    <n v="7492"/>
    <m/>
    <m/>
    <m/>
    <m/>
    <m/>
    <m/>
    <m/>
    <m/>
    <m/>
    <x v="3"/>
    <x v="3"/>
    <n v="12"/>
    <x v="151"/>
    <m/>
  </r>
  <r>
    <x v="3"/>
    <x v="2"/>
    <s v="set "/>
    <s v="All levels"/>
    <x v="14"/>
    <n v="7492"/>
    <n v="946"/>
    <n v="1785"/>
    <n v="5707"/>
    <m/>
    <m/>
    <m/>
    <m/>
    <m/>
    <m/>
    <m/>
    <m/>
    <m/>
    <x v="3"/>
    <x v="3"/>
    <n v="12"/>
    <x v="152"/>
    <m/>
  </r>
  <r>
    <x v="3"/>
    <x v="2"/>
    <s v="set "/>
    <s v="All levels"/>
    <x v="0"/>
    <n v="5707"/>
    <n v="1178"/>
    <n v="1785"/>
    <n v="3922"/>
    <m/>
    <m/>
    <m/>
    <m/>
    <m/>
    <m/>
    <m/>
    <m/>
    <m/>
    <x v="3"/>
    <x v="3"/>
    <n v="12"/>
    <x v="153"/>
    <m/>
  </r>
  <r>
    <x v="3"/>
    <x v="2"/>
    <s v="set "/>
    <s v="All levels"/>
    <x v="1"/>
    <n v="3922"/>
    <m/>
    <n v="1785"/>
    <n v="24137"/>
    <s v="UNFPA"/>
    <s v="UNFPA"/>
    <s v="Committed"/>
    <n v="22000"/>
    <m/>
    <n v="14784"/>
    <n v="45870"/>
    <m/>
    <m/>
    <x v="3"/>
    <x v="3"/>
    <n v="12"/>
    <x v="154"/>
    <m/>
  </r>
  <r>
    <x v="3"/>
    <x v="2"/>
    <s v="set "/>
    <s v="All levels"/>
    <x v="2"/>
    <n v="24137"/>
    <m/>
    <n v="1785"/>
    <n v="22352"/>
    <m/>
    <m/>
    <m/>
    <m/>
    <m/>
    <m/>
    <m/>
    <m/>
    <m/>
    <x v="3"/>
    <x v="3"/>
    <n v="12"/>
    <x v="155"/>
    <m/>
  </r>
  <r>
    <x v="3"/>
    <x v="2"/>
    <s v="set "/>
    <s v="All levels"/>
    <x v="3"/>
    <n v="22352"/>
    <m/>
    <n v="1785"/>
    <n v="20567"/>
    <m/>
    <m/>
    <m/>
    <m/>
    <m/>
    <m/>
    <m/>
    <m/>
    <m/>
    <x v="3"/>
    <x v="3"/>
    <n v="12"/>
    <x v="156"/>
    <m/>
  </r>
  <r>
    <x v="3"/>
    <x v="2"/>
    <s v="set "/>
    <s v="All levels"/>
    <x v="4"/>
    <n v="20567"/>
    <m/>
    <n v="1785"/>
    <n v="18782"/>
    <m/>
    <m/>
    <m/>
    <m/>
    <m/>
    <m/>
    <m/>
    <m/>
    <m/>
    <x v="3"/>
    <x v="3"/>
    <n v="12"/>
    <x v="157"/>
    <m/>
  </r>
  <r>
    <x v="3"/>
    <x v="2"/>
    <s v="set "/>
    <s v="All levels"/>
    <x v="5"/>
    <n v="18782"/>
    <m/>
    <n v="1785"/>
    <n v="16997"/>
    <m/>
    <m/>
    <m/>
    <m/>
    <m/>
    <m/>
    <m/>
    <m/>
    <m/>
    <x v="3"/>
    <x v="3"/>
    <n v="12"/>
    <x v="158"/>
    <m/>
  </r>
  <r>
    <x v="3"/>
    <x v="2"/>
    <s v="set "/>
    <s v="All levels"/>
    <x v="6"/>
    <n v="16997"/>
    <m/>
    <n v="1785"/>
    <n v="15212"/>
    <m/>
    <m/>
    <m/>
    <m/>
    <m/>
    <m/>
    <m/>
    <m/>
    <m/>
    <x v="3"/>
    <x v="3"/>
    <n v="12"/>
    <x v="159"/>
    <m/>
  </r>
  <r>
    <x v="3"/>
    <x v="2"/>
    <s v="set "/>
    <s v="All levels"/>
    <x v="7"/>
    <n v="15212"/>
    <m/>
    <n v="1785"/>
    <n v="13427"/>
    <m/>
    <m/>
    <m/>
    <m/>
    <m/>
    <m/>
    <m/>
    <m/>
    <m/>
    <x v="3"/>
    <x v="3"/>
    <n v="12"/>
    <x v="160"/>
    <m/>
  </r>
  <r>
    <x v="3"/>
    <x v="2"/>
    <s v="set "/>
    <s v="All levels"/>
    <x v="8"/>
    <n v="13427"/>
    <m/>
    <n v="1785"/>
    <n v="11642"/>
    <m/>
    <m/>
    <m/>
    <m/>
    <m/>
    <m/>
    <m/>
    <m/>
    <m/>
    <x v="3"/>
    <x v="3"/>
    <n v="12"/>
    <x v="161"/>
    <m/>
  </r>
  <r>
    <x v="3"/>
    <x v="2"/>
    <s v="set "/>
    <s v="All levels"/>
    <x v="9"/>
    <n v="11642"/>
    <m/>
    <n v="1785"/>
    <n v="9857"/>
    <m/>
    <m/>
    <m/>
    <m/>
    <m/>
    <m/>
    <m/>
    <m/>
    <m/>
    <x v="3"/>
    <x v="3"/>
    <n v="12"/>
    <x v="162"/>
    <m/>
  </r>
  <r>
    <x v="3"/>
    <x v="2"/>
    <s v="set "/>
    <s v="All levels"/>
    <x v="10"/>
    <n v="9857"/>
    <m/>
    <n v="1785"/>
    <n v="20420"/>
    <s v="TBD"/>
    <s v="TBD"/>
    <s v="Planned"/>
    <n v="12348"/>
    <m/>
    <n v="8297.86"/>
    <n v="46143"/>
    <m/>
    <m/>
    <x v="3"/>
    <x v="3"/>
    <n v="12"/>
    <x v="163"/>
    <m/>
  </r>
  <r>
    <x v="3"/>
    <x v="2"/>
    <s v="set "/>
    <s v="All levels"/>
    <x v="11"/>
    <n v="20420"/>
    <m/>
    <n v="1785"/>
    <n v="18635"/>
    <m/>
    <m/>
    <m/>
    <m/>
    <m/>
    <m/>
    <m/>
    <m/>
    <m/>
    <x v="3"/>
    <x v="3"/>
    <n v="12"/>
    <x v="164"/>
    <m/>
  </r>
  <r>
    <x v="3"/>
    <x v="2"/>
    <s v="set "/>
    <s v="All levels"/>
    <x v="15"/>
    <n v="18635"/>
    <m/>
    <n v="1785"/>
    <n v="16850"/>
    <m/>
    <m/>
    <m/>
    <m/>
    <m/>
    <m/>
    <m/>
    <m/>
    <m/>
    <x v="3"/>
    <x v="3"/>
    <n v="12"/>
    <x v="165"/>
    <m/>
  </r>
  <r>
    <x v="3"/>
    <x v="2"/>
    <s v="set "/>
    <s v="All levels"/>
    <x v="16"/>
    <n v="16850"/>
    <m/>
    <n v="1785"/>
    <n v="15065"/>
    <m/>
    <m/>
    <m/>
    <m/>
    <m/>
    <m/>
    <m/>
    <m/>
    <m/>
    <x v="3"/>
    <x v="3"/>
    <n v="12"/>
    <x v="166"/>
    <m/>
  </r>
  <r>
    <x v="3"/>
    <x v="2"/>
    <s v="set "/>
    <s v="All levels"/>
    <x v="17"/>
    <n v="15065"/>
    <m/>
    <n v="1785"/>
    <n v="13280"/>
    <m/>
    <m/>
    <m/>
    <m/>
    <m/>
    <m/>
    <m/>
    <m/>
    <m/>
    <x v="3"/>
    <x v="3"/>
    <n v="12"/>
    <x v="167"/>
    <m/>
  </r>
  <r>
    <x v="3"/>
    <x v="2"/>
    <s v="set "/>
    <s v="All levels"/>
    <x v="18"/>
    <n v="13280"/>
    <m/>
    <n v="1785"/>
    <n v="11495"/>
    <m/>
    <m/>
    <m/>
    <m/>
    <m/>
    <m/>
    <m/>
    <m/>
    <m/>
    <x v="3"/>
    <x v="3"/>
    <n v="12"/>
    <x v="168"/>
    <m/>
  </r>
  <r>
    <x v="3"/>
    <x v="2"/>
    <s v="set "/>
    <s v="All levels"/>
    <x v="19"/>
    <n v="11495"/>
    <m/>
    <n v="1785"/>
    <n v="21840"/>
    <s v="TBD"/>
    <s v="TBD"/>
    <s v="Planned"/>
    <n v="12130"/>
    <m/>
    <n v="8151.36"/>
    <n v="46327"/>
    <m/>
    <m/>
    <x v="3"/>
    <x v="3"/>
    <n v="12"/>
    <x v="169"/>
    <m/>
  </r>
  <r>
    <x v="3"/>
    <x v="2"/>
    <s v="set "/>
    <s v="All levels"/>
    <x v="20"/>
    <n v="21840"/>
    <m/>
    <n v="1785"/>
    <n v="20055"/>
    <m/>
    <m/>
    <m/>
    <m/>
    <m/>
    <m/>
    <m/>
    <m/>
    <m/>
    <x v="3"/>
    <x v="3"/>
    <n v="12"/>
    <x v="170"/>
    <m/>
  </r>
  <r>
    <x v="4"/>
    <x v="2"/>
    <s v="set "/>
    <s v="All levels"/>
    <x v="0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1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2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3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4"/>
    <n v="0"/>
    <m/>
    <n v="41941"/>
    <n v="297935"/>
    <s v="Govt"/>
    <s v="Govt "/>
    <s v="Committed"/>
    <n v="339876"/>
    <m/>
    <m/>
    <m/>
    <m/>
    <m/>
    <x v="3"/>
    <x v="3"/>
    <n v="12"/>
    <x v="171"/>
    <m/>
  </r>
  <r>
    <x v="4"/>
    <x v="2"/>
    <s v="set "/>
    <s v="All levels"/>
    <x v="5"/>
    <n v="297935"/>
    <m/>
    <n v="41941"/>
    <n v="255994"/>
    <m/>
    <m/>
    <m/>
    <m/>
    <m/>
    <m/>
    <m/>
    <m/>
    <m/>
    <x v="3"/>
    <x v="3"/>
    <n v="12"/>
    <x v="172"/>
    <m/>
  </r>
  <r>
    <x v="4"/>
    <x v="2"/>
    <s v="set "/>
    <s v="All levels"/>
    <x v="6"/>
    <n v="255994"/>
    <m/>
    <n v="41941"/>
    <n v="214053"/>
    <m/>
    <m/>
    <m/>
    <m/>
    <m/>
    <m/>
    <m/>
    <m/>
    <m/>
    <x v="3"/>
    <x v="3"/>
    <n v="12"/>
    <x v="173"/>
    <m/>
  </r>
  <r>
    <x v="4"/>
    <x v="2"/>
    <s v="set "/>
    <s v="All levels"/>
    <x v="7"/>
    <n v="214053"/>
    <m/>
    <n v="41941"/>
    <n v="172112"/>
    <m/>
    <m/>
    <m/>
    <m/>
    <m/>
    <m/>
    <m/>
    <m/>
    <m/>
    <x v="3"/>
    <x v="3"/>
    <n v="12"/>
    <x v="174"/>
    <m/>
  </r>
  <r>
    <x v="4"/>
    <x v="2"/>
    <s v="set "/>
    <s v="All levels"/>
    <x v="8"/>
    <n v="172112"/>
    <m/>
    <n v="41941"/>
    <n v="130171"/>
    <m/>
    <m/>
    <m/>
    <m/>
    <m/>
    <m/>
    <m/>
    <m/>
    <m/>
    <x v="3"/>
    <x v="3"/>
    <n v="12"/>
    <x v="175"/>
    <m/>
  </r>
  <r>
    <x v="4"/>
    <x v="2"/>
    <s v="set "/>
    <s v="All levels"/>
    <x v="9"/>
    <n v="130171"/>
    <m/>
    <n v="41941"/>
    <n v="88230"/>
    <m/>
    <m/>
    <m/>
    <m/>
    <m/>
    <m/>
    <m/>
    <m/>
    <m/>
    <x v="3"/>
    <x v="3"/>
    <n v="12"/>
    <x v="176"/>
    <m/>
  </r>
  <r>
    <x v="4"/>
    <x v="2"/>
    <s v="set "/>
    <s v="All levels"/>
    <x v="10"/>
    <n v="88230"/>
    <m/>
    <n v="41941"/>
    <n v="46289"/>
    <m/>
    <m/>
    <m/>
    <m/>
    <m/>
    <m/>
    <m/>
    <m/>
    <m/>
    <x v="3"/>
    <x v="3"/>
    <n v="12"/>
    <x v="177"/>
    <m/>
  </r>
  <r>
    <x v="4"/>
    <x v="2"/>
    <s v="set "/>
    <s v="All levels"/>
    <x v="11"/>
    <n v="46289"/>
    <m/>
    <n v="41941"/>
    <n v="4348"/>
    <m/>
    <m/>
    <m/>
    <m/>
    <m/>
    <m/>
    <m/>
    <m/>
    <m/>
    <x v="3"/>
    <x v="3"/>
    <n v="12"/>
    <x v="178"/>
    <m/>
  </r>
  <r>
    <x v="4"/>
    <x v="3"/>
    <s v="each "/>
    <s v="All levels"/>
    <x v="0"/>
    <n v="68632"/>
    <m/>
    <n v="5230"/>
    <n v="63402"/>
    <m/>
    <m/>
    <m/>
    <m/>
    <m/>
    <m/>
    <m/>
    <m/>
    <m/>
    <x v="3"/>
    <x v="3"/>
    <n v="12"/>
    <x v="179"/>
    <m/>
  </r>
  <r>
    <x v="4"/>
    <x v="3"/>
    <s v="each "/>
    <s v="All levels"/>
    <x v="1"/>
    <n v="63402"/>
    <m/>
    <n v="5230"/>
    <n v="58172"/>
    <m/>
    <m/>
    <m/>
    <m/>
    <m/>
    <m/>
    <m/>
    <m/>
    <m/>
    <x v="3"/>
    <x v="3"/>
    <n v="12"/>
    <x v="180"/>
    <m/>
  </r>
  <r>
    <x v="4"/>
    <x v="3"/>
    <s v="each "/>
    <s v="All levels"/>
    <x v="2"/>
    <n v="58172"/>
    <m/>
    <n v="5230"/>
    <n v="52942"/>
    <m/>
    <m/>
    <m/>
    <m/>
    <m/>
    <m/>
    <m/>
    <m/>
    <m/>
    <x v="3"/>
    <x v="3"/>
    <n v="12"/>
    <x v="181"/>
    <m/>
  </r>
  <r>
    <x v="4"/>
    <x v="3"/>
    <s v="each "/>
    <s v="All levels"/>
    <x v="3"/>
    <n v="52942"/>
    <m/>
    <n v="5230"/>
    <n v="47712"/>
    <m/>
    <m/>
    <m/>
    <m/>
    <m/>
    <m/>
    <m/>
    <m/>
    <m/>
    <x v="3"/>
    <x v="3"/>
    <n v="12"/>
    <x v="182"/>
    <m/>
  </r>
  <r>
    <x v="4"/>
    <x v="3"/>
    <s v="each "/>
    <s v="All levels"/>
    <x v="4"/>
    <n v="47712"/>
    <m/>
    <n v="5230"/>
    <n v="42482"/>
    <m/>
    <m/>
    <m/>
    <m/>
    <m/>
    <m/>
    <m/>
    <m/>
    <m/>
    <x v="3"/>
    <x v="3"/>
    <n v="12"/>
    <x v="183"/>
    <m/>
  </r>
  <r>
    <x v="4"/>
    <x v="3"/>
    <s v="each "/>
    <s v="All levels"/>
    <x v="5"/>
    <n v="42482"/>
    <m/>
    <n v="5230"/>
    <n v="37252"/>
    <m/>
    <m/>
    <m/>
    <m/>
    <m/>
    <m/>
    <m/>
    <m/>
    <m/>
    <x v="3"/>
    <x v="3"/>
    <n v="12"/>
    <x v="184"/>
    <m/>
  </r>
  <r>
    <x v="4"/>
    <x v="3"/>
    <s v="each "/>
    <s v="All levels"/>
    <x v="6"/>
    <n v="37252"/>
    <m/>
    <n v="5230"/>
    <n v="32022"/>
    <m/>
    <m/>
    <m/>
    <m/>
    <m/>
    <m/>
    <m/>
    <m/>
    <m/>
    <x v="3"/>
    <x v="3"/>
    <n v="12"/>
    <x v="185"/>
    <m/>
  </r>
  <r>
    <x v="4"/>
    <x v="3"/>
    <s v="each "/>
    <s v="All levels"/>
    <x v="7"/>
    <n v="32022"/>
    <m/>
    <n v="5230"/>
    <n v="26792"/>
    <m/>
    <m/>
    <m/>
    <m/>
    <m/>
    <m/>
    <m/>
    <m/>
    <m/>
    <x v="3"/>
    <x v="3"/>
    <n v="12"/>
    <x v="186"/>
    <m/>
  </r>
  <r>
    <x v="4"/>
    <x v="3"/>
    <s v="each "/>
    <s v="All levels"/>
    <x v="8"/>
    <n v="26792"/>
    <m/>
    <n v="5230"/>
    <n v="21562"/>
    <m/>
    <m/>
    <m/>
    <m/>
    <m/>
    <m/>
    <m/>
    <m/>
    <m/>
    <x v="3"/>
    <x v="3"/>
    <n v="12"/>
    <x v="187"/>
    <m/>
  </r>
  <r>
    <x v="4"/>
    <x v="3"/>
    <s v="each "/>
    <s v="All levels"/>
    <x v="9"/>
    <n v="21562"/>
    <m/>
    <n v="5230"/>
    <n v="16332"/>
    <m/>
    <m/>
    <m/>
    <m/>
    <m/>
    <m/>
    <m/>
    <m/>
    <m/>
    <x v="3"/>
    <x v="3"/>
    <n v="12"/>
    <x v="188"/>
    <m/>
  </r>
  <r>
    <x v="4"/>
    <x v="3"/>
    <s v="each "/>
    <s v="All levels"/>
    <x v="10"/>
    <n v="16332"/>
    <m/>
    <n v="5230"/>
    <n v="11102"/>
    <m/>
    <m/>
    <m/>
    <m/>
    <m/>
    <m/>
    <m/>
    <m/>
    <m/>
    <x v="3"/>
    <x v="3"/>
    <n v="12"/>
    <x v="189"/>
    <m/>
  </r>
  <r>
    <x v="4"/>
    <x v="3"/>
    <s v="each "/>
    <s v="All levels"/>
    <x v="11"/>
    <n v="11102"/>
    <m/>
    <n v="5230"/>
    <n v="5872"/>
    <m/>
    <m/>
    <m/>
    <m/>
    <m/>
    <m/>
    <m/>
    <m/>
    <m/>
    <x v="3"/>
    <x v="3"/>
    <n v="12"/>
    <x v="190"/>
    <m/>
  </r>
  <r>
    <x v="6"/>
    <x v="2"/>
    <s v="each "/>
    <s v="All levels"/>
    <x v="12"/>
    <n v="7000"/>
    <m/>
    <n v="2253"/>
    <n v="4747"/>
    <m/>
    <m/>
    <m/>
    <m/>
    <m/>
    <m/>
    <m/>
    <m/>
    <m/>
    <x v="4"/>
    <x v="4"/>
    <m/>
    <x v="191"/>
    <m/>
  </r>
  <r>
    <x v="6"/>
    <x v="2"/>
    <s v="each "/>
    <s v="All levels"/>
    <x v="13"/>
    <n v="4747"/>
    <m/>
    <n v="2253"/>
    <n v="2494"/>
    <m/>
    <m/>
    <m/>
    <m/>
    <m/>
    <m/>
    <m/>
    <m/>
    <m/>
    <x v="4"/>
    <x v="4"/>
    <m/>
    <x v="192"/>
    <m/>
  </r>
  <r>
    <x v="6"/>
    <x v="2"/>
    <s v="each "/>
    <s v="All levels"/>
    <x v="14"/>
    <n v="2494"/>
    <m/>
    <n v="2253"/>
    <n v="33691"/>
    <m/>
    <m/>
    <m/>
    <n v="33450"/>
    <n v="45809"/>
    <m/>
    <m/>
    <m/>
    <m/>
    <x v="4"/>
    <x v="4"/>
    <m/>
    <x v="193"/>
    <m/>
  </r>
  <r>
    <x v="6"/>
    <x v="2"/>
    <s v="each "/>
    <s v="All levels"/>
    <x v="0"/>
    <n v="33691"/>
    <m/>
    <n v="2253"/>
    <n v="31438"/>
    <m/>
    <m/>
    <m/>
    <m/>
    <m/>
    <m/>
    <m/>
    <m/>
    <m/>
    <x v="4"/>
    <x v="4"/>
    <m/>
    <x v="194"/>
    <m/>
  </r>
  <r>
    <x v="6"/>
    <x v="2"/>
    <s v="each "/>
    <s v="All levels"/>
    <x v="1"/>
    <n v="31438"/>
    <m/>
    <n v="2253"/>
    <n v="29185"/>
    <m/>
    <m/>
    <m/>
    <m/>
    <m/>
    <m/>
    <m/>
    <m/>
    <m/>
    <x v="4"/>
    <x v="4"/>
    <m/>
    <x v="195"/>
    <m/>
  </r>
  <r>
    <x v="6"/>
    <x v="2"/>
    <s v="each "/>
    <s v="All levels"/>
    <x v="2"/>
    <n v="29185"/>
    <m/>
    <n v="2253"/>
    <n v="26932"/>
    <m/>
    <m/>
    <m/>
    <m/>
    <m/>
    <m/>
    <m/>
    <m/>
    <m/>
    <x v="4"/>
    <x v="4"/>
    <m/>
    <x v="196"/>
    <m/>
  </r>
  <r>
    <x v="6"/>
    <x v="2"/>
    <s v="each "/>
    <s v="All levels"/>
    <x v="3"/>
    <n v="26932"/>
    <m/>
    <n v="2253"/>
    <n v="24679"/>
    <m/>
    <m/>
    <m/>
    <m/>
    <m/>
    <m/>
    <m/>
    <m/>
    <m/>
    <x v="4"/>
    <x v="4"/>
    <m/>
    <x v="197"/>
    <m/>
  </r>
  <r>
    <x v="6"/>
    <x v="2"/>
    <s v="each "/>
    <s v="All levels"/>
    <x v="4"/>
    <n v="24679"/>
    <m/>
    <n v="2253"/>
    <n v="22426"/>
    <m/>
    <m/>
    <m/>
    <m/>
    <m/>
    <m/>
    <m/>
    <m/>
    <m/>
    <x v="4"/>
    <x v="4"/>
    <m/>
    <x v="198"/>
    <m/>
  </r>
  <r>
    <x v="0"/>
    <x v="4"/>
    <s v="pack "/>
    <s v="All levels"/>
    <x v="0"/>
    <n v="2833"/>
    <m/>
    <n v="59"/>
    <n v="2774"/>
    <m/>
    <m/>
    <m/>
    <m/>
    <m/>
    <m/>
    <m/>
    <m/>
    <m/>
    <x v="0"/>
    <x v="0"/>
    <n v="13"/>
    <x v="199"/>
    <m/>
  </r>
  <r>
    <x v="0"/>
    <x v="4"/>
    <s v="pack "/>
    <s v="All levels"/>
    <x v="1"/>
    <n v="2774"/>
    <m/>
    <n v="59"/>
    <n v="2715"/>
    <m/>
    <m/>
    <m/>
    <m/>
    <m/>
    <m/>
    <m/>
    <m/>
    <m/>
    <x v="0"/>
    <x v="0"/>
    <n v="13"/>
    <x v="200"/>
    <m/>
  </r>
  <r>
    <x v="0"/>
    <x v="4"/>
    <s v="pack "/>
    <s v="All levels"/>
    <x v="2"/>
    <n v="2715"/>
    <m/>
    <n v="59"/>
    <n v="2656"/>
    <m/>
    <m/>
    <m/>
    <m/>
    <m/>
    <m/>
    <m/>
    <m/>
    <m/>
    <x v="0"/>
    <x v="0"/>
    <n v="13"/>
    <x v="201"/>
    <m/>
  </r>
  <r>
    <x v="0"/>
    <x v="4"/>
    <s v="pack "/>
    <s v="All levels"/>
    <x v="3"/>
    <n v="2656"/>
    <m/>
    <n v="59"/>
    <n v="2597"/>
    <m/>
    <m/>
    <m/>
    <m/>
    <m/>
    <m/>
    <m/>
    <m/>
    <m/>
    <x v="0"/>
    <x v="0"/>
    <n v="13"/>
    <x v="202"/>
    <m/>
  </r>
  <r>
    <x v="0"/>
    <x v="4"/>
    <s v="pack "/>
    <s v="All levels"/>
    <x v="4"/>
    <n v="2597"/>
    <m/>
    <n v="59"/>
    <n v="2538"/>
    <m/>
    <m/>
    <m/>
    <m/>
    <m/>
    <m/>
    <m/>
    <m/>
    <m/>
    <x v="0"/>
    <x v="0"/>
    <n v="13"/>
    <x v="203"/>
    <m/>
  </r>
  <r>
    <x v="0"/>
    <x v="4"/>
    <s v="pack "/>
    <s v="All levels"/>
    <x v="5"/>
    <n v="2538"/>
    <m/>
    <n v="59"/>
    <n v="2479"/>
    <m/>
    <m/>
    <m/>
    <m/>
    <m/>
    <m/>
    <m/>
    <m/>
    <m/>
    <x v="0"/>
    <x v="0"/>
    <n v="13"/>
    <x v="204"/>
    <m/>
  </r>
  <r>
    <x v="0"/>
    <x v="4"/>
    <s v="pack "/>
    <s v="All levels"/>
    <x v="6"/>
    <n v="2479"/>
    <m/>
    <n v="59"/>
    <n v="2420"/>
    <m/>
    <m/>
    <m/>
    <m/>
    <m/>
    <m/>
    <m/>
    <m/>
    <m/>
    <x v="0"/>
    <x v="0"/>
    <n v="13"/>
    <x v="205"/>
    <m/>
  </r>
  <r>
    <x v="0"/>
    <x v="4"/>
    <s v="pack "/>
    <s v="All levels"/>
    <x v="7"/>
    <n v="2420"/>
    <m/>
    <n v="59"/>
    <n v="2361"/>
    <m/>
    <m/>
    <m/>
    <m/>
    <m/>
    <m/>
    <m/>
    <m/>
    <m/>
    <x v="0"/>
    <x v="0"/>
    <n v="13"/>
    <x v="206"/>
    <m/>
  </r>
  <r>
    <x v="0"/>
    <x v="4"/>
    <s v="pack "/>
    <s v="All levels"/>
    <x v="8"/>
    <n v="2361"/>
    <m/>
    <n v="59"/>
    <n v="2302"/>
    <m/>
    <m/>
    <m/>
    <m/>
    <m/>
    <m/>
    <m/>
    <m/>
    <m/>
    <x v="0"/>
    <x v="0"/>
    <n v="13"/>
    <x v="207"/>
    <m/>
  </r>
  <r>
    <x v="0"/>
    <x v="4"/>
    <s v="pack "/>
    <s v="All levels"/>
    <x v="9"/>
    <n v="2302"/>
    <m/>
    <n v="59"/>
    <n v="2243"/>
    <m/>
    <m/>
    <m/>
    <m/>
    <m/>
    <m/>
    <m/>
    <m/>
    <m/>
    <x v="0"/>
    <x v="0"/>
    <n v="13"/>
    <x v="208"/>
    <m/>
  </r>
  <r>
    <x v="0"/>
    <x v="4"/>
    <s v="pack "/>
    <s v="All levels"/>
    <x v="10"/>
    <n v="2243"/>
    <m/>
    <n v="59"/>
    <n v="2184"/>
    <m/>
    <m/>
    <m/>
    <m/>
    <m/>
    <m/>
    <m/>
    <m/>
    <m/>
    <x v="0"/>
    <x v="0"/>
    <n v="13"/>
    <x v="209"/>
    <m/>
  </r>
  <r>
    <x v="0"/>
    <x v="4"/>
    <s v="pack "/>
    <s v="All levels"/>
    <x v="11"/>
    <n v="2184"/>
    <m/>
    <n v="59"/>
    <n v="2125"/>
    <m/>
    <m/>
    <m/>
    <m/>
    <m/>
    <m/>
    <m/>
    <m/>
    <m/>
    <x v="0"/>
    <x v="0"/>
    <n v="13"/>
    <x v="210"/>
    <m/>
  </r>
  <r>
    <x v="3"/>
    <x v="4"/>
    <m/>
    <s v="All levels"/>
    <x v="21"/>
    <n v="1538"/>
    <m/>
    <n v="293"/>
    <n v="1245"/>
    <m/>
    <m/>
    <m/>
    <m/>
    <m/>
    <m/>
    <m/>
    <m/>
    <m/>
    <x v="3"/>
    <x v="3"/>
    <n v="12"/>
    <x v="211"/>
    <m/>
  </r>
  <r>
    <x v="3"/>
    <x v="4"/>
    <m/>
    <s v="All levels"/>
    <x v="22"/>
    <n v="1245"/>
    <m/>
    <n v="293"/>
    <n v="952"/>
    <m/>
    <m/>
    <m/>
    <m/>
    <m/>
    <m/>
    <m/>
    <m/>
    <m/>
    <x v="3"/>
    <x v="3"/>
    <n v="12"/>
    <x v="212"/>
    <m/>
  </r>
  <r>
    <x v="3"/>
    <x v="4"/>
    <m/>
    <s v="All levels"/>
    <x v="12"/>
    <n v="952"/>
    <m/>
    <n v="293"/>
    <n v="659"/>
    <m/>
    <m/>
    <m/>
    <m/>
    <m/>
    <m/>
    <m/>
    <m/>
    <m/>
    <x v="3"/>
    <x v="3"/>
    <n v="12"/>
    <x v="213"/>
    <m/>
  </r>
  <r>
    <x v="3"/>
    <x v="4"/>
    <m/>
    <s v="All levels"/>
    <x v="13"/>
    <n v="659"/>
    <m/>
    <n v="293"/>
    <n v="366"/>
    <m/>
    <m/>
    <m/>
    <m/>
    <m/>
    <m/>
    <m/>
    <m/>
    <m/>
    <x v="3"/>
    <x v="3"/>
    <n v="12"/>
    <x v="214"/>
    <m/>
  </r>
  <r>
    <x v="3"/>
    <x v="4"/>
    <m/>
    <s v="All levels"/>
    <x v="14"/>
    <n v="366"/>
    <m/>
    <n v="293"/>
    <n v="73"/>
    <m/>
    <m/>
    <m/>
    <m/>
    <m/>
    <m/>
    <m/>
    <m/>
    <m/>
    <x v="3"/>
    <x v="3"/>
    <n v="12"/>
    <x v="215"/>
    <m/>
  </r>
  <r>
    <x v="3"/>
    <x v="4"/>
    <m/>
    <s v="All levels"/>
    <x v="0"/>
    <n v="73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1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2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3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4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5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6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7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8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9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10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11"/>
    <n v="0"/>
    <m/>
    <n v="293"/>
    <n v="1906"/>
    <s v="TBD"/>
    <s v="TBD"/>
    <s v="Planned"/>
    <n v="2199"/>
    <m/>
    <n v="3695"/>
    <n v="46174"/>
    <m/>
    <m/>
    <x v="3"/>
    <x v="3"/>
    <n v="12"/>
    <x v="216"/>
    <m/>
  </r>
  <r>
    <x v="3"/>
    <x v="4"/>
    <m/>
    <s v="All levels"/>
    <x v="15"/>
    <n v="1906"/>
    <m/>
    <n v="293"/>
    <n v="1613"/>
    <m/>
    <m/>
    <m/>
    <m/>
    <m/>
    <m/>
    <m/>
    <m/>
    <m/>
    <x v="3"/>
    <x v="3"/>
    <n v="12"/>
    <x v="217"/>
    <m/>
  </r>
  <r>
    <x v="3"/>
    <x v="4"/>
    <m/>
    <s v="All levels"/>
    <x v="16"/>
    <n v="1613"/>
    <m/>
    <n v="293"/>
    <n v="1320"/>
    <m/>
    <m/>
    <m/>
    <m/>
    <m/>
    <m/>
    <m/>
    <m/>
    <m/>
    <x v="3"/>
    <x v="3"/>
    <n v="12"/>
    <x v="218"/>
    <m/>
  </r>
  <r>
    <x v="3"/>
    <x v="4"/>
    <m/>
    <s v="All levels"/>
    <x v="17"/>
    <n v="1320"/>
    <m/>
    <n v="293"/>
    <n v="1027"/>
    <m/>
    <m/>
    <m/>
    <m/>
    <m/>
    <m/>
    <m/>
    <m/>
    <m/>
    <x v="3"/>
    <x v="3"/>
    <n v="12"/>
    <x v="219"/>
    <m/>
  </r>
  <r>
    <x v="3"/>
    <x v="4"/>
    <m/>
    <s v="All levels"/>
    <x v="18"/>
    <n v="1027"/>
    <m/>
    <n v="293"/>
    <n v="734"/>
    <m/>
    <m/>
    <m/>
    <m/>
    <m/>
    <m/>
    <m/>
    <m/>
    <m/>
    <x v="3"/>
    <x v="3"/>
    <n v="12"/>
    <x v="220"/>
    <m/>
  </r>
  <r>
    <x v="3"/>
    <x v="4"/>
    <m/>
    <s v="All levels"/>
    <x v="19"/>
    <n v="734"/>
    <m/>
    <n v="293"/>
    <n v="441"/>
    <m/>
    <m/>
    <m/>
    <m/>
    <m/>
    <m/>
    <m/>
    <m/>
    <m/>
    <x v="3"/>
    <x v="3"/>
    <n v="12"/>
    <x v="221"/>
    <m/>
  </r>
  <r>
    <x v="3"/>
    <x v="4"/>
    <m/>
    <s v="All levels"/>
    <x v="20"/>
    <n v="441"/>
    <m/>
    <n v="293"/>
    <n v="2209"/>
    <s v="TBD"/>
    <s v="TBD"/>
    <s v="Planned"/>
    <n v="2061"/>
    <m/>
    <n v="3462"/>
    <n v="46357"/>
    <m/>
    <m/>
    <x v="3"/>
    <x v="3"/>
    <n v="12"/>
    <x v="222"/>
    <m/>
  </r>
  <r>
    <x v="0"/>
    <x v="5"/>
    <s v="vials"/>
    <s v="All levels"/>
    <x v="0"/>
    <n v="238677"/>
    <m/>
    <n v="78968"/>
    <n v="159709"/>
    <m/>
    <m/>
    <m/>
    <m/>
    <m/>
    <m/>
    <m/>
    <m/>
    <m/>
    <x v="0"/>
    <x v="0"/>
    <n v="13"/>
    <x v="223"/>
    <m/>
  </r>
  <r>
    <x v="0"/>
    <x v="5"/>
    <s v="vials"/>
    <s v="All levels"/>
    <x v="1"/>
    <n v="159709"/>
    <m/>
    <n v="78968"/>
    <n v="80741"/>
    <m/>
    <m/>
    <m/>
    <m/>
    <m/>
    <m/>
    <m/>
    <m/>
    <m/>
    <x v="0"/>
    <x v="0"/>
    <n v="13"/>
    <x v="224"/>
    <m/>
  </r>
  <r>
    <x v="0"/>
    <x v="5"/>
    <s v="vials"/>
    <s v="All levels"/>
    <x v="2"/>
    <n v="80741"/>
    <m/>
    <n v="78968"/>
    <n v="402646"/>
    <s v="TBD"/>
    <s v="TBD"/>
    <s v="Planned"/>
    <n v="400873"/>
    <m/>
    <n v="365596"/>
    <n v="45901"/>
    <m/>
    <m/>
    <x v="0"/>
    <x v="0"/>
    <n v="13"/>
    <x v="225"/>
    <m/>
  </r>
  <r>
    <x v="0"/>
    <x v="5"/>
    <s v="vials"/>
    <s v="All levels"/>
    <x v="3"/>
    <n v="402646"/>
    <m/>
    <n v="78968"/>
    <n v="323678"/>
    <m/>
    <m/>
    <m/>
    <m/>
    <m/>
    <m/>
    <m/>
    <m/>
    <m/>
    <x v="0"/>
    <x v="0"/>
    <n v="13"/>
    <x v="226"/>
    <m/>
  </r>
  <r>
    <x v="0"/>
    <x v="5"/>
    <s v="vials"/>
    <s v="All levels"/>
    <x v="4"/>
    <n v="323678"/>
    <m/>
    <n v="78968"/>
    <n v="244710"/>
    <m/>
    <m/>
    <m/>
    <m/>
    <m/>
    <m/>
    <m/>
    <m/>
    <m/>
    <x v="0"/>
    <x v="0"/>
    <n v="13"/>
    <x v="227"/>
    <m/>
  </r>
  <r>
    <x v="0"/>
    <x v="5"/>
    <s v="vials"/>
    <s v="All levels"/>
    <x v="5"/>
    <n v="244710"/>
    <m/>
    <n v="78968"/>
    <n v="165742"/>
    <m/>
    <m/>
    <m/>
    <m/>
    <m/>
    <m/>
    <m/>
    <m/>
    <m/>
    <x v="0"/>
    <x v="0"/>
    <n v="13"/>
    <x v="228"/>
    <m/>
  </r>
  <r>
    <x v="0"/>
    <x v="5"/>
    <s v="vials"/>
    <s v="All levels"/>
    <x v="6"/>
    <n v="165742"/>
    <m/>
    <n v="78968"/>
    <n v="86774"/>
    <m/>
    <m/>
    <m/>
    <m/>
    <m/>
    <m/>
    <m/>
    <m/>
    <m/>
    <x v="0"/>
    <x v="0"/>
    <n v="13"/>
    <x v="229"/>
    <m/>
  </r>
  <r>
    <x v="0"/>
    <x v="5"/>
    <s v="vials"/>
    <s v="All levels"/>
    <x v="7"/>
    <n v="86774"/>
    <m/>
    <n v="78968"/>
    <n v="412374"/>
    <s v="TBD"/>
    <s v="TBD"/>
    <s v="Planned"/>
    <n v="404568"/>
    <m/>
    <n v="368966"/>
    <n v="46054"/>
    <m/>
    <m/>
    <x v="0"/>
    <x v="0"/>
    <n v="13"/>
    <x v="230"/>
    <m/>
  </r>
  <r>
    <x v="0"/>
    <x v="5"/>
    <s v="vials"/>
    <s v="All levels"/>
    <x v="8"/>
    <n v="412374"/>
    <m/>
    <n v="78968"/>
    <n v="333406"/>
    <m/>
    <m/>
    <m/>
    <m/>
    <m/>
    <m/>
    <m/>
    <m/>
    <m/>
    <x v="0"/>
    <x v="0"/>
    <n v="13"/>
    <x v="231"/>
    <m/>
  </r>
  <r>
    <x v="0"/>
    <x v="5"/>
    <s v="vials"/>
    <s v="All levels"/>
    <x v="9"/>
    <n v="333406"/>
    <m/>
    <n v="78968"/>
    <n v="254438"/>
    <m/>
    <m/>
    <m/>
    <m/>
    <m/>
    <m/>
    <m/>
    <m/>
    <m/>
    <x v="0"/>
    <x v="0"/>
    <n v="13"/>
    <x v="232"/>
    <m/>
  </r>
  <r>
    <x v="0"/>
    <x v="5"/>
    <s v="vials"/>
    <s v="All levels"/>
    <x v="10"/>
    <n v="254438"/>
    <m/>
    <n v="78968"/>
    <n v="175470"/>
    <m/>
    <m/>
    <m/>
    <m/>
    <m/>
    <m/>
    <m/>
    <m/>
    <m/>
    <x v="0"/>
    <x v="0"/>
    <n v="13"/>
    <x v="233"/>
    <m/>
  </r>
  <r>
    <x v="0"/>
    <x v="5"/>
    <s v="vials"/>
    <s v="All levels"/>
    <x v="11"/>
    <n v="175470"/>
    <m/>
    <n v="78968"/>
    <n v="96502"/>
    <m/>
    <m/>
    <m/>
    <m/>
    <m/>
    <m/>
    <m/>
    <m/>
    <m/>
    <x v="0"/>
    <x v="0"/>
    <n v="13"/>
    <x v="234"/>
    <m/>
  </r>
  <r>
    <x v="1"/>
    <x v="5"/>
    <s v="vials"/>
    <s v="All levels"/>
    <x v="12"/>
    <n v="2388682"/>
    <m/>
    <n v="308825"/>
    <n v="2079857"/>
    <m/>
    <m/>
    <m/>
    <m/>
    <m/>
    <m/>
    <m/>
    <m/>
    <m/>
    <x v="3"/>
    <x v="3"/>
    <n v="12"/>
    <x v="235"/>
    <m/>
  </r>
  <r>
    <x v="1"/>
    <x v="5"/>
    <s v="vials"/>
    <s v="All levels"/>
    <x v="13"/>
    <n v="2079857"/>
    <m/>
    <n v="312846"/>
    <n v="2267011"/>
    <m/>
    <m/>
    <s v="Received"/>
    <n v="500000"/>
    <m/>
    <m/>
    <m/>
    <m/>
    <m/>
    <x v="3"/>
    <x v="3"/>
    <n v="12"/>
    <x v="236"/>
    <m/>
  </r>
  <r>
    <x v="1"/>
    <x v="5"/>
    <s v="vials"/>
    <s v="All levels"/>
    <x v="14"/>
    <n v="2267011"/>
    <m/>
    <n v="316867"/>
    <n v="1950144"/>
    <m/>
    <m/>
    <m/>
    <m/>
    <m/>
    <m/>
    <m/>
    <m/>
    <m/>
    <x v="3"/>
    <x v="3"/>
    <n v="12"/>
    <x v="237"/>
    <m/>
  </r>
  <r>
    <x v="1"/>
    <x v="5"/>
    <s v="vials"/>
    <s v="All levels"/>
    <x v="0"/>
    <n v="1950144"/>
    <m/>
    <n v="320888"/>
    <n v="1629256"/>
    <m/>
    <m/>
    <m/>
    <m/>
    <m/>
    <m/>
    <m/>
    <m/>
    <m/>
    <x v="3"/>
    <x v="3"/>
    <n v="12"/>
    <x v="238"/>
    <m/>
  </r>
  <r>
    <x v="1"/>
    <x v="5"/>
    <s v="vials"/>
    <s v="All levels"/>
    <x v="1"/>
    <n v="1629256"/>
    <m/>
    <n v="324910"/>
    <n v="1304346"/>
    <m/>
    <m/>
    <m/>
    <m/>
    <m/>
    <m/>
    <m/>
    <m/>
    <m/>
    <x v="3"/>
    <x v="3"/>
    <n v="12"/>
    <x v="239"/>
    <m/>
  </r>
  <r>
    <x v="1"/>
    <x v="5"/>
    <s v="vials"/>
    <s v="All levels"/>
    <x v="2"/>
    <n v="1304346"/>
    <m/>
    <n v="328931"/>
    <n v="1875415"/>
    <m/>
    <m/>
    <s v="Placed"/>
    <n v="900000"/>
    <m/>
    <m/>
    <m/>
    <m/>
    <m/>
    <x v="3"/>
    <x v="3"/>
    <n v="12"/>
    <x v="240"/>
    <m/>
  </r>
  <r>
    <x v="1"/>
    <x v="5"/>
    <s v="vials"/>
    <s v="All levels"/>
    <x v="3"/>
    <n v="1875415"/>
    <m/>
    <n v="332952"/>
    <n v="3923043"/>
    <m/>
    <m/>
    <s v="Planned"/>
    <n v="2380580"/>
    <m/>
    <m/>
    <m/>
    <m/>
    <m/>
    <x v="3"/>
    <x v="3"/>
    <n v="12"/>
    <x v="241"/>
    <m/>
  </r>
  <r>
    <x v="1"/>
    <x v="5"/>
    <s v="vials"/>
    <s v="All levels"/>
    <x v="4"/>
    <n v="3923043"/>
    <m/>
    <n v="336973"/>
    <n v="3586070"/>
    <m/>
    <m/>
    <m/>
    <m/>
    <m/>
    <m/>
    <m/>
    <m/>
    <m/>
    <x v="3"/>
    <x v="3"/>
    <n v="12"/>
    <x v="242"/>
    <m/>
  </r>
  <r>
    <x v="1"/>
    <x v="5"/>
    <s v="vials"/>
    <s v="All levels"/>
    <x v="5"/>
    <n v="3586070"/>
    <m/>
    <n v="340994"/>
    <n v="3245076"/>
    <m/>
    <m/>
    <m/>
    <m/>
    <m/>
    <m/>
    <m/>
    <m/>
    <m/>
    <x v="3"/>
    <x v="3"/>
    <n v="12"/>
    <x v="243"/>
    <m/>
  </r>
  <r>
    <x v="1"/>
    <x v="5"/>
    <s v="vials"/>
    <s v="All levels"/>
    <x v="6"/>
    <n v="3245076"/>
    <m/>
    <n v="345016"/>
    <n v="2900060"/>
    <m/>
    <m/>
    <m/>
    <m/>
    <m/>
    <m/>
    <m/>
    <m/>
    <m/>
    <x v="3"/>
    <x v="3"/>
    <n v="12"/>
    <x v="244"/>
    <m/>
  </r>
  <r>
    <x v="1"/>
    <x v="5"/>
    <s v="vials"/>
    <s v="All levels"/>
    <x v="7"/>
    <n v="2900060"/>
    <m/>
    <n v="349037"/>
    <n v="2551023"/>
    <m/>
    <m/>
    <m/>
    <m/>
    <m/>
    <m/>
    <m/>
    <m/>
    <m/>
    <x v="3"/>
    <x v="3"/>
    <n v="12"/>
    <x v="245"/>
    <m/>
  </r>
  <r>
    <x v="1"/>
    <x v="5"/>
    <s v="vials"/>
    <s v="All levels"/>
    <x v="8"/>
    <n v="2551023"/>
    <m/>
    <n v="353058"/>
    <n v="2197965"/>
    <m/>
    <m/>
    <m/>
    <m/>
    <m/>
    <m/>
    <m/>
    <m/>
    <m/>
    <x v="3"/>
    <x v="3"/>
    <n v="12"/>
    <x v="246"/>
    <m/>
  </r>
  <r>
    <x v="1"/>
    <x v="5"/>
    <s v="vials"/>
    <s v="All levels"/>
    <x v="9"/>
    <n v="2197965"/>
    <m/>
    <n v="357079"/>
    <n v="4212570"/>
    <m/>
    <m/>
    <s v="Planned"/>
    <n v="2371684"/>
    <m/>
    <m/>
    <m/>
    <m/>
    <m/>
    <x v="3"/>
    <x v="3"/>
    <n v="12"/>
    <x v="247"/>
    <m/>
  </r>
  <r>
    <x v="1"/>
    <x v="5"/>
    <s v="vials"/>
    <s v="All levels"/>
    <x v="10"/>
    <n v="4212570"/>
    <m/>
    <n v="361100"/>
    <n v="3851470"/>
    <m/>
    <m/>
    <m/>
    <m/>
    <m/>
    <m/>
    <m/>
    <m/>
    <m/>
    <x v="3"/>
    <x v="3"/>
    <n v="12"/>
    <x v="248"/>
    <m/>
  </r>
  <r>
    <x v="1"/>
    <x v="5"/>
    <s v="vials"/>
    <s v="All levels"/>
    <x v="11"/>
    <n v="3851470"/>
    <m/>
    <n v="365121"/>
    <n v="3486349"/>
    <m/>
    <m/>
    <m/>
    <m/>
    <m/>
    <m/>
    <m/>
    <m/>
    <m/>
    <x v="3"/>
    <x v="3"/>
    <n v="12"/>
    <x v="249"/>
    <m/>
  </r>
  <r>
    <x v="1"/>
    <x v="5"/>
    <s v="vials"/>
    <s v="All levels"/>
    <x v="15"/>
    <n v="3486349"/>
    <m/>
    <n v="369143"/>
    <n v="3117206"/>
    <m/>
    <m/>
    <m/>
    <m/>
    <m/>
    <m/>
    <m/>
    <m/>
    <m/>
    <x v="3"/>
    <x v="3"/>
    <n v="12"/>
    <x v="250"/>
    <m/>
  </r>
  <r>
    <x v="1"/>
    <x v="5"/>
    <s v="vials"/>
    <s v="All levels"/>
    <x v="16"/>
    <n v="3117206"/>
    <m/>
    <n v="373164"/>
    <n v="2744042"/>
    <m/>
    <m/>
    <m/>
    <m/>
    <m/>
    <m/>
    <m/>
    <m/>
    <m/>
    <x v="3"/>
    <x v="3"/>
    <n v="12"/>
    <x v="251"/>
    <m/>
  </r>
  <r>
    <x v="1"/>
    <x v="5"/>
    <s v="vials"/>
    <s v="All levels"/>
    <x v="17"/>
    <n v="2744042"/>
    <m/>
    <n v="377185"/>
    <n v="2366857"/>
    <m/>
    <m/>
    <m/>
    <m/>
    <m/>
    <m/>
    <m/>
    <m/>
    <m/>
    <x v="3"/>
    <x v="3"/>
    <n v="12"/>
    <x v="252"/>
    <m/>
  </r>
  <r>
    <x v="2"/>
    <x v="5"/>
    <s v="vials"/>
    <s v="All levels"/>
    <x v="12"/>
    <n v="1248680"/>
    <m/>
    <n v="131615"/>
    <n v="1117065"/>
    <m/>
    <m/>
    <m/>
    <m/>
    <m/>
    <m/>
    <m/>
    <m/>
    <m/>
    <x v="2"/>
    <x v="2"/>
    <n v="6"/>
    <x v="253"/>
    <m/>
  </r>
  <r>
    <x v="2"/>
    <x v="5"/>
    <s v="vials"/>
    <s v="All levels"/>
    <x v="13"/>
    <n v="1117065"/>
    <m/>
    <n v="131615"/>
    <n v="985450"/>
    <m/>
    <m/>
    <m/>
    <m/>
    <m/>
    <m/>
    <m/>
    <m/>
    <m/>
    <x v="2"/>
    <x v="2"/>
    <n v="6"/>
    <x v="254"/>
    <m/>
  </r>
  <r>
    <x v="2"/>
    <x v="5"/>
    <s v="vials"/>
    <s v="All levels"/>
    <x v="14"/>
    <n v="985450"/>
    <m/>
    <n v="131615"/>
    <n v="853835"/>
    <m/>
    <m/>
    <m/>
    <m/>
    <m/>
    <m/>
    <m/>
    <m/>
    <m/>
    <x v="2"/>
    <x v="2"/>
    <n v="6"/>
    <x v="255"/>
    <m/>
  </r>
  <r>
    <x v="2"/>
    <x v="5"/>
    <s v="vials"/>
    <s v="All levels"/>
    <x v="0"/>
    <n v="853835"/>
    <m/>
    <n v="131615"/>
    <n v="722220"/>
    <m/>
    <m/>
    <m/>
    <m/>
    <m/>
    <m/>
    <m/>
    <m/>
    <m/>
    <x v="2"/>
    <x v="2"/>
    <n v="6"/>
    <x v="256"/>
    <m/>
  </r>
  <r>
    <x v="2"/>
    <x v="5"/>
    <s v="vials"/>
    <s v="All levels"/>
    <x v="1"/>
    <n v="722220"/>
    <m/>
    <n v="131615"/>
    <n v="590605"/>
    <m/>
    <m/>
    <m/>
    <m/>
    <m/>
    <m/>
    <m/>
    <m/>
    <m/>
    <x v="2"/>
    <x v="2"/>
    <n v="6"/>
    <x v="257"/>
    <m/>
  </r>
  <r>
    <x v="2"/>
    <x v="5"/>
    <s v="vials"/>
    <s v="All levels"/>
    <x v="2"/>
    <n v="590605"/>
    <m/>
    <n v="131615"/>
    <n v="458990"/>
    <m/>
    <m/>
    <m/>
    <m/>
    <m/>
    <m/>
    <m/>
    <m/>
    <m/>
    <x v="2"/>
    <x v="2"/>
    <n v="6"/>
    <x v="258"/>
    <m/>
  </r>
  <r>
    <x v="2"/>
    <x v="5"/>
    <s v="vials"/>
    <s v="All levels"/>
    <x v="3"/>
    <n v="458990"/>
    <m/>
    <n v="131615"/>
    <n v="327375"/>
    <m/>
    <m/>
    <m/>
    <m/>
    <m/>
    <m/>
    <m/>
    <m/>
    <m/>
    <x v="2"/>
    <x v="2"/>
    <n v="6"/>
    <x v="259"/>
    <m/>
  </r>
  <r>
    <x v="2"/>
    <x v="5"/>
    <s v="vials"/>
    <s v="All levels"/>
    <x v="4"/>
    <n v="327375"/>
    <m/>
    <n v="131615"/>
    <n v="195760"/>
    <m/>
    <m/>
    <m/>
    <m/>
    <m/>
    <m/>
    <m/>
    <m/>
    <m/>
    <x v="2"/>
    <x v="2"/>
    <n v="6"/>
    <x v="260"/>
    <m/>
  </r>
  <r>
    <x v="2"/>
    <x v="5"/>
    <s v="vials"/>
    <s v="All levels"/>
    <x v="5"/>
    <n v="195760"/>
    <m/>
    <n v="131615"/>
    <n v="64145"/>
    <m/>
    <m/>
    <m/>
    <m/>
    <m/>
    <m/>
    <m/>
    <m/>
    <m/>
    <x v="2"/>
    <x v="2"/>
    <n v="6"/>
    <x v="261"/>
    <m/>
  </r>
  <r>
    <x v="2"/>
    <x v="5"/>
    <s v="vials"/>
    <s v="All levels"/>
    <x v="6"/>
    <n v="64145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7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8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9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0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1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5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6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7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8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9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20"/>
    <n v="0"/>
    <m/>
    <n v="140803"/>
    <n v="0"/>
    <m/>
    <m/>
    <m/>
    <m/>
    <m/>
    <m/>
    <m/>
    <m/>
    <m/>
    <x v="2"/>
    <x v="2"/>
    <n v="6"/>
    <x v="96"/>
    <m/>
  </r>
  <r>
    <x v="3"/>
    <x v="5"/>
    <s v="vials"/>
    <s v="All levels"/>
    <x v="21"/>
    <n v="515585"/>
    <m/>
    <n v="110429"/>
    <n v="920156"/>
    <s v="PSM "/>
    <s v="USAID"/>
    <s v="Received"/>
    <n v="515000"/>
    <m/>
    <n v="351848"/>
    <n v="45689"/>
    <m/>
    <m/>
    <x v="3"/>
    <x v="3"/>
    <n v="12"/>
    <x v="262"/>
    <m/>
  </r>
  <r>
    <x v="3"/>
    <x v="5"/>
    <s v="vials"/>
    <s v="All levels"/>
    <x v="22"/>
    <n v="920156"/>
    <m/>
    <n v="110429"/>
    <n v="916527"/>
    <s v="UNFPA"/>
    <s v="UNFPA"/>
    <s v="Received"/>
    <n v="106800"/>
    <m/>
    <n v="101674"/>
    <n v="45717"/>
    <m/>
    <m/>
    <x v="3"/>
    <x v="3"/>
    <n v="12"/>
    <x v="263"/>
    <m/>
  </r>
  <r>
    <x v="3"/>
    <x v="5"/>
    <s v="vials"/>
    <s v="All levels"/>
    <x v="12"/>
    <n v="916527"/>
    <m/>
    <n v="110429"/>
    <n v="1106098"/>
    <s v="UNFPA"/>
    <s v="U"/>
    <s v="Received"/>
    <n v="300000"/>
    <m/>
    <n v="258720"/>
    <n v="45748"/>
    <m/>
    <m/>
    <x v="3"/>
    <x v="3"/>
    <n v="12"/>
    <x v="264"/>
    <m/>
  </r>
  <r>
    <x v="3"/>
    <x v="5"/>
    <s v="vials"/>
    <s v="All levels"/>
    <x v="13"/>
    <n v="1106098"/>
    <m/>
    <n v="110429"/>
    <n v="1495669"/>
    <s v="PSM "/>
    <s v="USAID"/>
    <s v="Received"/>
    <n v="500000"/>
    <m/>
    <n v="341600"/>
    <n v="45778"/>
    <m/>
    <m/>
    <x v="3"/>
    <x v="3"/>
    <n v="12"/>
    <x v="265"/>
    <m/>
  </r>
  <r>
    <x v="3"/>
    <x v="5"/>
    <s v="vials"/>
    <s v="All levels"/>
    <x v="14"/>
    <n v="1495669"/>
    <m/>
    <n v="110429"/>
    <n v="1385240"/>
    <m/>
    <m/>
    <m/>
    <m/>
    <m/>
    <m/>
    <m/>
    <m/>
    <m/>
    <x v="3"/>
    <x v="3"/>
    <n v="12"/>
    <x v="266"/>
    <m/>
  </r>
  <r>
    <x v="3"/>
    <x v="5"/>
    <s v="vials"/>
    <s v="All levels"/>
    <x v="0"/>
    <n v="1385240"/>
    <m/>
    <n v="110429"/>
    <n v="1274811"/>
    <m/>
    <m/>
    <m/>
    <m/>
    <m/>
    <m/>
    <m/>
    <m/>
    <m/>
    <x v="3"/>
    <x v="3"/>
    <n v="12"/>
    <x v="267"/>
    <m/>
  </r>
  <r>
    <x v="3"/>
    <x v="5"/>
    <s v="vials"/>
    <s v="All levels"/>
    <x v="1"/>
    <n v="1274811"/>
    <m/>
    <n v="110429"/>
    <n v="1264382"/>
    <s v="UNFPA"/>
    <s v="UNFPA"/>
    <s v="Expected Deliveries"/>
    <n v="100000"/>
    <m/>
    <n v="95200"/>
    <n v="45870"/>
    <m/>
    <m/>
    <x v="3"/>
    <x v="3"/>
    <n v="12"/>
    <x v="268"/>
    <m/>
  </r>
  <r>
    <x v="3"/>
    <x v="5"/>
    <s v="vials"/>
    <s v="All levels"/>
    <x v="2"/>
    <n v="1264382"/>
    <m/>
    <n v="110429"/>
    <n v="1153953"/>
    <m/>
    <m/>
    <m/>
    <m/>
    <m/>
    <m/>
    <m/>
    <m/>
    <m/>
    <x v="3"/>
    <x v="3"/>
    <n v="12"/>
    <x v="269"/>
    <m/>
  </r>
  <r>
    <x v="3"/>
    <x v="5"/>
    <s v="vials"/>
    <s v="All levels"/>
    <x v="3"/>
    <n v="1153953"/>
    <m/>
    <n v="110429"/>
    <n v="1262124"/>
    <s v="UNFPA"/>
    <s v="UNFPA"/>
    <s v="Committed"/>
    <n v="218600"/>
    <m/>
    <n v="195913"/>
    <n v="45931"/>
    <m/>
    <m/>
    <x v="3"/>
    <x v="3"/>
    <n v="12"/>
    <x v="270"/>
    <m/>
  </r>
  <r>
    <x v="3"/>
    <x v="5"/>
    <s v="vials"/>
    <s v="All levels"/>
    <x v="4"/>
    <n v="1262124"/>
    <m/>
    <n v="110429"/>
    <n v="1175695"/>
    <s v="UNFPA"/>
    <s v="UNFPA"/>
    <s v="Committed"/>
    <n v="24000"/>
    <m/>
    <n v="20697"/>
    <n v="45962"/>
    <m/>
    <m/>
    <x v="3"/>
    <x v="3"/>
    <n v="12"/>
    <x v="271"/>
    <m/>
  </r>
  <r>
    <x v="3"/>
    <x v="5"/>
    <s v="vials"/>
    <s v="All levels"/>
    <x v="5"/>
    <n v="1175695"/>
    <m/>
    <n v="110429"/>
    <n v="1065266"/>
    <m/>
    <m/>
    <m/>
    <m/>
    <m/>
    <m/>
    <m/>
    <m/>
    <m/>
    <x v="3"/>
    <x v="3"/>
    <n v="12"/>
    <x v="272"/>
    <m/>
  </r>
  <r>
    <x v="3"/>
    <x v="5"/>
    <s v="vials"/>
    <s v="All levels"/>
    <x v="6"/>
    <n v="1065266"/>
    <m/>
    <n v="110429"/>
    <n v="954837"/>
    <m/>
    <m/>
    <m/>
    <m/>
    <m/>
    <m/>
    <m/>
    <m/>
    <m/>
    <x v="3"/>
    <x v="3"/>
    <n v="12"/>
    <x v="273"/>
    <m/>
  </r>
  <r>
    <x v="3"/>
    <x v="5"/>
    <s v="vials"/>
    <s v="All levels"/>
    <x v="7"/>
    <n v="954837"/>
    <m/>
    <n v="110429"/>
    <n v="844408"/>
    <m/>
    <m/>
    <m/>
    <m/>
    <m/>
    <m/>
    <m/>
    <m/>
    <m/>
    <x v="3"/>
    <x v="3"/>
    <n v="12"/>
    <x v="274"/>
    <m/>
  </r>
  <r>
    <x v="3"/>
    <x v="5"/>
    <s v="vials"/>
    <s v="All levels"/>
    <x v="8"/>
    <n v="844408"/>
    <m/>
    <n v="110429"/>
    <n v="1365995"/>
    <s v="TBD"/>
    <s v="TBD"/>
    <s v="Planned"/>
    <n v="632016"/>
    <m/>
    <n v="545051"/>
    <n v="46082"/>
    <m/>
    <m/>
    <x v="3"/>
    <x v="3"/>
    <n v="12"/>
    <x v="275"/>
    <m/>
  </r>
  <r>
    <x v="3"/>
    <x v="5"/>
    <s v="vials"/>
    <s v="All levels"/>
    <x v="9"/>
    <n v="1365995"/>
    <m/>
    <n v="110429"/>
    <n v="1255566"/>
    <m/>
    <m/>
    <m/>
    <m/>
    <m/>
    <m/>
    <m/>
    <m/>
    <m/>
    <x v="3"/>
    <x v="3"/>
    <n v="12"/>
    <x v="276"/>
    <m/>
  </r>
  <r>
    <x v="3"/>
    <x v="5"/>
    <s v="vials"/>
    <s v="All levels"/>
    <x v="10"/>
    <n v="1255566"/>
    <m/>
    <n v="110429"/>
    <n v="1145137"/>
    <m/>
    <m/>
    <m/>
    <m/>
    <m/>
    <m/>
    <m/>
    <m/>
    <m/>
    <x v="3"/>
    <x v="3"/>
    <n v="12"/>
    <x v="277"/>
    <m/>
  </r>
  <r>
    <x v="3"/>
    <x v="5"/>
    <s v="vials"/>
    <s v="All levels"/>
    <x v="11"/>
    <n v="1145137"/>
    <m/>
    <n v="110429"/>
    <n v="1034708"/>
    <m/>
    <m/>
    <m/>
    <m/>
    <m/>
    <m/>
    <m/>
    <m/>
    <m/>
    <x v="3"/>
    <x v="3"/>
    <n v="12"/>
    <x v="278"/>
    <m/>
  </r>
  <r>
    <x v="3"/>
    <x v="5"/>
    <s v="vials"/>
    <s v="All levels"/>
    <x v="15"/>
    <n v="1034708"/>
    <m/>
    <n v="110429"/>
    <n v="924279"/>
    <m/>
    <m/>
    <m/>
    <m/>
    <m/>
    <m/>
    <m/>
    <m/>
    <m/>
    <x v="3"/>
    <x v="3"/>
    <n v="12"/>
    <x v="279"/>
    <m/>
  </r>
  <r>
    <x v="3"/>
    <x v="5"/>
    <s v="vials"/>
    <s v="All levels"/>
    <x v="16"/>
    <n v="924279"/>
    <m/>
    <n v="110429"/>
    <n v="813850"/>
    <m/>
    <m/>
    <m/>
    <m/>
    <m/>
    <m/>
    <m/>
    <m/>
    <m/>
    <x v="3"/>
    <x v="3"/>
    <n v="12"/>
    <x v="280"/>
    <m/>
  </r>
  <r>
    <x v="3"/>
    <x v="5"/>
    <s v="vials"/>
    <s v="All levels"/>
    <x v="17"/>
    <n v="813850"/>
    <m/>
    <n v="110429"/>
    <n v="703421"/>
    <m/>
    <m/>
    <m/>
    <m/>
    <m/>
    <m/>
    <m/>
    <m/>
    <m/>
    <x v="3"/>
    <x v="3"/>
    <n v="12"/>
    <x v="281"/>
    <m/>
  </r>
  <r>
    <x v="3"/>
    <x v="5"/>
    <s v="vials"/>
    <s v="All levels"/>
    <x v="18"/>
    <n v="703421"/>
    <m/>
    <n v="110429"/>
    <n v="1290024"/>
    <s v="TBD"/>
    <s v="TBD"/>
    <s v="Planned"/>
    <n v="697032"/>
    <m/>
    <n v="601120"/>
    <n v="46296"/>
    <m/>
    <m/>
    <x v="3"/>
    <x v="3"/>
    <n v="12"/>
    <x v="282"/>
    <m/>
  </r>
  <r>
    <x v="3"/>
    <x v="5"/>
    <s v="vials"/>
    <s v="All levels"/>
    <x v="19"/>
    <n v="1290024"/>
    <m/>
    <n v="110429"/>
    <n v="1179595"/>
    <m/>
    <m/>
    <m/>
    <m/>
    <m/>
    <m/>
    <m/>
    <m/>
    <m/>
    <x v="3"/>
    <x v="3"/>
    <n v="12"/>
    <x v="283"/>
    <m/>
  </r>
  <r>
    <x v="3"/>
    <x v="5"/>
    <s v="vials"/>
    <s v="All levels"/>
    <x v="20"/>
    <n v="1179595"/>
    <m/>
    <n v="110429"/>
    <n v="1069166"/>
    <m/>
    <m/>
    <m/>
    <m/>
    <m/>
    <m/>
    <m/>
    <m/>
    <m/>
    <x v="3"/>
    <x v="3"/>
    <n v="12"/>
    <x v="284"/>
    <m/>
  </r>
  <r>
    <x v="4"/>
    <x v="5"/>
    <s v="vials"/>
    <s v="All levels"/>
    <x v="0"/>
    <n v="2250291"/>
    <m/>
    <n v="1332535"/>
    <n v="917756"/>
    <m/>
    <m/>
    <m/>
    <m/>
    <m/>
    <m/>
    <m/>
    <m/>
    <m/>
    <x v="3"/>
    <x v="3"/>
    <n v="12"/>
    <x v="285"/>
    <m/>
  </r>
  <r>
    <x v="4"/>
    <x v="5"/>
    <s v="vials"/>
    <s v="All levels"/>
    <x v="1"/>
    <n v="917756"/>
    <m/>
    <n v="1332535"/>
    <n v="1355221"/>
    <s v="UNFPA"/>
    <s v="UNFPA"/>
    <s v="Expected Deliveries"/>
    <n v="1770000"/>
    <m/>
    <m/>
    <m/>
    <m/>
    <m/>
    <x v="3"/>
    <x v="3"/>
    <n v="12"/>
    <x v="286"/>
    <m/>
  </r>
  <r>
    <x v="4"/>
    <x v="5"/>
    <s v="vials"/>
    <s v="All levels"/>
    <x v="2"/>
    <n v="1355221"/>
    <m/>
    <n v="1332535"/>
    <n v="5019157"/>
    <s v="Govt"/>
    <s v="Govt"/>
    <s v="Expected Deliveries"/>
    <n v="4996471"/>
    <m/>
    <m/>
    <m/>
    <m/>
    <m/>
    <x v="3"/>
    <x v="3"/>
    <n v="12"/>
    <x v="287"/>
    <m/>
  </r>
  <r>
    <x v="4"/>
    <x v="5"/>
    <s v="vials"/>
    <s v="All levels"/>
    <x v="3"/>
    <n v="5019157"/>
    <m/>
    <n v="1332535"/>
    <n v="3686622"/>
    <m/>
    <m/>
    <m/>
    <m/>
    <m/>
    <m/>
    <m/>
    <m/>
    <m/>
    <x v="3"/>
    <x v="3"/>
    <n v="12"/>
    <x v="288"/>
    <m/>
  </r>
  <r>
    <x v="4"/>
    <x v="5"/>
    <s v="vials"/>
    <s v="All levels"/>
    <x v="4"/>
    <n v="3686622"/>
    <m/>
    <n v="1332535"/>
    <n v="2354087"/>
    <m/>
    <m/>
    <m/>
    <m/>
    <m/>
    <m/>
    <m/>
    <m/>
    <m/>
    <x v="3"/>
    <x v="3"/>
    <n v="12"/>
    <x v="289"/>
    <m/>
  </r>
  <r>
    <x v="4"/>
    <x v="5"/>
    <s v="vials"/>
    <s v="All levels"/>
    <x v="5"/>
    <n v="2354087"/>
    <m/>
    <n v="1332535"/>
    <n v="6151620"/>
    <s v="Govt"/>
    <s v="Govt"/>
    <s v="Committed"/>
    <n v="5130068"/>
    <m/>
    <m/>
    <m/>
    <m/>
    <m/>
    <x v="3"/>
    <x v="3"/>
    <n v="12"/>
    <x v="290"/>
    <m/>
  </r>
  <r>
    <x v="4"/>
    <x v="5"/>
    <s v="vials"/>
    <s v="All levels"/>
    <x v="6"/>
    <n v="6151620"/>
    <m/>
    <n v="1332535"/>
    <n v="4819085"/>
    <m/>
    <m/>
    <m/>
    <m/>
    <m/>
    <m/>
    <m/>
    <m/>
    <m/>
    <x v="3"/>
    <x v="3"/>
    <n v="12"/>
    <x v="291"/>
    <m/>
  </r>
  <r>
    <x v="4"/>
    <x v="5"/>
    <s v="vials"/>
    <s v="All levels"/>
    <x v="7"/>
    <n v="4819085"/>
    <m/>
    <n v="1332535"/>
    <n v="3486550"/>
    <m/>
    <m/>
    <m/>
    <m/>
    <m/>
    <m/>
    <m/>
    <m/>
    <m/>
    <x v="3"/>
    <x v="3"/>
    <n v="12"/>
    <x v="292"/>
    <m/>
  </r>
  <r>
    <x v="4"/>
    <x v="5"/>
    <s v="vials"/>
    <s v="All levels"/>
    <x v="8"/>
    <n v="3486550"/>
    <m/>
    <n v="1332535"/>
    <n v="2154015"/>
    <m/>
    <m/>
    <m/>
    <m/>
    <m/>
    <m/>
    <m/>
    <m/>
    <m/>
    <x v="3"/>
    <x v="3"/>
    <n v="12"/>
    <x v="293"/>
    <m/>
  </r>
  <r>
    <x v="4"/>
    <x v="5"/>
    <s v="vials"/>
    <s v="All levels"/>
    <x v="9"/>
    <n v="2154015"/>
    <m/>
    <n v="1332535"/>
    <n v="821480"/>
    <m/>
    <m/>
    <m/>
    <m/>
    <m/>
    <m/>
    <m/>
    <m/>
    <m/>
    <x v="3"/>
    <x v="3"/>
    <n v="12"/>
    <x v="294"/>
    <m/>
  </r>
  <r>
    <x v="5"/>
    <x v="5"/>
    <s v="vials"/>
    <s v="All levels"/>
    <x v="1"/>
    <n v="1624145"/>
    <m/>
    <n v="130000"/>
    <n v="1694145"/>
    <s v="UNFPA"/>
    <s v="UNFPA"/>
    <s v="Expected Deliveries"/>
    <n v="200000"/>
    <m/>
    <m/>
    <m/>
    <m/>
    <m/>
    <x v="2"/>
    <x v="2"/>
    <n v="6"/>
    <x v="295"/>
    <m/>
  </r>
  <r>
    <x v="5"/>
    <x v="5"/>
    <s v="vials"/>
    <s v="All levels"/>
    <x v="2"/>
    <n v="1694145"/>
    <m/>
    <n v="130000"/>
    <n v="1564145"/>
    <m/>
    <m/>
    <m/>
    <m/>
    <m/>
    <m/>
    <m/>
    <m/>
    <m/>
    <x v="2"/>
    <x v="2"/>
    <n v="6"/>
    <x v="296"/>
    <m/>
  </r>
  <r>
    <x v="5"/>
    <x v="5"/>
    <s v="vials"/>
    <s v="All levels"/>
    <x v="3"/>
    <n v="1564145"/>
    <m/>
    <n v="130000"/>
    <n v="1434145"/>
    <m/>
    <m/>
    <m/>
    <m/>
    <m/>
    <m/>
    <m/>
    <m/>
    <m/>
    <x v="2"/>
    <x v="2"/>
    <n v="6"/>
    <x v="297"/>
    <m/>
  </r>
  <r>
    <x v="5"/>
    <x v="5"/>
    <s v="vials"/>
    <s v="All levels"/>
    <x v="4"/>
    <n v="1434145"/>
    <m/>
    <n v="130000"/>
    <n v="1304145"/>
    <m/>
    <m/>
    <m/>
    <m/>
    <m/>
    <m/>
    <m/>
    <m/>
    <m/>
    <x v="2"/>
    <x v="2"/>
    <n v="6"/>
    <x v="298"/>
    <m/>
  </r>
  <r>
    <x v="5"/>
    <x v="5"/>
    <s v="vials"/>
    <s v="All levels"/>
    <x v="5"/>
    <n v="1304145"/>
    <m/>
    <n v="130000"/>
    <n v="1174145"/>
    <m/>
    <m/>
    <m/>
    <m/>
    <m/>
    <m/>
    <m/>
    <m/>
    <m/>
    <x v="2"/>
    <x v="2"/>
    <n v="6"/>
    <x v="299"/>
    <m/>
  </r>
  <r>
    <x v="5"/>
    <x v="5"/>
    <s v="vials"/>
    <s v="All levels"/>
    <x v="6"/>
    <n v="1174145"/>
    <m/>
    <n v="130000"/>
    <n v="1044145"/>
    <m/>
    <m/>
    <m/>
    <m/>
    <m/>
    <m/>
    <m/>
    <m/>
    <m/>
    <x v="2"/>
    <x v="2"/>
    <n v="6"/>
    <x v="300"/>
    <m/>
  </r>
  <r>
    <x v="5"/>
    <x v="5"/>
    <s v="vials"/>
    <s v="All levels"/>
    <x v="7"/>
    <n v="1044145"/>
    <m/>
    <n v="130000"/>
    <n v="914145"/>
    <m/>
    <m/>
    <m/>
    <m/>
    <m/>
    <m/>
    <m/>
    <m/>
    <m/>
    <x v="2"/>
    <x v="2"/>
    <n v="6"/>
    <x v="301"/>
    <m/>
  </r>
  <r>
    <x v="5"/>
    <x v="5"/>
    <s v="vials"/>
    <s v="All levels"/>
    <x v="8"/>
    <n v="914145"/>
    <m/>
    <n v="130000"/>
    <n v="784145"/>
    <m/>
    <m/>
    <m/>
    <m/>
    <m/>
    <m/>
    <m/>
    <m/>
    <m/>
    <x v="2"/>
    <x v="2"/>
    <n v="6"/>
    <x v="302"/>
    <m/>
  </r>
  <r>
    <x v="5"/>
    <x v="5"/>
    <s v="vials"/>
    <s v="All levels"/>
    <x v="9"/>
    <n v="784145"/>
    <m/>
    <n v="130000"/>
    <n v="755020"/>
    <s v="TBD"/>
    <s v="TBD"/>
    <s v="Planned"/>
    <n v="100875"/>
    <m/>
    <m/>
    <m/>
    <m/>
    <m/>
    <x v="2"/>
    <x v="2"/>
    <n v="6"/>
    <x v="303"/>
    <m/>
  </r>
  <r>
    <x v="5"/>
    <x v="5"/>
    <s v="vials"/>
    <s v="All levels"/>
    <x v="10"/>
    <n v="755020"/>
    <m/>
    <n v="130000"/>
    <n v="1061595"/>
    <s v="TBD"/>
    <s v="TBD"/>
    <s v="Planned"/>
    <n v="436575"/>
    <m/>
    <m/>
    <m/>
    <m/>
    <m/>
    <x v="2"/>
    <x v="2"/>
    <n v="6"/>
    <x v="304"/>
    <m/>
  </r>
  <r>
    <x v="5"/>
    <x v="5"/>
    <s v="vials"/>
    <s v="All levels"/>
    <x v="11"/>
    <n v="1061595"/>
    <m/>
    <n v="130000"/>
    <n v="931595"/>
    <m/>
    <m/>
    <m/>
    <m/>
    <m/>
    <m/>
    <m/>
    <m/>
    <m/>
    <x v="2"/>
    <x v="2"/>
    <n v="6"/>
    <x v="305"/>
    <m/>
  </r>
  <r>
    <x v="5"/>
    <x v="5"/>
    <s v="vials"/>
    <s v="All levels"/>
    <x v="15"/>
    <n v="931595"/>
    <m/>
    <n v="130000"/>
    <n v="801595"/>
    <m/>
    <m/>
    <m/>
    <m/>
    <m/>
    <m/>
    <m/>
    <m/>
    <m/>
    <x v="2"/>
    <x v="2"/>
    <n v="6"/>
    <x v="306"/>
    <m/>
  </r>
  <r>
    <x v="5"/>
    <x v="5"/>
    <s v="vials"/>
    <s v="All levels"/>
    <x v="16"/>
    <n v="801595"/>
    <m/>
    <n v="130000"/>
    <n v="1321667"/>
    <s v="TBD"/>
    <s v="TBD"/>
    <s v="Planned"/>
    <n v="650072"/>
    <m/>
    <m/>
    <m/>
    <m/>
    <m/>
    <x v="2"/>
    <x v="2"/>
    <n v="6"/>
    <x v="307"/>
    <m/>
  </r>
  <r>
    <x v="6"/>
    <x v="5"/>
    <s v="vials"/>
    <s v="All levels"/>
    <x v="12"/>
    <n v="214450"/>
    <m/>
    <n v="33220"/>
    <n v="181230"/>
    <m/>
    <m/>
    <m/>
    <m/>
    <m/>
    <m/>
    <m/>
    <m/>
    <m/>
    <x v="4"/>
    <x v="4"/>
    <m/>
    <x v="308"/>
    <m/>
  </r>
  <r>
    <x v="6"/>
    <x v="5"/>
    <s v="vials"/>
    <s v="All levels"/>
    <x v="13"/>
    <n v="181230"/>
    <m/>
    <n v="33220"/>
    <n v="148010"/>
    <m/>
    <m/>
    <m/>
    <m/>
    <m/>
    <m/>
    <m/>
    <m/>
    <m/>
    <x v="4"/>
    <x v="4"/>
    <m/>
    <x v="309"/>
    <m/>
  </r>
  <r>
    <x v="6"/>
    <x v="5"/>
    <s v="vials"/>
    <s v="All levels"/>
    <x v="14"/>
    <n v="148010"/>
    <m/>
    <n v="33220"/>
    <n v="264790"/>
    <m/>
    <m/>
    <m/>
    <n v="150000"/>
    <m/>
    <m/>
    <m/>
    <m/>
    <m/>
    <x v="4"/>
    <x v="4"/>
    <m/>
    <x v="310"/>
    <m/>
  </r>
  <r>
    <x v="6"/>
    <x v="5"/>
    <s v="vials"/>
    <s v="All levels"/>
    <x v="0"/>
    <n v="264790"/>
    <m/>
    <n v="33220"/>
    <n v="231570"/>
    <m/>
    <m/>
    <m/>
    <m/>
    <m/>
    <m/>
    <m/>
    <m/>
    <m/>
    <x v="4"/>
    <x v="4"/>
    <m/>
    <x v="311"/>
    <m/>
  </r>
  <r>
    <x v="6"/>
    <x v="5"/>
    <s v="vials"/>
    <s v="All levels"/>
    <x v="1"/>
    <n v="231570"/>
    <m/>
    <n v="33220"/>
    <n v="198350"/>
    <m/>
    <m/>
    <m/>
    <m/>
    <m/>
    <m/>
    <m/>
    <m/>
    <m/>
    <x v="4"/>
    <x v="4"/>
    <m/>
    <x v="312"/>
    <m/>
  </r>
  <r>
    <x v="6"/>
    <x v="5"/>
    <s v="vials"/>
    <s v="All levels"/>
    <x v="2"/>
    <n v="198350"/>
    <m/>
    <n v="33220"/>
    <n v="165130"/>
    <m/>
    <m/>
    <m/>
    <m/>
    <m/>
    <m/>
    <m/>
    <m/>
    <m/>
    <x v="4"/>
    <x v="4"/>
    <m/>
    <x v="313"/>
    <m/>
  </r>
  <r>
    <x v="6"/>
    <x v="5"/>
    <s v="vials"/>
    <s v="All levels"/>
    <x v="3"/>
    <n v="165130"/>
    <m/>
    <n v="33220"/>
    <n v="131910"/>
    <m/>
    <m/>
    <m/>
    <m/>
    <m/>
    <m/>
    <m/>
    <m/>
    <m/>
    <x v="4"/>
    <x v="4"/>
    <m/>
    <x v="314"/>
    <m/>
  </r>
  <r>
    <x v="6"/>
    <x v="5"/>
    <s v="vials"/>
    <s v="All levels"/>
    <x v="4"/>
    <n v="131910"/>
    <m/>
    <n v="33220"/>
    <n v="98690"/>
    <m/>
    <m/>
    <m/>
    <m/>
    <m/>
    <m/>
    <m/>
    <m/>
    <m/>
    <x v="4"/>
    <x v="4"/>
    <m/>
    <x v="315"/>
    <m/>
  </r>
  <r>
    <x v="6"/>
    <x v="5"/>
    <s v="vials"/>
    <s v="All levels"/>
    <x v="5"/>
    <n v="98690"/>
    <m/>
    <n v="33220"/>
    <n v="65470"/>
    <m/>
    <m/>
    <m/>
    <m/>
    <m/>
    <m/>
    <m/>
    <m/>
    <m/>
    <x v="4"/>
    <x v="4"/>
    <m/>
    <x v="316"/>
    <m/>
  </r>
  <r>
    <x v="0"/>
    <x v="6"/>
    <s v="vial"/>
    <s v="All levels"/>
    <x v="0"/>
    <n v="368535"/>
    <m/>
    <n v="25415"/>
    <n v="343120"/>
    <m/>
    <m/>
    <m/>
    <m/>
    <m/>
    <m/>
    <m/>
    <m/>
    <m/>
    <x v="0"/>
    <x v="0"/>
    <n v="13"/>
    <x v="317"/>
    <m/>
  </r>
  <r>
    <x v="0"/>
    <x v="6"/>
    <s v="vial"/>
    <s v="All levels"/>
    <x v="1"/>
    <n v="343120"/>
    <m/>
    <n v="25415"/>
    <n v="317705"/>
    <m/>
    <m/>
    <m/>
    <m/>
    <m/>
    <m/>
    <m/>
    <m/>
    <m/>
    <x v="0"/>
    <x v="0"/>
    <n v="13"/>
    <x v="318"/>
    <m/>
  </r>
  <r>
    <x v="0"/>
    <x v="6"/>
    <s v="vial"/>
    <s v="All levels"/>
    <x v="2"/>
    <n v="317705"/>
    <m/>
    <n v="25415"/>
    <n v="292290"/>
    <m/>
    <m/>
    <m/>
    <m/>
    <m/>
    <m/>
    <m/>
    <m/>
    <m/>
    <x v="0"/>
    <x v="0"/>
    <n v="13"/>
    <x v="319"/>
    <m/>
  </r>
  <r>
    <x v="0"/>
    <x v="6"/>
    <s v="vial"/>
    <s v="All levels"/>
    <x v="3"/>
    <n v="292290"/>
    <m/>
    <n v="25415"/>
    <n v="266875"/>
    <m/>
    <m/>
    <m/>
    <m/>
    <m/>
    <m/>
    <m/>
    <m/>
    <m/>
    <x v="0"/>
    <x v="0"/>
    <n v="13"/>
    <x v="320"/>
    <m/>
  </r>
  <r>
    <x v="0"/>
    <x v="6"/>
    <s v="vial"/>
    <s v="All levels"/>
    <x v="4"/>
    <n v="266875"/>
    <m/>
    <n v="25415"/>
    <n v="241460"/>
    <m/>
    <m/>
    <m/>
    <m/>
    <m/>
    <m/>
    <m/>
    <m/>
    <m/>
    <x v="0"/>
    <x v="0"/>
    <n v="13"/>
    <x v="321"/>
    <m/>
  </r>
  <r>
    <x v="0"/>
    <x v="6"/>
    <s v="vial"/>
    <s v="All levels"/>
    <x v="5"/>
    <n v="241460"/>
    <m/>
    <n v="25415"/>
    <n v="216045"/>
    <m/>
    <m/>
    <m/>
    <m/>
    <m/>
    <m/>
    <m/>
    <m/>
    <m/>
    <x v="0"/>
    <x v="0"/>
    <n v="13"/>
    <x v="322"/>
    <m/>
  </r>
  <r>
    <x v="0"/>
    <x v="6"/>
    <s v="vial"/>
    <s v="All levels"/>
    <x v="6"/>
    <n v="216045"/>
    <m/>
    <n v="25415"/>
    <n v="190630"/>
    <m/>
    <m/>
    <m/>
    <m/>
    <m/>
    <m/>
    <m/>
    <m/>
    <m/>
    <x v="0"/>
    <x v="0"/>
    <n v="13"/>
    <x v="323"/>
    <m/>
  </r>
  <r>
    <x v="0"/>
    <x v="6"/>
    <s v="vial"/>
    <s v="All levels"/>
    <x v="7"/>
    <n v="190630"/>
    <m/>
    <n v="25415"/>
    <n v="312920"/>
    <s v="TBD"/>
    <s v="TBD"/>
    <s v="Planned"/>
    <n v="147705"/>
    <m/>
    <n v="150659"/>
    <n v="46054"/>
    <m/>
    <m/>
    <x v="0"/>
    <x v="0"/>
    <n v="13"/>
    <x v="324"/>
    <m/>
  </r>
  <r>
    <x v="0"/>
    <x v="6"/>
    <s v="vial"/>
    <s v="All levels"/>
    <x v="8"/>
    <n v="312920"/>
    <m/>
    <n v="25415"/>
    <n v="287505"/>
    <m/>
    <m/>
    <m/>
    <m/>
    <m/>
    <m/>
    <m/>
    <m/>
    <m/>
    <x v="0"/>
    <x v="0"/>
    <n v="13"/>
    <x v="325"/>
    <m/>
  </r>
  <r>
    <x v="0"/>
    <x v="6"/>
    <s v="vial"/>
    <s v="All levels"/>
    <x v="9"/>
    <n v="287505"/>
    <m/>
    <n v="25415"/>
    <n v="262090"/>
    <m/>
    <m/>
    <m/>
    <m/>
    <m/>
    <m/>
    <m/>
    <m/>
    <m/>
    <x v="0"/>
    <x v="0"/>
    <n v="13"/>
    <x v="326"/>
    <m/>
  </r>
  <r>
    <x v="0"/>
    <x v="6"/>
    <s v="vial"/>
    <s v="All levels"/>
    <x v="10"/>
    <n v="262090"/>
    <m/>
    <n v="25415"/>
    <n v="236675"/>
    <m/>
    <m/>
    <m/>
    <m/>
    <m/>
    <m/>
    <m/>
    <m/>
    <m/>
    <x v="0"/>
    <x v="0"/>
    <n v="13"/>
    <x v="327"/>
    <m/>
  </r>
  <r>
    <x v="0"/>
    <x v="6"/>
    <s v="vial"/>
    <s v="All levels"/>
    <x v="11"/>
    <n v="236675"/>
    <m/>
    <n v="25415"/>
    <n v="211260"/>
    <m/>
    <m/>
    <m/>
    <m/>
    <m/>
    <m/>
    <m/>
    <m/>
    <m/>
    <x v="0"/>
    <x v="0"/>
    <n v="13"/>
    <x v="328"/>
    <m/>
  </r>
  <r>
    <x v="1"/>
    <x v="6"/>
    <s v="vial"/>
    <s v="All levels"/>
    <x v="12"/>
    <n v="2388682"/>
    <m/>
    <n v="308825"/>
    <n v="2079857"/>
    <m/>
    <m/>
    <m/>
    <m/>
    <m/>
    <m/>
    <m/>
    <m/>
    <m/>
    <x v="3"/>
    <x v="3"/>
    <n v="12"/>
    <x v="235"/>
    <m/>
  </r>
  <r>
    <x v="1"/>
    <x v="6"/>
    <s v="vial"/>
    <s v="All levels"/>
    <x v="13"/>
    <n v="2079857"/>
    <m/>
    <n v="312846"/>
    <n v="2267011"/>
    <m/>
    <m/>
    <s v="Received"/>
    <n v="500000"/>
    <m/>
    <m/>
    <m/>
    <m/>
    <m/>
    <x v="3"/>
    <x v="3"/>
    <n v="12"/>
    <x v="236"/>
    <m/>
  </r>
  <r>
    <x v="1"/>
    <x v="6"/>
    <s v="vial"/>
    <s v="All levels"/>
    <x v="14"/>
    <n v="2267011"/>
    <m/>
    <n v="316867"/>
    <n v="1950144"/>
    <m/>
    <m/>
    <m/>
    <m/>
    <m/>
    <m/>
    <m/>
    <m/>
    <m/>
    <x v="3"/>
    <x v="3"/>
    <n v="12"/>
    <x v="237"/>
    <m/>
  </r>
  <r>
    <x v="1"/>
    <x v="6"/>
    <s v="vial"/>
    <s v="All levels"/>
    <x v="0"/>
    <n v="1950144"/>
    <m/>
    <n v="320888"/>
    <n v="1629256"/>
    <m/>
    <m/>
    <m/>
    <m/>
    <m/>
    <m/>
    <m/>
    <m/>
    <m/>
    <x v="3"/>
    <x v="3"/>
    <n v="12"/>
    <x v="238"/>
    <m/>
  </r>
  <r>
    <x v="1"/>
    <x v="6"/>
    <s v="vial"/>
    <s v="All levels"/>
    <x v="1"/>
    <n v="1629256"/>
    <m/>
    <n v="324910"/>
    <n v="1304346"/>
    <m/>
    <m/>
    <m/>
    <m/>
    <m/>
    <m/>
    <m/>
    <m/>
    <m/>
    <x v="3"/>
    <x v="3"/>
    <n v="12"/>
    <x v="239"/>
    <m/>
  </r>
  <r>
    <x v="1"/>
    <x v="6"/>
    <s v="vial"/>
    <s v="All levels"/>
    <x v="2"/>
    <n v="1304346"/>
    <m/>
    <n v="328931"/>
    <n v="1875415"/>
    <m/>
    <m/>
    <s v="Committed"/>
    <n v="900000"/>
    <m/>
    <m/>
    <m/>
    <m/>
    <m/>
    <x v="3"/>
    <x v="3"/>
    <n v="12"/>
    <x v="240"/>
    <m/>
  </r>
  <r>
    <x v="1"/>
    <x v="6"/>
    <s v="vial"/>
    <s v="All levels"/>
    <x v="3"/>
    <n v="1875415"/>
    <m/>
    <n v="332952"/>
    <n v="3923043"/>
    <m/>
    <m/>
    <s v="Planned"/>
    <n v="2380580"/>
    <m/>
    <m/>
    <m/>
    <m/>
    <m/>
    <x v="3"/>
    <x v="3"/>
    <n v="12"/>
    <x v="241"/>
    <m/>
  </r>
  <r>
    <x v="1"/>
    <x v="6"/>
    <s v="vial"/>
    <s v="All levels"/>
    <x v="4"/>
    <n v="3923043"/>
    <m/>
    <n v="336973"/>
    <n v="3586070"/>
    <m/>
    <m/>
    <m/>
    <m/>
    <m/>
    <m/>
    <m/>
    <m/>
    <m/>
    <x v="3"/>
    <x v="3"/>
    <n v="12"/>
    <x v="242"/>
    <m/>
  </r>
  <r>
    <x v="1"/>
    <x v="6"/>
    <s v="vial"/>
    <s v="All levels"/>
    <x v="5"/>
    <n v="3586070"/>
    <m/>
    <n v="340994"/>
    <n v="3245076"/>
    <m/>
    <m/>
    <m/>
    <m/>
    <m/>
    <m/>
    <m/>
    <m/>
    <m/>
    <x v="3"/>
    <x v="3"/>
    <n v="12"/>
    <x v="243"/>
    <m/>
  </r>
  <r>
    <x v="1"/>
    <x v="6"/>
    <s v="vial"/>
    <s v="All levels"/>
    <x v="6"/>
    <n v="3245076"/>
    <m/>
    <n v="345016"/>
    <n v="2900060"/>
    <m/>
    <m/>
    <m/>
    <m/>
    <m/>
    <m/>
    <m/>
    <m/>
    <m/>
    <x v="3"/>
    <x v="3"/>
    <n v="12"/>
    <x v="244"/>
    <m/>
  </r>
  <r>
    <x v="1"/>
    <x v="6"/>
    <s v="vial"/>
    <s v="All levels"/>
    <x v="7"/>
    <n v="2900060"/>
    <m/>
    <n v="349037"/>
    <n v="2551023"/>
    <m/>
    <m/>
    <m/>
    <m/>
    <m/>
    <m/>
    <m/>
    <m/>
    <m/>
    <x v="3"/>
    <x v="3"/>
    <n v="12"/>
    <x v="245"/>
    <m/>
  </r>
  <r>
    <x v="1"/>
    <x v="6"/>
    <s v="vial"/>
    <s v="All levels"/>
    <x v="8"/>
    <n v="2551023"/>
    <m/>
    <n v="353058"/>
    <n v="2197965"/>
    <m/>
    <m/>
    <m/>
    <m/>
    <m/>
    <m/>
    <m/>
    <m/>
    <m/>
    <x v="3"/>
    <x v="3"/>
    <n v="12"/>
    <x v="246"/>
    <m/>
  </r>
  <r>
    <x v="1"/>
    <x v="6"/>
    <s v="vial"/>
    <s v="All levels"/>
    <x v="9"/>
    <n v="2197965"/>
    <m/>
    <n v="357079"/>
    <n v="4212570"/>
    <m/>
    <m/>
    <s v="Planned"/>
    <n v="2371684"/>
    <m/>
    <m/>
    <m/>
    <m/>
    <m/>
    <x v="3"/>
    <x v="3"/>
    <n v="12"/>
    <x v="247"/>
    <m/>
  </r>
  <r>
    <x v="1"/>
    <x v="6"/>
    <s v="vial"/>
    <s v="All levels"/>
    <x v="10"/>
    <n v="4212570"/>
    <m/>
    <n v="361100"/>
    <n v="3851470"/>
    <m/>
    <m/>
    <m/>
    <m/>
    <m/>
    <m/>
    <m/>
    <m/>
    <m/>
    <x v="3"/>
    <x v="3"/>
    <n v="12"/>
    <x v="248"/>
    <m/>
  </r>
  <r>
    <x v="1"/>
    <x v="6"/>
    <s v="vial"/>
    <s v="All levels"/>
    <x v="11"/>
    <n v="3851470"/>
    <m/>
    <n v="365121"/>
    <n v="3486349"/>
    <m/>
    <m/>
    <m/>
    <m/>
    <m/>
    <m/>
    <m/>
    <m/>
    <m/>
    <x v="3"/>
    <x v="3"/>
    <n v="12"/>
    <x v="249"/>
    <m/>
  </r>
  <r>
    <x v="1"/>
    <x v="6"/>
    <s v="vial"/>
    <s v="All levels"/>
    <x v="15"/>
    <n v="3486349"/>
    <m/>
    <n v="369143"/>
    <n v="3117206"/>
    <m/>
    <m/>
    <m/>
    <m/>
    <m/>
    <m/>
    <m/>
    <m/>
    <m/>
    <x v="3"/>
    <x v="3"/>
    <n v="12"/>
    <x v="250"/>
    <m/>
  </r>
  <r>
    <x v="1"/>
    <x v="6"/>
    <s v="vial"/>
    <s v="All levels"/>
    <x v="16"/>
    <n v="3117206"/>
    <m/>
    <n v="373164"/>
    <n v="2744042"/>
    <m/>
    <m/>
    <m/>
    <m/>
    <m/>
    <m/>
    <m/>
    <m/>
    <m/>
    <x v="3"/>
    <x v="3"/>
    <n v="12"/>
    <x v="251"/>
    <m/>
  </r>
  <r>
    <x v="1"/>
    <x v="6"/>
    <s v="vial"/>
    <s v="All levels"/>
    <x v="17"/>
    <n v="2744042"/>
    <m/>
    <n v="377185"/>
    <n v="2366857"/>
    <m/>
    <m/>
    <m/>
    <m/>
    <m/>
    <m/>
    <m/>
    <m/>
    <m/>
    <x v="3"/>
    <x v="3"/>
    <n v="12"/>
    <x v="252"/>
    <m/>
  </r>
  <r>
    <x v="2"/>
    <x v="6"/>
    <s v="vial"/>
    <s v="All levels"/>
    <x v="12"/>
    <n v="11876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13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14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0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1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2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3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4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5"/>
    <n v="197423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6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7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8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9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0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1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5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6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7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8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9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20"/>
    <n v="258958"/>
    <m/>
    <n v="258958"/>
    <n v="0"/>
    <m/>
    <m/>
    <m/>
    <m/>
    <m/>
    <m/>
    <m/>
    <m/>
    <m/>
    <x v="2"/>
    <x v="2"/>
    <n v="6"/>
    <x v="96"/>
    <m/>
  </r>
  <r>
    <x v="3"/>
    <x v="6"/>
    <s v="vial"/>
    <s v="All levels"/>
    <x v="21"/>
    <n v="113300"/>
    <m/>
    <n v="34618"/>
    <n v="378682"/>
    <s v="UNFPA"/>
    <s v="UNFPA"/>
    <s v="Received"/>
    <n v="300000"/>
    <m/>
    <n v="285600"/>
    <n v="45689"/>
    <m/>
    <m/>
    <x v="3"/>
    <x v="3"/>
    <n v="12"/>
    <x v="329"/>
    <m/>
  </r>
  <r>
    <x v="3"/>
    <x v="6"/>
    <s v="vial"/>
    <s v="All levels"/>
    <x v="22"/>
    <n v="378682"/>
    <m/>
    <n v="34618"/>
    <n v="450864"/>
    <s v="UNFPA"/>
    <s v="UNFPA"/>
    <s v="Received"/>
    <n v="106800"/>
    <m/>
    <n v="90780"/>
    <n v="45717"/>
    <m/>
    <m/>
    <x v="3"/>
    <x v="3"/>
    <n v="12"/>
    <x v="330"/>
    <m/>
  </r>
  <r>
    <x v="3"/>
    <x v="6"/>
    <s v="vial"/>
    <s v="All levels"/>
    <x v="12"/>
    <n v="450864"/>
    <m/>
    <n v="34618"/>
    <n v="416246"/>
    <m/>
    <m/>
    <m/>
    <m/>
    <m/>
    <m/>
    <m/>
    <m/>
    <m/>
    <x v="3"/>
    <x v="3"/>
    <n v="12"/>
    <x v="331"/>
    <m/>
  </r>
  <r>
    <x v="3"/>
    <x v="6"/>
    <s v="vial"/>
    <s v="All levels"/>
    <x v="13"/>
    <n v="416246"/>
    <m/>
    <n v="34618"/>
    <n v="381628"/>
    <m/>
    <m/>
    <m/>
    <m/>
    <m/>
    <m/>
    <m/>
    <m/>
    <m/>
    <x v="3"/>
    <x v="3"/>
    <n v="12"/>
    <x v="332"/>
    <m/>
  </r>
  <r>
    <x v="3"/>
    <x v="6"/>
    <s v="vial"/>
    <s v="All levels"/>
    <x v="14"/>
    <n v="381628"/>
    <m/>
    <n v="34618"/>
    <n v="347010"/>
    <m/>
    <m/>
    <m/>
    <m/>
    <m/>
    <m/>
    <m/>
    <m/>
    <m/>
    <x v="3"/>
    <x v="3"/>
    <n v="12"/>
    <x v="333"/>
    <m/>
  </r>
  <r>
    <x v="3"/>
    <x v="6"/>
    <s v="vial"/>
    <s v="All levels"/>
    <x v="0"/>
    <n v="347010"/>
    <m/>
    <n v="34618"/>
    <n v="312392"/>
    <m/>
    <m/>
    <m/>
    <m/>
    <m/>
    <m/>
    <m/>
    <m/>
    <m/>
    <x v="3"/>
    <x v="3"/>
    <n v="12"/>
    <x v="334"/>
    <m/>
  </r>
  <r>
    <x v="3"/>
    <x v="6"/>
    <s v="vial"/>
    <s v="All levels"/>
    <x v="1"/>
    <n v="312392"/>
    <m/>
    <n v="34618"/>
    <n v="277774"/>
    <m/>
    <m/>
    <m/>
    <m/>
    <m/>
    <m/>
    <m/>
    <m/>
    <m/>
    <x v="3"/>
    <x v="3"/>
    <n v="12"/>
    <x v="335"/>
    <m/>
  </r>
  <r>
    <x v="3"/>
    <x v="6"/>
    <s v="vial"/>
    <s v="All levels"/>
    <x v="2"/>
    <n v="277774"/>
    <m/>
    <n v="34618"/>
    <n v="990556"/>
    <s v="UNFPA"/>
    <s v="UNFPA"/>
    <s v="Committed"/>
    <n v="747400"/>
    <m/>
    <n v="711525"/>
    <n v="45901"/>
    <m/>
    <m/>
    <x v="3"/>
    <x v="3"/>
    <n v="12"/>
    <x v="336"/>
    <m/>
  </r>
  <r>
    <x v="3"/>
    <x v="6"/>
    <s v="vial"/>
    <s v="All levels"/>
    <x v="3"/>
    <n v="990556"/>
    <m/>
    <n v="34618"/>
    <n v="955938"/>
    <m/>
    <m/>
    <m/>
    <m/>
    <m/>
    <m/>
    <m/>
    <m/>
    <m/>
    <x v="3"/>
    <x v="3"/>
    <n v="12"/>
    <x v="337"/>
    <m/>
  </r>
  <r>
    <x v="3"/>
    <x v="6"/>
    <s v="vial"/>
    <s v="All levels"/>
    <x v="4"/>
    <n v="955938"/>
    <m/>
    <n v="34618"/>
    <n v="921320"/>
    <m/>
    <m/>
    <m/>
    <m/>
    <m/>
    <m/>
    <m/>
    <m/>
    <m/>
    <x v="3"/>
    <x v="3"/>
    <n v="12"/>
    <x v="338"/>
    <m/>
  </r>
  <r>
    <x v="3"/>
    <x v="6"/>
    <s v="vial"/>
    <s v="All levels"/>
    <x v="5"/>
    <n v="921320"/>
    <m/>
    <n v="34618"/>
    <n v="886702"/>
    <m/>
    <m/>
    <m/>
    <m/>
    <m/>
    <m/>
    <m/>
    <m/>
    <m/>
    <x v="3"/>
    <x v="3"/>
    <n v="12"/>
    <x v="339"/>
    <m/>
  </r>
  <r>
    <x v="3"/>
    <x v="6"/>
    <s v="vial"/>
    <s v="All levels"/>
    <x v="6"/>
    <n v="886702"/>
    <m/>
    <n v="34618"/>
    <n v="852084"/>
    <m/>
    <m/>
    <m/>
    <m/>
    <m/>
    <m/>
    <m/>
    <m/>
    <m/>
    <x v="3"/>
    <x v="3"/>
    <n v="12"/>
    <x v="340"/>
    <m/>
  </r>
  <r>
    <x v="3"/>
    <x v="6"/>
    <s v="vial"/>
    <s v="All levels"/>
    <x v="7"/>
    <n v="852084"/>
    <m/>
    <n v="34618"/>
    <n v="817466"/>
    <m/>
    <m/>
    <m/>
    <m/>
    <m/>
    <m/>
    <m/>
    <m/>
    <m/>
    <x v="3"/>
    <x v="3"/>
    <n v="12"/>
    <x v="341"/>
    <m/>
  </r>
  <r>
    <x v="3"/>
    <x v="6"/>
    <s v="vial"/>
    <s v="All levels"/>
    <x v="8"/>
    <n v="817466"/>
    <m/>
    <n v="34618"/>
    <n v="782848"/>
    <m/>
    <m/>
    <m/>
    <m/>
    <m/>
    <m/>
    <m/>
    <m/>
    <m/>
    <x v="3"/>
    <x v="3"/>
    <n v="12"/>
    <x v="342"/>
    <m/>
  </r>
  <r>
    <x v="3"/>
    <x v="6"/>
    <s v="vial"/>
    <s v="All levels"/>
    <x v="9"/>
    <n v="782848"/>
    <m/>
    <n v="34618"/>
    <n v="748230"/>
    <m/>
    <m/>
    <m/>
    <m/>
    <m/>
    <m/>
    <m/>
    <m/>
    <m/>
    <x v="3"/>
    <x v="3"/>
    <n v="12"/>
    <x v="343"/>
    <m/>
  </r>
  <r>
    <x v="3"/>
    <x v="6"/>
    <s v="vial"/>
    <s v="All levels"/>
    <x v="10"/>
    <n v="748230"/>
    <m/>
    <n v="34618"/>
    <n v="713612"/>
    <m/>
    <m/>
    <m/>
    <m/>
    <m/>
    <m/>
    <m/>
    <m/>
    <m/>
    <x v="3"/>
    <x v="3"/>
    <n v="12"/>
    <x v="344"/>
    <m/>
  </r>
  <r>
    <x v="3"/>
    <x v="6"/>
    <s v="vial"/>
    <s v="All levels"/>
    <x v="11"/>
    <n v="713612"/>
    <m/>
    <n v="34618"/>
    <n v="678994"/>
    <m/>
    <m/>
    <m/>
    <m/>
    <m/>
    <m/>
    <m/>
    <m/>
    <m/>
    <x v="3"/>
    <x v="3"/>
    <n v="12"/>
    <x v="345"/>
    <m/>
  </r>
  <r>
    <x v="3"/>
    <x v="6"/>
    <s v="vial"/>
    <s v="All levels"/>
    <x v="15"/>
    <n v="678994"/>
    <m/>
    <n v="34618"/>
    <n v="644376"/>
    <m/>
    <m/>
    <m/>
    <m/>
    <m/>
    <m/>
    <m/>
    <m/>
    <m/>
    <x v="3"/>
    <x v="3"/>
    <n v="12"/>
    <x v="346"/>
    <m/>
  </r>
  <r>
    <x v="3"/>
    <x v="6"/>
    <s v="vial"/>
    <s v="All levels"/>
    <x v="16"/>
    <n v="644376"/>
    <m/>
    <n v="34618"/>
    <n v="609758"/>
    <m/>
    <m/>
    <m/>
    <m/>
    <m/>
    <m/>
    <m/>
    <m/>
    <m/>
    <x v="3"/>
    <x v="3"/>
    <n v="12"/>
    <x v="347"/>
    <m/>
  </r>
  <r>
    <x v="3"/>
    <x v="6"/>
    <s v="vial"/>
    <s v="All levels"/>
    <x v="17"/>
    <n v="609758"/>
    <m/>
    <n v="34618"/>
    <n v="575140"/>
    <m/>
    <m/>
    <m/>
    <m/>
    <m/>
    <m/>
    <m/>
    <m/>
    <m/>
    <x v="3"/>
    <x v="3"/>
    <n v="12"/>
    <x v="348"/>
    <m/>
  </r>
  <r>
    <x v="3"/>
    <x v="6"/>
    <s v="vial"/>
    <s v="All levels"/>
    <x v="18"/>
    <n v="575140"/>
    <m/>
    <n v="34618"/>
    <n v="540522"/>
    <m/>
    <m/>
    <m/>
    <m/>
    <m/>
    <m/>
    <m/>
    <m/>
    <m/>
    <x v="3"/>
    <x v="3"/>
    <n v="12"/>
    <x v="349"/>
    <m/>
  </r>
  <r>
    <x v="3"/>
    <x v="6"/>
    <s v="vial"/>
    <s v="All levels"/>
    <x v="19"/>
    <n v="540522"/>
    <m/>
    <n v="34618"/>
    <n v="505904"/>
    <m/>
    <m/>
    <m/>
    <m/>
    <m/>
    <m/>
    <m/>
    <m/>
    <m/>
    <x v="3"/>
    <x v="3"/>
    <n v="12"/>
    <x v="350"/>
    <m/>
  </r>
  <r>
    <x v="3"/>
    <x v="6"/>
    <s v="vial"/>
    <s v="All levels"/>
    <x v="20"/>
    <n v="505904"/>
    <m/>
    <n v="34618"/>
    <n v="471286"/>
    <m/>
    <m/>
    <m/>
    <m/>
    <m/>
    <m/>
    <m/>
    <m/>
    <m/>
    <x v="3"/>
    <x v="3"/>
    <n v="12"/>
    <x v="351"/>
    <m/>
  </r>
  <r>
    <x v="4"/>
    <x v="6"/>
    <s v="vial"/>
    <s v="All levels"/>
    <x v="0"/>
    <n v="501800"/>
    <m/>
    <n v="66627"/>
    <n v="435173"/>
    <m/>
    <m/>
    <m/>
    <m/>
    <m/>
    <m/>
    <m/>
    <m/>
    <m/>
    <x v="3"/>
    <x v="3"/>
    <n v="12"/>
    <x v="352"/>
    <m/>
  </r>
  <r>
    <x v="4"/>
    <x v="6"/>
    <s v="vial"/>
    <s v="All levels"/>
    <x v="1"/>
    <n v="435173"/>
    <m/>
    <n v="66627"/>
    <n v="368546"/>
    <m/>
    <m/>
    <m/>
    <m/>
    <m/>
    <m/>
    <m/>
    <m/>
    <m/>
    <x v="3"/>
    <x v="3"/>
    <n v="12"/>
    <x v="353"/>
    <m/>
  </r>
  <r>
    <x v="4"/>
    <x v="6"/>
    <s v="vial"/>
    <s v="All levels"/>
    <x v="2"/>
    <n v="368546"/>
    <m/>
    <n v="66627"/>
    <n v="301919"/>
    <m/>
    <m/>
    <m/>
    <m/>
    <m/>
    <m/>
    <m/>
    <m/>
    <m/>
    <x v="3"/>
    <x v="3"/>
    <n v="12"/>
    <x v="354"/>
    <m/>
  </r>
  <r>
    <x v="4"/>
    <x v="6"/>
    <s v="vial"/>
    <s v="All levels"/>
    <x v="3"/>
    <n v="301919"/>
    <m/>
    <n v="66627"/>
    <n v="235292"/>
    <m/>
    <m/>
    <m/>
    <m/>
    <m/>
    <m/>
    <m/>
    <m/>
    <m/>
    <x v="3"/>
    <x v="3"/>
    <n v="12"/>
    <x v="355"/>
    <m/>
  </r>
  <r>
    <x v="4"/>
    <x v="6"/>
    <s v="vial"/>
    <s v="All levels"/>
    <x v="4"/>
    <n v="235292"/>
    <m/>
    <n v="66627"/>
    <n v="168665"/>
    <m/>
    <m/>
    <m/>
    <m/>
    <m/>
    <m/>
    <m/>
    <m/>
    <m/>
    <x v="3"/>
    <x v="3"/>
    <n v="12"/>
    <x v="356"/>
    <m/>
  </r>
  <r>
    <x v="4"/>
    <x v="6"/>
    <s v="vial"/>
    <s v="All levels"/>
    <x v="5"/>
    <n v="168665"/>
    <m/>
    <n v="66627"/>
    <n v="102038"/>
    <m/>
    <m/>
    <m/>
    <m/>
    <m/>
    <m/>
    <m/>
    <m/>
    <m/>
    <x v="3"/>
    <x v="3"/>
    <n v="12"/>
    <x v="357"/>
    <m/>
  </r>
  <r>
    <x v="4"/>
    <x v="6"/>
    <s v="vial"/>
    <s v="All levels"/>
    <x v="6"/>
    <n v="102038"/>
    <m/>
    <n v="66627"/>
    <n v="35411"/>
    <m/>
    <m/>
    <m/>
    <m/>
    <m/>
    <m/>
    <m/>
    <m/>
    <m/>
    <x v="3"/>
    <x v="3"/>
    <n v="12"/>
    <x v="358"/>
    <m/>
  </r>
  <r>
    <x v="4"/>
    <x v="6"/>
    <s v="vial"/>
    <s v="All levels"/>
    <x v="7"/>
    <n v="35411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8"/>
    <n v="0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9"/>
    <n v="0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10"/>
    <n v="0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11"/>
    <n v="0"/>
    <m/>
    <n v="66627"/>
    <n v="0"/>
    <m/>
    <m/>
    <m/>
    <m/>
    <m/>
    <m/>
    <m/>
    <m/>
    <m/>
    <x v="3"/>
    <x v="3"/>
    <n v="12"/>
    <x v="96"/>
    <m/>
  </r>
  <r>
    <x v="5"/>
    <x v="6"/>
    <s v="vial"/>
    <s v="All levels"/>
    <x v="1"/>
    <n v="2530800"/>
    <m/>
    <n v="210000"/>
    <n v="3870800"/>
    <s v="UNFPA"/>
    <s v="UNFPA"/>
    <s v="Expected Deliveries"/>
    <n v="1550000"/>
    <m/>
    <m/>
    <m/>
    <m/>
    <m/>
    <x v="2"/>
    <x v="2"/>
    <n v="6"/>
    <x v="359"/>
    <m/>
  </r>
  <r>
    <x v="5"/>
    <x v="6"/>
    <s v="vial"/>
    <s v="All levels"/>
    <x v="2"/>
    <n v="3870800"/>
    <m/>
    <n v="210000"/>
    <n v="3706400"/>
    <s v="UNFPA"/>
    <s v="UNFPA"/>
    <s v="Committed"/>
    <n v="45600"/>
    <m/>
    <m/>
    <m/>
    <m/>
    <m/>
    <x v="2"/>
    <x v="2"/>
    <n v="6"/>
    <x v="360"/>
    <m/>
  </r>
  <r>
    <x v="5"/>
    <x v="6"/>
    <s v="vial"/>
    <s v="All levels"/>
    <x v="3"/>
    <n v="3706400"/>
    <m/>
    <n v="210000"/>
    <n v="3496400"/>
    <m/>
    <m/>
    <m/>
    <m/>
    <m/>
    <m/>
    <m/>
    <m/>
    <m/>
    <x v="2"/>
    <x v="2"/>
    <n v="6"/>
    <x v="361"/>
    <m/>
  </r>
  <r>
    <x v="5"/>
    <x v="6"/>
    <s v="vial"/>
    <s v="All levels"/>
    <x v="4"/>
    <n v="3496400"/>
    <m/>
    <n v="210000"/>
    <n v="3286400"/>
    <m/>
    <m/>
    <m/>
    <m/>
    <m/>
    <m/>
    <m/>
    <m/>
    <m/>
    <x v="2"/>
    <x v="2"/>
    <n v="6"/>
    <x v="362"/>
    <m/>
  </r>
  <r>
    <x v="5"/>
    <x v="6"/>
    <s v="vial"/>
    <s v="All levels"/>
    <x v="5"/>
    <n v="3286400"/>
    <m/>
    <n v="210000"/>
    <n v="3076400"/>
    <m/>
    <m/>
    <m/>
    <m/>
    <m/>
    <m/>
    <m/>
    <m/>
    <m/>
    <x v="2"/>
    <x v="2"/>
    <n v="6"/>
    <x v="363"/>
    <m/>
  </r>
  <r>
    <x v="5"/>
    <x v="6"/>
    <s v="vial"/>
    <s v="All levels"/>
    <x v="6"/>
    <n v="3076400"/>
    <m/>
    <n v="210000"/>
    <n v="2866400"/>
    <m/>
    <m/>
    <m/>
    <m/>
    <m/>
    <m/>
    <m/>
    <m/>
    <m/>
    <x v="2"/>
    <x v="2"/>
    <n v="6"/>
    <x v="364"/>
    <m/>
  </r>
  <r>
    <x v="5"/>
    <x v="6"/>
    <s v="vial"/>
    <s v="All levels"/>
    <x v="7"/>
    <n v="2866400"/>
    <m/>
    <n v="210000"/>
    <n v="2656400"/>
    <m/>
    <m/>
    <m/>
    <m/>
    <m/>
    <m/>
    <m/>
    <m/>
    <m/>
    <x v="2"/>
    <x v="2"/>
    <n v="6"/>
    <x v="365"/>
    <m/>
  </r>
  <r>
    <x v="5"/>
    <x v="6"/>
    <s v="vial"/>
    <s v="All levels"/>
    <x v="8"/>
    <n v="2656400"/>
    <m/>
    <n v="210000"/>
    <n v="2446400"/>
    <m/>
    <m/>
    <m/>
    <m/>
    <m/>
    <m/>
    <m/>
    <m/>
    <m/>
    <x v="2"/>
    <x v="2"/>
    <n v="6"/>
    <x v="366"/>
    <m/>
  </r>
  <r>
    <x v="5"/>
    <x v="6"/>
    <s v="vial"/>
    <s v="All levels"/>
    <x v="9"/>
    <n v="2446400"/>
    <m/>
    <n v="210000"/>
    <n v="2236400"/>
    <m/>
    <m/>
    <m/>
    <m/>
    <m/>
    <m/>
    <m/>
    <m/>
    <m/>
    <x v="2"/>
    <x v="2"/>
    <n v="6"/>
    <x v="367"/>
    <m/>
  </r>
  <r>
    <x v="5"/>
    <x v="6"/>
    <s v="vial"/>
    <s v="All levels"/>
    <x v="10"/>
    <n v="2236400"/>
    <m/>
    <n v="210000"/>
    <n v="2811000"/>
    <s v="TBD"/>
    <s v="TBD"/>
    <s v="Planned"/>
    <n v="784600"/>
    <m/>
    <m/>
    <m/>
    <m/>
    <m/>
    <x v="2"/>
    <x v="2"/>
    <n v="6"/>
    <x v="368"/>
    <m/>
  </r>
  <r>
    <x v="5"/>
    <x v="6"/>
    <s v="vial"/>
    <s v="All levels"/>
    <x v="11"/>
    <n v="2811000"/>
    <m/>
    <n v="210000"/>
    <n v="2601000"/>
    <m/>
    <m/>
    <m/>
    <m/>
    <m/>
    <m/>
    <m/>
    <m/>
    <m/>
    <x v="2"/>
    <x v="2"/>
    <n v="6"/>
    <x v="369"/>
    <m/>
  </r>
  <r>
    <x v="5"/>
    <x v="6"/>
    <s v="vial"/>
    <s v="All levels"/>
    <x v="15"/>
    <n v="2601000"/>
    <m/>
    <n v="210000"/>
    <n v="2633800"/>
    <s v="TBD"/>
    <s v="TBD"/>
    <s v="Planned"/>
    <n v="242800"/>
    <m/>
    <m/>
    <m/>
    <m/>
    <m/>
    <x v="2"/>
    <x v="2"/>
    <n v="6"/>
    <x v="370"/>
    <m/>
  </r>
  <r>
    <x v="5"/>
    <x v="6"/>
    <s v="vial"/>
    <s v="All levels"/>
    <x v="16"/>
    <n v="2633800"/>
    <m/>
    <n v="210000"/>
    <n v="2823800"/>
    <s v="TBD"/>
    <s v="TBD"/>
    <s v="Planned"/>
    <n v="400000"/>
    <m/>
    <m/>
    <m/>
    <m/>
    <m/>
    <x v="2"/>
    <x v="2"/>
    <n v="6"/>
    <x v="371"/>
    <m/>
  </r>
  <r>
    <x v="6"/>
    <x v="6"/>
    <s v="vial"/>
    <s v="All levels"/>
    <x v="12"/>
    <n v="31200"/>
    <m/>
    <n v="6178"/>
    <n v="25022"/>
    <m/>
    <m/>
    <m/>
    <m/>
    <m/>
    <m/>
    <m/>
    <m/>
    <m/>
    <x v="4"/>
    <x v="4"/>
    <m/>
    <x v="372"/>
    <m/>
  </r>
  <r>
    <x v="6"/>
    <x v="6"/>
    <s v="vial"/>
    <s v="All levels"/>
    <x v="13"/>
    <n v="25022"/>
    <m/>
    <n v="6178"/>
    <n v="18844"/>
    <m/>
    <m/>
    <m/>
    <m/>
    <m/>
    <m/>
    <m/>
    <m/>
    <m/>
    <x v="4"/>
    <x v="4"/>
    <m/>
    <x v="373"/>
    <m/>
  </r>
  <r>
    <x v="6"/>
    <x v="6"/>
    <s v="vial"/>
    <s v="All levels"/>
    <x v="14"/>
    <n v="18844"/>
    <m/>
    <n v="6178"/>
    <n v="32666"/>
    <m/>
    <m/>
    <m/>
    <n v="20000"/>
    <m/>
    <m/>
    <m/>
    <m/>
    <m/>
    <x v="4"/>
    <x v="4"/>
    <m/>
    <x v="374"/>
    <m/>
  </r>
  <r>
    <x v="6"/>
    <x v="6"/>
    <s v="vial"/>
    <s v="All levels"/>
    <x v="0"/>
    <n v="32666"/>
    <m/>
    <n v="6178"/>
    <n v="26488"/>
    <m/>
    <m/>
    <m/>
    <m/>
    <m/>
    <m/>
    <m/>
    <m/>
    <m/>
    <x v="4"/>
    <x v="4"/>
    <m/>
    <x v="375"/>
    <m/>
  </r>
  <r>
    <x v="6"/>
    <x v="6"/>
    <s v="vial"/>
    <s v="All levels"/>
    <x v="1"/>
    <n v="26488"/>
    <m/>
    <n v="6178"/>
    <n v="20310"/>
    <m/>
    <m/>
    <m/>
    <m/>
    <m/>
    <m/>
    <m/>
    <m/>
    <m/>
    <x v="4"/>
    <x v="4"/>
    <m/>
    <x v="376"/>
    <m/>
  </r>
  <r>
    <x v="6"/>
    <x v="6"/>
    <s v="vial"/>
    <s v="All levels"/>
    <x v="2"/>
    <n v="20310"/>
    <m/>
    <n v="6178"/>
    <n v="14132"/>
    <m/>
    <m/>
    <m/>
    <m/>
    <m/>
    <m/>
    <m/>
    <m/>
    <m/>
    <x v="4"/>
    <x v="4"/>
    <m/>
    <x v="377"/>
    <m/>
  </r>
  <r>
    <x v="6"/>
    <x v="6"/>
    <s v="vial"/>
    <s v="All levels"/>
    <x v="3"/>
    <n v="14132"/>
    <m/>
    <n v="6178"/>
    <n v="7954"/>
    <m/>
    <m/>
    <m/>
    <m/>
    <m/>
    <m/>
    <m/>
    <m/>
    <m/>
    <x v="4"/>
    <x v="4"/>
    <m/>
    <x v="378"/>
    <m/>
  </r>
  <r>
    <x v="6"/>
    <x v="6"/>
    <s v="vial"/>
    <s v="All levels"/>
    <x v="4"/>
    <n v="7954"/>
    <m/>
    <n v="6178"/>
    <n v="1776"/>
    <m/>
    <m/>
    <m/>
    <m/>
    <m/>
    <m/>
    <m/>
    <m/>
    <m/>
    <x v="4"/>
    <x v="4"/>
    <m/>
    <x v="379"/>
    <m/>
  </r>
  <r>
    <x v="6"/>
    <x v="6"/>
    <s v="vial"/>
    <s v="All levels"/>
    <x v="5"/>
    <n v="1776"/>
    <m/>
    <n v="6178"/>
    <n v="0"/>
    <m/>
    <m/>
    <m/>
    <m/>
    <m/>
    <m/>
    <m/>
    <m/>
    <m/>
    <x v="4"/>
    <x v="4"/>
    <m/>
    <x v="96"/>
    <m/>
  </r>
  <r>
    <x v="0"/>
    <x v="7"/>
    <s v="pack of 2"/>
    <m/>
    <x v="0"/>
    <n v="68360"/>
    <m/>
    <n v="7996"/>
    <n v="60364"/>
    <m/>
    <m/>
    <m/>
    <m/>
    <m/>
    <m/>
    <m/>
    <m/>
    <m/>
    <x v="0"/>
    <x v="0"/>
    <n v="13"/>
    <x v="380"/>
    <m/>
  </r>
  <r>
    <x v="0"/>
    <x v="7"/>
    <s v="pack of 2"/>
    <m/>
    <x v="1"/>
    <n v="60364"/>
    <m/>
    <n v="7996"/>
    <n v="52368"/>
    <m/>
    <m/>
    <m/>
    <m/>
    <m/>
    <m/>
    <m/>
    <m/>
    <m/>
    <x v="0"/>
    <x v="0"/>
    <n v="13"/>
    <x v="381"/>
    <m/>
  </r>
  <r>
    <x v="0"/>
    <x v="7"/>
    <s v="pack of 2"/>
    <m/>
    <x v="2"/>
    <n v="52368"/>
    <m/>
    <n v="7996"/>
    <n v="89224"/>
    <s v="TBD"/>
    <s v="TBD"/>
    <s v="Planned"/>
    <n v="44852"/>
    <m/>
    <n v="11841"/>
    <m/>
    <m/>
    <m/>
    <x v="0"/>
    <x v="0"/>
    <n v="13"/>
    <x v="382"/>
    <m/>
  </r>
  <r>
    <x v="0"/>
    <x v="7"/>
    <s v="pack of 2"/>
    <m/>
    <x v="3"/>
    <n v="89224"/>
    <m/>
    <n v="7996"/>
    <n v="81228"/>
    <m/>
    <m/>
    <m/>
    <m/>
    <m/>
    <m/>
    <m/>
    <m/>
    <m/>
    <x v="0"/>
    <x v="0"/>
    <n v="13"/>
    <x v="383"/>
    <m/>
  </r>
  <r>
    <x v="0"/>
    <x v="7"/>
    <s v="pack of 2"/>
    <m/>
    <x v="4"/>
    <n v="81228"/>
    <m/>
    <n v="7996"/>
    <n v="73232"/>
    <m/>
    <m/>
    <m/>
    <m/>
    <m/>
    <m/>
    <m/>
    <m/>
    <m/>
    <x v="0"/>
    <x v="0"/>
    <n v="13"/>
    <x v="384"/>
    <m/>
  </r>
  <r>
    <x v="0"/>
    <x v="7"/>
    <s v="pack of 2"/>
    <m/>
    <x v="5"/>
    <n v="73232"/>
    <m/>
    <n v="7996"/>
    <n v="65236"/>
    <m/>
    <m/>
    <m/>
    <m/>
    <m/>
    <m/>
    <m/>
    <m/>
    <m/>
    <x v="0"/>
    <x v="0"/>
    <n v="13"/>
    <x v="385"/>
    <m/>
  </r>
  <r>
    <x v="0"/>
    <x v="7"/>
    <s v="pack of 2"/>
    <m/>
    <x v="6"/>
    <n v="65236"/>
    <m/>
    <n v="7996"/>
    <n v="57240"/>
    <m/>
    <m/>
    <m/>
    <m/>
    <m/>
    <m/>
    <m/>
    <m/>
    <m/>
    <x v="0"/>
    <x v="0"/>
    <n v="13"/>
    <x v="386"/>
    <m/>
  </r>
  <r>
    <x v="0"/>
    <x v="7"/>
    <s v="pack of 2"/>
    <m/>
    <x v="7"/>
    <n v="57240"/>
    <m/>
    <n v="7996"/>
    <n v="90206"/>
    <s v="TBD"/>
    <s v="TBD"/>
    <s v="Planned"/>
    <n v="40962"/>
    <m/>
    <n v="10814"/>
    <m/>
    <m/>
    <m/>
    <x v="0"/>
    <x v="0"/>
    <n v="13"/>
    <x v="387"/>
    <m/>
  </r>
  <r>
    <x v="0"/>
    <x v="7"/>
    <s v="pack of 2"/>
    <m/>
    <x v="8"/>
    <n v="90206"/>
    <m/>
    <n v="7996"/>
    <n v="82210"/>
    <m/>
    <m/>
    <m/>
    <m/>
    <m/>
    <m/>
    <m/>
    <m/>
    <m/>
    <x v="0"/>
    <x v="0"/>
    <n v="13"/>
    <x v="388"/>
    <m/>
  </r>
  <r>
    <x v="0"/>
    <x v="7"/>
    <s v="pack of 2"/>
    <m/>
    <x v="9"/>
    <n v="82210"/>
    <m/>
    <n v="7996"/>
    <n v="74214"/>
    <m/>
    <m/>
    <m/>
    <m/>
    <m/>
    <m/>
    <m/>
    <m/>
    <m/>
    <x v="0"/>
    <x v="0"/>
    <n v="13"/>
    <x v="389"/>
    <m/>
  </r>
  <r>
    <x v="0"/>
    <x v="7"/>
    <s v="pack of 2"/>
    <m/>
    <x v="10"/>
    <n v="74214"/>
    <m/>
    <n v="7996"/>
    <n v="66218"/>
    <m/>
    <m/>
    <m/>
    <m/>
    <m/>
    <m/>
    <m/>
    <m/>
    <m/>
    <x v="0"/>
    <x v="0"/>
    <n v="13"/>
    <x v="390"/>
    <m/>
  </r>
  <r>
    <x v="0"/>
    <x v="7"/>
    <s v="pack of 2"/>
    <m/>
    <x v="11"/>
    <n v="66218"/>
    <m/>
    <n v="7996"/>
    <n v="58222"/>
    <m/>
    <m/>
    <m/>
    <m/>
    <m/>
    <m/>
    <m/>
    <m/>
    <m/>
    <x v="0"/>
    <x v="0"/>
    <n v="13"/>
    <x v="391"/>
    <m/>
  </r>
  <r>
    <x v="1"/>
    <x v="7"/>
    <s v="pack of 2"/>
    <s v="All levels"/>
    <x v="12"/>
    <n v="105984"/>
    <m/>
    <n v="23248"/>
    <n v="202736"/>
    <m/>
    <m/>
    <s v="Expected Deliveries"/>
    <n v="120000"/>
    <m/>
    <m/>
    <m/>
    <m/>
    <m/>
    <x v="1"/>
    <x v="1"/>
    <n v="15"/>
    <x v="392"/>
    <m/>
  </r>
  <r>
    <x v="1"/>
    <x v="7"/>
    <s v="pack of 2"/>
    <s v="All levels"/>
    <x v="13"/>
    <n v="202736"/>
    <m/>
    <n v="23999"/>
    <n v="178737"/>
    <m/>
    <m/>
    <m/>
    <m/>
    <m/>
    <m/>
    <m/>
    <m/>
    <m/>
    <x v="1"/>
    <x v="1"/>
    <n v="15"/>
    <x v="393"/>
    <m/>
  </r>
  <r>
    <x v="1"/>
    <x v="7"/>
    <s v="pack of 2"/>
    <s v="All levels"/>
    <x v="14"/>
    <n v="178737"/>
    <m/>
    <n v="23817"/>
    <n v="437520"/>
    <m/>
    <m/>
    <s v="Committed"/>
    <n v="282600"/>
    <m/>
    <m/>
    <m/>
    <m/>
    <m/>
    <x v="1"/>
    <x v="1"/>
    <n v="15"/>
    <x v="394"/>
    <m/>
  </r>
  <r>
    <x v="1"/>
    <x v="7"/>
    <s v="pack of 2"/>
    <s v="All levels"/>
    <x v="0"/>
    <n v="437520"/>
    <m/>
    <n v="23697"/>
    <n v="413823"/>
    <m/>
    <m/>
    <m/>
    <m/>
    <m/>
    <m/>
    <m/>
    <m/>
    <m/>
    <x v="1"/>
    <x v="1"/>
    <n v="15"/>
    <x v="395"/>
    <m/>
  </r>
  <r>
    <x v="1"/>
    <x v="7"/>
    <s v="pack of 2"/>
    <s v="All levels"/>
    <x v="1"/>
    <n v="413823"/>
    <m/>
    <n v="23562"/>
    <n v="390261"/>
    <m/>
    <m/>
    <m/>
    <m/>
    <m/>
    <m/>
    <m/>
    <m/>
    <m/>
    <x v="1"/>
    <x v="1"/>
    <n v="15"/>
    <x v="396"/>
    <m/>
  </r>
  <r>
    <x v="1"/>
    <x v="7"/>
    <s v="pack of 2"/>
    <s v="All levels"/>
    <x v="2"/>
    <n v="390261"/>
    <m/>
    <n v="23623"/>
    <n v="1249538"/>
    <m/>
    <m/>
    <s v="Committed"/>
    <n v="882900"/>
    <m/>
    <m/>
    <m/>
    <m/>
    <m/>
    <x v="1"/>
    <x v="1"/>
    <n v="15"/>
    <x v="397"/>
    <m/>
  </r>
  <r>
    <x v="1"/>
    <x v="7"/>
    <s v="pack of 2"/>
    <s v="All levels"/>
    <x v="3"/>
    <n v="1249538"/>
    <m/>
    <n v="23658"/>
    <n v="1225880"/>
    <m/>
    <m/>
    <m/>
    <m/>
    <m/>
    <m/>
    <m/>
    <m/>
    <m/>
    <x v="1"/>
    <x v="1"/>
    <n v="15"/>
    <x v="398"/>
    <m/>
  </r>
  <r>
    <x v="1"/>
    <x v="7"/>
    <s v="pack of 2"/>
    <s v="All levels"/>
    <x v="4"/>
    <n v="1225880"/>
    <m/>
    <n v="23726"/>
    <n v="1202154"/>
    <m/>
    <m/>
    <m/>
    <m/>
    <m/>
    <m/>
    <m/>
    <m/>
    <m/>
    <x v="1"/>
    <x v="1"/>
    <n v="15"/>
    <x v="399"/>
    <m/>
  </r>
  <r>
    <x v="1"/>
    <x v="7"/>
    <s v="pack of 2"/>
    <s v="All levels"/>
    <x v="5"/>
    <n v="1202154"/>
    <m/>
    <n v="23680"/>
    <n v="1178474"/>
    <m/>
    <m/>
    <m/>
    <m/>
    <m/>
    <m/>
    <m/>
    <m/>
    <m/>
    <x v="1"/>
    <x v="1"/>
    <n v="15"/>
    <x v="400"/>
    <m/>
  </r>
  <r>
    <x v="1"/>
    <x v="7"/>
    <s v="pack of 2"/>
    <s v="All levels"/>
    <x v="6"/>
    <n v="1178474"/>
    <m/>
    <n v="23658"/>
    <n v="1154816"/>
    <m/>
    <m/>
    <m/>
    <m/>
    <m/>
    <m/>
    <m/>
    <m/>
    <m/>
    <x v="1"/>
    <x v="1"/>
    <n v="15"/>
    <x v="401"/>
    <m/>
  </r>
  <r>
    <x v="1"/>
    <x v="7"/>
    <s v="pack of 2"/>
    <s v="All levels"/>
    <x v="7"/>
    <n v="1154816"/>
    <m/>
    <n v="23651"/>
    <n v="1131165"/>
    <m/>
    <m/>
    <m/>
    <m/>
    <m/>
    <m/>
    <m/>
    <m/>
    <m/>
    <x v="1"/>
    <x v="1"/>
    <n v="15"/>
    <x v="402"/>
    <m/>
  </r>
  <r>
    <x v="1"/>
    <x v="7"/>
    <s v="pack of 2"/>
    <s v="All levels"/>
    <x v="8"/>
    <n v="1131165"/>
    <m/>
    <n v="23666"/>
    <n v="1107499"/>
    <m/>
    <m/>
    <m/>
    <m/>
    <m/>
    <m/>
    <m/>
    <m/>
    <m/>
    <x v="1"/>
    <x v="1"/>
    <n v="15"/>
    <x v="403"/>
    <m/>
  </r>
  <r>
    <x v="1"/>
    <x v="7"/>
    <s v="pack of 2"/>
    <s v="All levels"/>
    <x v="9"/>
    <n v="1107499"/>
    <m/>
    <n v="23673"/>
    <n v="1083826"/>
    <m/>
    <m/>
    <m/>
    <m/>
    <m/>
    <m/>
    <m/>
    <m/>
    <m/>
    <x v="1"/>
    <x v="1"/>
    <n v="15"/>
    <x v="404"/>
    <m/>
  </r>
  <r>
    <x v="1"/>
    <x v="7"/>
    <s v="pack of 2"/>
    <s v="All levels"/>
    <x v="10"/>
    <n v="1083826"/>
    <m/>
    <n v="23676"/>
    <n v="1060150"/>
    <m/>
    <m/>
    <m/>
    <m/>
    <m/>
    <m/>
    <m/>
    <m/>
    <m/>
    <x v="1"/>
    <x v="1"/>
    <n v="15"/>
    <x v="405"/>
    <m/>
  </r>
  <r>
    <x v="1"/>
    <x v="7"/>
    <s v="pack of 2"/>
    <s v="All levels"/>
    <x v="11"/>
    <n v="1060150"/>
    <m/>
    <n v="23667"/>
    <n v="1036483"/>
    <m/>
    <m/>
    <m/>
    <m/>
    <m/>
    <m/>
    <m/>
    <m/>
    <m/>
    <x v="1"/>
    <x v="1"/>
    <n v="15"/>
    <x v="406"/>
    <m/>
  </r>
  <r>
    <x v="1"/>
    <x v="7"/>
    <s v="pack of 2"/>
    <s v="All levels"/>
    <x v="15"/>
    <n v="1036483"/>
    <m/>
    <n v="23665"/>
    <n v="1012818"/>
    <m/>
    <m/>
    <m/>
    <m/>
    <m/>
    <m/>
    <m/>
    <m/>
    <m/>
    <x v="1"/>
    <x v="1"/>
    <n v="15"/>
    <x v="407"/>
    <m/>
  </r>
  <r>
    <x v="1"/>
    <x v="7"/>
    <s v="pack of 2"/>
    <s v="All levels"/>
    <x v="16"/>
    <n v="1012818"/>
    <m/>
    <n v="23666"/>
    <n v="989152"/>
    <m/>
    <m/>
    <m/>
    <m/>
    <m/>
    <m/>
    <m/>
    <m/>
    <m/>
    <x v="1"/>
    <x v="1"/>
    <n v="15"/>
    <x v="408"/>
    <m/>
  </r>
  <r>
    <x v="1"/>
    <x v="7"/>
    <s v="pack of 2"/>
    <s v="All levels"/>
    <x v="17"/>
    <n v="989152"/>
    <m/>
    <n v="23669"/>
    <n v="965483"/>
    <m/>
    <m/>
    <m/>
    <m/>
    <m/>
    <m/>
    <m/>
    <m/>
    <m/>
    <x v="1"/>
    <x v="1"/>
    <n v="15"/>
    <x v="409"/>
    <m/>
  </r>
  <r>
    <x v="2"/>
    <x v="7"/>
    <s v="pack of 2"/>
    <s v="All levels"/>
    <x v="12"/>
    <n v="307052"/>
    <m/>
    <n v="13864"/>
    <n v="293188"/>
    <m/>
    <m/>
    <m/>
    <m/>
    <m/>
    <m/>
    <m/>
    <m/>
    <m/>
    <x v="2"/>
    <x v="2"/>
    <n v="6"/>
    <x v="410"/>
    <m/>
  </r>
  <r>
    <x v="2"/>
    <x v="7"/>
    <s v="pack of 2"/>
    <s v="All levels"/>
    <x v="13"/>
    <n v="293188"/>
    <m/>
    <n v="13864"/>
    <n v="279324"/>
    <m/>
    <m/>
    <m/>
    <m/>
    <m/>
    <m/>
    <m/>
    <m/>
    <m/>
    <x v="2"/>
    <x v="2"/>
    <n v="6"/>
    <x v="411"/>
    <m/>
  </r>
  <r>
    <x v="2"/>
    <x v="7"/>
    <s v="pack of 2"/>
    <s v="All levels"/>
    <x v="14"/>
    <n v="279324"/>
    <m/>
    <n v="13864"/>
    <n v="265460"/>
    <m/>
    <m/>
    <m/>
    <m/>
    <m/>
    <m/>
    <m/>
    <m/>
    <m/>
    <x v="2"/>
    <x v="2"/>
    <n v="6"/>
    <x v="412"/>
    <m/>
  </r>
  <r>
    <x v="2"/>
    <x v="7"/>
    <s v="pack of 2"/>
    <s v="All levels"/>
    <x v="0"/>
    <n v="265460"/>
    <m/>
    <n v="13864"/>
    <n v="251596"/>
    <m/>
    <m/>
    <m/>
    <m/>
    <m/>
    <m/>
    <m/>
    <m/>
    <m/>
    <x v="2"/>
    <x v="2"/>
    <n v="6"/>
    <x v="413"/>
    <m/>
  </r>
  <r>
    <x v="2"/>
    <x v="7"/>
    <s v="pack of 2"/>
    <s v="All levels"/>
    <x v="1"/>
    <n v="251596"/>
    <m/>
    <n v="13864"/>
    <n v="237732"/>
    <m/>
    <m/>
    <m/>
    <m/>
    <m/>
    <m/>
    <m/>
    <m/>
    <m/>
    <x v="2"/>
    <x v="2"/>
    <n v="6"/>
    <x v="414"/>
    <m/>
  </r>
  <r>
    <x v="2"/>
    <x v="7"/>
    <s v="pack of 2"/>
    <s v="All levels"/>
    <x v="2"/>
    <n v="237732"/>
    <m/>
    <n v="13864"/>
    <n v="223868"/>
    <m/>
    <m/>
    <m/>
    <m/>
    <m/>
    <m/>
    <m/>
    <m/>
    <m/>
    <x v="2"/>
    <x v="2"/>
    <n v="6"/>
    <x v="415"/>
    <m/>
  </r>
  <r>
    <x v="2"/>
    <x v="7"/>
    <s v="pack of 2"/>
    <s v="All levels"/>
    <x v="3"/>
    <n v="223868"/>
    <m/>
    <n v="13864"/>
    <n v="210004"/>
    <m/>
    <m/>
    <m/>
    <m/>
    <m/>
    <m/>
    <m/>
    <m/>
    <m/>
    <x v="2"/>
    <x v="2"/>
    <n v="6"/>
    <x v="416"/>
    <m/>
  </r>
  <r>
    <x v="2"/>
    <x v="7"/>
    <s v="pack of 2"/>
    <s v="All levels"/>
    <x v="4"/>
    <n v="210004"/>
    <m/>
    <n v="13864"/>
    <n v="196140"/>
    <m/>
    <m/>
    <m/>
    <m/>
    <m/>
    <m/>
    <m/>
    <m/>
    <m/>
    <x v="2"/>
    <x v="2"/>
    <n v="6"/>
    <x v="417"/>
    <m/>
  </r>
  <r>
    <x v="2"/>
    <x v="7"/>
    <s v="pack of 2"/>
    <s v="All levels"/>
    <x v="5"/>
    <n v="196140"/>
    <m/>
    <n v="13864"/>
    <n v="182276"/>
    <m/>
    <m/>
    <m/>
    <m/>
    <m/>
    <m/>
    <m/>
    <m/>
    <m/>
    <x v="2"/>
    <x v="2"/>
    <n v="6"/>
    <x v="418"/>
    <m/>
  </r>
  <r>
    <x v="2"/>
    <x v="7"/>
    <s v="pack of 2"/>
    <s v="All levels"/>
    <x v="6"/>
    <n v="182276"/>
    <m/>
    <n v="7742"/>
    <n v="174534"/>
    <m/>
    <m/>
    <m/>
    <m/>
    <m/>
    <m/>
    <m/>
    <m/>
    <m/>
    <x v="2"/>
    <x v="2"/>
    <n v="6"/>
    <x v="419"/>
    <m/>
  </r>
  <r>
    <x v="2"/>
    <x v="7"/>
    <s v="pack of 2"/>
    <s v="All levels"/>
    <x v="7"/>
    <n v="174534"/>
    <m/>
    <n v="7742"/>
    <n v="166792"/>
    <m/>
    <m/>
    <m/>
    <m/>
    <m/>
    <m/>
    <m/>
    <m/>
    <m/>
    <x v="2"/>
    <x v="2"/>
    <n v="6"/>
    <x v="420"/>
    <m/>
  </r>
  <r>
    <x v="2"/>
    <x v="7"/>
    <s v="pack of 2"/>
    <s v="All levels"/>
    <x v="8"/>
    <n v="166792"/>
    <m/>
    <n v="7742"/>
    <n v="159050"/>
    <m/>
    <m/>
    <m/>
    <m/>
    <m/>
    <m/>
    <m/>
    <m/>
    <m/>
    <x v="2"/>
    <x v="2"/>
    <n v="6"/>
    <x v="421"/>
    <m/>
  </r>
  <r>
    <x v="2"/>
    <x v="7"/>
    <s v="pack of 2"/>
    <s v="All levels"/>
    <x v="9"/>
    <n v="159050"/>
    <m/>
    <n v="7742"/>
    <n v="151308"/>
    <m/>
    <m/>
    <m/>
    <m/>
    <m/>
    <m/>
    <m/>
    <m/>
    <m/>
    <x v="2"/>
    <x v="2"/>
    <n v="6"/>
    <x v="422"/>
    <m/>
  </r>
  <r>
    <x v="2"/>
    <x v="7"/>
    <s v="pack of 2"/>
    <s v="All levels"/>
    <x v="10"/>
    <n v="151308"/>
    <m/>
    <n v="7742"/>
    <n v="143566"/>
    <m/>
    <m/>
    <m/>
    <m/>
    <m/>
    <m/>
    <m/>
    <m/>
    <m/>
    <x v="2"/>
    <x v="2"/>
    <n v="6"/>
    <x v="423"/>
    <m/>
  </r>
  <r>
    <x v="2"/>
    <x v="7"/>
    <s v="pack of 2"/>
    <s v="All levels"/>
    <x v="11"/>
    <n v="143566"/>
    <m/>
    <n v="7742"/>
    <n v="135824"/>
    <m/>
    <m/>
    <m/>
    <m/>
    <m/>
    <m/>
    <m/>
    <m/>
    <m/>
    <x v="2"/>
    <x v="2"/>
    <n v="6"/>
    <x v="424"/>
    <m/>
  </r>
  <r>
    <x v="2"/>
    <x v="7"/>
    <s v="pack of 2"/>
    <s v="All levels"/>
    <x v="15"/>
    <n v="135824"/>
    <m/>
    <n v="7742"/>
    <n v="128082"/>
    <m/>
    <m/>
    <m/>
    <m/>
    <m/>
    <m/>
    <m/>
    <m/>
    <m/>
    <x v="2"/>
    <x v="2"/>
    <n v="6"/>
    <x v="425"/>
    <m/>
  </r>
  <r>
    <x v="2"/>
    <x v="7"/>
    <s v="pack of 2"/>
    <s v="All levels"/>
    <x v="16"/>
    <n v="128082"/>
    <m/>
    <n v="7742"/>
    <n v="120340"/>
    <m/>
    <m/>
    <m/>
    <m/>
    <m/>
    <m/>
    <m/>
    <m/>
    <m/>
    <x v="2"/>
    <x v="2"/>
    <n v="6"/>
    <x v="426"/>
    <m/>
  </r>
  <r>
    <x v="2"/>
    <x v="7"/>
    <s v="pack of 2"/>
    <s v="All levels"/>
    <x v="17"/>
    <n v="120340"/>
    <m/>
    <n v="7742"/>
    <n v="112598"/>
    <m/>
    <m/>
    <m/>
    <m/>
    <m/>
    <m/>
    <m/>
    <m/>
    <m/>
    <x v="2"/>
    <x v="2"/>
    <n v="6"/>
    <x v="427"/>
    <m/>
  </r>
  <r>
    <x v="2"/>
    <x v="7"/>
    <s v="pack of 2"/>
    <s v="All levels"/>
    <x v="18"/>
    <n v="112598"/>
    <m/>
    <n v="7742"/>
    <n v="104856"/>
    <m/>
    <m/>
    <m/>
    <m/>
    <m/>
    <m/>
    <m/>
    <m/>
    <m/>
    <x v="2"/>
    <x v="2"/>
    <n v="6"/>
    <x v="428"/>
    <m/>
  </r>
  <r>
    <x v="2"/>
    <x v="7"/>
    <s v="pack of 2"/>
    <s v="All levels"/>
    <x v="19"/>
    <n v="104856"/>
    <m/>
    <n v="7742"/>
    <n v="97114"/>
    <m/>
    <m/>
    <m/>
    <m/>
    <m/>
    <m/>
    <m/>
    <m/>
    <m/>
    <x v="2"/>
    <x v="2"/>
    <n v="6"/>
    <x v="429"/>
    <m/>
  </r>
  <r>
    <x v="2"/>
    <x v="7"/>
    <s v="pack of 2"/>
    <s v="All levels"/>
    <x v="20"/>
    <n v="97114"/>
    <m/>
    <n v="7742"/>
    <n v="89372"/>
    <m/>
    <m/>
    <m/>
    <m/>
    <m/>
    <m/>
    <m/>
    <m/>
    <m/>
    <x v="2"/>
    <x v="2"/>
    <n v="6"/>
    <x v="430"/>
    <m/>
  </r>
  <r>
    <x v="5"/>
    <x v="7"/>
    <s v="pack of 2"/>
    <s v="All levels"/>
    <x v="1"/>
    <n v="165698"/>
    <n v="12422"/>
    <n v="21500"/>
    <n v="144198"/>
    <m/>
    <m/>
    <m/>
    <m/>
    <m/>
    <m/>
    <m/>
    <m/>
    <m/>
    <x v="2"/>
    <x v="2"/>
    <n v="6"/>
    <x v="431"/>
    <m/>
  </r>
  <r>
    <x v="5"/>
    <x v="7"/>
    <s v="pack of 2"/>
    <s v="All levels"/>
    <x v="2"/>
    <n v="144198"/>
    <m/>
    <n v="21500"/>
    <n v="122698"/>
    <m/>
    <m/>
    <m/>
    <m/>
    <m/>
    <m/>
    <m/>
    <m/>
    <m/>
    <x v="2"/>
    <x v="2"/>
    <n v="6"/>
    <x v="432"/>
    <m/>
  </r>
  <r>
    <x v="5"/>
    <x v="7"/>
    <s v="pack of 2"/>
    <s v="All levels"/>
    <x v="3"/>
    <n v="122698"/>
    <m/>
    <n v="21500"/>
    <n v="101198"/>
    <m/>
    <m/>
    <m/>
    <m/>
    <m/>
    <m/>
    <m/>
    <m/>
    <m/>
    <x v="2"/>
    <x v="2"/>
    <n v="6"/>
    <x v="433"/>
    <m/>
  </r>
  <r>
    <x v="5"/>
    <x v="7"/>
    <s v="pack of 2"/>
    <s v="All levels"/>
    <x v="4"/>
    <n v="101198"/>
    <m/>
    <n v="21500"/>
    <n v="79698"/>
    <m/>
    <m/>
    <m/>
    <m/>
    <m/>
    <m/>
    <m/>
    <m/>
    <m/>
    <x v="2"/>
    <x v="2"/>
    <n v="6"/>
    <x v="434"/>
    <m/>
  </r>
  <r>
    <x v="5"/>
    <x v="7"/>
    <s v="pack of 2"/>
    <s v="All levels"/>
    <x v="5"/>
    <n v="79698"/>
    <m/>
    <n v="21500"/>
    <n v="58198"/>
    <m/>
    <m/>
    <m/>
    <m/>
    <m/>
    <m/>
    <m/>
    <m/>
    <m/>
    <x v="2"/>
    <x v="2"/>
    <n v="6"/>
    <x v="435"/>
    <m/>
  </r>
  <r>
    <x v="5"/>
    <x v="7"/>
    <s v="pack of 2"/>
    <s v="All levels"/>
    <x v="6"/>
    <n v="58198"/>
    <m/>
    <n v="21500"/>
    <n v="36698"/>
    <m/>
    <m/>
    <m/>
    <m/>
    <m/>
    <m/>
    <m/>
    <m/>
    <m/>
    <x v="2"/>
    <x v="2"/>
    <n v="6"/>
    <x v="436"/>
    <m/>
  </r>
  <r>
    <x v="5"/>
    <x v="7"/>
    <s v="pack of 2"/>
    <s v="All levels"/>
    <x v="7"/>
    <n v="36698"/>
    <m/>
    <n v="21500"/>
    <n v="15198"/>
    <m/>
    <m/>
    <m/>
    <m/>
    <m/>
    <m/>
    <m/>
    <m/>
    <m/>
    <x v="2"/>
    <x v="2"/>
    <n v="6"/>
    <x v="437"/>
    <m/>
  </r>
  <r>
    <x v="5"/>
    <x v="7"/>
    <s v="pack of 2"/>
    <s v="All levels"/>
    <x v="8"/>
    <n v="15198"/>
    <m/>
    <n v="21500"/>
    <n v="0"/>
    <m/>
    <m/>
    <m/>
    <m/>
    <m/>
    <m/>
    <m/>
    <m/>
    <m/>
    <x v="2"/>
    <x v="2"/>
    <n v="6"/>
    <x v="96"/>
    <m/>
  </r>
  <r>
    <x v="5"/>
    <x v="7"/>
    <s v="pack of 2"/>
    <s v="All levels"/>
    <x v="9"/>
    <n v="0"/>
    <m/>
    <n v="21500"/>
    <n v="0"/>
    <m/>
    <m/>
    <m/>
    <m/>
    <m/>
    <m/>
    <m/>
    <m/>
    <m/>
    <x v="2"/>
    <x v="2"/>
    <n v="6"/>
    <x v="96"/>
    <m/>
  </r>
  <r>
    <x v="5"/>
    <x v="7"/>
    <s v="pack of 2"/>
    <s v="All levels"/>
    <x v="10"/>
    <n v="0"/>
    <m/>
    <n v="21500"/>
    <n v="24829"/>
    <s v="TBD"/>
    <s v="TBD"/>
    <s v="Planned"/>
    <n v="46329"/>
    <m/>
    <m/>
    <m/>
    <m/>
    <m/>
    <x v="2"/>
    <x v="2"/>
    <n v="6"/>
    <x v="438"/>
    <m/>
  </r>
  <r>
    <x v="5"/>
    <x v="7"/>
    <s v="pack of 2"/>
    <s v="All levels"/>
    <x v="11"/>
    <n v="24829"/>
    <m/>
    <n v="21500"/>
    <n v="34665"/>
    <s v="TBD"/>
    <s v="TBD"/>
    <s v="Planned"/>
    <n v="31336"/>
    <m/>
    <m/>
    <m/>
    <m/>
    <m/>
    <x v="2"/>
    <x v="2"/>
    <n v="6"/>
    <x v="439"/>
    <m/>
  </r>
  <r>
    <x v="5"/>
    <x v="7"/>
    <s v="pack of 2"/>
    <s v="All levels"/>
    <x v="15"/>
    <n v="34665"/>
    <m/>
    <n v="21500"/>
    <n v="13165"/>
    <m/>
    <m/>
    <m/>
    <m/>
    <m/>
    <m/>
    <m/>
    <m/>
    <m/>
    <x v="2"/>
    <x v="2"/>
    <n v="6"/>
    <x v="440"/>
    <m/>
  </r>
  <r>
    <x v="5"/>
    <x v="7"/>
    <s v="pack of 2"/>
    <s v="All levels"/>
    <x v="16"/>
    <n v="13165"/>
    <m/>
    <n v="21500"/>
    <n v="0"/>
    <m/>
    <m/>
    <m/>
    <m/>
    <m/>
    <m/>
    <m/>
    <m/>
    <m/>
    <x v="2"/>
    <x v="2"/>
    <n v="6"/>
    <x v="96"/>
    <m/>
  </r>
  <r>
    <x v="7"/>
    <x v="7"/>
    <s v="pack of 2"/>
    <s v="All levels"/>
    <x v="23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21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22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2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3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4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0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2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3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4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5"/>
    <m/>
    <m/>
    <n v="483"/>
    <n v="0"/>
    <m/>
    <m/>
    <m/>
    <m/>
    <m/>
    <m/>
    <m/>
    <m/>
    <m/>
    <x v="4"/>
    <x v="4"/>
    <m/>
    <x v="96"/>
    <m/>
  </r>
  <r>
    <x v="6"/>
    <x v="7"/>
    <s v="pack of 2"/>
    <s v="All levels"/>
    <x v="12"/>
    <n v="87339"/>
    <m/>
    <n v="10542"/>
    <n v="76797"/>
    <m/>
    <m/>
    <m/>
    <m/>
    <m/>
    <m/>
    <m/>
    <m/>
    <m/>
    <x v="0"/>
    <x v="1"/>
    <n v="15"/>
    <x v="441"/>
    <m/>
  </r>
  <r>
    <x v="6"/>
    <x v="7"/>
    <s v="pack of 2"/>
    <s v="All levels"/>
    <x v="13"/>
    <n v="76797"/>
    <m/>
    <n v="10542"/>
    <n v="66255"/>
    <m/>
    <m/>
    <m/>
    <m/>
    <m/>
    <m/>
    <m/>
    <m/>
    <m/>
    <x v="0"/>
    <x v="1"/>
    <n v="15"/>
    <x v="442"/>
    <m/>
  </r>
  <r>
    <x v="6"/>
    <x v="7"/>
    <s v="pack of 2"/>
    <s v="All levels"/>
    <x v="14"/>
    <n v="66255"/>
    <m/>
    <n v="10542"/>
    <n v="55713"/>
    <m/>
    <m/>
    <m/>
    <m/>
    <m/>
    <m/>
    <m/>
    <m/>
    <m/>
    <x v="0"/>
    <x v="1"/>
    <n v="15"/>
    <x v="443"/>
    <m/>
  </r>
  <r>
    <x v="6"/>
    <x v="7"/>
    <s v="pack of 2"/>
    <s v="All levels"/>
    <x v="0"/>
    <n v="55713"/>
    <m/>
    <n v="10542"/>
    <n v="69471"/>
    <m/>
    <m/>
    <m/>
    <n v="24300"/>
    <m/>
    <m/>
    <m/>
    <m/>
    <m/>
    <x v="0"/>
    <x v="1"/>
    <n v="15"/>
    <x v="444"/>
    <m/>
  </r>
  <r>
    <x v="6"/>
    <x v="7"/>
    <s v="pack of 2"/>
    <s v="All levels"/>
    <x v="1"/>
    <n v="69471"/>
    <m/>
    <n v="10542"/>
    <n v="58929"/>
    <m/>
    <m/>
    <m/>
    <m/>
    <m/>
    <m/>
    <m/>
    <m/>
    <m/>
    <x v="0"/>
    <x v="1"/>
    <n v="15"/>
    <x v="445"/>
    <m/>
  </r>
  <r>
    <x v="6"/>
    <x v="7"/>
    <s v="pack of 2"/>
    <s v="All levels"/>
    <x v="2"/>
    <n v="58929"/>
    <m/>
    <n v="10542"/>
    <n v="48387"/>
    <m/>
    <m/>
    <m/>
    <m/>
    <m/>
    <m/>
    <m/>
    <m/>
    <m/>
    <x v="0"/>
    <x v="1"/>
    <n v="15"/>
    <x v="446"/>
    <m/>
  </r>
  <r>
    <x v="6"/>
    <x v="7"/>
    <s v="pack of 2"/>
    <s v="All levels"/>
    <x v="3"/>
    <n v="48387"/>
    <m/>
    <n v="10542"/>
    <n v="37845"/>
    <m/>
    <m/>
    <m/>
    <m/>
    <m/>
    <m/>
    <m/>
    <m/>
    <m/>
    <x v="0"/>
    <x v="1"/>
    <n v="15"/>
    <x v="447"/>
    <m/>
  </r>
  <r>
    <x v="6"/>
    <x v="7"/>
    <s v="pack of 2"/>
    <s v="All levels"/>
    <x v="4"/>
    <n v="37845"/>
    <m/>
    <n v="10542"/>
    <n v="27303"/>
    <m/>
    <m/>
    <m/>
    <m/>
    <m/>
    <m/>
    <m/>
    <m/>
    <m/>
    <x v="0"/>
    <x v="1"/>
    <n v="15"/>
    <x v="448"/>
    <m/>
  </r>
  <r>
    <x v="6"/>
    <x v="7"/>
    <s v="pack of 2"/>
    <s v="All levels"/>
    <x v="5"/>
    <n v="27303"/>
    <m/>
    <n v="10542"/>
    <n v="16761"/>
    <m/>
    <m/>
    <m/>
    <m/>
    <m/>
    <m/>
    <m/>
    <m/>
    <m/>
    <x v="0"/>
    <x v="1"/>
    <n v="15"/>
    <x v="449"/>
    <m/>
  </r>
  <r>
    <x v="4"/>
    <x v="7"/>
    <s v="pack of 2"/>
    <s v="All levels"/>
    <x v="0"/>
    <n v="0"/>
    <m/>
    <n v="67977"/>
    <n v="0"/>
    <m/>
    <m/>
    <m/>
    <m/>
    <m/>
    <m/>
    <m/>
    <m/>
    <m/>
    <x v="3"/>
    <x v="3"/>
    <n v="12"/>
    <x v="96"/>
    <m/>
  </r>
  <r>
    <x v="4"/>
    <x v="7"/>
    <s v="pack of 2"/>
    <s v="All levels"/>
    <x v="1"/>
    <n v="0"/>
    <m/>
    <n v="67977"/>
    <n v="0"/>
    <m/>
    <m/>
    <m/>
    <m/>
    <m/>
    <m/>
    <m/>
    <m/>
    <m/>
    <x v="3"/>
    <x v="3"/>
    <n v="12"/>
    <x v="96"/>
    <m/>
  </r>
  <r>
    <x v="4"/>
    <x v="7"/>
    <s v="pack of 2"/>
    <s v="All levels"/>
    <x v="2"/>
    <n v="0"/>
    <m/>
    <n v="67977"/>
    <n v="599823"/>
    <s v="UNFPA"/>
    <s v="UNFPA"/>
    <s v="Expected Deliveries"/>
    <n v="667800"/>
    <m/>
    <m/>
    <m/>
    <m/>
    <m/>
    <x v="3"/>
    <x v="3"/>
    <n v="12"/>
    <x v="450"/>
    <m/>
  </r>
  <r>
    <x v="4"/>
    <x v="7"/>
    <s v="pack of 2"/>
    <s v="All levels"/>
    <x v="3"/>
    <n v="599823"/>
    <m/>
    <n v="67977"/>
    <n v="531846"/>
    <m/>
    <m/>
    <m/>
    <m/>
    <m/>
    <m/>
    <m/>
    <m/>
    <m/>
    <x v="3"/>
    <x v="3"/>
    <n v="12"/>
    <x v="451"/>
    <m/>
  </r>
  <r>
    <x v="4"/>
    <x v="7"/>
    <s v="pack of 2"/>
    <s v="All levels"/>
    <x v="4"/>
    <n v="531846"/>
    <m/>
    <n v="67977"/>
    <n v="463869"/>
    <m/>
    <m/>
    <m/>
    <m/>
    <m/>
    <m/>
    <m/>
    <m/>
    <m/>
    <x v="3"/>
    <x v="3"/>
    <n v="12"/>
    <x v="452"/>
    <m/>
  </r>
  <r>
    <x v="4"/>
    <x v="7"/>
    <s v="pack of 2"/>
    <s v="All levels"/>
    <x v="5"/>
    <n v="463869"/>
    <m/>
    <n v="67977"/>
    <n v="395892"/>
    <m/>
    <m/>
    <m/>
    <m/>
    <m/>
    <m/>
    <m/>
    <m/>
    <m/>
    <x v="3"/>
    <x v="3"/>
    <n v="12"/>
    <x v="453"/>
    <m/>
  </r>
  <r>
    <x v="4"/>
    <x v="7"/>
    <s v="pack of 2"/>
    <s v="All levels"/>
    <x v="6"/>
    <n v="395892"/>
    <m/>
    <n v="67977"/>
    <n v="327915"/>
    <m/>
    <m/>
    <m/>
    <m/>
    <m/>
    <m/>
    <m/>
    <m/>
    <m/>
    <x v="3"/>
    <x v="3"/>
    <n v="12"/>
    <x v="454"/>
    <m/>
  </r>
  <r>
    <x v="4"/>
    <x v="7"/>
    <s v="pack of 2"/>
    <s v="All levels"/>
    <x v="7"/>
    <n v="327915"/>
    <m/>
    <n v="67977"/>
    <n v="259938"/>
    <m/>
    <m/>
    <m/>
    <m/>
    <m/>
    <m/>
    <m/>
    <m/>
    <m/>
    <x v="3"/>
    <x v="3"/>
    <n v="12"/>
    <x v="455"/>
    <m/>
  </r>
  <r>
    <x v="4"/>
    <x v="7"/>
    <s v="pack of 2"/>
    <s v="All levels"/>
    <x v="8"/>
    <n v="259938"/>
    <m/>
    <n v="67977"/>
    <n v="191961"/>
    <m/>
    <m/>
    <m/>
    <m/>
    <m/>
    <m/>
    <m/>
    <m/>
    <m/>
    <x v="3"/>
    <x v="3"/>
    <n v="12"/>
    <x v="456"/>
    <m/>
  </r>
  <r>
    <x v="4"/>
    <x v="7"/>
    <s v="pack of 2"/>
    <s v="All levels"/>
    <x v="9"/>
    <n v="191961"/>
    <m/>
    <n v="67977"/>
    <n v="123984"/>
    <m/>
    <m/>
    <m/>
    <m/>
    <m/>
    <m/>
    <m/>
    <m/>
    <m/>
    <x v="3"/>
    <x v="3"/>
    <n v="12"/>
    <x v="457"/>
    <m/>
  </r>
  <r>
    <x v="4"/>
    <x v="7"/>
    <s v="pack of 2"/>
    <s v="All levels"/>
    <x v="10"/>
    <n v="123984"/>
    <m/>
    <n v="67977"/>
    <n v="56007"/>
    <m/>
    <m/>
    <m/>
    <m/>
    <m/>
    <m/>
    <m/>
    <m/>
    <m/>
    <x v="3"/>
    <x v="3"/>
    <n v="12"/>
    <x v="458"/>
    <m/>
  </r>
  <r>
    <x v="4"/>
    <x v="7"/>
    <s v="pack of 2"/>
    <s v="All levels"/>
    <x v="11"/>
    <n v="56007"/>
    <m/>
    <n v="67977"/>
    <n v="0"/>
    <m/>
    <m/>
    <m/>
    <m/>
    <m/>
    <m/>
    <m/>
    <m/>
    <m/>
    <x v="3"/>
    <x v="3"/>
    <n v="12"/>
    <x v="96"/>
    <m/>
  </r>
  <r>
    <x v="0"/>
    <x v="8"/>
    <s v="piece"/>
    <s v="All levels"/>
    <x v="0"/>
    <n v="1408"/>
    <m/>
    <n v="58"/>
    <n v="1350"/>
    <m/>
    <m/>
    <m/>
    <m/>
    <m/>
    <m/>
    <m/>
    <m/>
    <m/>
    <x v="0"/>
    <x v="0"/>
    <n v="13"/>
    <x v="459"/>
    <m/>
  </r>
  <r>
    <x v="0"/>
    <x v="8"/>
    <s v="piece"/>
    <s v="All levels"/>
    <x v="1"/>
    <n v="1350"/>
    <m/>
    <n v="58"/>
    <n v="1292"/>
    <m/>
    <m/>
    <m/>
    <m/>
    <m/>
    <m/>
    <m/>
    <m/>
    <m/>
    <x v="0"/>
    <x v="0"/>
    <n v="13"/>
    <x v="460"/>
    <m/>
  </r>
  <r>
    <x v="0"/>
    <x v="8"/>
    <s v="piece"/>
    <s v="All levels"/>
    <x v="2"/>
    <n v="1292"/>
    <m/>
    <n v="58"/>
    <n v="1234"/>
    <m/>
    <m/>
    <m/>
    <m/>
    <m/>
    <m/>
    <m/>
    <m/>
    <m/>
    <x v="0"/>
    <x v="0"/>
    <n v="13"/>
    <x v="461"/>
    <m/>
  </r>
  <r>
    <x v="0"/>
    <x v="8"/>
    <s v="piece"/>
    <s v="All levels"/>
    <x v="3"/>
    <n v="1234"/>
    <m/>
    <n v="58"/>
    <n v="1176"/>
    <m/>
    <m/>
    <m/>
    <m/>
    <m/>
    <m/>
    <m/>
    <m/>
    <m/>
    <x v="0"/>
    <x v="0"/>
    <n v="13"/>
    <x v="462"/>
    <m/>
  </r>
  <r>
    <x v="0"/>
    <x v="8"/>
    <s v="piece"/>
    <s v="All levels"/>
    <x v="4"/>
    <n v="1176"/>
    <m/>
    <n v="58"/>
    <n v="1118"/>
    <m/>
    <m/>
    <m/>
    <m/>
    <m/>
    <m/>
    <m/>
    <m/>
    <m/>
    <x v="0"/>
    <x v="0"/>
    <n v="13"/>
    <x v="463"/>
    <m/>
  </r>
  <r>
    <x v="0"/>
    <x v="8"/>
    <s v="piece"/>
    <s v="All levels"/>
    <x v="5"/>
    <n v="1118"/>
    <m/>
    <n v="58"/>
    <n v="1060"/>
    <m/>
    <m/>
    <m/>
    <m/>
    <m/>
    <m/>
    <m/>
    <m/>
    <m/>
    <x v="0"/>
    <x v="0"/>
    <n v="13"/>
    <x v="464"/>
    <m/>
  </r>
  <r>
    <x v="0"/>
    <x v="8"/>
    <s v="piece"/>
    <s v="All levels"/>
    <x v="6"/>
    <n v="1060"/>
    <m/>
    <n v="58"/>
    <n v="1002"/>
    <m/>
    <m/>
    <m/>
    <m/>
    <m/>
    <m/>
    <m/>
    <m/>
    <m/>
    <x v="0"/>
    <x v="0"/>
    <n v="13"/>
    <x v="465"/>
    <m/>
  </r>
  <r>
    <x v="0"/>
    <x v="8"/>
    <s v="piece"/>
    <s v="All levels"/>
    <x v="7"/>
    <n v="1002"/>
    <m/>
    <n v="58"/>
    <n v="944"/>
    <m/>
    <m/>
    <m/>
    <m/>
    <m/>
    <m/>
    <m/>
    <m/>
    <m/>
    <x v="0"/>
    <x v="0"/>
    <n v="13"/>
    <x v="466"/>
    <m/>
  </r>
  <r>
    <x v="0"/>
    <x v="8"/>
    <s v="piece"/>
    <s v="All levels"/>
    <x v="8"/>
    <n v="944"/>
    <m/>
    <n v="58"/>
    <n v="886"/>
    <m/>
    <m/>
    <m/>
    <m/>
    <m/>
    <m/>
    <m/>
    <m/>
    <m/>
    <x v="0"/>
    <x v="0"/>
    <n v="13"/>
    <x v="467"/>
    <m/>
  </r>
  <r>
    <x v="0"/>
    <x v="8"/>
    <s v="piece"/>
    <s v="All levels"/>
    <x v="9"/>
    <n v="886"/>
    <m/>
    <n v="58"/>
    <n v="828"/>
    <m/>
    <m/>
    <m/>
    <m/>
    <m/>
    <m/>
    <m/>
    <m/>
    <m/>
    <x v="0"/>
    <x v="0"/>
    <n v="13"/>
    <x v="468"/>
    <m/>
  </r>
  <r>
    <x v="0"/>
    <x v="8"/>
    <s v="piece"/>
    <s v="All levels"/>
    <x v="10"/>
    <n v="828"/>
    <m/>
    <n v="58"/>
    <n v="770"/>
    <m/>
    <m/>
    <m/>
    <m/>
    <m/>
    <m/>
    <m/>
    <m/>
    <m/>
    <x v="0"/>
    <x v="0"/>
    <n v="13"/>
    <x v="469"/>
    <m/>
  </r>
  <r>
    <x v="0"/>
    <x v="8"/>
    <s v="piece"/>
    <s v="All levels"/>
    <x v="11"/>
    <n v="770"/>
    <m/>
    <n v="58"/>
    <n v="712"/>
    <m/>
    <m/>
    <m/>
    <m/>
    <m/>
    <m/>
    <m/>
    <m/>
    <m/>
    <x v="0"/>
    <x v="0"/>
    <n v="13"/>
    <x v="470"/>
    <m/>
  </r>
  <r>
    <x v="1"/>
    <x v="8"/>
    <s v="piece"/>
    <s v="All levels"/>
    <x v="12"/>
    <n v="331"/>
    <m/>
    <n v="34"/>
    <n v="297"/>
    <m/>
    <m/>
    <m/>
    <m/>
    <m/>
    <m/>
    <m/>
    <m/>
    <m/>
    <x v="1"/>
    <x v="1"/>
    <n v="15"/>
    <x v="471"/>
    <m/>
  </r>
  <r>
    <x v="1"/>
    <x v="8"/>
    <s v="piece"/>
    <s v="All levels"/>
    <x v="13"/>
    <n v="297"/>
    <m/>
    <n v="31"/>
    <n v="266"/>
    <m/>
    <m/>
    <m/>
    <m/>
    <m/>
    <m/>
    <m/>
    <m/>
    <m/>
    <x v="1"/>
    <x v="1"/>
    <n v="15"/>
    <x v="472"/>
    <m/>
  </r>
  <r>
    <x v="1"/>
    <x v="8"/>
    <s v="piece"/>
    <s v="All levels"/>
    <x v="14"/>
    <n v="266"/>
    <m/>
    <n v="32"/>
    <n v="234"/>
    <m/>
    <m/>
    <m/>
    <m/>
    <m/>
    <m/>
    <m/>
    <m/>
    <m/>
    <x v="1"/>
    <x v="1"/>
    <n v="15"/>
    <x v="473"/>
    <m/>
  </r>
  <r>
    <x v="1"/>
    <x v="8"/>
    <s v="piece"/>
    <s v="All levels"/>
    <x v="0"/>
    <n v="234"/>
    <m/>
    <n v="32"/>
    <n v="202"/>
    <m/>
    <m/>
    <m/>
    <m/>
    <m/>
    <m/>
    <m/>
    <m/>
    <m/>
    <x v="1"/>
    <x v="1"/>
    <n v="15"/>
    <x v="474"/>
    <m/>
  </r>
  <r>
    <x v="1"/>
    <x v="8"/>
    <s v="piece"/>
    <s v="All levels"/>
    <x v="1"/>
    <n v="202"/>
    <m/>
    <n v="33"/>
    <n v="169"/>
    <m/>
    <m/>
    <m/>
    <m/>
    <m/>
    <m/>
    <m/>
    <m/>
    <m/>
    <x v="1"/>
    <x v="1"/>
    <n v="15"/>
    <x v="475"/>
    <m/>
  </r>
  <r>
    <x v="1"/>
    <x v="8"/>
    <s v="piece"/>
    <s v="All levels"/>
    <x v="2"/>
    <n v="169"/>
    <m/>
    <n v="32"/>
    <n v="137"/>
    <m/>
    <m/>
    <m/>
    <m/>
    <m/>
    <m/>
    <m/>
    <m/>
    <m/>
    <x v="1"/>
    <x v="1"/>
    <n v="15"/>
    <x v="476"/>
    <m/>
  </r>
  <r>
    <x v="1"/>
    <x v="8"/>
    <s v="piece"/>
    <s v="All levels"/>
    <x v="3"/>
    <n v="137"/>
    <m/>
    <n v="32"/>
    <n v="105"/>
    <m/>
    <m/>
    <m/>
    <m/>
    <m/>
    <m/>
    <m/>
    <m/>
    <m/>
    <x v="1"/>
    <x v="1"/>
    <n v="15"/>
    <x v="477"/>
    <m/>
  </r>
  <r>
    <x v="1"/>
    <x v="8"/>
    <s v="piece"/>
    <s v="All levels"/>
    <x v="4"/>
    <n v="105"/>
    <m/>
    <n v="32"/>
    <n v="487"/>
    <m/>
    <m/>
    <s v="Planned"/>
    <n v="414"/>
    <m/>
    <m/>
    <m/>
    <m/>
    <m/>
    <x v="1"/>
    <x v="1"/>
    <n v="15"/>
    <x v="478"/>
    <m/>
  </r>
  <r>
    <x v="1"/>
    <x v="8"/>
    <s v="piece"/>
    <s v="All levels"/>
    <x v="5"/>
    <n v="487"/>
    <m/>
    <n v="32"/>
    <n v="455"/>
    <m/>
    <m/>
    <m/>
    <m/>
    <m/>
    <m/>
    <m/>
    <m/>
    <m/>
    <x v="1"/>
    <x v="1"/>
    <n v="15"/>
    <x v="479"/>
    <m/>
  </r>
  <r>
    <x v="1"/>
    <x v="8"/>
    <s v="piece"/>
    <s v="All levels"/>
    <x v="6"/>
    <n v="455"/>
    <m/>
    <n v="32"/>
    <n v="423"/>
    <m/>
    <m/>
    <m/>
    <m/>
    <m/>
    <m/>
    <m/>
    <m/>
    <m/>
    <x v="1"/>
    <x v="1"/>
    <n v="15"/>
    <x v="480"/>
    <m/>
  </r>
  <r>
    <x v="1"/>
    <x v="8"/>
    <s v="piece"/>
    <s v="All levels"/>
    <x v="7"/>
    <n v="423"/>
    <m/>
    <n v="32"/>
    <n v="391"/>
    <m/>
    <m/>
    <m/>
    <m/>
    <m/>
    <m/>
    <m/>
    <m/>
    <m/>
    <x v="1"/>
    <x v="1"/>
    <n v="15"/>
    <x v="481"/>
    <m/>
  </r>
  <r>
    <x v="1"/>
    <x v="8"/>
    <s v="piece"/>
    <s v="All levels"/>
    <x v="8"/>
    <n v="391"/>
    <m/>
    <n v="32"/>
    <n v="359"/>
    <m/>
    <m/>
    <m/>
    <m/>
    <m/>
    <m/>
    <m/>
    <m/>
    <m/>
    <x v="1"/>
    <x v="1"/>
    <n v="15"/>
    <x v="482"/>
    <m/>
  </r>
  <r>
    <x v="1"/>
    <x v="8"/>
    <s v="piece"/>
    <s v="All levels"/>
    <x v="9"/>
    <n v="359"/>
    <m/>
    <n v="32"/>
    <n v="327"/>
    <m/>
    <m/>
    <m/>
    <m/>
    <m/>
    <m/>
    <m/>
    <m/>
    <m/>
    <x v="1"/>
    <x v="1"/>
    <n v="15"/>
    <x v="483"/>
    <m/>
  </r>
  <r>
    <x v="1"/>
    <x v="8"/>
    <s v="piece"/>
    <s v="All levels"/>
    <x v="10"/>
    <n v="327"/>
    <m/>
    <n v="32"/>
    <n v="295"/>
    <m/>
    <m/>
    <m/>
    <m/>
    <m/>
    <m/>
    <m/>
    <m/>
    <m/>
    <x v="1"/>
    <x v="1"/>
    <n v="15"/>
    <x v="484"/>
    <m/>
  </r>
  <r>
    <x v="1"/>
    <x v="8"/>
    <s v="piece"/>
    <s v="All levels"/>
    <x v="11"/>
    <n v="295"/>
    <m/>
    <n v="32"/>
    <n v="263"/>
    <m/>
    <m/>
    <m/>
    <m/>
    <m/>
    <m/>
    <m/>
    <m/>
    <m/>
    <x v="1"/>
    <x v="1"/>
    <n v="15"/>
    <x v="485"/>
    <m/>
  </r>
  <r>
    <x v="1"/>
    <x v="8"/>
    <s v="piece"/>
    <s v="All levels"/>
    <x v="15"/>
    <n v="263"/>
    <m/>
    <n v="32"/>
    <n v="231"/>
    <m/>
    <m/>
    <m/>
    <m/>
    <m/>
    <m/>
    <m/>
    <m/>
    <m/>
    <x v="1"/>
    <x v="1"/>
    <n v="15"/>
    <x v="486"/>
    <m/>
  </r>
  <r>
    <x v="1"/>
    <x v="8"/>
    <s v="piece"/>
    <s v="All levels"/>
    <x v="16"/>
    <n v="231"/>
    <m/>
    <n v="32"/>
    <n v="489"/>
    <m/>
    <m/>
    <s v="Planned"/>
    <n v="290"/>
    <m/>
    <m/>
    <m/>
    <m/>
    <m/>
    <x v="1"/>
    <x v="1"/>
    <n v="15"/>
    <x v="487"/>
    <m/>
  </r>
  <r>
    <x v="1"/>
    <x v="8"/>
    <s v="piece"/>
    <s v="All levels"/>
    <x v="17"/>
    <n v="489"/>
    <m/>
    <n v="32"/>
    <n v="457"/>
    <m/>
    <m/>
    <m/>
    <m/>
    <m/>
    <m/>
    <m/>
    <m/>
    <m/>
    <x v="1"/>
    <x v="1"/>
    <n v="15"/>
    <x v="488"/>
    <m/>
  </r>
  <r>
    <x v="2"/>
    <x v="8"/>
    <s v="piece"/>
    <s v="All levels"/>
    <x v="23"/>
    <m/>
    <m/>
    <n v="10000"/>
    <n v="0"/>
    <m/>
    <m/>
    <m/>
    <m/>
    <m/>
    <m/>
    <m/>
    <m/>
    <m/>
    <x v="2"/>
    <x v="2"/>
    <n v="6"/>
    <x v="96"/>
    <m/>
  </r>
  <r>
    <x v="2"/>
    <x v="8"/>
    <s v="piece"/>
    <s v="All levels"/>
    <x v="21"/>
    <m/>
    <m/>
    <n v="10000"/>
    <n v="0"/>
    <m/>
    <m/>
    <m/>
    <m/>
    <m/>
    <m/>
    <m/>
    <m/>
    <m/>
    <x v="2"/>
    <x v="2"/>
    <n v="6"/>
    <x v="96"/>
    <m/>
  </r>
  <r>
    <x v="2"/>
    <x v="8"/>
    <s v="piece"/>
    <s v="All levels"/>
    <x v="22"/>
    <m/>
    <m/>
    <n v="10000"/>
    <n v="0"/>
    <m/>
    <m/>
    <m/>
    <m/>
    <m/>
    <m/>
    <m/>
    <m/>
    <m/>
    <x v="2"/>
    <x v="2"/>
    <n v="6"/>
    <x v="96"/>
    <m/>
  </r>
  <r>
    <x v="2"/>
    <x v="8"/>
    <s v="piece"/>
    <s v="All levels"/>
    <x v="12"/>
    <n v="111000"/>
    <m/>
    <n v="10000"/>
    <n v="101000"/>
    <m/>
    <m/>
    <m/>
    <m/>
    <m/>
    <m/>
    <m/>
    <m/>
    <m/>
    <x v="2"/>
    <x v="2"/>
    <n v="6"/>
    <x v="489"/>
    <m/>
  </r>
  <r>
    <x v="2"/>
    <x v="8"/>
    <s v="piece"/>
    <s v="All levels"/>
    <x v="13"/>
    <n v="101000"/>
    <m/>
    <n v="10000"/>
    <n v="91000"/>
    <m/>
    <m/>
    <m/>
    <m/>
    <m/>
    <m/>
    <m/>
    <m/>
    <m/>
    <x v="2"/>
    <x v="2"/>
    <n v="6"/>
    <x v="490"/>
    <m/>
  </r>
  <r>
    <x v="2"/>
    <x v="8"/>
    <s v="piece"/>
    <s v="All levels"/>
    <x v="14"/>
    <n v="91000"/>
    <m/>
    <n v="10000"/>
    <n v="81000"/>
    <m/>
    <m/>
    <m/>
    <m/>
    <m/>
    <m/>
    <m/>
    <m/>
    <m/>
    <x v="2"/>
    <x v="2"/>
    <n v="6"/>
    <x v="491"/>
    <m/>
  </r>
  <r>
    <x v="2"/>
    <x v="8"/>
    <s v="piece"/>
    <s v="All levels"/>
    <x v="0"/>
    <n v="81000"/>
    <m/>
    <n v="10000"/>
    <n v="71000"/>
    <m/>
    <m/>
    <m/>
    <m/>
    <m/>
    <m/>
    <m/>
    <m/>
    <m/>
    <x v="2"/>
    <x v="2"/>
    <n v="6"/>
    <x v="492"/>
    <m/>
  </r>
  <r>
    <x v="2"/>
    <x v="8"/>
    <s v="piece"/>
    <s v="All levels"/>
    <x v="1"/>
    <n v="71000"/>
    <m/>
    <n v="10000"/>
    <n v="61000"/>
    <m/>
    <m/>
    <m/>
    <m/>
    <m/>
    <m/>
    <m/>
    <m/>
    <m/>
    <x v="2"/>
    <x v="2"/>
    <n v="6"/>
    <x v="493"/>
    <m/>
  </r>
  <r>
    <x v="2"/>
    <x v="8"/>
    <s v="piece"/>
    <s v="All levels"/>
    <x v="2"/>
    <n v="61000"/>
    <m/>
    <n v="10000"/>
    <n v="51000"/>
    <m/>
    <m/>
    <m/>
    <m/>
    <m/>
    <m/>
    <m/>
    <m/>
    <m/>
    <x v="2"/>
    <x v="2"/>
    <n v="6"/>
    <x v="494"/>
    <m/>
  </r>
  <r>
    <x v="2"/>
    <x v="8"/>
    <s v="piece"/>
    <s v="All levels"/>
    <x v="3"/>
    <n v="51000"/>
    <m/>
    <n v="10000"/>
    <n v="41000"/>
    <m/>
    <m/>
    <m/>
    <m/>
    <m/>
    <m/>
    <m/>
    <m/>
    <m/>
    <x v="2"/>
    <x v="2"/>
    <n v="6"/>
    <x v="495"/>
    <m/>
  </r>
  <r>
    <x v="2"/>
    <x v="8"/>
    <s v="piece"/>
    <s v="All levels"/>
    <x v="4"/>
    <n v="41000"/>
    <m/>
    <n v="10000"/>
    <n v="31000"/>
    <m/>
    <m/>
    <m/>
    <m/>
    <m/>
    <m/>
    <m/>
    <m/>
    <m/>
    <x v="2"/>
    <x v="2"/>
    <n v="6"/>
    <x v="496"/>
    <m/>
  </r>
  <r>
    <x v="2"/>
    <x v="8"/>
    <s v="piece"/>
    <s v="All levels"/>
    <x v="5"/>
    <n v="31000"/>
    <m/>
    <n v="10000"/>
    <n v="116700"/>
    <s v="GFATM"/>
    <s v="GFATM"/>
    <s v="Planned"/>
    <n v="95700"/>
    <m/>
    <n v="47850"/>
    <n v="45992"/>
    <m/>
    <m/>
    <x v="2"/>
    <x v="2"/>
    <n v="6"/>
    <x v="497"/>
    <m/>
  </r>
  <r>
    <x v="2"/>
    <x v="8"/>
    <s v="piece"/>
    <s v="All levels"/>
    <x v="6"/>
    <n v="116700"/>
    <m/>
    <n v="10000"/>
    <n v="106700"/>
    <m/>
    <m/>
    <m/>
    <m/>
    <m/>
    <m/>
    <m/>
    <m/>
    <m/>
    <x v="2"/>
    <x v="2"/>
    <n v="6"/>
    <x v="498"/>
    <m/>
  </r>
  <r>
    <x v="2"/>
    <x v="8"/>
    <s v="piece"/>
    <s v="All levels"/>
    <x v="7"/>
    <n v="106700"/>
    <m/>
    <n v="10000"/>
    <n v="96700"/>
    <m/>
    <m/>
    <m/>
    <m/>
    <m/>
    <m/>
    <m/>
    <m/>
    <m/>
    <x v="2"/>
    <x v="2"/>
    <n v="6"/>
    <x v="499"/>
    <m/>
  </r>
  <r>
    <x v="2"/>
    <x v="8"/>
    <s v="piece"/>
    <s v="All levels"/>
    <x v="8"/>
    <n v="96700"/>
    <m/>
    <n v="10000"/>
    <n v="86700"/>
    <m/>
    <m/>
    <m/>
    <m/>
    <m/>
    <m/>
    <m/>
    <m/>
    <m/>
    <x v="2"/>
    <x v="2"/>
    <n v="6"/>
    <x v="500"/>
    <m/>
  </r>
  <r>
    <x v="2"/>
    <x v="8"/>
    <s v="piece"/>
    <s v="All levels"/>
    <x v="9"/>
    <n v="86700"/>
    <m/>
    <n v="10000"/>
    <n v="76700"/>
    <m/>
    <m/>
    <m/>
    <m/>
    <m/>
    <m/>
    <m/>
    <m/>
    <m/>
    <x v="2"/>
    <x v="2"/>
    <n v="6"/>
    <x v="501"/>
    <m/>
  </r>
  <r>
    <x v="2"/>
    <x v="8"/>
    <s v="piece"/>
    <s v="All levels"/>
    <x v="10"/>
    <n v="76700"/>
    <m/>
    <n v="10000"/>
    <n v="66700"/>
    <m/>
    <m/>
    <m/>
    <m/>
    <m/>
    <m/>
    <m/>
    <m/>
    <m/>
    <x v="2"/>
    <x v="2"/>
    <n v="6"/>
    <x v="502"/>
    <m/>
  </r>
  <r>
    <x v="2"/>
    <x v="8"/>
    <s v="piece"/>
    <s v="All levels"/>
    <x v="11"/>
    <n v="66700"/>
    <m/>
    <n v="10000"/>
    <n v="67166"/>
    <m/>
    <m/>
    <s v="Planned"/>
    <n v="10466"/>
    <m/>
    <n v="6802.9"/>
    <n v="46174"/>
    <m/>
    <m/>
    <x v="2"/>
    <x v="2"/>
    <n v="6"/>
    <x v="503"/>
    <m/>
  </r>
  <r>
    <x v="2"/>
    <x v="8"/>
    <s v="piece"/>
    <s v="All levels"/>
    <x v="15"/>
    <n v="67166"/>
    <m/>
    <n v="10000"/>
    <n v="57166"/>
    <m/>
    <m/>
    <m/>
    <m/>
    <m/>
    <m/>
    <m/>
    <m/>
    <m/>
    <x v="2"/>
    <x v="2"/>
    <n v="6"/>
    <x v="504"/>
    <m/>
  </r>
  <r>
    <x v="2"/>
    <x v="8"/>
    <s v="piece"/>
    <s v="All levels"/>
    <x v="16"/>
    <n v="57166"/>
    <m/>
    <n v="10000"/>
    <n v="47166"/>
    <m/>
    <m/>
    <m/>
    <m/>
    <m/>
    <m/>
    <m/>
    <m/>
    <m/>
    <x v="2"/>
    <x v="2"/>
    <n v="6"/>
    <x v="505"/>
    <m/>
  </r>
  <r>
    <x v="2"/>
    <x v="8"/>
    <s v="piece"/>
    <s v="All levels"/>
    <x v="17"/>
    <n v="47166"/>
    <m/>
    <n v="10000"/>
    <n v="41166"/>
    <m/>
    <m/>
    <s v="Planned"/>
    <n v="4000"/>
    <m/>
    <n v="2600"/>
    <n v="46266"/>
    <m/>
    <m/>
    <x v="2"/>
    <x v="2"/>
    <n v="6"/>
    <x v="506"/>
    <m/>
  </r>
  <r>
    <x v="2"/>
    <x v="8"/>
    <s v="piece"/>
    <s v="All levels"/>
    <x v="18"/>
    <n v="41166"/>
    <m/>
    <n v="10000"/>
    <n v="31166"/>
    <m/>
    <m/>
    <m/>
    <m/>
    <m/>
    <m/>
    <m/>
    <m/>
    <m/>
    <x v="2"/>
    <x v="2"/>
    <n v="6"/>
    <x v="507"/>
    <m/>
  </r>
  <r>
    <x v="2"/>
    <x v="8"/>
    <s v="piece"/>
    <s v="All levels"/>
    <x v="19"/>
    <n v="31166"/>
    <m/>
    <n v="10000"/>
    <n v="21166"/>
    <m/>
    <m/>
    <m/>
    <m/>
    <m/>
    <m/>
    <m/>
    <m/>
    <m/>
    <x v="2"/>
    <x v="2"/>
    <n v="6"/>
    <x v="508"/>
    <m/>
  </r>
  <r>
    <x v="2"/>
    <x v="8"/>
    <s v="piece"/>
    <s v="All levels"/>
    <x v="20"/>
    <n v="21166"/>
    <m/>
    <n v="10000"/>
    <n v="42139"/>
    <m/>
    <m/>
    <s v="Planned"/>
    <n v="30973"/>
    <m/>
    <n v="20458.099999999999"/>
    <n v="46357"/>
    <m/>
    <m/>
    <x v="2"/>
    <x v="2"/>
    <n v="6"/>
    <x v="509"/>
    <m/>
  </r>
  <r>
    <x v="3"/>
    <x v="8"/>
    <s v="piece"/>
    <s v="All levels"/>
    <x v="21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22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2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3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4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0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2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3"/>
    <n v="0"/>
    <m/>
    <n v="7816"/>
    <n v="14184"/>
    <s v="UNFPA"/>
    <s v="UNFPA"/>
    <s v="Committed"/>
    <n v="22000"/>
    <m/>
    <n v="12320"/>
    <n v="45931"/>
    <m/>
    <m/>
    <x v="3"/>
    <x v="3"/>
    <n v="12"/>
    <x v="510"/>
    <m/>
  </r>
  <r>
    <x v="3"/>
    <x v="8"/>
    <s v="piece"/>
    <s v="All levels"/>
    <x v="4"/>
    <n v="14184"/>
    <m/>
    <n v="7816"/>
    <n v="6368"/>
    <m/>
    <m/>
    <m/>
    <m/>
    <m/>
    <m/>
    <m/>
    <m/>
    <m/>
    <x v="3"/>
    <x v="3"/>
    <n v="12"/>
    <x v="511"/>
    <m/>
  </r>
  <r>
    <x v="3"/>
    <x v="8"/>
    <s v="piece"/>
    <s v="All levels"/>
    <x v="5"/>
    <n v="6368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6"/>
    <n v="0"/>
    <m/>
    <n v="7816"/>
    <n v="8910"/>
    <s v="TBD"/>
    <s v="TBD"/>
    <s v="Planned"/>
    <n v="16726"/>
    <m/>
    <n v="9336"/>
    <n v="46023"/>
    <m/>
    <m/>
    <x v="3"/>
    <x v="3"/>
    <n v="12"/>
    <x v="512"/>
    <m/>
  </r>
  <r>
    <x v="3"/>
    <x v="8"/>
    <s v="piece"/>
    <s v="All levels"/>
    <x v="7"/>
    <n v="8910"/>
    <m/>
    <n v="7816"/>
    <n v="1094"/>
    <m/>
    <m/>
    <m/>
    <m/>
    <m/>
    <m/>
    <m/>
    <m/>
    <m/>
    <x v="3"/>
    <x v="3"/>
    <n v="12"/>
    <x v="513"/>
    <m/>
  </r>
  <r>
    <x v="3"/>
    <x v="8"/>
    <s v="piece"/>
    <s v="All levels"/>
    <x v="8"/>
    <n v="1094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9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0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1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5"/>
    <n v="0"/>
    <m/>
    <n v="7816"/>
    <n v="8538"/>
    <s v="TBD"/>
    <s v="TBD"/>
    <s v="Planned"/>
    <n v="16354"/>
    <m/>
    <n v="9158"/>
    <n v="46204"/>
    <m/>
    <m/>
    <x v="3"/>
    <x v="3"/>
    <n v="12"/>
    <x v="514"/>
    <m/>
  </r>
  <r>
    <x v="3"/>
    <x v="8"/>
    <s v="piece"/>
    <s v="All levels"/>
    <x v="16"/>
    <n v="8538"/>
    <m/>
    <n v="7816"/>
    <n v="722"/>
    <m/>
    <m/>
    <m/>
    <m/>
    <m/>
    <m/>
    <m/>
    <m/>
    <m/>
    <x v="3"/>
    <x v="3"/>
    <n v="12"/>
    <x v="515"/>
    <m/>
  </r>
  <r>
    <x v="3"/>
    <x v="8"/>
    <s v="piece"/>
    <s v="All levels"/>
    <x v="17"/>
    <n v="722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8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9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20"/>
    <n v="0"/>
    <m/>
    <n v="7816"/>
    <n v="0"/>
    <m/>
    <m/>
    <m/>
    <m/>
    <m/>
    <m/>
    <m/>
    <m/>
    <m/>
    <x v="3"/>
    <x v="3"/>
    <n v="12"/>
    <x v="96"/>
    <m/>
  </r>
  <r>
    <x v="6"/>
    <x v="8"/>
    <s v="piece"/>
    <s v="All levels"/>
    <x v="12"/>
    <n v="18800"/>
    <m/>
    <n v="2846"/>
    <n v="15954"/>
    <m/>
    <m/>
    <m/>
    <m/>
    <m/>
    <m/>
    <m/>
    <m/>
    <m/>
    <x v="0"/>
    <x v="1"/>
    <n v="15"/>
    <x v="516"/>
    <m/>
  </r>
  <r>
    <x v="6"/>
    <x v="8"/>
    <s v="piece"/>
    <s v="All levels"/>
    <x v="13"/>
    <n v="15954"/>
    <m/>
    <n v="2846"/>
    <n v="13108"/>
    <m/>
    <m/>
    <m/>
    <m/>
    <m/>
    <m/>
    <m/>
    <m/>
    <m/>
    <x v="0"/>
    <x v="1"/>
    <n v="15"/>
    <x v="517"/>
    <m/>
  </r>
  <r>
    <x v="6"/>
    <x v="8"/>
    <s v="piece"/>
    <s v="All levels"/>
    <x v="14"/>
    <n v="13108"/>
    <m/>
    <n v="2846"/>
    <n v="43262"/>
    <m/>
    <m/>
    <m/>
    <n v="33000"/>
    <m/>
    <m/>
    <m/>
    <m/>
    <m/>
    <x v="0"/>
    <x v="1"/>
    <n v="15"/>
    <x v="518"/>
    <m/>
  </r>
  <r>
    <x v="6"/>
    <x v="8"/>
    <s v="piece"/>
    <s v="All levels"/>
    <x v="0"/>
    <n v="43262"/>
    <m/>
    <n v="2846"/>
    <n v="40416"/>
    <m/>
    <m/>
    <m/>
    <m/>
    <m/>
    <m/>
    <m/>
    <m/>
    <m/>
    <x v="0"/>
    <x v="1"/>
    <n v="15"/>
    <x v="519"/>
    <m/>
  </r>
  <r>
    <x v="6"/>
    <x v="8"/>
    <s v="piece"/>
    <s v="All levels"/>
    <x v="1"/>
    <n v="40416"/>
    <m/>
    <n v="2846"/>
    <n v="37570"/>
    <m/>
    <m/>
    <m/>
    <m/>
    <m/>
    <m/>
    <m/>
    <m/>
    <m/>
    <x v="0"/>
    <x v="1"/>
    <n v="15"/>
    <x v="520"/>
    <m/>
  </r>
  <r>
    <x v="6"/>
    <x v="8"/>
    <s v="piece"/>
    <s v="All levels"/>
    <x v="2"/>
    <n v="37570"/>
    <m/>
    <n v="2846"/>
    <n v="34724"/>
    <m/>
    <m/>
    <m/>
    <m/>
    <m/>
    <m/>
    <m/>
    <m/>
    <m/>
    <x v="0"/>
    <x v="1"/>
    <n v="15"/>
    <x v="521"/>
    <m/>
  </r>
  <r>
    <x v="6"/>
    <x v="8"/>
    <s v="piece"/>
    <s v="All levels"/>
    <x v="3"/>
    <n v="34724"/>
    <m/>
    <n v="2846"/>
    <n v="31878"/>
    <m/>
    <m/>
    <m/>
    <m/>
    <m/>
    <m/>
    <m/>
    <m/>
    <m/>
    <x v="0"/>
    <x v="1"/>
    <n v="15"/>
    <x v="522"/>
    <m/>
  </r>
  <r>
    <x v="6"/>
    <x v="8"/>
    <s v="piece"/>
    <s v="All levels"/>
    <x v="4"/>
    <n v="31878"/>
    <m/>
    <n v="2846"/>
    <n v="29032"/>
    <m/>
    <m/>
    <m/>
    <m/>
    <m/>
    <m/>
    <m/>
    <m/>
    <m/>
    <x v="0"/>
    <x v="1"/>
    <n v="15"/>
    <x v="523"/>
    <m/>
  </r>
  <r>
    <x v="6"/>
    <x v="8"/>
    <s v="piece"/>
    <s v="All levels"/>
    <x v="5"/>
    <n v="29032"/>
    <m/>
    <n v="2846"/>
    <n v="26186"/>
    <m/>
    <m/>
    <m/>
    <m/>
    <m/>
    <m/>
    <m/>
    <m/>
    <m/>
    <x v="0"/>
    <x v="1"/>
    <n v="15"/>
    <x v="524"/>
    <m/>
  </r>
  <r>
    <x v="0"/>
    <x v="9"/>
    <s v="device "/>
    <s v="All levels"/>
    <x v="0"/>
    <n v="18025"/>
    <m/>
    <n v="902"/>
    <n v="17123"/>
    <m/>
    <m/>
    <m/>
    <m/>
    <m/>
    <m/>
    <m/>
    <m/>
    <m/>
    <x v="0"/>
    <x v="0"/>
    <n v="13"/>
    <x v="525"/>
    <m/>
  </r>
  <r>
    <x v="0"/>
    <x v="9"/>
    <s v="device "/>
    <s v="All levels"/>
    <x v="1"/>
    <n v="17123"/>
    <m/>
    <n v="902"/>
    <n v="16221"/>
    <m/>
    <m/>
    <m/>
    <m/>
    <m/>
    <m/>
    <m/>
    <m/>
    <m/>
    <x v="0"/>
    <x v="0"/>
    <n v="13"/>
    <x v="526"/>
    <m/>
  </r>
  <r>
    <x v="0"/>
    <x v="9"/>
    <s v="device "/>
    <s v="All levels"/>
    <x v="2"/>
    <n v="16221"/>
    <m/>
    <n v="902"/>
    <n v="15319"/>
    <m/>
    <m/>
    <m/>
    <m/>
    <m/>
    <m/>
    <m/>
    <m/>
    <m/>
    <x v="0"/>
    <x v="0"/>
    <n v="13"/>
    <x v="527"/>
    <m/>
  </r>
  <r>
    <x v="0"/>
    <x v="9"/>
    <s v="device "/>
    <s v="All levels"/>
    <x v="3"/>
    <n v="15319"/>
    <m/>
    <n v="902"/>
    <n v="14417"/>
    <m/>
    <m/>
    <m/>
    <m/>
    <m/>
    <m/>
    <m/>
    <m/>
    <m/>
    <x v="0"/>
    <x v="0"/>
    <n v="13"/>
    <x v="528"/>
    <m/>
  </r>
  <r>
    <x v="0"/>
    <x v="9"/>
    <s v="device "/>
    <s v="All levels"/>
    <x v="4"/>
    <n v="14417"/>
    <m/>
    <n v="902"/>
    <n v="13515"/>
    <m/>
    <m/>
    <m/>
    <m/>
    <m/>
    <m/>
    <m/>
    <m/>
    <m/>
    <x v="0"/>
    <x v="0"/>
    <n v="13"/>
    <x v="529"/>
    <m/>
  </r>
  <r>
    <x v="0"/>
    <x v="9"/>
    <s v="device "/>
    <s v="All levels"/>
    <x v="5"/>
    <n v="13515"/>
    <m/>
    <n v="902"/>
    <n v="12613"/>
    <m/>
    <m/>
    <m/>
    <m/>
    <m/>
    <m/>
    <m/>
    <m/>
    <m/>
    <x v="0"/>
    <x v="0"/>
    <n v="13"/>
    <x v="530"/>
    <m/>
  </r>
  <r>
    <x v="0"/>
    <x v="9"/>
    <s v="device "/>
    <s v="All levels"/>
    <x v="6"/>
    <n v="12613"/>
    <m/>
    <n v="902"/>
    <n v="11711"/>
    <m/>
    <m/>
    <m/>
    <m/>
    <m/>
    <m/>
    <m/>
    <m/>
    <m/>
    <x v="0"/>
    <x v="0"/>
    <n v="13"/>
    <x v="531"/>
    <m/>
  </r>
  <r>
    <x v="0"/>
    <x v="9"/>
    <s v="device "/>
    <s v="All levels"/>
    <x v="7"/>
    <n v="11711"/>
    <m/>
    <n v="902"/>
    <n v="10809"/>
    <m/>
    <m/>
    <m/>
    <m/>
    <m/>
    <m/>
    <m/>
    <m/>
    <m/>
    <x v="0"/>
    <x v="0"/>
    <n v="13"/>
    <x v="532"/>
    <m/>
  </r>
  <r>
    <x v="0"/>
    <x v="9"/>
    <s v="device "/>
    <s v="All levels"/>
    <x v="8"/>
    <n v="10809"/>
    <m/>
    <n v="902"/>
    <n v="15259"/>
    <s v="TBD"/>
    <s v="TBD"/>
    <s v="Planned"/>
    <n v="5352"/>
    <m/>
    <n v="70004"/>
    <n v="46082"/>
    <m/>
    <m/>
    <x v="0"/>
    <x v="0"/>
    <n v="13"/>
    <x v="533"/>
    <m/>
  </r>
  <r>
    <x v="0"/>
    <x v="9"/>
    <s v="device "/>
    <s v="All levels"/>
    <x v="9"/>
    <n v="15259"/>
    <m/>
    <n v="902"/>
    <n v="14357"/>
    <m/>
    <m/>
    <m/>
    <m/>
    <m/>
    <m/>
    <m/>
    <m/>
    <m/>
    <x v="0"/>
    <x v="0"/>
    <n v="13"/>
    <x v="534"/>
    <m/>
  </r>
  <r>
    <x v="0"/>
    <x v="9"/>
    <s v="device "/>
    <s v="All levels"/>
    <x v="10"/>
    <n v="14357"/>
    <m/>
    <n v="902"/>
    <n v="13455"/>
    <m/>
    <m/>
    <m/>
    <m/>
    <m/>
    <m/>
    <m/>
    <m/>
    <m/>
    <x v="0"/>
    <x v="0"/>
    <n v="13"/>
    <x v="535"/>
    <m/>
  </r>
  <r>
    <x v="0"/>
    <x v="9"/>
    <s v="device "/>
    <s v="All levels"/>
    <x v="11"/>
    <n v="13455"/>
    <m/>
    <n v="902"/>
    <n v="12553"/>
    <m/>
    <m/>
    <m/>
    <m/>
    <m/>
    <m/>
    <m/>
    <m/>
    <m/>
    <x v="0"/>
    <x v="0"/>
    <n v="13"/>
    <x v="536"/>
    <m/>
  </r>
  <r>
    <x v="1"/>
    <x v="9"/>
    <s v="device "/>
    <s v="All levels"/>
    <x v="12"/>
    <n v="2436"/>
    <m/>
    <n v="201"/>
    <n v="2235"/>
    <m/>
    <m/>
    <m/>
    <m/>
    <m/>
    <m/>
    <m/>
    <m/>
    <m/>
    <x v="1"/>
    <x v="1"/>
    <n v="15"/>
    <x v="537"/>
    <m/>
  </r>
  <r>
    <x v="1"/>
    <x v="9"/>
    <s v="device "/>
    <s v="All levels"/>
    <x v="13"/>
    <n v="2235"/>
    <m/>
    <n v="204"/>
    <n v="13071"/>
    <m/>
    <m/>
    <s v="Received"/>
    <n v="11040"/>
    <m/>
    <m/>
    <n v="45778"/>
    <m/>
    <m/>
    <x v="1"/>
    <x v="1"/>
    <n v="15"/>
    <x v="538"/>
    <m/>
  </r>
  <r>
    <x v="1"/>
    <x v="9"/>
    <s v="device "/>
    <s v="All levels"/>
    <x v="14"/>
    <n v="13071"/>
    <m/>
    <n v="206"/>
    <n v="12865"/>
    <m/>
    <m/>
    <m/>
    <m/>
    <m/>
    <m/>
    <m/>
    <m/>
    <m/>
    <x v="1"/>
    <x v="1"/>
    <n v="15"/>
    <x v="539"/>
    <m/>
  </r>
  <r>
    <x v="1"/>
    <x v="9"/>
    <s v="device "/>
    <s v="All levels"/>
    <x v="0"/>
    <n v="12865"/>
    <m/>
    <n v="207"/>
    <n v="12658"/>
    <m/>
    <m/>
    <m/>
    <m/>
    <m/>
    <m/>
    <m/>
    <m/>
    <m/>
    <x v="1"/>
    <x v="1"/>
    <n v="15"/>
    <x v="540"/>
    <m/>
  </r>
  <r>
    <x v="1"/>
    <x v="9"/>
    <s v="device "/>
    <s v="All levels"/>
    <x v="1"/>
    <n v="12658"/>
    <m/>
    <n v="205"/>
    <n v="12453"/>
    <m/>
    <m/>
    <m/>
    <m/>
    <m/>
    <m/>
    <m/>
    <m/>
    <m/>
    <x v="1"/>
    <x v="1"/>
    <n v="15"/>
    <x v="541"/>
    <m/>
  </r>
  <r>
    <x v="1"/>
    <x v="9"/>
    <s v="device "/>
    <s v="All levels"/>
    <x v="2"/>
    <n v="12453"/>
    <m/>
    <n v="204"/>
    <n v="12249"/>
    <m/>
    <m/>
    <m/>
    <m/>
    <m/>
    <m/>
    <m/>
    <m/>
    <m/>
    <x v="1"/>
    <x v="1"/>
    <n v="15"/>
    <x v="542"/>
    <m/>
  </r>
  <r>
    <x v="1"/>
    <x v="9"/>
    <s v="device "/>
    <s v="All levels"/>
    <x v="3"/>
    <n v="12249"/>
    <m/>
    <n v="204"/>
    <n v="12045"/>
    <m/>
    <m/>
    <m/>
    <m/>
    <m/>
    <m/>
    <m/>
    <m/>
    <m/>
    <x v="1"/>
    <x v="1"/>
    <n v="15"/>
    <x v="543"/>
    <m/>
  </r>
  <r>
    <x v="1"/>
    <x v="9"/>
    <s v="device "/>
    <s v="All levels"/>
    <x v="4"/>
    <n v="12045"/>
    <m/>
    <n v="205"/>
    <n v="20870"/>
    <m/>
    <m/>
    <s v="Committed"/>
    <n v="9030"/>
    <m/>
    <m/>
    <n v="45962"/>
    <m/>
    <m/>
    <x v="1"/>
    <x v="1"/>
    <n v="15"/>
    <x v="544"/>
    <m/>
  </r>
  <r>
    <x v="1"/>
    <x v="9"/>
    <s v="device "/>
    <s v="All levels"/>
    <x v="5"/>
    <n v="20870"/>
    <m/>
    <n v="205"/>
    <n v="20665"/>
    <m/>
    <m/>
    <m/>
    <m/>
    <m/>
    <m/>
    <m/>
    <m/>
    <m/>
    <x v="1"/>
    <x v="1"/>
    <n v="15"/>
    <x v="545"/>
    <m/>
  </r>
  <r>
    <x v="1"/>
    <x v="9"/>
    <s v="device "/>
    <s v="All levels"/>
    <x v="6"/>
    <n v="20665"/>
    <m/>
    <n v="205"/>
    <n v="20460"/>
    <m/>
    <m/>
    <m/>
    <m/>
    <m/>
    <m/>
    <m/>
    <m/>
    <m/>
    <x v="1"/>
    <x v="1"/>
    <n v="15"/>
    <x v="546"/>
    <m/>
  </r>
  <r>
    <x v="1"/>
    <x v="9"/>
    <s v="device "/>
    <s v="All levels"/>
    <x v="7"/>
    <n v="20460"/>
    <m/>
    <n v="205"/>
    <n v="20255"/>
    <m/>
    <m/>
    <m/>
    <m/>
    <m/>
    <m/>
    <m/>
    <m/>
    <m/>
    <x v="1"/>
    <x v="1"/>
    <n v="15"/>
    <x v="547"/>
    <m/>
  </r>
  <r>
    <x v="1"/>
    <x v="9"/>
    <s v="device "/>
    <s v="All levels"/>
    <x v="8"/>
    <n v="20255"/>
    <m/>
    <n v="205"/>
    <n v="20050"/>
    <m/>
    <m/>
    <m/>
    <m/>
    <m/>
    <m/>
    <m/>
    <m/>
    <m/>
    <x v="1"/>
    <x v="1"/>
    <n v="15"/>
    <x v="548"/>
    <m/>
  </r>
  <r>
    <x v="1"/>
    <x v="9"/>
    <s v="device "/>
    <s v="All levels"/>
    <x v="9"/>
    <n v="20050"/>
    <m/>
    <n v="205"/>
    <n v="19845"/>
    <m/>
    <m/>
    <m/>
    <m/>
    <m/>
    <m/>
    <m/>
    <m/>
    <m/>
    <x v="1"/>
    <x v="1"/>
    <n v="15"/>
    <x v="549"/>
    <m/>
  </r>
  <r>
    <x v="1"/>
    <x v="9"/>
    <s v="device "/>
    <s v="All levels"/>
    <x v="10"/>
    <n v="19845"/>
    <m/>
    <n v="205"/>
    <n v="19640"/>
    <m/>
    <m/>
    <m/>
    <m/>
    <m/>
    <m/>
    <m/>
    <m/>
    <m/>
    <x v="1"/>
    <x v="1"/>
    <n v="15"/>
    <x v="550"/>
    <m/>
  </r>
  <r>
    <x v="1"/>
    <x v="9"/>
    <s v="device "/>
    <s v="All levels"/>
    <x v="11"/>
    <n v="19640"/>
    <m/>
    <n v="205"/>
    <n v="19435"/>
    <m/>
    <m/>
    <m/>
    <m/>
    <m/>
    <m/>
    <m/>
    <m/>
    <m/>
    <x v="1"/>
    <x v="1"/>
    <n v="15"/>
    <x v="551"/>
    <m/>
  </r>
  <r>
    <x v="1"/>
    <x v="9"/>
    <s v="device "/>
    <s v="All levels"/>
    <x v="15"/>
    <n v="19435"/>
    <m/>
    <n v="205"/>
    <n v="19230"/>
    <m/>
    <m/>
    <m/>
    <m/>
    <m/>
    <m/>
    <m/>
    <m/>
    <m/>
    <x v="1"/>
    <x v="1"/>
    <n v="15"/>
    <x v="552"/>
    <m/>
  </r>
  <r>
    <x v="1"/>
    <x v="9"/>
    <s v="device "/>
    <s v="All levels"/>
    <x v="16"/>
    <n v="19230"/>
    <m/>
    <n v="205"/>
    <n v="19025"/>
    <m/>
    <m/>
    <m/>
    <m/>
    <m/>
    <m/>
    <m/>
    <m/>
    <m/>
    <x v="1"/>
    <x v="1"/>
    <n v="15"/>
    <x v="553"/>
    <m/>
  </r>
  <r>
    <x v="1"/>
    <x v="9"/>
    <s v="device "/>
    <s v="All levels"/>
    <x v="17"/>
    <n v="19025"/>
    <m/>
    <n v="205"/>
    <n v="18820"/>
    <m/>
    <m/>
    <m/>
    <m/>
    <m/>
    <m/>
    <m/>
    <m/>
    <m/>
    <x v="1"/>
    <x v="1"/>
    <n v="15"/>
    <x v="554"/>
    <m/>
  </r>
  <r>
    <x v="2"/>
    <x v="9"/>
    <s v="device "/>
    <s v="All levels"/>
    <x v="12"/>
    <n v="6330"/>
    <m/>
    <n v="1576"/>
    <n v="4754"/>
    <m/>
    <m/>
    <m/>
    <m/>
    <m/>
    <m/>
    <m/>
    <m/>
    <m/>
    <x v="2"/>
    <x v="2"/>
    <n v="6"/>
    <x v="555"/>
    <m/>
  </r>
  <r>
    <x v="2"/>
    <x v="9"/>
    <s v="device "/>
    <s v="All levels"/>
    <x v="13"/>
    <n v="4754"/>
    <m/>
    <n v="1576"/>
    <n v="3178"/>
    <m/>
    <m/>
    <m/>
    <m/>
    <m/>
    <m/>
    <m/>
    <m/>
    <m/>
    <x v="2"/>
    <x v="2"/>
    <n v="6"/>
    <x v="556"/>
    <m/>
  </r>
  <r>
    <x v="2"/>
    <x v="9"/>
    <s v="device "/>
    <s v="All levels"/>
    <x v="14"/>
    <n v="3178"/>
    <m/>
    <n v="1576"/>
    <n v="1602"/>
    <m/>
    <m/>
    <m/>
    <m/>
    <m/>
    <m/>
    <m/>
    <m/>
    <m/>
    <x v="2"/>
    <x v="2"/>
    <n v="6"/>
    <x v="557"/>
    <m/>
  </r>
  <r>
    <x v="2"/>
    <x v="9"/>
    <s v="device "/>
    <s v="All levels"/>
    <x v="0"/>
    <n v="1602"/>
    <m/>
    <n v="1576"/>
    <n v="26"/>
    <m/>
    <m/>
    <m/>
    <m/>
    <m/>
    <m/>
    <m/>
    <m/>
    <m/>
    <x v="2"/>
    <x v="2"/>
    <n v="6"/>
    <x v="558"/>
    <m/>
  </r>
  <r>
    <x v="2"/>
    <x v="9"/>
    <s v="device "/>
    <s v="All levels"/>
    <x v="1"/>
    <n v="26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2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3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4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5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6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7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8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9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0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1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5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6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7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8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9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20"/>
    <n v="0"/>
    <m/>
    <n v="1576"/>
    <n v="0"/>
    <m/>
    <m/>
    <m/>
    <m/>
    <m/>
    <m/>
    <m/>
    <m/>
    <m/>
    <x v="2"/>
    <x v="2"/>
    <n v="6"/>
    <x v="96"/>
    <m/>
  </r>
  <r>
    <x v="6"/>
    <x v="9"/>
    <s v="device "/>
    <s v="All levels"/>
    <x v="12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13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14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0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1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2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3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4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5"/>
    <n v="0"/>
    <m/>
    <n v="61"/>
    <n v="0"/>
    <m/>
    <m/>
    <m/>
    <m/>
    <m/>
    <m/>
    <m/>
    <m/>
    <m/>
    <x v="0"/>
    <x v="1"/>
    <n v="15"/>
    <x v="96"/>
    <m/>
  </r>
  <r>
    <x v="0"/>
    <x v="10"/>
    <s v="set"/>
    <s v="All levels"/>
    <x v="0"/>
    <n v="174612"/>
    <m/>
    <n v="17890"/>
    <n v="156722"/>
    <m/>
    <m/>
    <m/>
    <m/>
    <m/>
    <m/>
    <m/>
    <m/>
    <m/>
    <x v="0"/>
    <x v="0"/>
    <n v="13"/>
    <x v="559"/>
    <m/>
  </r>
  <r>
    <x v="0"/>
    <x v="10"/>
    <s v="set"/>
    <s v="All levels"/>
    <x v="1"/>
    <n v="156722"/>
    <m/>
    <n v="17890"/>
    <n v="138832"/>
    <m/>
    <m/>
    <m/>
    <m/>
    <m/>
    <m/>
    <m/>
    <m/>
    <m/>
    <x v="0"/>
    <x v="0"/>
    <n v="13"/>
    <x v="560"/>
    <m/>
  </r>
  <r>
    <x v="0"/>
    <x v="10"/>
    <s v="set"/>
    <s v="All levels"/>
    <x v="2"/>
    <n v="138832"/>
    <m/>
    <n v="17890"/>
    <n v="222163"/>
    <s v="TBD"/>
    <s v="TBD"/>
    <s v="Planned"/>
    <n v="101221"/>
    <m/>
    <n v="1032454"/>
    <n v="45901"/>
    <m/>
    <m/>
    <x v="0"/>
    <x v="0"/>
    <n v="13"/>
    <x v="561"/>
    <m/>
  </r>
  <r>
    <x v="0"/>
    <x v="10"/>
    <s v="set"/>
    <s v="All levels"/>
    <x v="3"/>
    <n v="120942"/>
    <m/>
    <n v="17890"/>
    <n v="103052"/>
    <m/>
    <m/>
    <m/>
    <m/>
    <m/>
    <m/>
    <m/>
    <m/>
    <m/>
    <x v="0"/>
    <x v="0"/>
    <n v="13"/>
    <x v="562"/>
    <m/>
  </r>
  <r>
    <x v="0"/>
    <x v="10"/>
    <s v="set"/>
    <s v="All levels"/>
    <x v="4"/>
    <n v="103052"/>
    <m/>
    <n v="17890"/>
    <n v="85162"/>
    <m/>
    <m/>
    <m/>
    <m/>
    <m/>
    <m/>
    <m/>
    <m/>
    <m/>
    <x v="0"/>
    <x v="0"/>
    <n v="13"/>
    <x v="563"/>
    <m/>
  </r>
  <r>
    <x v="0"/>
    <x v="10"/>
    <s v="set"/>
    <s v="All levels"/>
    <x v="5"/>
    <n v="85162"/>
    <m/>
    <n v="17890"/>
    <n v="67272"/>
    <m/>
    <m/>
    <m/>
    <m/>
    <m/>
    <m/>
    <m/>
    <m/>
    <m/>
    <x v="0"/>
    <x v="0"/>
    <n v="13"/>
    <x v="564"/>
    <m/>
  </r>
  <r>
    <x v="0"/>
    <x v="10"/>
    <s v="set"/>
    <s v="All levels"/>
    <x v="6"/>
    <n v="67272"/>
    <m/>
    <n v="17890"/>
    <n v="49382"/>
    <m/>
    <m/>
    <m/>
    <m/>
    <m/>
    <m/>
    <m/>
    <m/>
    <m/>
    <x v="0"/>
    <x v="0"/>
    <n v="13"/>
    <x v="565"/>
    <m/>
  </r>
  <r>
    <x v="0"/>
    <x v="10"/>
    <s v="set"/>
    <s v="All levels"/>
    <x v="7"/>
    <n v="49382"/>
    <m/>
    <n v="17890"/>
    <n v="130475"/>
    <s v="TBD"/>
    <s v="TBD"/>
    <s v="Planned"/>
    <n v="98983"/>
    <m/>
    <n v="1009627"/>
    <n v="46054"/>
    <m/>
    <m/>
    <x v="0"/>
    <x v="0"/>
    <n v="13"/>
    <x v="566"/>
    <m/>
  </r>
  <r>
    <x v="0"/>
    <x v="10"/>
    <s v="set"/>
    <s v="All levels"/>
    <x v="8"/>
    <n v="31492"/>
    <m/>
    <n v="17890"/>
    <n v="13602"/>
    <m/>
    <m/>
    <m/>
    <m/>
    <m/>
    <m/>
    <m/>
    <m/>
    <m/>
    <x v="0"/>
    <x v="0"/>
    <n v="13"/>
    <x v="567"/>
    <m/>
  </r>
  <r>
    <x v="0"/>
    <x v="10"/>
    <s v="set"/>
    <s v="All levels"/>
    <x v="9"/>
    <n v="13602"/>
    <m/>
    <n v="17890"/>
    <n v="0"/>
    <m/>
    <m/>
    <m/>
    <m/>
    <m/>
    <m/>
    <m/>
    <m/>
    <m/>
    <x v="0"/>
    <x v="0"/>
    <n v="13"/>
    <x v="96"/>
    <m/>
  </r>
  <r>
    <x v="0"/>
    <x v="10"/>
    <s v="set"/>
    <s v="All levels"/>
    <x v="10"/>
    <n v="0"/>
    <m/>
    <n v="17890"/>
    <n v="0"/>
    <m/>
    <m/>
    <m/>
    <m/>
    <m/>
    <m/>
    <m/>
    <m/>
    <m/>
    <x v="0"/>
    <x v="0"/>
    <n v="13"/>
    <x v="96"/>
    <m/>
  </r>
  <r>
    <x v="0"/>
    <x v="10"/>
    <s v="set"/>
    <s v="All levels"/>
    <x v="11"/>
    <n v="0"/>
    <m/>
    <n v="17890"/>
    <n v="0"/>
    <m/>
    <m/>
    <m/>
    <m/>
    <m/>
    <m/>
    <m/>
    <m/>
    <m/>
    <x v="0"/>
    <x v="0"/>
    <n v="13"/>
    <x v="96"/>
    <m/>
  </r>
  <r>
    <x v="1"/>
    <x v="10"/>
    <s v="set"/>
    <s v="All levels"/>
    <x v="12"/>
    <n v="68852"/>
    <m/>
    <n v="19069"/>
    <n v="49783"/>
    <m/>
    <m/>
    <m/>
    <m/>
    <m/>
    <m/>
    <m/>
    <m/>
    <m/>
    <x v="1"/>
    <x v="1"/>
    <n v="15"/>
    <x v="568"/>
    <m/>
  </r>
  <r>
    <x v="1"/>
    <x v="10"/>
    <s v="set"/>
    <s v="All levels"/>
    <x v="13"/>
    <n v="49783"/>
    <m/>
    <n v="19103"/>
    <n v="60704"/>
    <m/>
    <m/>
    <s v="Received"/>
    <n v="30024"/>
    <m/>
    <m/>
    <m/>
    <m/>
    <m/>
    <x v="1"/>
    <x v="1"/>
    <n v="15"/>
    <x v="569"/>
    <m/>
  </r>
  <r>
    <x v="1"/>
    <x v="10"/>
    <s v="set"/>
    <s v="All levels"/>
    <x v="14"/>
    <n v="60704"/>
    <m/>
    <n v="19137"/>
    <n v="41567"/>
    <m/>
    <m/>
    <m/>
    <m/>
    <m/>
    <m/>
    <m/>
    <m/>
    <m/>
    <x v="1"/>
    <x v="1"/>
    <n v="15"/>
    <x v="570"/>
    <m/>
  </r>
  <r>
    <x v="1"/>
    <x v="10"/>
    <s v="set"/>
    <s v="All levels"/>
    <x v="0"/>
    <n v="41567"/>
    <m/>
    <n v="19171"/>
    <n v="22396"/>
    <m/>
    <m/>
    <m/>
    <m/>
    <m/>
    <m/>
    <m/>
    <m/>
    <m/>
    <x v="1"/>
    <x v="1"/>
    <n v="15"/>
    <x v="571"/>
    <m/>
  </r>
  <r>
    <x v="1"/>
    <x v="10"/>
    <s v="set"/>
    <s v="All levels"/>
    <x v="1"/>
    <n v="22396"/>
    <m/>
    <n v="19205"/>
    <n v="3191"/>
    <m/>
    <m/>
    <m/>
    <m/>
    <m/>
    <m/>
    <m/>
    <m/>
    <m/>
    <x v="1"/>
    <x v="1"/>
    <n v="15"/>
    <x v="572"/>
    <m/>
  </r>
  <r>
    <x v="1"/>
    <x v="10"/>
    <s v="set"/>
    <s v="All levels"/>
    <x v="2"/>
    <n v="3191"/>
    <m/>
    <n v="19239"/>
    <n v="58976"/>
    <m/>
    <m/>
    <s v="Committed"/>
    <n v="75024"/>
    <m/>
    <m/>
    <m/>
    <m/>
    <m/>
    <x v="1"/>
    <x v="1"/>
    <n v="15"/>
    <x v="573"/>
    <m/>
  </r>
  <r>
    <x v="1"/>
    <x v="10"/>
    <s v="set"/>
    <s v="All levels"/>
    <x v="3"/>
    <n v="58976"/>
    <m/>
    <n v="19273"/>
    <n v="39703"/>
    <m/>
    <m/>
    <m/>
    <m/>
    <m/>
    <m/>
    <m/>
    <m/>
    <m/>
    <x v="1"/>
    <x v="1"/>
    <n v="15"/>
    <x v="574"/>
    <m/>
  </r>
  <r>
    <x v="1"/>
    <x v="10"/>
    <s v="set"/>
    <s v="All levels"/>
    <x v="4"/>
    <n v="39703"/>
    <m/>
    <n v="19307"/>
    <n v="178048"/>
    <m/>
    <m/>
    <s v="Planned"/>
    <n v="157652"/>
    <m/>
    <m/>
    <m/>
    <m/>
    <m/>
    <x v="1"/>
    <x v="1"/>
    <n v="15"/>
    <x v="575"/>
    <m/>
  </r>
  <r>
    <x v="1"/>
    <x v="10"/>
    <s v="set"/>
    <s v="All levels"/>
    <x v="5"/>
    <n v="178048"/>
    <m/>
    <n v="19340"/>
    <n v="158708"/>
    <m/>
    <m/>
    <m/>
    <m/>
    <m/>
    <m/>
    <m/>
    <m/>
    <m/>
    <x v="1"/>
    <x v="1"/>
    <n v="15"/>
    <x v="576"/>
    <m/>
  </r>
  <r>
    <x v="1"/>
    <x v="10"/>
    <s v="set"/>
    <s v="All levels"/>
    <x v="6"/>
    <n v="158708"/>
    <m/>
    <n v="19340"/>
    <n v="139368"/>
    <m/>
    <m/>
    <m/>
    <m/>
    <m/>
    <m/>
    <m/>
    <m/>
    <m/>
    <x v="1"/>
    <x v="1"/>
    <n v="15"/>
    <x v="577"/>
    <m/>
  </r>
  <r>
    <x v="1"/>
    <x v="10"/>
    <s v="set"/>
    <s v="All levels"/>
    <x v="7"/>
    <n v="139368"/>
    <m/>
    <n v="19340"/>
    <n v="290028"/>
    <m/>
    <m/>
    <s v="Planned"/>
    <n v="170000"/>
    <m/>
    <m/>
    <m/>
    <m/>
    <m/>
    <x v="1"/>
    <x v="1"/>
    <n v="15"/>
    <x v="578"/>
    <m/>
  </r>
  <r>
    <x v="1"/>
    <x v="10"/>
    <s v="set"/>
    <s v="All levels"/>
    <x v="8"/>
    <n v="290028"/>
    <m/>
    <n v="19340"/>
    <n v="270688"/>
    <m/>
    <m/>
    <m/>
    <m/>
    <m/>
    <m/>
    <m/>
    <m/>
    <m/>
    <x v="1"/>
    <x v="1"/>
    <n v="15"/>
    <x v="579"/>
    <m/>
  </r>
  <r>
    <x v="1"/>
    <x v="10"/>
    <s v="set"/>
    <s v="All levels"/>
    <x v="9"/>
    <n v="270688"/>
    <m/>
    <n v="19340"/>
    <n v="251348"/>
    <m/>
    <m/>
    <m/>
    <m/>
    <m/>
    <m/>
    <m/>
    <m/>
    <m/>
    <x v="1"/>
    <x v="1"/>
    <n v="15"/>
    <x v="580"/>
    <m/>
  </r>
  <r>
    <x v="1"/>
    <x v="10"/>
    <s v="set"/>
    <s v="All levels"/>
    <x v="10"/>
    <n v="251348"/>
    <m/>
    <n v="19340"/>
    <n v="232008"/>
    <m/>
    <m/>
    <m/>
    <m/>
    <m/>
    <m/>
    <m/>
    <m/>
    <m/>
    <x v="1"/>
    <x v="1"/>
    <n v="15"/>
    <x v="581"/>
    <m/>
  </r>
  <r>
    <x v="1"/>
    <x v="10"/>
    <s v="set"/>
    <s v="All levels"/>
    <x v="11"/>
    <n v="232008"/>
    <m/>
    <n v="19340"/>
    <n v="212668"/>
    <m/>
    <m/>
    <m/>
    <m/>
    <m/>
    <m/>
    <m/>
    <m/>
    <m/>
    <x v="1"/>
    <x v="1"/>
    <n v="15"/>
    <x v="582"/>
    <m/>
  </r>
  <r>
    <x v="1"/>
    <x v="10"/>
    <s v="set"/>
    <s v="All levels"/>
    <x v="15"/>
    <n v="212668"/>
    <m/>
    <n v="19340"/>
    <n v="193328"/>
    <m/>
    <m/>
    <m/>
    <m/>
    <m/>
    <m/>
    <m/>
    <m/>
    <m/>
    <x v="1"/>
    <x v="1"/>
    <n v="15"/>
    <x v="583"/>
    <m/>
  </r>
  <r>
    <x v="1"/>
    <x v="10"/>
    <s v="set"/>
    <s v="All levels"/>
    <x v="16"/>
    <n v="193328"/>
    <m/>
    <n v="19340"/>
    <n v="173988"/>
    <m/>
    <m/>
    <m/>
    <m/>
    <m/>
    <m/>
    <m/>
    <m/>
    <m/>
    <x v="1"/>
    <x v="1"/>
    <n v="15"/>
    <x v="584"/>
    <m/>
  </r>
  <r>
    <x v="1"/>
    <x v="10"/>
    <s v="set"/>
    <s v="All levels"/>
    <x v="17"/>
    <n v="173988"/>
    <m/>
    <n v="19340"/>
    <n v="154648"/>
    <m/>
    <m/>
    <m/>
    <m/>
    <m/>
    <m/>
    <m/>
    <m/>
    <m/>
    <x v="1"/>
    <x v="1"/>
    <n v="15"/>
    <x v="585"/>
    <m/>
  </r>
  <r>
    <x v="2"/>
    <x v="10"/>
    <s v="set"/>
    <s v="All levels"/>
    <x v="12"/>
    <n v="150800"/>
    <m/>
    <n v="17253"/>
    <n v="133547"/>
    <m/>
    <m/>
    <m/>
    <m/>
    <m/>
    <m/>
    <m/>
    <m/>
    <m/>
    <x v="2"/>
    <x v="2"/>
    <n v="6"/>
    <x v="586"/>
    <m/>
  </r>
  <r>
    <x v="2"/>
    <x v="10"/>
    <s v="set"/>
    <s v="All levels"/>
    <x v="13"/>
    <n v="133547"/>
    <m/>
    <n v="17253"/>
    <n v="116294"/>
    <m/>
    <m/>
    <m/>
    <m/>
    <m/>
    <m/>
    <m/>
    <m/>
    <m/>
    <x v="2"/>
    <x v="2"/>
    <n v="6"/>
    <x v="587"/>
    <m/>
  </r>
  <r>
    <x v="2"/>
    <x v="10"/>
    <s v="set"/>
    <s v="All levels"/>
    <x v="14"/>
    <n v="116294"/>
    <m/>
    <n v="17253"/>
    <n v="99041"/>
    <m/>
    <m/>
    <m/>
    <m/>
    <m/>
    <m/>
    <m/>
    <m/>
    <m/>
    <x v="2"/>
    <x v="2"/>
    <n v="6"/>
    <x v="588"/>
    <m/>
  </r>
  <r>
    <x v="2"/>
    <x v="10"/>
    <s v="set"/>
    <s v="All levels"/>
    <x v="0"/>
    <n v="99041"/>
    <m/>
    <n v="17253"/>
    <n v="81788"/>
    <m/>
    <m/>
    <m/>
    <m/>
    <m/>
    <m/>
    <m/>
    <m/>
    <m/>
    <x v="2"/>
    <x v="2"/>
    <n v="6"/>
    <x v="589"/>
    <m/>
  </r>
  <r>
    <x v="2"/>
    <x v="10"/>
    <s v="set"/>
    <s v="All levels"/>
    <x v="1"/>
    <n v="81788"/>
    <m/>
    <n v="17253"/>
    <n v="64535"/>
    <m/>
    <m/>
    <m/>
    <m/>
    <m/>
    <m/>
    <m/>
    <m/>
    <m/>
    <x v="2"/>
    <x v="2"/>
    <n v="6"/>
    <x v="590"/>
    <m/>
  </r>
  <r>
    <x v="2"/>
    <x v="10"/>
    <s v="set"/>
    <s v="All levels"/>
    <x v="2"/>
    <n v="64535"/>
    <m/>
    <n v="17253"/>
    <n v="47282"/>
    <m/>
    <m/>
    <m/>
    <m/>
    <m/>
    <m/>
    <m/>
    <m/>
    <m/>
    <x v="2"/>
    <x v="2"/>
    <n v="6"/>
    <x v="591"/>
    <m/>
  </r>
  <r>
    <x v="2"/>
    <x v="10"/>
    <s v="set"/>
    <s v="All levels"/>
    <x v="3"/>
    <n v="47282"/>
    <m/>
    <n v="17253"/>
    <n v="30029"/>
    <m/>
    <m/>
    <m/>
    <m/>
    <m/>
    <m/>
    <m/>
    <m/>
    <m/>
    <x v="2"/>
    <x v="2"/>
    <n v="6"/>
    <x v="592"/>
    <m/>
  </r>
  <r>
    <x v="2"/>
    <x v="10"/>
    <s v="set"/>
    <s v="All levels"/>
    <x v="4"/>
    <n v="30029"/>
    <m/>
    <n v="17253"/>
    <n v="12776"/>
    <m/>
    <m/>
    <m/>
    <m/>
    <m/>
    <m/>
    <m/>
    <m/>
    <m/>
    <x v="2"/>
    <x v="2"/>
    <n v="6"/>
    <x v="593"/>
    <m/>
  </r>
  <r>
    <x v="2"/>
    <x v="10"/>
    <s v="set"/>
    <s v="All levels"/>
    <x v="5"/>
    <n v="12776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6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7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8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9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0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1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5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6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7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8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9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20"/>
    <n v="0"/>
    <m/>
    <n v="17253"/>
    <n v="0"/>
    <m/>
    <m/>
    <m/>
    <m/>
    <m/>
    <m/>
    <m/>
    <m/>
    <m/>
    <x v="2"/>
    <x v="2"/>
    <n v="6"/>
    <x v="96"/>
    <m/>
  </r>
  <r>
    <x v="3"/>
    <x v="10"/>
    <s v="set"/>
    <s v="All levels"/>
    <x v="21"/>
    <n v="74423"/>
    <m/>
    <n v="14536"/>
    <n v="59887"/>
    <m/>
    <m/>
    <m/>
    <m/>
    <m/>
    <m/>
    <m/>
    <m/>
    <m/>
    <x v="3"/>
    <x v="3"/>
    <n v="12"/>
    <x v="594"/>
    <m/>
  </r>
  <r>
    <x v="3"/>
    <x v="10"/>
    <s v="set"/>
    <s v="All levels"/>
    <x v="22"/>
    <n v="59887"/>
    <m/>
    <n v="14536"/>
    <n v="45351"/>
    <m/>
    <m/>
    <m/>
    <m/>
    <m/>
    <m/>
    <m/>
    <m/>
    <m/>
    <x v="3"/>
    <x v="3"/>
    <n v="12"/>
    <x v="595"/>
    <m/>
  </r>
  <r>
    <x v="3"/>
    <x v="10"/>
    <s v="set"/>
    <s v="All levels"/>
    <x v="12"/>
    <n v="45351"/>
    <m/>
    <n v="14536"/>
    <n v="70815"/>
    <s v="UNFPA"/>
    <s v="UNFPA"/>
    <s v="Received"/>
    <n v="40000"/>
    <m/>
    <n v="380800"/>
    <s v="Ap 25"/>
    <m/>
    <m/>
    <x v="3"/>
    <x v="3"/>
    <n v="12"/>
    <x v="596"/>
    <m/>
  </r>
  <r>
    <x v="3"/>
    <x v="10"/>
    <s v="set"/>
    <s v="All levels"/>
    <x v="13"/>
    <n v="70815"/>
    <m/>
    <n v="14536"/>
    <n v="122015"/>
    <s v="UNFPA"/>
    <s v="UNFPA"/>
    <s v="Received"/>
    <n v="65736"/>
    <m/>
    <n v="625807"/>
    <s v="Ap 25"/>
    <m/>
    <m/>
    <x v="3"/>
    <x v="3"/>
    <n v="12"/>
    <x v="597"/>
    <m/>
  </r>
  <r>
    <x v="3"/>
    <x v="10"/>
    <s v="set"/>
    <s v="All levels"/>
    <x v="14"/>
    <n v="122015"/>
    <m/>
    <n v="14536"/>
    <n v="107479"/>
    <m/>
    <m/>
    <m/>
    <m/>
    <m/>
    <m/>
    <m/>
    <m/>
    <m/>
    <x v="3"/>
    <x v="3"/>
    <n v="12"/>
    <x v="598"/>
    <m/>
  </r>
  <r>
    <x v="3"/>
    <x v="10"/>
    <s v="set"/>
    <s v="All levels"/>
    <x v="0"/>
    <n v="107479"/>
    <m/>
    <n v="14536"/>
    <n v="92943"/>
    <m/>
    <m/>
    <m/>
    <m/>
    <m/>
    <m/>
    <m/>
    <m/>
    <m/>
    <x v="3"/>
    <x v="3"/>
    <n v="12"/>
    <x v="599"/>
    <m/>
  </r>
  <r>
    <x v="3"/>
    <x v="10"/>
    <s v="set"/>
    <s v="All levels"/>
    <x v="1"/>
    <n v="92943"/>
    <m/>
    <n v="14536"/>
    <n v="78407"/>
    <m/>
    <m/>
    <m/>
    <m/>
    <m/>
    <m/>
    <m/>
    <m/>
    <m/>
    <x v="3"/>
    <x v="3"/>
    <n v="12"/>
    <x v="600"/>
    <m/>
  </r>
  <r>
    <x v="3"/>
    <x v="10"/>
    <s v="set"/>
    <s v="All levels"/>
    <x v="2"/>
    <n v="78407"/>
    <m/>
    <n v="14536"/>
    <n v="86903"/>
    <s v="UNFPA"/>
    <s v="UNFPA"/>
    <s v="Committed"/>
    <n v="23032"/>
    <m/>
    <n v="219265"/>
    <n v="45901"/>
    <m/>
    <m/>
    <x v="3"/>
    <x v="3"/>
    <n v="12"/>
    <x v="601"/>
    <m/>
  </r>
  <r>
    <x v="3"/>
    <x v="10"/>
    <s v="set"/>
    <s v="All levels"/>
    <x v="3"/>
    <n v="86903"/>
    <m/>
    <n v="14536"/>
    <n v="72367"/>
    <m/>
    <m/>
    <m/>
    <m/>
    <m/>
    <m/>
    <m/>
    <m/>
    <m/>
    <x v="3"/>
    <x v="3"/>
    <n v="12"/>
    <x v="602"/>
    <m/>
  </r>
  <r>
    <x v="3"/>
    <x v="10"/>
    <s v="set"/>
    <s v="All levels"/>
    <x v="4"/>
    <n v="72367"/>
    <m/>
    <n v="14536"/>
    <n v="57831"/>
    <m/>
    <m/>
    <m/>
    <m/>
    <m/>
    <m/>
    <m/>
    <m/>
    <m/>
    <x v="3"/>
    <x v="3"/>
    <n v="12"/>
    <x v="603"/>
    <m/>
  </r>
  <r>
    <x v="3"/>
    <x v="10"/>
    <s v="set"/>
    <s v="All levels"/>
    <x v="5"/>
    <n v="57831"/>
    <m/>
    <n v="14536"/>
    <n v="241467"/>
    <s v="TBD"/>
    <s v="TBD"/>
    <s v="Planned"/>
    <n v="198172"/>
    <m/>
    <n v="1886597"/>
    <n v="45992"/>
    <m/>
    <m/>
    <x v="3"/>
    <x v="3"/>
    <n v="12"/>
    <x v="604"/>
    <m/>
  </r>
  <r>
    <x v="3"/>
    <x v="10"/>
    <s v="set"/>
    <s v="All levels"/>
    <x v="6"/>
    <n v="241467"/>
    <m/>
    <n v="14536"/>
    <n v="330805"/>
    <s v="TBD"/>
    <s v="TBD"/>
    <s v="Planned"/>
    <n v="103874"/>
    <m/>
    <n v="988880"/>
    <n v="46023"/>
    <m/>
    <m/>
    <x v="3"/>
    <x v="3"/>
    <n v="12"/>
    <x v="605"/>
    <m/>
  </r>
  <r>
    <x v="3"/>
    <x v="10"/>
    <s v="set"/>
    <s v="All levels"/>
    <x v="7"/>
    <n v="330805"/>
    <m/>
    <n v="14536"/>
    <n v="316269"/>
    <m/>
    <m/>
    <m/>
    <m/>
    <m/>
    <m/>
    <m/>
    <m/>
    <m/>
    <x v="3"/>
    <x v="3"/>
    <n v="12"/>
    <x v="606"/>
    <m/>
  </r>
  <r>
    <x v="3"/>
    <x v="10"/>
    <s v="set"/>
    <s v="All levels"/>
    <x v="8"/>
    <n v="316269"/>
    <m/>
    <n v="14536"/>
    <n v="301733"/>
    <m/>
    <m/>
    <m/>
    <m/>
    <m/>
    <m/>
    <m/>
    <m/>
    <m/>
    <x v="3"/>
    <x v="3"/>
    <n v="12"/>
    <x v="607"/>
    <m/>
  </r>
  <r>
    <x v="3"/>
    <x v="10"/>
    <s v="set"/>
    <s v="All levels"/>
    <x v="9"/>
    <n v="301733"/>
    <m/>
    <n v="14536"/>
    <n v="287197"/>
    <m/>
    <m/>
    <m/>
    <m/>
    <m/>
    <m/>
    <m/>
    <m/>
    <m/>
    <x v="3"/>
    <x v="3"/>
    <n v="12"/>
    <x v="608"/>
    <m/>
  </r>
  <r>
    <x v="3"/>
    <x v="10"/>
    <s v="set"/>
    <s v="All levels"/>
    <x v="10"/>
    <n v="287197"/>
    <m/>
    <n v="14536"/>
    <n v="272661"/>
    <m/>
    <m/>
    <m/>
    <m/>
    <m/>
    <m/>
    <m/>
    <m/>
    <m/>
    <x v="3"/>
    <x v="3"/>
    <n v="12"/>
    <x v="609"/>
    <m/>
  </r>
  <r>
    <x v="3"/>
    <x v="10"/>
    <s v="set"/>
    <s v="All levels"/>
    <x v="11"/>
    <n v="272661"/>
    <m/>
    <n v="14536"/>
    <n v="258125"/>
    <m/>
    <m/>
    <m/>
    <m/>
    <m/>
    <m/>
    <m/>
    <m/>
    <m/>
    <x v="3"/>
    <x v="3"/>
    <n v="12"/>
    <x v="610"/>
    <m/>
  </r>
  <r>
    <x v="3"/>
    <x v="10"/>
    <s v="set"/>
    <s v="All levels"/>
    <x v="15"/>
    <n v="258125"/>
    <m/>
    <n v="14536"/>
    <n v="243589"/>
    <m/>
    <m/>
    <m/>
    <m/>
    <m/>
    <m/>
    <m/>
    <m/>
    <m/>
    <x v="3"/>
    <x v="3"/>
    <n v="12"/>
    <x v="611"/>
    <m/>
  </r>
  <r>
    <x v="3"/>
    <x v="10"/>
    <s v="set"/>
    <s v="All levels"/>
    <x v="16"/>
    <n v="243589"/>
    <m/>
    <n v="14536"/>
    <n v="229053"/>
    <m/>
    <m/>
    <m/>
    <m/>
    <m/>
    <m/>
    <m/>
    <m/>
    <m/>
    <x v="3"/>
    <x v="3"/>
    <n v="12"/>
    <x v="612"/>
    <m/>
  </r>
  <r>
    <x v="3"/>
    <x v="10"/>
    <s v="set"/>
    <s v="All levels"/>
    <x v="17"/>
    <n v="229053"/>
    <m/>
    <n v="14536"/>
    <n v="214517"/>
    <m/>
    <m/>
    <m/>
    <m/>
    <m/>
    <m/>
    <m/>
    <m/>
    <m/>
    <x v="3"/>
    <x v="3"/>
    <n v="12"/>
    <x v="613"/>
    <m/>
  </r>
  <r>
    <x v="3"/>
    <x v="10"/>
    <s v="set"/>
    <s v="All levels"/>
    <x v="18"/>
    <n v="214517"/>
    <m/>
    <n v="14536"/>
    <n v="199981"/>
    <m/>
    <m/>
    <m/>
    <m/>
    <m/>
    <m/>
    <m/>
    <m/>
    <m/>
    <x v="3"/>
    <x v="3"/>
    <n v="12"/>
    <x v="614"/>
    <m/>
  </r>
  <r>
    <x v="3"/>
    <x v="10"/>
    <s v="set"/>
    <s v="All levels"/>
    <x v="19"/>
    <n v="199981"/>
    <m/>
    <n v="14536"/>
    <n v="185445"/>
    <m/>
    <m/>
    <m/>
    <m/>
    <m/>
    <m/>
    <m/>
    <m/>
    <m/>
    <x v="3"/>
    <x v="3"/>
    <n v="12"/>
    <x v="615"/>
    <m/>
  </r>
  <r>
    <x v="3"/>
    <x v="10"/>
    <s v="set"/>
    <s v="All levels"/>
    <x v="20"/>
    <n v="185445"/>
    <m/>
    <n v="14536"/>
    <n v="268251"/>
    <s v="TBD"/>
    <s v="TBD"/>
    <s v="Planned"/>
    <n v="97342"/>
    <m/>
    <n v="926268"/>
    <n v="46357"/>
    <m/>
    <m/>
    <x v="3"/>
    <x v="3"/>
    <n v="12"/>
    <x v="616"/>
    <m/>
  </r>
  <r>
    <x v="4"/>
    <x v="10"/>
    <s v="set"/>
    <s v="All levels"/>
    <x v="0"/>
    <n v="455606"/>
    <m/>
    <n v="180673"/>
    <n v="274933"/>
    <m/>
    <m/>
    <m/>
    <m/>
    <m/>
    <m/>
    <m/>
    <m/>
    <m/>
    <x v="3"/>
    <x v="3"/>
    <n v="12"/>
    <x v="617"/>
    <m/>
  </r>
  <r>
    <x v="4"/>
    <x v="10"/>
    <s v="set"/>
    <s v="All levels"/>
    <x v="1"/>
    <n v="274933"/>
    <m/>
    <n v="180673"/>
    <n v="240132"/>
    <s v="UNFPA"/>
    <s v="UNFPA"/>
    <s v="Expected Deliveries"/>
    <n v="145872"/>
    <m/>
    <m/>
    <m/>
    <m/>
    <m/>
    <x v="3"/>
    <x v="3"/>
    <n v="12"/>
    <x v="618"/>
    <m/>
  </r>
  <r>
    <x v="4"/>
    <x v="10"/>
    <s v="set"/>
    <s v="All levels"/>
    <x v="2"/>
    <n v="240132"/>
    <m/>
    <n v="180673"/>
    <n v="59459"/>
    <m/>
    <m/>
    <m/>
    <m/>
    <m/>
    <m/>
    <m/>
    <m/>
    <m/>
    <x v="3"/>
    <x v="3"/>
    <n v="12"/>
    <x v="619"/>
    <m/>
  </r>
  <r>
    <x v="4"/>
    <x v="10"/>
    <s v="set"/>
    <s v="All levels"/>
    <x v="3"/>
    <n v="59459"/>
    <m/>
    <n v="180673"/>
    <n v="72610"/>
    <s v="UNFPA"/>
    <s v="UNFPA"/>
    <s v="Placed"/>
    <n v="193824"/>
    <m/>
    <m/>
    <m/>
    <m/>
    <m/>
    <x v="3"/>
    <x v="3"/>
    <n v="12"/>
    <x v="620"/>
    <m/>
  </r>
  <r>
    <x v="4"/>
    <x v="10"/>
    <s v="set"/>
    <s v="All levels"/>
    <x v="4"/>
    <n v="7261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5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6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7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8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9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10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11"/>
    <n v="0"/>
    <m/>
    <n v="180673"/>
    <n v="0"/>
    <m/>
    <m/>
    <m/>
    <m/>
    <m/>
    <m/>
    <m/>
    <m/>
    <m/>
    <x v="3"/>
    <x v="3"/>
    <n v="12"/>
    <x v="96"/>
    <m/>
  </r>
  <r>
    <x v="5"/>
    <x v="10"/>
    <s v="set"/>
    <s v="All levels"/>
    <x v="1"/>
    <n v="256580"/>
    <m/>
    <n v="10000"/>
    <n v="287332"/>
    <s v="UNFPA"/>
    <s v="UNFPA"/>
    <s v="Committed"/>
    <n v="40752"/>
    <m/>
    <m/>
    <m/>
    <m/>
    <m/>
    <x v="2"/>
    <x v="2"/>
    <n v="6"/>
    <x v="621"/>
    <m/>
  </r>
  <r>
    <x v="5"/>
    <x v="10"/>
    <s v="set"/>
    <s v="All levels"/>
    <x v="2"/>
    <n v="287332"/>
    <m/>
    <n v="10000"/>
    <n v="277332"/>
    <m/>
    <m/>
    <m/>
    <m/>
    <m/>
    <m/>
    <m/>
    <m/>
    <m/>
    <x v="2"/>
    <x v="2"/>
    <n v="6"/>
    <x v="622"/>
    <m/>
  </r>
  <r>
    <x v="5"/>
    <x v="10"/>
    <s v="set"/>
    <s v="All levels"/>
    <x v="3"/>
    <n v="277332"/>
    <m/>
    <n v="10000"/>
    <n v="300164"/>
    <s v="UNFPA"/>
    <s v="UNFPA"/>
    <s v="Committed"/>
    <n v="32832"/>
    <m/>
    <m/>
    <m/>
    <m/>
    <m/>
    <x v="2"/>
    <x v="2"/>
    <n v="6"/>
    <x v="623"/>
    <m/>
  </r>
  <r>
    <x v="5"/>
    <x v="10"/>
    <s v="set"/>
    <s v="All levels"/>
    <x v="4"/>
    <n v="300164"/>
    <m/>
    <n v="10000"/>
    <n v="290164"/>
    <m/>
    <m/>
    <m/>
    <m/>
    <m/>
    <m/>
    <m/>
    <m/>
    <m/>
    <x v="2"/>
    <x v="2"/>
    <n v="6"/>
    <x v="624"/>
    <m/>
  </r>
  <r>
    <x v="5"/>
    <x v="10"/>
    <s v="set"/>
    <s v="All levels"/>
    <x v="5"/>
    <n v="290164"/>
    <m/>
    <n v="10000"/>
    <n v="280164"/>
    <m/>
    <m/>
    <m/>
    <m/>
    <m/>
    <m/>
    <m/>
    <m/>
    <m/>
    <x v="2"/>
    <x v="2"/>
    <n v="6"/>
    <x v="625"/>
    <m/>
  </r>
  <r>
    <x v="5"/>
    <x v="10"/>
    <s v="set"/>
    <s v="All levels"/>
    <x v="6"/>
    <n v="280164"/>
    <m/>
    <n v="24987"/>
    <n v="255177"/>
    <m/>
    <m/>
    <m/>
    <m/>
    <m/>
    <m/>
    <m/>
    <m/>
    <m/>
    <x v="2"/>
    <x v="2"/>
    <n v="6"/>
    <x v="626"/>
    <m/>
  </r>
  <r>
    <x v="5"/>
    <x v="10"/>
    <s v="set"/>
    <s v="All levels"/>
    <x v="7"/>
    <n v="255177"/>
    <m/>
    <n v="25003"/>
    <n v="230174"/>
    <m/>
    <m/>
    <m/>
    <m/>
    <m/>
    <m/>
    <m/>
    <m/>
    <m/>
    <x v="2"/>
    <x v="2"/>
    <n v="6"/>
    <x v="627"/>
    <m/>
  </r>
  <r>
    <x v="5"/>
    <x v="10"/>
    <s v="set"/>
    <s v="All levels"/>
    <x v="8"/>
    <n v="230174"/>
    <m/>
    <n v="11000"/>
    <n v="219174"/>
    <m/>
    <m/>
    <m/>
    <m/>
    <m/>
    <m/>
    <m/>
    <m/>
    <m/>
    <x v="2"/>
    <x v="2"/>
    <n v="6"/>
    <x v="628"/>
    <m/>
  </r>
  <r>
    <x v="5"/>
    <x v="10"/>
    <s v="set"/>
    <s v="All levels"/>
    <x v="9"/>
    <n v="219174"/>
    <m/>
    <n v="11000"/>
    <n v="208174"/>
    <m/>
    <m/>
    <m/>
    <m/>
    <m/>
    <m/>
    <m/>
    <m/>
    <m/>
    <x v="2"/>
    <x v="2"/>
    <n v="6"/>
    <x v="629"/>
    <m/>
  </r>
  <r>
    <x v="5"/>
    <x v="10"/>
    <s v="set"/>
    <s v="All levels"/>
    <x v="10"/>
    <n v="208174"/>
    <m/>
    <n v="11000"/>
    <n v="197174"/>
    <m/>
    <m/>
    <m/>
    <m/>
    <m/>
    <m/>
    <m/>
    <m/>
    <m/>
    <x v="2"/>
    <x v="2"/>
    <n v="6"/>
    <x v="630"/>
    <m/>
  </r>
  <r>
    <x v="5"/>
    <x v="10"/>
    <s v="set"/>
    <s v="All levels"/>
    <x v="11"/>
    <n v="197174"/>
    <m/>
    <n v="11000"/>
    <n v="186174"/>
    <m/>
    <m/>
    <m/>
    <m/>
    <m/>
    <m/>
    <m/>
    <m/>
    <m/>
    <x v="2"/>
    <x v="2"/>
    <n v="6"/>
    <x v="631"/>
    <m/>
  </r>
  <r>
    <x v="5"/>
    <x v="10"/>
    <s v="set"/>
    <s v="All levels"/>
    <x v="15"/>
    <n v="186174"/>
    <m/>
    <n v="11000"/>
    <n v="175174"/>
    <m/>
    <m/>
    <m/>
    <m/>
    <m/>
    <m/>
    <m/>
    <m/>
    <m/>
    <x v="2"/>
    <x v="2"/>
    <n v="6"/>
    <x v="632"/>
    <m/>
  </r>
  <r>
    <x v="5"/>
    <x v="10"/>
    <s v="set"/>
    <s v="All levels"/>
    <x v="16"/>
    <n v="175174"/>
    <m/>
    <n v="11000"/>
    <n v="164174"/>
    <m/>
    <m/>
    <m/>
    <m/>
    <m/>
    <m/>
    <m/>
    <m/>
    <m/>
    <x v="2"/>
    <x v="2"/>
    <n v="6"/>
    <x v="633"/>
    <m/>
  </r>
  <r>
    <x v="0"/>
    <x v="11"/>
    <s v="set"/>
    <s v="All levels"/>
    <x v="0"/>
    <n v="72151"/>
    <m/>
    <n v="7774"/>
    <n v="64377"/>
    <m/>
    <m/>
    <m/>
    <m/>
    <m/>
    <m/>
    <m/>
    <m/>
    <m/>
    <x v="0"/>
    <x v="0"/>
    <n v="13"/>
    <x v="634"/>
    <m/>
  </r>
  <r>
    <x v="0"/>
    <x v="11"/>
    <s v="set"/>
    <s v="All levels"/>
    <x v="1"/>
    <n v="64377"/>
    <m/>
    <n v="7774"/>
    <n v="97837"/>
    <s v="TBD"/>
    <s v="TBD"/>
    <s v="Planned"/>
    <n v="41234"/>
    <m/>
    <n v="420587"/>
    <n v="45870"/>
    <m/>
    <m/>
    <x v="0"/>
    <x v="0"/>
    <n v="13"/>
    <x v="635"/>
    <m/>
  </r>
  <r>
    <x v="0"/>
    <x v="11"/>
    <s v="set"/>
    <s v="All levels"/>
    <x v="2"/>
    <n v="97837"/>
    <m/>
    <n v="7774"/>
    <n v="90063"/>
    <m/>
    <m/>
    <m/>
    <m/>
    <m/>
    <m/>
    <m/>
    <m/>
    <m/>
    <x v="0"/>
    <x v="0"/>
    <n v="13"/>
    <x v="636"/>
    <m/>
  </r>
  <r>
    <x v="0"/>
    <x v="11"/>
    <s v="set"/>
    <s v="All levels"/>
    <x v="3"/>
    <n v="90063"/>
    <m/>
    <n v="7774"/>
    <n v="82289"/>
    <m/>
    <m/>
    <m/>
    <m/>
    <m/>
    <m/>
    <m/>
    <m/>
    <m/>
    <x v="0"/>
    <x v="0"/>
    <n v="13"/>
    <x v="637"/>
    <m/>
  </r>
  <r>
    <x v="0"/>
    <x v="11"/>
    <s v="set"/>
    <s v="All levels"/>
    <x v="4"/>
    <n v="82289"/>
    <m/>
    <n v="7774"/>
    <n v="74515"/>
    <m/>
    <m/>
    <m/>
    <m/>
    <m/>
    <m/>
    <m/>
    <m/>
    <m/>
    <x v="0"/>
    <x v="0"/>
    <n v="13"/>
    <x v="638"/>
    <m/>
  </r>
  <r>
    <x v="0"/>
    <x v="11"/>
    <s v="set"/>
    <s v="All levels"/>
    <x v="5"/>
    <n v="74515"/>
    <m/>
    <n v="7774"/>
    <n v="66741"/>
    <m/>
    <m/>
    <m/>
    <m/>
    <m/>
    <m/>
    <m/>
    <m/>
    <m/>
    <x v="0"/>
    <x v="0"/>
    <n v="13"/>
    <x v="639"/>
    <m/>
  </r>
  <r>
    <x v="0"/>
    <x v="11"/>
    <s v="set"/>
    <s v="All levels"/>
    <x v="6"/>
    <n v="66741"/>
    <m/>
    <n v="7774"/>
    <n v="98720"/>
    <s v="TBD"/>
    <s v="TBD"/>
    <s v="Planned"/>
    <n v="39753"/>
    <m/>
    <n v="405481"/>
    <n v="46023"/>
    <m/>
    <m/>
    <x v="0"/>
    <x v="0"/>
    <n v="13"/>
    <x v="640"/>
    <m/>
  </r>
  <r>
    <x v="0"/>
    <x v="11"/>
    <s v="set"/>
    <s v="All levels"/>
    <x v="7"/>
    <n v="98720"/>
    <m/>
    <n v="7774"/>
    <n v="90946"/>
    <m/>
    <m/>
    <m/>
    <m/>
    <m/>
    <m/>
    <m/>
    <m/>
    <m/>
    <x v="0"/>
    <x v="0"/>
    <n v="13"/>
    <x v="641"/>
    <m/>
  </r>
  <r>
    <x v="0"/>
    <x v="11"/>
    <s v="set"/>
    <s v="All levels"/>
    <x v="8"/>
    <n v="90946"/>
    <m/>
    <n v="7774"/>
    <n v="83172"/>
    <m/>
    <m/>
    <m/>
    <m/>
    <m/>
    <m/>
    <m/>
    <m/>
    <m/>
    <x v="0"/>
    <x v="0"/>
    <n v="13"/>
    <x v="642"/>
    <m/>
  </r>
  <r>
    <x v="0"/>
    <x v="11"/>
    <s v="set"/>
    <s v="All levels"/>
    <x v="9"/>
    <n v="83172"/>
    <m/>
    <n v="7774"/>
    <n v="75398"/>
    <m/>
    <m/>
    <m/>
    <m/>
    <m/>
    <m/>
    <m/>
    <m/>
    <m/>
    <x v="0"/>
    <x v="0"/>
    <n v="13"/>
    <x v="643"/>
    <m/>
  </r>
  <r>
    <x v="0"/>
    <x v="11"/>
    <s v="set"/>
    <s v="All levels"/>
    <x v="10"/>
    <n v="75398"/>
    <m/>
    <n v="7774"/>
    <n v="67624"/>
    <m/>
    <m/>
    <m/>
    <m/>
    <m/>
    <m/>
    <m/>
    <m/>
    <m/>
    <x v="0"/>
    <x v="0"/>
    <n v="13"/>
    <x v="644"/>
    <m/>
  </r>
  <r>
    <x v="0"/>
    <x v="11"/>
    <s v="set"/>
    <s v="All levels"/>
    <x v="11"/>
    <n v="67624"/>
    <m/>
    <n v="7774"/>
    <n v="99966"/>
    <s v="TBD"/>
    <s v="TBD"/>
    <s v="Planned"/>
    <n v="40116"/>
    <m/>
    <n v="409183"/>
    <n v="46174"/>
    <m/>
    <m/>
    <x v="0"/>
    <x v="0"/>
    <n v="13"/>
    <x v="645"/>
    <m/>
  </r>
  <r>
    <x v="1"/>
    <x v="11"/>
    <s v="set"/>
    <s v="All levels"/>
    <x v="12"/>
    <n v="85486"/>
    <m/>
    <n v="24678"/>
    <n v="60808"/>
    <m/>
    <m/>
    <m/>
    <m/>
    <m/>
    <m/>
    <m/>
    <m/>
    <m/>
    <x v="1"/>
    <x v="1"/>
    <n v="15"/>
    <x v="646"/>
    <m/>
  </r>
  <r>
    <x v="1"/>
    <x v="11"/>
    <s v="set"/>
    <s v="All levels"/>
    <x v="13"/>
    <n v="60808"/>
    <m/>
    <n v="24722"/>
    <n v="36086"/>
    <m/>
    <m/>
    <m/>
    <m/>
    <m/>
    <m/>
    <m/>
    <m/>
    <m/>
    <x v="1"/>
    <x v="1"/>
    <n v="15"/>
    <x v="647"/>
    <m/>
  </r>
  <r>
    <x v="1"/>
    <x v="11"/>
    <s v="set"/>
    <s v="All levels"/>
    <x v="14"/>
    <n v="36086"/>
    <m/>
    <n v="24766"/>
    <n v="66320"/>
    <m/>
    <m/>
    <s v="Expected Deliveries"/>
    <n v="55000"/>
    <m/>
    <m/>
    <m/>
    <m/>
    <m/>
    <x v="1"/>
    <x v="1"/>
    <n v="15"/>
    <x v="648"/>
    <m/>
  </r>
  <r>
    <x v="1"/>
    <x v="11"/>
    <s v="set"/>
    <s v="All levels"/>
    <x v="0"/>
    <n v="66320"/>
    <m/>
    <n v="24810"/>
    <n v="41510"/>
    <m/>
    <m/>
    <m/>
    <m/>
    <m/>
    <m/>
    <m/>
    <m/>
    <m/>
    <x v="1"/>
    <x v="1"/>
    <n v="15"/>
    <x v="649"/>
    <m/>
  </r>
  <r>
    <x v="1"/>
    <x v="11"/>
    <s v="set"/>
    <s v="All levels"/>
    <x v="1"/>
    <n v="41510"/>
    <m/>
    <n v="24853"/>
    <n v="16657"/>
    <m/>
    <m/>
    <m/>
    <m/>
    <m/>
    <m/>
    <m/>
    <m/>
    <m/>
    <x v="1"/>
    <x v="1"/>
    <n v="15"/>
    <x v="650"/>
    <m/>
  </r>
  <r>
    <x v="1"/>
    <x v="11"/>
    <s v="set"/>
    <s v="All levels"/>
    <x v="2"/>
    <n v="16657"/>
    <m/>
    <n v="24897"/>
    <n v="114548"/>
    <m/>
    <m/>
    <s v="Committed"/>
    <n v="122788"/>
    <m/>
    <m/>
    <m/>
    <m/>
    <m/>
    <x v="1"/>
    <x v="1"/>
    <n v="15"/>
    <x v="651"/>
    <m/>
  </r>
  <r>
    <x v="1"/>
    <x v="11"/>
    <s v="set"/>
    <s v="All levels"/>
    <x v="3"/>
    <n v="114548"/>
    <m/>
    <n v="24941"/>
    <n v="89607"/>
    <m/>
    <m/>
    <m/>
    <m/>
    <m/>
    <m/>
    <m/>
    <m/>
    <m/>
    <x v="1"/>
    <x v="1"/>
    <n v="15"/>
    <x v="652"/>
    <m/>
  </r>
  <r>
    <x v="1"/>
    <x v="11"/>
    <s v="set"/>
    <s v="All levels"/>
    <x v="4"/>
    <n v="89607"/>
    <m/>
    <n v="24985"/>
    <n v="374059"/>
    <m/>
    <m/>
    <s v="Planned"/>
    <n v="309437"/>
    <m/>
    <m/>
    <m/>
    <m/>
    <m/>
    <x v="1"/>
    <x v="1"/>
    <n v="15"/>
    <x v="653"/>
    <m/>
  </r>
  <r>
    <x v="1"/>
    <x v="11"/>
    <s v="set"/>
    <s v="All levels"/>
    <x v="5"/>
    <n v="374059"/>
    <m/>
    <n v="25029"/>
    <n v="349030"/>
    <m/>
    <m/>
    <m/>
    <m/>
    <m/>
    <m/>
    <m/>
    <m/>
    <m/>
    <x v="1"/>
    <x v="1"/>
    <n v="15"/>
    <x v="654"/>
    <m/>
  </r>
  <r>
    <x v="1"/>
    <x v="11"/>
    <s v="set"/>
    <s v="All levels"/>
    <x v="6"/>
    <n v="349030"/>
    <m/>
    <n v="25029"/>
    <n v="324001"/>
    <m/>
    <m/>
    <m/>
    <m/>
    <m/>
    <m/>
    <m/>
    <m/>
    <m/>
    <x v="1"/>
    <x v="1"/>
    <n v="15"/>
    <x v="655"/>
    <m/>
  </r>
  <r>
    <x v="1"/>
    <x v="11"/>
    <s v="set"/>
    <s v="All levels"/>
    <x v="7"/>
    <n v="324001"/>
    <m/>
    <n v="25029"/>
    <n v="298972"/>
    <m/>
    <m/>
    <m/>
    <m/>
    <m/>
    <m/>
    <m/>
    <m/>
    <m/>
    <x v="1"/>
    <x v="1"/>
    <n v="15"/>
    <x v="656"/>
    <m/>
  </r>
  <r>
    <x v="1"/>
    <x v="11"/>
    <s v="set"/>
    <s v="All levels"/>
    <x v="8"/>
    <n v="298972"/>
    <m/>
    <n v="25029"/>
    <n v="425043"/>
    <m/>
    <m/>
    <s v="Planned"/>
    <n v="151100"/>
    <m/>
    <m/>
    <m/>
    <m/>
    <m/>
    <x v="1"/>
    <x v="1"/>
    <n v="15"/>
    <x v="657"/>
    <m/>
  </r>
  <r>
    <x v="1"/>
    <x v="11"/>
    <s v="set"/>
    <s v="All levels"/>
    <x v="9"/>
    <n v="425043"/>
    <m/>
    <n v="25029"/>
    <n v="400014"/>
    <m/>
    <m/>
    <m/>
    <m/>
    <m/>
    <m/>
    <m/>
    <m/>
    <m/>
    <x v="1"/>
    <x v="1"/>
    <n v="15"/>
    <x v="658"/>
    <m/>
  </r>
  <r>
    <x v="1"/>
    <x v="11"/>
    <s v="set"/>
    <s v="All levels"/>
    <x v="10"/>
    <n v="400014"/>
    <m/>
    <n v="25029"/>
    <n v="374985"/>
    <m/>
    <m/>
    <m/>
    <m/>
    <m/>
    <m/>
    <m/>
    <m/>
    <m/>
    <x v="1"/>
    <x v="1"/>
    <n v="15"/>
    <x v="659"/>
    <m/>
  </r>
  <r>
    <x v="1"/>
    <x v="11"/>
    <s v="set"/>
    <s v="All levels"/>
    <x v="11"/>
    <n v="374985"/>
    <m/>
    <n v="25029"/>
    <n v="349956"/>
    <m/>
    <m/>
    <m/>
    <m/>
    <m/>
    <m/>
    <m/>
    <m/>
    <m/>
    <x v="1"/>
    <x v="1"/>
    <n v="15"/>
    <x v="660"/>
    <m/>
  </r>
  <r>
    <x v="1"/>
    <x v="11"/>
    <s v="set"/>
    <s v="All levels"/>
    <x v="15"/>
    <n v="349956"/>
    <m/>
    <n v="25029"/>
    <n v="324927"/>
    <m/>
    <m/>
    <m/>
    <m/>
    <m/>
    <m/>
    <m/>
    <m/>
    <m/>
    <x v="1"/>
    <x v="1"/>
    <n v="15"/>
    <x v="661"/>
    <m/>
  </r>
  <r>
    <x v="1"/>
    <x v="11"/>
    <s v="set"/>
    <s v="All levels"/>
    <x v="16"/>
    <n v="324927"/>
    <m/>
    <n v="25029"/>
    <n v="299898"/>
    <m/>
    <m/>
    <m/>
    <m/>
    <m/>
    <m/>
    <m/>
    <m/>
    <m/>
    <x v="1"/>
    <x v="1"/>
    <n v="15"/>
    <x v="662"/>
    <m/>
  </r>
  <r>
    <x v="1"/>
    <x v="11"/>
    <s v="set"/>
    <s v="All levels"/>
    <x v="17"/>
    <n v="299898"/>
    <m/>
    <n v="25029"/>
    <n v="274869"/>
    <m/>
    <m/>
    <m/>
    <m/>
    <m/>
    <m/>
    <m/>
    <m/>
    <m/>
    <x v="1"/>
    <x v="1"/>
    <n v="15"/>
    <x v="663"/>
    <m/>
  </r>
  <r>
    <x v="2"/>
    <x v="11"/>
    <m/>
    <s v="All levels"/>
    <x v="12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13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14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0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1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2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3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4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5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6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7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8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9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0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1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5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6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7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8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9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20"/>
    <m/>
    <m/>
    <n v="9115"/>
    <n v="0"/>
    <m/>
    <m/>
    <m/>
    <m/>
    <m/>
    <m/>
    <m/>
    <m/>
    <m/>
    <x v="2"/>
    <x v="2"/>
    <n v="6"/>
    <x v="96"/>
    <m/>
  </r>
  <r>
    <x v="3"/>
    <x v="11"/>
    <m/>
    <s v="All levels"/>
    <x v="21"/>
    <n v="77320"/>
    <m/>
    <n v="14621"/>
    <n v="97699"/>
    <s v="UNFPA"/>
    <s v="UNFPA"/>
    <s v="Received"/>
    <n v="35000"/>
    <m/>
    <n v="327250"/>
    <n v="45689"/>
    <m/>
    <m/>
    <x v="3"/>
    <x v="3"/>
    <n v="12"/>
    <x v="664"/>
    <m/>
  </r>
  <r>
    <x v="3"/>
    <x v="11"/>
    <m/>
    <s v="All levels"/>
    <x v="22"/>
    <n v="97699"/>
    <m/>
    <n v="14621"/>
    <n v="129278"/>
    <s v="UNFPA"/>
    <s v="UNFPA"/>
    <s v="Received"/>
    <n v="46200"/>
    <m/>
    <n v="439824"/>
    <n v="45717"/>
    <m/>
    <m/>
    <x v="3"/>
    <x v="3"/>
    <n v="12"/>
    <x v="665"/>
    <m/>
  </r>
  <r>
    <x v="3"/>
    <x v="11"/>
    <m/>
    <s v="All levels"/>
    <x v="12"/>
    <n v="129278"/>
    <m/>
    <n v="14621"/>
    <n v="164657"/>
    <s v="UNFPA"/>
    <s v="UNFPA"/>
    <s v="Received"/>
    <n v="50000"/>
    <m/>
    <n v="476000"/>
    <n v="45748"/>
    <m/>
    <m/>
    <x v="3"/>
    <x v="3"/>
    <n v="12"/>
    <x v="666"/>
    <m/>
  </r>
  <r>
    <x v="3"/>
    <x v="11"/>
    <m/>
    <s v="All levels"/>
    <x v="13"/>
    <n v="164657"/>
    <m/>
    <n v="14621"/>
    <n v="150036"/>
    <m/>
    <m/>
    <m/>
    <m/>
    <m/>
    <m/>
    <m/>
    <m/>
    <m/>
    <x v="3"/>
    <x v="3"/>
    <n v="12"/>
    <x v="667"/>
    <m/>
  </r>
  <r>
    <x v="3"/>
    <x v="11"/>
    <m/>
    <s v="All levels"/>
    <x v="14"/>
    <n v="150036"/>
    <m/>
    <n v="14621"/>
    <n v="135415"/>
    <m/>
    <m/>
    <m/>
    <m/>
    <m/>
    <m/>
    <m/>
    <m/>
    <m/>
    <x v="3"/>
    <x v="3"/>
    <n v="12"/>
    <x v="668"/>
    <m/>
  </r>
  <r>
    <x v="3"/>
    <x v="11"/>
    <m/>
    <s v="All levels"/>
    <x v="0"/>
    <n v="135415"/>
    <m/>
    <n v="14621"/>
    <n v="120794"/>
    <m/>
    <m/>
    <m/>
    <m/>
    <m/>
    <m/>
    <m/>
    <m/>
    <m/>
    <x v="3"/>
    <x v="3"/>
    <n v="12"/>
    <x v="669"/>
    <m/>
  </r>
  <r>
    <x v="3"/>
    <x v="11"/>
    <m/>
    <s v="All levels"/>
    <x v="1"/>
    <n v="120794"/>
    <m/>
    <n v="14621"/>
    <n v="106173"/>
    <m/>
    <m/>
    <m/>
    <m/>
    <m/>
    <m/>
    <m/>
    <m/>
    <m/>
    <x v="3"/>
    <x v="3"/>
    <n v="12"/>
    <x v="670"/>
    <m/>
  </r>
  <r>
    <x v="3"/>
    <x v="11"/>
    <m/>
    <s v="All levels"/>
    <x v="2"/>
    <n v="106173"/>
    <m/>
    <n v="14621"/>
    <n v="91552"/>
    <m/>
    <m/>
    <m/>
    <m/>
    <m/>
    <m/>
    <m/>
    <m/>
    <m/>
    <x v="3"/>
    <x v="3"/>
    <n v="12"/>
    <x v="671"/>
    <m/>
  </r>
  <r>
    <x v="3"/>
    <x v="11"/>
    <m/>
    <s v="All levels"/>
    <x v="3"/>
    <n v="91552"/>
    <m/>
    <n v="14621"/>
    <n v="86931"/>
    <s v="UNPA"/>
    <s v="UNFPA"/>
    <s v="Committed"/>
    <n v="10000"/>
    <m/>
    <n v="95200"/>
    <n v="45931"/>
    <m/>
    <m/>
    <x v="3"/>
    <x v="3"/>
    <n v="12"/>
    <x v="672"/>
    <m/>
  </r>
  <r>
    <x v="3"/>
    <x v="11"/>
    <m/>
    <s v="All levels"/>
    <x v="4"/>
    <n v="86931"/>
    <m/>
    <n v="14621"/>
    <n v="107310"/>
    <s v="UNPA"/>
    <s v="UNFPA"/>
    <s v="Committed"/>
    <n v="35000"/>
    <m/>
    <n v="333200"/>
    <n v="45962"/>
    <m/>
    <m/>
    <x v="3"/>
    <x v="3"/>
    <n v="12"/>
    <x v="673"/>
    <m/>
  </r>
  <r>
    <x v="3"/>
    <x v="11"/>
    <m/>
    <s v="All levels"/>
    <x v="5"/>
    <n v="107310"/>
    <m/>
    <n v="14621"/>
    <n v="237449"/>
    <s v="TBD"/>
    <s v="TBD"/>
    <s v="Planned"/>
    <n v="144760"/>
    <m/>
    <n v="1378115"/>
    <n v="45992"/>
    <m/>
    <m/>
    <x v="3"/>
    <x v="3"/>
    <n v="12"/>
    <x v="674"/>
    <m/>
  </r>
  <r>
    <x v="3"/>
    <x v="11"/>
    <m/>
    <s v="All levels"/>
    <x v="6"/>
    <n v="237449"/>
    <m/>
    <n v="14621"/>
    <n v="222828"/>
    <m/>
    <m/>
    <m/>
    <m/>
    <m/>
    <m/>
    <m/>
    <m/>
    <m/>
    <x v="3"/>
    <x v="3"/>
    <n v="12"/>
    <x v="675"/>
    <m/>
  </r>
  <r>
    <x v="3"/>
    <x v="11"/>
    <m/>
    <s v="All levels"/>
    <x v="7"/>
    <n v="222828"/>
    <m/>
    <n v="14621"/>
    <n v="208207"/>
    <m/>
    <m/>
    <m/>
    <m/>
    <m/>
    <m/>
    <m/>
    <m/>
    <m/>
    <x v="3"/>
    <x v="3"/>
    <n v="12"/>
    <x v="676"/>
    <m/>
  </r>
  <r>
    <x v="3"/>
    <x v="11"/>
    <m/>
    <s v="All levels"/>
    <x v="8"/>
    <n v="208207"/>
    <m/>
    <n v="14621"/>
    <n v="193586"/>
    <m/>
    <m/>
    <m/>
    <m/>
    <m/>
    <m/>
    <m/>
    <m/>
    <m/>
    <x v="3"/>
    <x v="3"/>
    <n v="12"/>
    <x v="677"/>
    <m/>
  </r>
  <r>
    <x v="3"/>
    <x v="11"/>
    <m/>
    <s v="All levels"/>
    <x v="9"/>
    <n v="193586"/>
    <m/>
    <n v="14621"/>
    <n v="178965"/>
    <m/>
    <m/>
    <m/>
    <m/>
    <m/>
    <m/>
    <m/>
    <m/>
    <m/>
    <x v="3"/>
    <x v="3"/>
    <n v="12"/>
    <x v="678"/>
    <m/>
  </r>
  <r>
    <x v="3"/>
    <x v="11"/>
    <m/>
    <s v="All levels"/>
    <x v="10"/>
    <n v="178965"/>
    <m/>
    <n v="14621"/>
    <n v="164344"/>
    <m/>
    <m/>
    <m/>
    <m/>
    <m/>
    <m/>
    <m/>
    <m/>
    <m/>
    <x v="3"/>
    <x v="3"/>
    <n v="12"/>
    <x v="679"/>
    <m/>
  </r>
  <r>
    <x v="3"/>
    <x v="11"/>
    <m/>
    <s v="All levels"/>
    <x v="11"/>
    <n v="164344"/>
    <m/>
    <n v="14621"/>
    <n v="254332"/>
    <s v="TBD"/>
    <s v="TBD"/>
    <s v="Planned"/>
    <n v="104609"/>
    <m/>
    <n v="995878"/>
    <n v="46174"/>
    <m/>
    <m/>
    <x v="3"/>
    <x v="3"/>
    <n v="12"/>
    <x v="680"/>
    <m/>
  </r>
  <r>
    <x v="3"/>
    <x v="11"/>
    <m/>
    <s v="All levels"/>
    <x v="15"/>
    <n v="254332"/>
    <m/>
    <n v="14621"/>
    <n v="239711"/>
    <m/>
    <m/>
    <m/>
    <m/>
    <m/>
    <m/>
    <m/>
    <m/>
    <m/>
    <x v="3"/>
    <x v="3"/>
    <n v="12"/>
    <x v="681"/>
    <m/>
  </r>
  <r>
    <x v="3"/>
    <x v="11"/>
    <m/>
    <s v="All levels"/>
    <x v="16"/>
    <n v="239711"/>
    <m/>
    <n v="14621"/>
    <n v="225090"/>
    <m/>
    <m/>
    <m/>
    <m/>
    <m/>
    <m/>
    <m/>
    <m/>
    <m/>
    <x v="3"/>
    <x v="3"/>
    <n v="12"/>
    <x v="682"/>
    <m/>
  </r>
  <r>
    <x v="3"/>
    <x v="11"/>
    <m/>
    <s v="All levels"/>
    <x v="17"/>
    <n v="225090"/>
    <m/>
    <n v="14621"/>
    <n v="210469"/>
    <m/>
    <m/>
    <m/>
    <m/>
    <m/>
    <m/>
    <m/>
    <m/>
    <m/>
    <x v="3"/>
    <x v="3"/>
    <n v="12"/>
    <x v="683"/>
    <m/>
  </r>
  <r>
    <x v="3"/>
    <x v="11"/>
    <m/>
    <s v="All levels"/>
    <x v="18"/>
    <n v="210469"/>
    <m/>
    <n v="14621"/>
    <n v="195848"/>
    <m/>
    <m/>
    <m/>
    <m/>
    <m/>
    <m/>
    <m/>
    <m/>
    <m/>
    <x v="3"/>
    <x v="3"/>
    <n v="12"/>
    <x v="684"/>
    <m/>
  </r>
  <r>
    <x v="3"/>
    <x v="11"/>
    <m/>
    <s v="All levels"/>
    <x v="19"/>
    <n v="195848"/>
    <m/>
    <n v="14621"/>
    <n v="181227"/>
    <m/>
    <m/>
    <m/>
    <m/>
    <m/>
    <m/>
    <m/>
    <m/>
    <m/>
    <x v="3"/>
    <x v="3"/>
    <n v="12"/>
    <x v="685"/>
    <m/>
  </r>
  <r>
    <x v="3"/>
    <x v="11"/>
    <m/>
    <s v="All levels"/>
    <x v="20"/>
    <n v="181227"/>
    <m/>
    <n v="14621"/>
    <n v="264641"/>
    <s v="TBD"/>
    <s v="TBD"/>
    <s v="Planned"/>
    <n v="98035"/>
    <m/>
    <n v="933294"/>
    <n v="46357"/>
    <m/>
    <m/>
    <x v="3"/>
    <x v="3"/>
    <n v="12"/>
    <x v="686"/>
    <m/>
  </r>
  <r>
    <x v="4"/>
    <x v="11"/>
    <m/>
    <s v="All levels"/>
    <x v="0"/>
    <n v="246633"/>
    <m/>
    <n v="47645"/>
    <n v="198988"/>
    <m/>
    <m/>
    <m/>
    <m/>
    <m/>
    <m/>
    <m/>
    <m/>
    <m/>
    <x v="3"/>
    <x v="3"/>
    <n v="12"/>
    <x v="687"/>
    <m/>
  </r>
  <r>
    <x v="4"/>
    <x v="11"/>
    <m/>
    <s v="All levels"/>
    <x v="1"/>
    <n v="198988"/>
    <m/>
    <n v="47645"/>
    <n v="151343"/>
    <m/>
    <m/>
    <m/>
    <m/>
    <m/>
    <m/>
    <m/>
    <m/>
    <m/>
    <x v="3"/>
    <x v="3"/>
    <n v="12"/>
    <x v="688"/>
    <m/>
  </r>
  <r>
    <x v="4"/>
    <x v="11"/>
    <m/>
    <s v="All levels"/>
    <x v="2"/>
    <n v="151343"/>
    <m/>
    <n v="47645"/>
    <n v="103698"/>
    <m/>
    <m/>
    <m/>
    <m/>
    <m/>
    <m/>
    <m/>
    <m/>
    <m/>
    <x v="3"/>
    <x v="3"/>
    <n v="12"/>
    <x v="689"/>
    <m/>
  </r>
  <r>
    <x v="4"/>
    <x v="11"/>
    <m/>
    <s v="All levels"/>
    <x v="3"/>
    <n v="103698"/>
    <m/>
    <n v="47645"/>
    <n v="56053"/>
    <m/>
    <m/>
    <m/>
    <m/>
    <m/>
    <m/>
    <m/>
    <m/>
    <m/>
    <x v="3"/>
    <x v="3"/>
    <n v="12"/>
    <x v="690"/>
    <m/>
  </r>
  <r>
    <x v="4"/>
    <x v="11"/>
    <m/>
    <s v="All levels"/>
    <x v="4"/>
    <n v="56053"/>
    <m/>
    <n v="47645"/>
    <n v="8408"/>
    <m/>
    <m/>
    <m/>
    <m/>
    <m/>
    <m/>
    <m/>
    <m/>
    <m/>
    <x v="3"/>
    <x v="3"/>
    <n v="12"/>
    <x v="691"/>
    <m/>
  </r>
  <r>
    <x v="4"/>
    <x v="11"/>
    <m/>
    <s v="All levels"/>
    <x v="5"/>
    <n v="8408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6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7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8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9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10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11"/>
    <n v="0"/>
    <m/>
    <n v="47645"/>
    <n v="0"/>
    <m/>
    <m/>
    <m/>
    <m/>
    <m/>
    <m/>
    <m/>
    <m/>
    <m/>
    <x v="3"/>
    <x v="3"/>
    <n v="12"/>
    <x v="96"/>
    <m/>
  </r>
  <r>
    <x v="5"/>
    <x v="11"/>
    <m/>
    <s v="All levels"/>
    <x v="1"/>
    <n v="151590"/>
    <m/>
    <n v="27890"/>
    <n v="123700"/>
    <m/>
    <m/>
    <m/>
    <m/>
    <m/>
    <m/>
    <m/>
    <m/>
    <m/>
    <x v="2"/>
    <x v="2"/>
    <n v="6"/>
    <x v="692"/>
    <m/>
  </r>
  <r>
    <x v="5"/>
    <x v="11"/>
    <m/>
    <s v="All levels"/>
    <x v="2"/>
    <n v="123700"/>
    <m/>
    <n v="27890"/>
    <n v="95810"/>
    <m/>
    <m/>
    <m/>
    <m/>
    <m/>
    <m/>
    <m/>
    <m/>
    <m/>
    <x v="2"/>
    <x v="2"/>
    <n v="6"/>
    <x v="693"/>
    <m/>
  </r>
  <r>
    <x v="5"/>
    <x v="11"/>
    <m/>
    <s v="All levels"/>
    <x v="3"/>
    <n v="95810"/>
    <m/>
    <n v="27890"/>
    <n v="67920"/>
    <m/>
    <m/>
    <m/>
    <m/>
    <m/>
    <m/>
    <m/>
    <m/>
    <m/>
    <x v="2"/>
    <x v="2"/>
    <n v="6"/>
    <x v="694"/>
    <m/>
  </r>
  <r>
    <x v="5"/>
    <x v="11"/>
    <m/>
    <s v="All levels"/>
    <x v="4"/>
    <n v="67920"/>
    <m/>
    <n v="27890"/>
    <n v="40030"/>
    <m/>
    <m/>
    <m/>
    <m/>
    <m/>
    <m/>
    <m/>
    <m/>
    <m/>
    <x v="2"/>
    <x v="2"/>
    <n v="6"/>
    <x v="695"/>
    <m/>
  </r>
  <r>
    <x v="5"/>
    <x v="11"/>
    <m/>
    <s v="All levels"/>
    <x v="5"/>
    <n v="40030"/>
    <m/>
    <n v="27890"/>
    <n v="160538"/>
    <s v="TBD"/>
    <s v="TBD"/>
    <s v="Planned"/>
    <n v="148398"/>
    <n v="45992"/>
    <m/>
    <m/>
    <m/>
    <m/>
    <x v="2"/>
    <x v="2"/>
    <n v="6"/>
    <x v="696"/>
    <m/>
  </r>
  <r>
    <x v="5"/>
    <x v="11"/>
    <m/>
    <s v="All levels"/>
    <x v="6"/>
    <n v="160538"/>
    <m/>
    <n v="27890"/>
    <n v="132648"/>
    <m/>
    <m/>
    <m/>
    <m/>
    <m/>
    <m/>
    <m/>
    <m/>
    <m/>
    <x v="2"/>
    <x v="2"/>
    <n v="6"/>
    <x v="697"/>
    <m/>
  </r>
  <r>
    <x v="5"/>
    <x v="11"/>
    <m/>
    <s v="All levels"/>
    <x v="7"/>
    <n v="132648"/>
    <m/>
    <n v="27890"/>
    <n v="104758"/>
    <m/>
    <m/>
    <m/>
    <m/>
    <m/>
    <m/>
    <m/>
    <m/>
    <m/>
    <x v="2"/>
    <x v="2"/>
    <n v="6"/>
    <x v="698"/>
    <m/>
  </r>
  <r>
    <x v="5"/>
    <x v="11"/>
    <m/>
    <s v="All levels"/>
    <x v="8"/>
    <n v="104758"/>
    <m/>
    <n v="27890"/>
    <n v="76868"/>
    <m/>
    <m/>
    <m/>
    <m/>
    <m/>
    <m/>
    <m/>
    <m/>
    <m/>
    <x v="2"/>
    <x v="2"/>
    <n v="6"/>
    <x v="699"/>
    <m/>
  </r>
  <r>
    <x v="5"/>
    <x v="11"/>
    <m/>
    <s v="All levels"/>
    <x v="9"/>
    <n v="76868"/>
    <m/>
    <n v="27890"/>
    <n v="48978"/>
    <m/>
    <m/>
    <m/>
    <m/>
    <m/>
    <m/>
    <m/>
    <m/>
    <m/>
    <x v="2"/>
    <x v="2"/>
    <n v="6"/>
    <x v="700"/>
    <m/>
  </r>
  <r>
    <x v="5"/>
    <x v="11"/>
    <m/>
    <s v="All levels"/>
    <x v="10"/>
    <n v="48978"/>
    <m/>
    <n v="27890"/>
    <n v="21088"/>
    <m/>
    <m/>
    <m/>
    <m/>
    <m/>
    <m/>
    <m/>
    <m/>
    <m/>
    <x v="2"/>
    <x v="2"/>
    <n v="6"/>
    <x v="701"/>
    <m/>
  </r>
  <r>
    <x v="5"/>
    <x v="11"/>
    <m/>
    <s v="All levels"/>
    <x v="11"/>
    <n v="21088"/>
    <m/>
    <n v="27890"/>
    <n v="0"/>
    <m/>
    <m/>
    <m/>
    <m/>
    <m/>
    <m/>
    <m/>
    <m/>
    <m/>
    <x v="2"/>
    <x v="2"/>
    <n v="6"/>
    <x v="96"/>
    <m/>
  </r>
  <r>
    <x v="5"/>
    <x v="11"/>
    <m/>
    <s v="All levels"/>
    <x v="15"/>
    <n v="0"/>
    <m/>
    <n v="27890"/>
    <n v="0"/>
    <m/>
    <m/>
    <m/>
    <m/>
    <m/>
    <m/>
    <m/>
    <m/>
    <m/>
    <x v="2"/>
    <x v="2"/>
    <n v="6"/>
    <x v="96"/>
    <m/>
  </r>
  <r>
    <x v="5"/>
    <x v="11"/>
    <m/>
    <s v="All levels"/>
    <x v="16"/>
    <n v="0"/>
    <m/>
    <n v="27890"/>
    <n v="0"/>
    <m/>
    <m/>
    <m/>
    <m/>
    <m/>
    <m/>
    <m/>
    <m/>
    <m/>
    <x v="2"/>
    <x v="2"/>
    <n v="6"/>
    <x v="96"/>
    <m/>
  </r>
  <r>
    <x v="6"/>
    <x v="11"/>
    <m/>
    <s v="All levels"/>
    <x v="12"/>
    <n v="89100"/>
    <m/>
    <n v="23847"/>
    <n v="65253"/>
    <m/>
    <m/>
    <m/>
    <m/>
    <m/>
    <m/>
    <m/>
    <m/>
    <m/>
    <x v="4"/>
    <x v="4"/>
    <m/>
    <x v="702"/>
    <m/>
  </r>
  <r>
    <x v="6"/>
    <x v="11"/>
    <m/>
    <s v="All levels"/>
    <x v="13"/>
    <n v="65253"/>
    <m/>
    <n v="23847"/>
    <n v="41406"/>
    <m/>
    <m/>
    <m/>
    <m/>
    <m/>
    <m/>
    <m/>
    <m/>
    <m/>
    <x v="4"/>
    <x v="4"/>
    <m/>
    <x v="703"/>
    <m/>
  </r>
  <r>
    <x v="6"/>
    <x v="11"/>
    <m/>
    <s v="All levels"/>
    <x v="14"/>
    <n v="41406"/>
    <m/>
    <n v="23847"/>
    <n v="17559"/>
    <m/>
    <m/>
    <m/>
    <m/>
    <m/>
    <m/>
    <m/>
    <m/>
    <m/>
    <x v="4"/>
    <x v="4"/>
    <m/>
    <x v="704"/>
    <m/>
  </r>
  <r>
    <x v="6"/>
    <x v="11"/>
    <m/>
    <s v="All levels"/>
    <x v="0"/>
    <n v="17559"/>
    <m/>
    <n v="23847"/>
    <n v="51712"/>
    <m/>
    <m/>
    <m/>
    <n v="58000"/>
    <n v="45839"/>
    <m/>
    <m/>
    <m/>
    <m/>
    <x v="4"/>
    <x v="4"/>
    <m/>
    <x v="705"/>
    <m/>
  </r>
  <r>
    <x v="6"/>
    <x v="11"/>
    <m/>
    <s v="All levels"/>
    <x v="1"/>
    <n v="51712"/>
    <m/>
    <n v="23847"/>
    <n v="27865"/>
    <m/>
    <m/>
    <m/>
    <m/>
    <m/>
    <m/>
    <m/>
    <m/>
    <m/>
    <x v="4"/>
    <x v="4"/>
    <m/>
    <x v="706"/>
    <m/>
  </r>
  <r>
    <x v="6"/>
    <x v="11"/>
    <m/>
    <s v="All levels"/>
    <x v="2"/>
    <n v="27865"/>
    <m/>
    <n v="23847"/>
    <n v="4018"/>
    <m/>
    <m/>
    <m/>
    <m/>
    <m/>
    <m/>
    <m/>
    <m/>
    <m/>
    <x v="4"/>
    <x v="4"/>
    <m/>
    <x v="707"/>
    <m/>
  </r>
  <r>
    <x v="6"/>
    <x v="11"/>
    <m/>
    <s v="All levels"/>
    <x v="3"/>
    <n v="4018"/>
    <m/>
    <n v="23847"/>
    <n v="0"/>
    <m/>
    <m/>
    <m/>
    <m/>
    <m/>
    <m/>
    <m/>
    <m/>
    <m/>
    <x v="4"/>
    <x v="4"/>
    <m/>
    <x v="96"/>
    <m/>
  </r>
  <r>
    <x v="6"/>
    <x v="11"/>
    <m/>
    <s v="All levels"/>
    <x v="4"/>
    <n v="0"/>
    <m/>
    <n v="23847"/>
    <n v="0"/>
    <m/>
    <m/>
    <m/>
    <m/>
    <m/>
    <m/>
    <m/>
    <m/>
    <m/>
    <x v="4"/>
    <x v="4"/>
    <m/>
    <x v="96"/>
    <m/>
  </r>
  <r>
    <x v="6"/>
    <x v="11"/>
    <m/>
    <s v="All levels"/>
    <x v="5"/>
    <n v="0"/>
    <m/>
    <n v="23847"/>
    <n v="0"/>
    <m/>
    <m/>
    <m/>
    <m/>
    <m/>
    <m/>
    <m/>
    <m/>
    <m/>
    <x v="4"/>
    <x v="4"/>
    <m/>
    <x v="96"/>
    <m/>
  </r>
  <r>
    <x v="1"/>
    <x v="12"/>
    <s v="set"/>
    <s v="All levels"/>
    <x v="12"/>
    <n v="67753"/>
    <m/>
    <n v="12004"/>
    <n v="55749"/>
    <m/>
    <m/>
    <m/>
    <m/>
    <m/>
    <m/>
    <m/>
    <m/>
    <m/>
    <x v="3"/>
    <x v="3"/>
    <n v="12"/>
    <x v="708"/>
    <m/>
  </r>
  <r>
    <x v="1"/>
    <x v="12"/>
    <s v="set"/>
    <s v="All levels"/>
    <x v="13"/>
    <n v="55749"/>
    <m/>
    <n v="12394"/>
    <n v="43355"/>
    <m/>
    <m/>
    <m/>
    <m/>
    <m/>
    <m/>
    <m/>
    <m/>
    <m/>
    <x v="3"/>
    <x v="3"/>
    <n v="12"/>
    <x v="709"/>
    <m/>
  </r>
  <r>
    <x v="1"/>
    <x v="12"/>
    <s v="set"/>
    <s v="All levels"/>
    <x v="14"/>
    <n v="43355"/>
    <m/>
    <n v="12457"/>
    <n v="30898"/>
    <m/>
    <m/>
    <m/>
    <m/>
    <m/>
    <m/>
    <m/>
    <m/>
    <m/>
    <x v="3"/>
    <x v="3"/>
    <n v="12"/>
    <x v="710"/>
    <m/>
  </r>
  <r>
    <x v="1"/>
    <x v="12"/>
    <s v="set"/>
    <s v="All levels"/>
    <x v="0"/>
    <n v="30898"/>
    <m/>
    <n v="12339"/>
    <n v="18559"/>
    <m/>
    <m/>
    <m/>
    <m/>
    <m/>
    <m/>
    <m/>
    <m/>
    <m/>
    <x v="3"/>
    <x v="3"/>
    <n v="12"/>
    <x v="711"/>
    <m/>
  </r>
  <r>
    <x v="1"/>
    <x v="12"/>
    <s v="set"/>
    <s v="All levels"/>
    <x v="1"/>
    <n v="18559"/>
    <m/>
    <n v="11974"/>
    <n v="6585"/>
    <m/>
    <m/>
    <m/>
    <m/>
    <m/>
    <m/>
    <m/>
    <m/>
    <m/>
    <x v="3"/>
    <x v="3"/>
    <n v="12"/>
    <x v="712"/>
    <m/>
  </r>
  <r>
    <x v="1"/>
    <x v="12"/>
    <s v="set"/>
    <s v="All levels"/>
    <x v="2"/>
    <n v="6585"/>
    <m/>
    <n v="12139"/>
    <n v="151722"/>
    <m/>
    <m/>
    <s v="Planned"/>
    <n v="157276"/>
    <m/>
    <m/>
    <m/>
    <m/>
    <m/>
    <x v="3"/>
    <x v="3"/>
    <n v="12"/>
    <x v="713"/>
    <m/>
  </r>
  <r>
    <x v="1"/>
    <x v="12"/>
    <s v="set"/>
    <s v="All levels"/>
    <x v="3"/>
    <n v="151722"/>
    <m/>
    <n v="12218"/>
    <n v="139504"/>
    <m/>
    <m/>
    <m/>
    <m/>
    <m/>
    <m/>
    <m/>
    <m/>
    <m/>
    <x v="3"/>
    <x v="3"/>
    <n v="12"/>
    <x v="714"/>
    <m/>
  </r>
  <r>
    <x v="1"/>
    <x v="12"/>
    <s v="set"/>
    <s v="All levels"/>
    <x v="4"/>
    <n v="139504"/>
    <m/>
    <n v="12254"/>
    <n v="127250"/>
    <m/>
    <m/>
    <m/>
    <m/>
    <m/>
    <m/>
    <m/>
    <m/>
    <m/>
    <x v="3"/>
    <x v="3"/>
    <n v="12"/>
    <x v="715"/>
    <m/>
  </r>
  <r>
    <x v="1"/>
    <x v="12"/>
    <s v="set"/>
    <s v="All levels"/>
    <x v="5"/>
    <n v="127250"/>
    <m/>
    <n v="12230"/>
    <n v="115020"/>
    <m/>
    <m/>
    <m/>
    <m/>
    <m/>
    <m/>
    <m/>
    <m/>
    <m/>
    <x v="3"/>
    <x v="3"/>
    <n v="12"/>
    <x v="716"/>
    <m/>
  </r>
  <r>
    <x v="1"/>
    <x v="12"/>
    <s v="set"/>
    <s v="All levels"/>
    <x v="6"/>
    <n v="115020"/>
    <m/>
    <n v="12192"/>
    <n v="102828"/>
    <m/>
    <m/>
    <m/>
    <m/>
    <m/>
    <m/>
    <m/>
    <m/>
    <m/>
    <x v="3"/>
    <x v="3"/>
    <n v="12"/>
    <x v="717"/>
    <m/>
  </r>
  <r>
    <x v="1"/>
    <x v="12"/>
    <s v="set"/>
    <s v="All levels"/>
    <x v="7"/>
    <n v="102828"/>
    <m/>
    <n v="12168"/>
    <n v="90660"/>
    <m/>
    <m/>
    <m/>
    <m/>
    <m/>
    <m/>
    <m/>
    <m/>
    <m/>
    <x v="3"/>
    <x v="3"/>
    <n v="12"/>
    <x v="718"/>
    <m/>
  </r>
  <r>
    <x v="1"/>
    <x v="12"/>
    <s v="set"/>
    <s v="All levels"/>
    <x v="8"/>
    <n v="90660"/>
    <m/>
    <n v="12200"/>
    <n v="78460"/>
    <m/>
    <m/>
    <m/>
    <m/>
    <m/>
    <m/>
    <m/>
    <m/>
    <m/>
    <x v="3"/>
    <x v="3"/>
    <n v="12"/>
    <x v="719"/>
    <m/>
  </r>
  <r>
    <x v="1"/>
    <x v="12"/>
    <s v="set"/>
    <s v="All levels"/>
    <x v="9"/>
    <n v="78460"/>
    <m/>
    <n v="12210"/>
    <n v="146310"/>
    <m/>
    <m/>
    <s v="Planned"/>
    <n v="80060"/>
    <m/>
    <m/>
    <m/>
    <m/>
    <m/>
    <x v="3"/>
    <x v="3"/>
    <n v="12"/>
    <x v="720"/>
    <m/>
  </r>
  <r>
    <x v="1"/>
    <x v="12"/>
    <s v="set"/>
    <s v="All levels"/>
    <x v="10"/>
    <n v="146310"/>
    <m/>
    <n v="12209"/>
    <n v="134101"/>
    <m/>
    <m/>
    <m/>
    <m/>
    <m/>
    <m/>
    <m/>
    <m/>
    <m/>
    <x v="3"/>
    <x v="3"/>
    <n v="12"/>
    <x v="721"/>
    <m/>
  </r>
  <r>
    <x v="1"/>
    <x v="12"/>
    <s v="set"/>
    <s v="All levels"/>
    <x v="11"/>
    <n v="134101"/>
    <m/>
    <n v="12202"/>
    <n v="121899"/>
    <m/>
    <m/>
    <m/>
    <m/>
    <m/>
    <m/>
    <m/>
    <m/>
    <m/>
    <x v="3"/>
    <x v="3"/>
    <n v="12"/>
    <x v="722"/>
    <m/>
  </r>
  <r>
    <x v="1"/>
    <x v="12"/>
    <s v="set"/>
    <s v="All levels"/>
    <x v="15"/>
    <n v="121899"/>
    <m/>
    <n v="12197"/>
    <n v="109702"/>
    <m/>
    <m/>
    <m/>
    <m/>
    <m/>
    <m/>
    <m/>
    <m/>
    <m/>
    <x v="3"/>
    <x v="3"/>
    <n v="12"/>
    <x v="723"/>
    <m/>
  </r>
  <r>
    <x v="1"/>
    <x v="12"/>
    <s v="set"/>
    <s v="All levels"/>
    <x v="16"/>
    <n v="109702"/>
    <m/>
    <n v="12198"/>
    <n v="97504"/>
    <m/>
    <m/>
    <m/>
    <m/>
    <m/>
    <m/>
    <m/>
    <m/>
    <m/>
    <x v="3"/>
    <x v="3"/>
    <n v="12"/>
    <x v="724"/>
    <m/>
  </r>
  <r>
    <x v="1"/>
    <x v="12"/>
    <s v="set"/>
    <s v="All levels"/>
    <x v="17"/>
    <n v="97504"/>
    <m/>
    <n v="12203"/>
    <n v="85301"/>
    <m/>
    <m/>
    <m/>
    <m/>
    <m/>
    <m/>
    <m/>
    <m/>
    <m/>
    <x v="3"/>
    <x v="3"/>
    <n v="12"/>
    <x v="725"/>
    <m/>
  </r>
  <r>
    <x v="2"/>
    <x v="12"/>
    <s v="set"/>
    <s v="All levels"/>
    <x v="12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13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14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0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1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2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3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4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5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6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7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8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9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0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1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5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6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7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8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9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20"/>
    <m/>
    <m/>
    <n v="1773"/>
    <n v="0"/>
    <m/>
    <m/>
    <m/>
    <m/>
    <m/>
    <m/>
    <m/>
    <m/>
    <m/>
    <x v="4"/>
    <x v="4"/>
    <m/>
    <x v="96"/>
    <m/>
  </r>
  <r>
    <x v="6"/>
    <x v="12"/>
    <s v="set"/>
    <s v="All levels"/>
    <x v="23"/>
    <m/>
    <m/>
    <n v="7294"/>
    <n v="0"/>
    <m/>
    <m/>
    <m/>
    <m/>
    <m/>
    <m/>
    <m/>
    <m/>
    <m/>
    <x v="4"/>
    <x v="4"/>
    <m/>
    <x v="96"/>
    <m/>
  </r>
  <r>
    <x v="6"/>
    <x v="12"/>
    <s v="set"/>
    <s v="All levels"/>
    <x v="21"/>
    <m/>
    <m/>
    <n v="7294"/>
    <n v="0"/>
    <m/>
    <m/>
    <m/>
    <m/>
    <m/>
    <m/>
    <m/>
    <m/>
    <m/>
    <x v="4"/>
    <x v="4"/>
    <m/>
    <x v="96"/>
    <m/>
  </r>
  <r>
    <x v="6"/>
    <x v="12"/>
    <s v="set"/>
    <s v="All levels"/>
    <x v="22"/>
    <m/>
    <m/>
    <n v="7294"/>
    <n v="0"/>
    <m/>
    <m/>
    <m/>
    <m/>
    <m/>
    <m/>
    <m/>
    <m/>
    <m/>
    <x v="4"/>
    <x v="4"/>
    <m/>
    <x v="96"/>
    <m/>
  </r>
  <r>
    <x v="6"/>
    <x v="12"/>
    <s v="set"/>
    <s v="All levels"/>
    <x v="12"/>
    <n v="450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13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14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0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1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2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3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4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5"/>
    <n v="0"/>
    <m/>
    <n v="7294"/>
    <n v="0"/>
    <m/>
    <m/>
    <m/>
    <m/>
    <m/>
    <m/>
    <m/>
    <m/>
    <m/>
    <x v="0"/>
    <x v="1"/>
    <n v="15"/>
    <x v="96"/>
    <m/>
  </r>
  <r>
    <x v="0"/>
    <x v="13"/>
    <s v="pieces"/>
    <s v="All levels"/>
    <x v="0"/>
    <n v="12652697"/>
    <m/>
    <n v="1099123"/>
    <n v="11553574"/>
    <m/>
    <m/>
    <m/>
    <m/>
    <m/>
    <m/>
    <m/>
    <m/>
    <m/>
    <x v="0"/>
    <x v="0"/>
    <n v="13"/>
    <x v="726"/>
    <m/>
  </r>
  <r>
    <x v="0"/>
    <x v="13"/>
    <s v="pieces"/>
    <s v="All levels"/>
    <x v="1"/>
    <n v="11553574"/>
    <m/>
    <n v="1099123"/>
    <n v="16547451"/>
    <s v="GHSC-PSM"/>
    <s v="USAID"/>
    <s v="Planned"/>
    <n v="6093000"/>
    <m/>
    <n v="219348"/>
    <n v="45870"/>
    <m/>
    <m/>
    <x v="0"/>
    <x v="0"/>
    <n v="13"/>
    <x v="727"/>
    <m/>
  </r>
  <r>
    <x v="0"/>
    <x v="13"/>
    <s v="pieces"/>
    <s v="All levels"/>
    <x v="2"/>
    <n v="16547451"/>
    <m/>
    <n v="1099123"/>
    <n v="17464328"/>
    <s v="UNFPA"/>
    <s v="UNFPA supplies"/>
    <s v="Committed"/>
    <n v="2016000"/>
    <m/>
    <n v="65722"/>
    <n v="45901"/>
    <m/>
    <m/>
    <x v="0"/>
    <x v="0"/>
    <n v="13"/>
    <x v="728"/>
    <m/>
  </r>
  <r>
    <x v="0"/>
    <x v="13"/>
    <s v="pieces"/>
    <s v="All levels"/>
    <x v="3"/>
    <n v="17464328"/>
    <m/>
    <n v="1099123"/>
    <n v="16365205"/>
    <m/>
    <m/>
    <m/>
    <m/>
    <m/>
    <m/>
    <m/>
    <m/>
    <m/>
    <x v="0"/>
    <x v="0"/>
    <n v="13"/>
    <x v="729"/>
    <m/>
  </r>
  <r>
    <x v="0"/>
    <x v="13"/>
    <s v="pieces"/>
    <s v="All levels"/>
    <x v="4"/>
    <n v="16365205"/>
    <m/>
    <n v="1099123"/>
    <n v="15266082"/>
    <m/>
    <m/>
    <m/>
    <m/>
    <m/>
    <m/>
    <m/>
    <m/>
    <m/>
    <x v="0"/>
    <x v="0"/>
    <n v="13"/>
    <x v="730"/>
    <m/>
  </r>
  <r>
    <x v="0"/>
    <x v="13"/>
    <s v="pieces"/>
    <s v="All levels"/>
    <x v="5"/>
    <n v="15266082"/>
    <m/>
    <n v="1099123"/>
    <n v="14166959"/>
    <m/>
    <m/>
    <m/>
    <m/>
    <m/>
    <m/>
    <m/>
    <m/>
    <m/>
    <x v="0"/>
    <x v="0"/>
    <n v="13"/>
    <x v="731"/>
    <m/>
  </r>
  <r>
    <x v="0"/>
    <x v="13"/>
    <s v="pieces"/>
    <s v="All levels"/>
    <x v="6"/>
    <n v="14166959"/>
    <m/>
    <n v="1099123"/>
    <n v="19774036"/>
    <s v="TBD"/>
    <s v="TBD"/>
    <s v="Planned"/>
    <n v="6706200"/>
    <m/>
    <n v="241423"/>
    <n v="46023"/>
    <m/>
    <m/>
    <x v="0"/>
    <x v="0"/>
    <n v="13"/>
    <x v="732"/>
    <m/>
  </r>
  <r>
    <x v="0"/>
    <x v="13"/>
    <s v="pieces"/>
    <s v="All levels"/>
    <x v="7"/>
    <n v="19774036"/>
    <m/>
    <n v="1099123"/>
    <n v="18674913"/>
    <m/>
    <m/>
    <m/>
    <m/>
    <m/>
    <m/>
    <m/>
    <m/>
    <m/>
    <x v="0"/>
    <x v="0"/>
    <n v="13"/>
    <x v="733"/>
    <m/>
  </r>
  <r>
    <x v="0"/>
    <x v="13"/>
    <s v="pieces"/>
    <s v="All levels"/>
    <x v="8"/>
    <n v="18674913"/>
    <m/>
    <n v="1099123"/>
    <n v="17575790"/>
    <m/>
    <m/>
    <m/>
    <m/>
    <m/>
    <m/>
    <m/>
    <m/>
    <m/>
    <x v="0"/>
    <x v="0"/>
    <n v="13"/>
    <x v="734"/>
    <m/>
  </r>
  <r>
    <x v="0"/>
    <x v="13"/>
    <s v="pieces"/>
    <s v="All levels"/>
    <x v="9"/>
    <n v="17575790"/>
    <m/>
    <n v="1099123"/>
    <n v="16476667"/>
    <m/>
    <m/>
    <m/>
    <m/>
    <m/>
    <m/>
    <m/>
    <m/>
    <m/>
    <x v="0"/>
    <x v="0"/>
    <n v="13"/>
    <x v="735"/>
    <m/>
  </r>
  <r>
    <x v="0"/>
    <x v="13"/>
    <s v="pieces"/>
    <s v="All levels"/>
    <x v="10"/>
    <n v="16476667"/>
    <m/>
    <n v="1099123"/>
    <n v="15377544"/>
    <m/>
    <m/>
    <m/>
    <m/>
    <m/>
    <m/>
    <m/>
    <m/>
    <m/>
    <x v="0"/>
    <x v="0"/>
    <n v="13"/>
    <x v="736"/>
    <m/>
  </r>
  <r>
    <x v="0"/>
    <x v="13"/>
    <s v="pieces"/>
    <s v="All levels"/>
    <x v="11"/>
    <n v="15377544"/>
    <m/>
    <n v="1099123"/>
    <n v="20360008"/>
    <s v="TBD"/>
    <s v="TBD"/>
    <s v="Planned"/>
    <n v="6081587"/>
    <m/>
    <n v="218937"/>
    <n v="46174"/>
    <m/>
    <m/>
    <x v="0"/>
    <x v="0"/>
    <n v="13"/>
    <x v="737"/>
    <m/>
  </r>
  <r>
    <x v="1"/>
    <x v="13"/>
    <m/>
    <s v="All levels"/>
    <x v="12"/>
    <n v="22567"/>
    <m/>
    <n v="3689"/>
    <n v="26270"/>
    <m/>
    <m/>
    <s v="Expected Deliveries"/>
    <n v="7392"/>
    <m/>
    <m/>
    <m/>
    <m/>
    <m/>
    <x v="1"/>
    <x v="1"/>
    <n v="15"/>
    <x v="738"/>
    <m/>
  </r>
  <r>
    <x v="1"/>
    <x v="13"/>
    <m/>
    <s v="All levels"/>
    <x v="13"/>
    <n v="26270"/>
    <m/>
    <n v="3695"/>
    <n v="29487"/>
    <m/>
    <m/>
    <s v="Expected Deliveries"/>
    <n v="6912"/>
    <m/>
    <m/>
    <m/>
    <m/>
    <m/>
    <x v="1"/>
    <x v="1"/>
    <n v="15"/>
    <x v="739"/>
    <m/>
  </r>
  <r>
    <x v="1"/>
    <x v="13"/>
    <m/>
    <s v="All levels"/>
    <x v="14"/>
    <n v="29487"/>
    <m/>
    <n v="3681"/>
    <n v="25806"/>
    <m/>
    <m/>
    <m/>
    <m/>
    <m/>
    <m/>
    <m/>
    <m/>
    <m/>
    <x v="1"/>
    <x v="1"/>
    <n v="15"/>
    <x v="740"/>
    <m/>
  </r>
  <r>
    <x v="1"/>
    <x v="13"/>
    <m/>
    <s v="All levels"/>
    <x v="0"/>
    <n v="25806"/>
    <m/>
    <n v="3677"/>
    <n v="30246"/>
    <m/>
    <m/>
    <s v="Expected Deliveries"/>
    <n v="8117"/>
    <m/>
    <m/>
    <m/>
    <m/>
    <m/>
    <x v="1"/>
    <x v="1"/>
    <n v="15"/>
    <x v="741"/>
    <m/>
  </r>
  <r>
    <x v="1"/>
    <x v="13"/>
    <m/>
    <s v="All levels"/>
    <x v="1"/>
    <n v="30246"/>
    <m/>
    <n v="3677"/>
    <n v="26569"/>
    <m/>
    <m/>
    <m/>
    <m/>
    <m/>
    <m/>
    <m/>
    <m/>
    <m/>
    <x v="1"/>
    <x v="1"/>
    <n v="15"/>
    <x v="742"/>
    <m/>
  </r>
  <r>
    <x v="1"/>
    <x v="13"/>
    <m/>
    <s v="All levels"/>
    <x v="2"/>
    <n v="26569"/>
    <m/>
    <n v="3685"/>
    <n v="22884"/>
    <m/>
    <m/>
    <m/>
    <m/>
    <m/>
    <m/>
    <m/>
    <m/>
    <m/>
    <x v="1"/>
    <x v="1"/>
    <n v="15"/>
    <x v="743"/>
    <m/>
  </r>
  <r>
    <x v="1"/>
    <x v="13"/>
    <m/>
    <s v="All levels"/>
    <x v="3"/>
    <n v="22884"/>
    <m/>
    <n v="3684"/>
    <n v="55218"/>
    <m/>
    <m/>
    <s v="Planned"/>
    <n v="36018"/>
    <m/>
    <m/>
    <m/>
    <m/>
    <m/>
    <x v="1"/>
    <x v="1"/>
    <n v="15"/>
    <x v="744"/>
    <m/>
  </r>
  <r>
    <x v="1"/>
    <x v="13"/>
    <m/>
    <s v="All levels"/>
    <x v="4"/>
    <n v="55218"/>
    <m/>
    <n v="3683"/>
    <n v="51535"/>
    <m/>
    <m/>
    <m/>
    <m/>
    <m/>
    <m/>
    <m/>
    <m/>
    <m/>
    <x v="1"/>
    <x v="1"/>
    <n v="15"/>
    <x v="745"/>
    <m/>
  </r>
  <r>
    <x v="1"/>
    <x v="13"/>
    <m/>
    <s v="All levels"/>
    <x v="5"/>
    <n v="51535"/>
    <m/>
    <n v="3681"/>
    <n v="47854"/>
    <m/>
    <m/>
    <m/>
    <m/>
    <m/>
    <m/>
    <m/>
    <m/>
    <m/>
    <x v="1"/>
    <x v="1"/>
    <n v="15"/>
    <x v="746"/>
    <m/>
  </r>
  <r>
    <x v="1"/>
    <x v="13"/>
    <m/>
    <s v="All levels"/>
    <x v="6"/>
    <n v="47854"/>
    <m/>
    <n v="3681"/>
    <n v="44173"/>
    <m/>
    <m/>
    <m/>
    <m/>
    <m/>
    <m/>
    <m/>
    <m/>
    <m/>
    <x v="1"/>
    <x v="1"/>
    <n v="15"/>
    <x v="747"/>
    <m/>
  </r>
  <r>
    <x v="1"/>
    <x v="13"/>
    <m/>
    <s v="All levels"/>
    <x v="7"/>
    <n v="44173"/>
    <m/>
    <n v="3682"/>
    <n v="40491"/>
    <m/>
    <m/>
    <m/>
    <m/>
    <m/>
    <m/>
    <m/>
    <m/>
    <m/>
    <x v="1"/>
    <x v="1"/>
    <n v="15"/>
    <x v="748"/>
    <m/>
  </r>
  <r>
    <x v="1"/>
    <x v="13"/>
    <m/>
    <s v="All levels"/>
    <x v="8"/>
    <n v="40491"/>
    <m/>
    <n v="3683"/>
    <n v="36808"/>
    <m/>
    <m/>
    <m/>
    <m/>
    <m/>
    <m/>
    <m/>
    <m/>
    <m/>
    <x v="1"/>
    <x v="1"/>
    <n v="15"/>
    <x v="749"/>
    <m/>
  </r>
  <r>
    <x v="1"/>
    <x v="13"/>
    <m/>
    <s v="All levels"/>
    <x v="9"/>
    <n v="36808"/>
    <m/>
    <n v="3682"/>
    <n v="33126"/>
    <m/>
    <m/>
    <m/>
    <m/>
    <m/>
    <m/>
    <m/>
    <m/>
    <m/>
    <x v="1"/>
    <x v="1"/>
    <n v="15"/>
    <x v="750"/>
    <m/>
  </r>
  <r>
    <x v="1"/>
    <x v="13"/>
    <m/>
    <s v="All levels"/>
    <x v="10"/>
    <n v="33126"/>
    <m/>
    <n v="3682"/>
    <n v="29444"/>
    <m/>
    <m/>
    <m/>
    <m/>
    <m/>
    <m/>
    <m/>
    <m/>
    <m/>
    <x v="1"/>
    <x v="1"/>
    <n v="15"/>
    <x v="751"/>
    <m/>
  </r>
  <r>
    <x v="1"/>
    <x v="13"/>
    <m/>
    <s v="All levels"/>
    <x v="11"/>
    <n v="29444"/>
    <m/>
    <n v="3682"/>
    <n v="25762"/>
    <m/>
    <m/>
    <m/>
    <m/>
    <m/>
    <m/>
    <m/>
    <m/>
    <m/>
    <x v="1"/>
    <x v="1"/>
    <n v="15"/>
    <x v="752"/>
    <m/>
  </r>
  <r>
    <x v="1"/>
    <x v="13"/>
    <m/>
    <s v="All levels"/>
    <x v="15"/>
    <n v="25762"/>
    <m/>
    <n v="3682"/>
    <n v="55240"/>
    <m/>
    <m/>
    <s v="Planned"/>
    <n v="33160"/>
    <m/>
    <m/>
    <m/>
    <m/>
    <m/>
    <x v="1"/>
    <x v="1"/>
    <n v="15"/>
    <x v="753"/>
    <m/>
  </r>
  <r>
    <x v="1"/>
    <x v="13"/>
    <m/>
    <s v="All levels"/>
    <x v="16"/>
    <n v="55240"/>
    <m/>
    <n v="3682"/>
    <n v="51558"/>
    <m/>
    <m/>
    <m/>
    <m/>
    <m/>
    <m/>
    <m/>
    <m/>
    <m/>
    <x v="1"/>
    <x v="1"/>
    <n v="15"/>
    <x v="754"/>
    <m/>
  </r>
  <r>
    <x v="1"/>
    <x v="13"/>
    <m/>
    <s v="All levels"/>
    <x v="17"/>
    <n v="51558"/>
    <m/>
    <n v="3682"/>
    <n v="47876"/>
    <m/>
    <m/>
    <m/>
    <m/>
    <m/>
    <m/>
    <m/>
    <m/>
    <m/>
    <x v="1"/>
    <x v="1"/>
    <n v="15"/>
    <x v="755"/>
    <m/>
  </r>
  <r>
    <x v="2"/>
    <x v="13"/>
    <m/>
    <s v="All levels"/>
    <x v="23"/>
    <m/>
    <m/>
    <n v="14208920"/>
    <n v="0"/>
    <m/>
    <m/>
    <m/>
    <m/>
    <m/>
    <m/>
    <m/>
    <m/>
    <m/>
    <x v="2"/>
    <x v="2"/>
    <n v="6"/>
    <x v="96"/>
    <m/>
  </r>
  <r>
    <x v="2"/>
    <x v="13"/>
    <m/>
    <s v="All levels"/>
    <x v="21"/>
    <m/>
    <m/>
    <n v="14208920"/>
    <n v="0"/>
    <m/>
    <m/>
    <m/>
    <m/>
    <m/>
    <m/>
    <m/>
    <m/>
    <m/>
    <x v="2"/>
    <x v="2"/>
    <n v="6"/>
    <x v="96"/>
    <m/>
  </r>
  <r>
    <x v="2"/>
    <x v="13"/>
    <m/>
    <s v="All levels"/>
    <x v="22"/>
    <m/>
    <m/>
    <n v="14208920"/>
    <n v="0"/>
    <m/>
    <m/>
    <m/>
    <m/>
    <m/>
    <m/>
    <m/>
    <m/>
    <m/>
    <x v="2"/>
    <x v="2"/>
    <n v="6"/>
    <x v="96"/>
    <m/>
  </r>
  <r>
    <x v="2"/>
    <x v="13"/>
    <m/>
    <s v="All levels"/>
    <x v="12"/>
    <n v="181834416"/>
    <m/>
    <n v="14208920"/>
    <n v="167625496"/>
    <m/>
    <m/>
    <m/>
    <m/>
    <m/>
    <m/>
    <m/>
    <m/>
    <m/>
    <x v="2"/>
    <x v="2"/>
    <n v="6"/>
    <x v="756"/>
    <m/>
  </r>
  <r>
    <x v="2"/>
    <x v="13"/>
    <m/>
    <s v="All levels"/>
    <x v="13"/>
    <n v="167625496"/>
    <m/>
    <n v="14208920"/>
    <n v="153416576"/>
    <m/>
    <m/>
    <m/>
    <m/>
    <m/>
    <m/>
    <m/>
    <m/>
    <m/>
    <x v="2"/>
    <x v="2"/>
    <n v="6"/>
    <x v="757"/>
    <m/>
  </r>
  <r>
    <x v="2"/>
    <x v="13"/>
    <m/>
    <s v="All levels"/>
    <x v="14"/>
    <n v="153416576"/>
    <m/>
    <n v="14208920"/>
    <n v="153607656"/>
    <m/>
    <m/>
    <s v="Expected Deliveries"/>
    <n v="14400000"/>
    <m/>
    <n v="432000"/>
    <n v="45809"/>
    <m/>
    <m/>
    <x v="2"/>
    <x v="2"/>
    <n v="6"/>
    <x v="758"/>
    <m/>
  </r>
  <r>
    <x v="2"/>
    <x v="13"/>
    <m/>
    <s v="All levels"/>
    <x v="0"/>
    <n v="153607656"/>
    <m/>
    <n v="14208920"/>
    <n v="141016144"/>
    <s v="Govt "/>
    <s v="Govt "/>
    <s v="Committed"/>
    <n v="1617408"/>
    <m/>
    <n v="48522.239999999998"/>
    <n v="45839"/>
    <m/>
    <m/>
    <x v="2"/>
    <x v="2"/>
    <n v="6"/>
    <x v="759"/>
    <m/>
  </r>
  <r>
    <x v="2"/>
    <x v="13"/>
    <m/>
    <s v="All levels"/>
    <x v="1"/>
    <n v="141016144"/>
    <m/>
    <n v="14208920"/>
    <n v="126807224"/>
    <m/>
    <m/>
    <m/>
    <m/>
    <m/>
    <m/>
    <m/>
    <m/>
    <m/>
    <x v="2"/>
    <x v="2"/>
    <n v="6"/>
    <x v="760"/>
    <m/>
  </r>
  <r>
    <x v="2"/>
    <x v="13"/>
    <m/>
    <s v="All levels"/>
    <x v="2"/>
    <n v="126807224"/>
    <m/>
    <n v="14208920"/>
    <n v="148581168"/>
    <s v="GFATM"/>
    <s v="GFATM"/>
    <s v="Committed"/>
    <n v="35982864"/>
    <m/>
    <n v="1079485.92"/>
    <n v="45901"/>
    <m/>
    <m/>
    <x v="2"/>
    <x v="2"/>
    <n v="6"/>
    <x v="761"/>
    <m/>
  </r>
  <r>
    <x v="2"/>
    <x v="13"/>
    <m/>
    <s v="All levels"/>
    <x v="3"/>
    <n v="148581168"/>
    <m/>
    <n v="14208920"/>
    <n v="167549848"/>
    <m/>
    <m/>
    <s v="Committed"/>
    <n v="33177600"/>
    <m/>
    <n v="995328"/>
    <n v="45931"/>
    <m/>
    <m/>
    <x v="2"/>
    <x v="2"/>
    <n v="6"/>
    <x v="762"/>
    <m/>
  </r>
  <r>
    <x v="2"/>
    <x v="13"/>
    <m/>
    <s v="All levels"/>
    <x v="4"/>
    <n v="167549848"/>
    <m/>
    <n v="14208920"/>
    <n v="153340928"/>
    <m/>
    <m/>
    <m/>
    <m/>
    <m/>
    <m/>
    <m/>
    <m/>
    <m/>
    <x v="2"/>
    <x v="2"/>
    <n v="6"/>
    <x v="763"/>
    <m/>
  </r>
  <r>
    <x v="2"/>
    <x v="13"/>
    <m/>
    <s v="All levels"/>
    <x v="5"/>
    <n v="153340928"/>
    <m/>
    <n v="14208920"/>
    <n v="139132008"/>
    <m/>
    <m/>
    <m/>
    <m/>
    <m/>
    <m/>
    <m/>
    <m/>
    <m/>
    <x v="2"/>
    <x v="2"/>
    <n v="6"/>
    <x v="764"/>
    <m/>
  </r>
  <r>
    <x v="2"/>
    <x v="13"/>
    <m/>
    <s v="All levels"/>
    <x v="6"/>
    <n v="139132008"/>
    <m/>
    <n v="16576898"/>
    <n v="122555110"/>
    <m/>
    <m/>
    <m/>
    <m/>
    <m/>
    <m/>
    <m/>
    <m/>
    <m/>
    <x v="2"/>
    <x v="2"/>
    <n v="6"/>
    <x v="765"/>
    <m/>
  </r>
  <r>
    <x v="2"/>
    <x v="13"/>
    <m/>
    <s v="All levels"/>
    <x v="7"/>
    <n v="122555110"/>
    <m/>
    <n v="16576898"/>
    <n v="105978212"/>
    <m/>
    <m/>
    <m/>
    <m/>
    <m/>
    <m/>
    <m/>
    <m/>
    <m/>
    <x v="2"/>
    <x v="2"/>
    <n v="6"/>
    <x v="766"/>
    <m/>
  </r>
  <r>
    <x v="2"/>
    <x v="13"/>
    <m/>
    <s v="All levels"/>
    <x v="8"/>
    <n v="105978212"/>
    <m/>
    <n v="16576898"/>
    <n v="89401314"/>
    <m/>
    <m/>
    <m/>
    <m/>
    <m/>
    <m/>
    <m/>
    <m/>
    <m/>
    <x v="2"/>
    <x v="2"/>
    <n v="6"/>
    <x v="767"/>
    <m/>
  </r>
  <r>
    <x v="2"/>
    <x v="13"/>
    <m/>
    <s v="All levels"/>
    <x v="9"/>
    <n v="89401314"/>
    <m/>
    <n v="16576898"/>
    <n v="72824416"/>
    <m/>
    <m/>
    <m/>
    <m/>
    <m/>
    <m/>
    <m/>
    <m/>
    <m/>
    <x v="2"/>
    <x v="2"/>
    <n v="6"/>
    <x v="768"/>
    <m/>
  </r>
  <r>
    <x v="2"/>
    <x v="13"/>
    <m/>
    <s v="All levels"/>
    <x v="10"/>
    <n v="72824416"/>
    <m/>
    <n v="16576898"/>
    <n v="56247518"/>
    <m/>
    <m/>
    <m/>
    <m/>
    <m/>
    <m/>
    <m/>
    <m/>
    <m/>
    <x v="2"/>
    <x v="2"/>
    <n v="6"/>
    <x v="769"/>
    <m/>
  </r>
  <r>
    <x v="2"/>
    <x v="13"/>
    <m/>
    <s v="All levels"/>
    <x v="11"/>
    <n v="56247518"/>
    <m/>
    <n v="16576898"/>
    <n v="39670620"/>
    <m/>
    <m/>
    <m/>
    <m/>
    <m/>
    <m/>
    <m/>
    <m/>
    <m/>
    <x v="2"/>
    <x v="2"/>
    <n v="6"/>
    <x v="770"/>
    <m/>
  </r>
  <r>
    <x v="2"/>
    <x v="13"/>
    <m/>
    <s v="All levels"/>
    <x v="15"/>
    <n v="39670620"/>
    <m/>
    <n v="16576898"/>
    <n v="23093722"/>
    <m/>
    <m/>
    <m/>
    <m/>
    <m/>
    <m/>
    <m/>
    <m/>
    <m/>
    <x v="2"/>
    <x v="2"/>
    <n v="6"/>
    <x v="771"/>
    <m/>
  </r>
  <r>
    <x v="2"/>
    <x v="13"/>
    <m/>
    <s v="All levels"/>
    <x v="16"/>
    <n v="23093722"/>
    <m/>
    <n v="16576898"/>
    <n v="6516824"/>
    <m/>
    <m/>
    <m/>
    <m/>
    <m/>
    <m/>
    <m/>
    <m/>
    <m/>
    <x v="2"/>
    <x v="2"/>
    <n v="6"/>
    <x v="772"/>
    <m/>
  </r>
  <r>
    <x v="2"/>
    <x v="13"/>
    <m/>
    <s v="All levels"/>
    <x v="17"/>
    <n v="6516824"/>
    <m/>
    <n v="16576898"/>
    <n v="0"/>
    <m/>
    <m/>
    <m/>
    <m/>
    <m/>
    <m/>
    <m/>
    <m/>
    <m/>
    <x v="2"/>
    <x v="2"/>
    <n v="6"/>
    <x v="96"/>
    <m/>
  </r>
  <r>
    <x v="2"/>
    <x v="13"/>
    <m/>
    <s v="All levels"/>
    <x v="18"/>
    <n v="0"/>
    <m/>
    <n v="16576898"/>
    <n v="0"/>
    <m/>
    <m/>
    <m/>
    <m/>
    <m/>
    <m/>
    <m/>
    <m/>
    <m/>
    <x v="2"/>
    <x v="2"/>
    <n v="6"/>
    <x v="96"/>
    <m/>
  </r>
  <r>
    <x v="2"/>
    <x v="13"/>
    <m/>
    <s v="All levels"/>
    <x v="19"/>
    <n v="0"/>
    <m/>
    <n v="16576898"/>
    <n v="0"/>
    <m/>
    <m/>
    <m/>
    <m/>
    <m/>
    <m/>
    <m/>
    <m/>
    <m/>
    <x v="2"/>
    <x v="2"/>
    <n v="6"/>
    <x v="96"/>
    <m/>
  </r>
  <r>
    <x v="2"/>
    <x v="13"/>
    <m/>
    <s v="All levels"/>
    <x v="20"/>
    <n v="0"/>
    <m/>
    <n v="16576898"/>
    <n v="0"/>
    <m/>
    <m/>
    <m/>
    <m/>
    <m/>
    <m/>
    <m/>
    <m/>
    <m/>
    <x v="2"/>
    <x v="2"/>
    <n v="6"/>
    <x v="96"/>
    <m/>
  </r>
  <r>
    <x v="3"/>
    <x v="13"/>
    <m/>
    <s v="All levels"/>
    <x v="21"/>
    <n v="17368146"/>
    <m/>
    <n v="2556052"/>
    <n v="14812094"/>
    <m/>
    <m/>
    <m/>
    <m/>
    <m/>
    <m/>
    <m/>
    <m/>
    <m/>
    <x v="3"/>
    <x v="3"/>
    <n v="12"/>
    <x v="773"/>
    <m/>
  </r>
  <r>
    <x v="3"/>
    <x v="13"/>
    <m/>
    <s v="All levels"/>
    <x v="22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2"/>
    <m/>
    <m/>
    <n v="2556052"/>
    <n v="4139948"/>
    <s v="PSM"/>
    <s v="USAID"/>
    <s v="Received"/>
    <n v="6696000"/>
    <m/>
    <n v="224986"/>
    <n v="45748"/>
    <m/>
    <m/>
    <x v="3"/>
    <x v="3"/>
    <n v="12"/>
    <x v="774"/>
    <m/>
  </r>
  <r>
    <x v="3"/>
    <x v="13"/>
    <m/>
    <s v="All levels"/>
    <x v="13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4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0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"/>
    <m/>
    <m/>
    <n v="2556052"/>
    <n v="0"/>
    <s v="UNFPA"/>
    <s v="UNFPA supplies"/>
    <s v="Expected Deliveries"/>
    <n v="2160000"/>
    <m/>
    <n v="72576"/>
    <n v="45870"/>
    <m/>
    <m/>
    <x v="3"/>
    <x v="3"/>
    <n v="12"/>
    <x v="96"/>
    <m/>
  </r>
  <r>
    <x v="3"/>
    <x v="13"/>
    <m/>
    <s v="All levels"/>
    <x v="2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3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4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5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6"/>
    <m/>
    <m/>
    <n v="2556052"/>
    <n v="15793376"/>
    <s v="TBD"/>
    <s v="TBD"/>
    <s v="Planned"/>
    <n v="18349428"/>
    <m/>
    <n v="616540"/>
    <n v="46023"/>
    <m/>
    <m/>
    <x v="3"/>
    <x v="3"/>
    <n v="12"/>
    <x v="775"/>
    <m/>
  </r>
  <r>
    <x v="3"/>
    <x v="13"/>
    <m/>
    <s v="All levels"/>
    <x v="7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8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9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0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1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5"/>
    <m/>
    <m/>
    <n v="2556052"/>
    <n v="16740599"/>
    <s v="TBD"/>
    <s v="TBD"/>
    <s v="Planned"/>
    <n v="19296651"/>
    <m/>
    <n v="648368"/>
    <n v="46204"/>
    <m/>
    <m/>
    <x v="3"/>
    <x v="3"/>
    <n v="12"/>
    <x v="776"/>
    <m/>
  </r>
  <r>
    <x v="3"/>
    <x v="13"/>
    <m/>
    <s v="All levels"/>
    <x v="16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7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8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9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20"/>
    <m/>
    <m/>
    <n v="2556052"/>
    <n v="12870812"/>
    <s v="WAHO"/>
    <s v="WAHO"/>
    <s v="Committed"/>
    <n v="15426864"/>
    <m/>
    <n v="518343"/>
    <n v="46357"/>
    <m/>
    <m/>
    <x v="3"/>
    <x v="3"/>
    <n v="12"/>
    <x v="777"/>
    <m/>
  </r>
  <r>
    <x v="4"/>
    <x v="13"/>
    <m/>
    <s v="All levels"/>
    <x v="0"/>
    <n v="3400970"/>
    <m/>
    <n v="2035293"/>
    <n v="1365677"/>
    <m/>
    <m/>
    <m/>
    <m/>
    <m/>
    <m/>
    <m/>
    <m/>
    <m/>
    <x v="3"/>
    <x v="3"/>
    <n v="12"/>
    <x v="778"/>
    <m/>
  </r>
  <r>
    <x v="4"/>
    <x v="13"/>
    <m/>
    <s v="All levels"/>
    <x v="1"/>
    <n v="1365677"/>
    <m/>
    <n v="2035293"/>
    <n v="0"/>
    <m/>
    <m/>
    <m/>
    <m/>
    <m/>
    <m/>
    <m/>
    <m/>
    <m/>
    <x v="3"/>
    <x v="3"/>
    <n v="12"/>
    <x v="96"/>
    <m/>
  </r>
  <r>
    <x v="4"/>
    <x v="13"/>
    <m/>
    <s v="All levels"/>
    <x v="2"/>
    <n v="0"/>
    <m/>
    <n v="2035293"/>
    <n v="7310307"/>
    <s v="UNFPA"/>
    <s v="UNFPA supplies"/>
    <s v="Expected Deliveries"/>
    <n v="9345600"/>
    <m/>
    <m/>
    <m/>
    <m/>
    <m/>
    <x v="3"/>
    <x v="3"/>
    <n v="12"/>
    <x v="779"/>
    <m/>
  </r>
  <r>
    <x v="4"/>
    <x v="13"/>
    <m/>
    <s v="All levels"/>
    <x v="3"/>
    <n v="7310307"/>
    <m/>
    <n v="2035293"/>
    <n v="5275014"/>
    <m/>
    <m/>
    <m/>
    <m/>
    <m/>
    <m/>
    <m/>
    <m/>
    <m/>
    <x v="3"/>
    <x v="3"/>
    <n v="12"/>
    <x v="780"/>
    <m/>
  </r>
  <r>
    <x v="4"/>
    <x v="13"/>
    <m/>
    <s v="All levels"/>
    <x v="4"/>
    <n v="5275014"/>
    <m/>
    <n v="2035293"/>
    <n v="24304579"/>
    <s v="Govt "/>
    <s v="Govt "/>
    <s v="Committed"/>
    <n v="21064858"/>
    <m/>
    <m/>
    <m/>
    <m/>
    <m/>
    <x v="3"/>
    <x v="3"/>
    <n v="12"/>
    <x v="781"/>
    <m/>
  </r>
  <r>
    <x v="4"/>
    <x v="13"/>
    <m/>
    <s v="All levels"/>
    <x v="5"/>
    <n v="24304579"/>
    <m/>
    <n v="2035293"/>
    <n v="22269286"/>
    <m/>
    <m/>
    <m/>
    <m/>
    <m/>
    <m/>
    <m/>
    <m/>
    <m/>
    <x v="3"/>
    <x v="3"/>
    <n v="12"/>
    <x v="782"/>
    <m/>
  </r>
  <r>
    <x v="4"/>
    <x v="13"/>
    <m/>
    <s v="All levels"/>
    <x v="6"/>
    <n v="22269286"/>
    <m/>
    <n v="2035293"/>
    <n v="20233993"/>
    <m/>
    <m/>
    <m/>
    <m/>
    <m/>
    <m/>
    <m/>
    <m/>
    <m/>
    <x v="3"/>
    <x v="3"/>
    <n v="12"/>
    <x v="783"/>
    <m/>
  </r>
  <r>
    <x v="4"/>
    <x v="13"/>
    <m/>
    <s v="All levels"/>
    <x v="7"/>
    <n v="20233993"/>
    <m/>
    <n v="2035293"/>
    <n v="18198700"/>
    <m/>
    <m/>
    <m/>
    <m/>
    <m/>
    <m/>
    <m/>
    <m/>
    <m/>
    <x v="3"/>
    <x v="3"/>
    <n v="12"/>
    <x v="784"/>
    <m/>
  </r>
  <r>
    <x v="4"/>
    <x v="13"/>
    <m/>
    <s v="All levels"/>
    <x v="8"/>
    <n v="18198700"/>
    <m/>
    <n v="2035293"/>
    <n v="16163407"/>
    <m/>
    <m/>
    <m/>
    <m/>
    <m/>
    <m/>
    <m/>
    <m/>
    <m/>
    <x v="3"/>
    <x v="3"/>
    <n v="12"/>
    <x v="785"/>
    <m/>
  </r>
  <r>
    <x v="4"/>
    <x v="13"/>
    <m/>
    <s v="All levels"/>
    <x v="9"/>
    <n v="16163407"/>
    <m/>
    <n v="2035293"/>
    <n v="14128114"/>
    <m/>
    <m/>
    <m/>
    <m/>
    <m/>
    <m/>
    <m/>
    <m/>
    <m/>
    <x v="3"/>
    <x v="3"/>
    <n v="12"/>
    <x v="786"/>
    <m/>
  </r>
  <r>
    <x v="4"/>
    <x v="13"/>
    <m/>
    <s v="All levels"/>
    <x v="10"/>
    <n v="14128114"/>
    <m/>
    <n v="2035293"/>
    <n v="12092821"/>
    <m/>
    <m/>
    <m/>
    <m/>
    <m/>
    <m/>
    <m/>
    <m/>
    <m/>
    <x v="3"/>
    <x v="3"/>
    <n v="12"/>
    <x v="787"/>
    <m/>
  </r>
  <r>
    <x v="4"/>
    <x v="13"/>
    <m/>
    <s v="All levels"/>
    <x v="11"/>
    <n v="12092821"/>
    <m/>
    <n v="2035293"/>
    <n v="10057528"/>
    <m/>
    <m/>
    <m/>
    <m/>
    <m/>
    <m/>
    <m/>
    <m/>
    <m/>
    <x v="3"/>
    <x v="3"/>
    <n v="12"/>
    <x v="788"/>
    <m/>
  </r>
  <r>
    <x v="6"/>
    <x v="13"/>
    <m/>
    <s v="All levels"/>
    <x v="12"/>
    <n v="7265492"/>
    <m/>
    <n v="329036"/>
    <n v="6936456"/>
    <m/>
    <m/>
    <m/>
    <m/>
    <m/>
    <m/>
    <m/>
    <m/>
    <m/>
    <x v="0"/>
    <x v="1"/>
    <n v="15"/>
    <x v="789"/>
    <m/>
  </r>
  <r>
    <x v="6"/>
    <x v="13"/>
    <m/>
    <s v="All levels"/>
    <x v="13"/>
    <n v="6936456"/>
    <m/>
    <n v="329036"/>
    <n v="6607420"/>
    <m/>
    <m/>
    <m/>
    <m/>
    <m/>
    <m/>
    <m/>
    <m/>
    <m/>
    <x v="0"/>
    <x v="1"/>
    <n v="15"/>
    <x v="790"/>
    <m/>
  </r>
  <r>
    <x v="6"/>
    <x v="13"/>
    <m/>
    <s v="All levels"/>
    <x v="14"/>
    <n v="6607420"/>
    <m/>
    <n v="329036"/>
    <n v="6278384"/>
    <m/>
    <m/>
    <m/>
    <m/>
    <m/>
    <m/>
    <m/>
    <m/>
    <m/>
    <x v="0"/>
    <x v="1"/>
    <n v="15"/>
    <x v="791"/>
    <m/>
  </r>
  <r>
    <x v="6"/>
    <x v="13"/>
    <m/>
    <s v="All levels"/>
    <x v="0"/>
    <n v="6278384"/>
    <m/>
    <n v="329036"/>
    <n v="5949348"/>
    <m/>
    <m/>
    <m/>
    <m/>
    <m/>
    <m/>
    <m/>
    <m/>
    <m/>
    <x v="0"/>
    <x v="1"/>
    <n v="15"/>
    <x v="792"/>
    <m/>
  </r>
  <r>
    <x v="6"/>
    <x v="13"/>
    <m/>
    <s v="All levels"/>
    <x v="1"/>
    <n v="5949348"/>
    <m/>
    <n v="329036"/>
    <n v="5620312"/>
    <m/>
    <m/>
    <m/>
    <m/>
    <m/>
    <m/>
    <m/>
    <m/>
    <m/>
    <x v="0"/>
    <x v="1"/>
    <n v="15"/>
    <x v="793"/>
    <m/>
  </r>
  <r>
    <x v="6"/>
    <x v="13"/>
    <m/>
    <s v="All levels"/>
    <x v="2"/>
    <n v="5620312"/>
    <m/>
    <n v="329036"/>
    <n v="5291276"/>
    <m/>
    <m/>
    <m/>
    <m/>
    <m/>
    <m/>
    <m/>
    <m/>
    <m/>
    <x v="0"/>
    <x v="1"/>
    <n v="15"/>
    <x v="794"/>
    <m/>
  </r>
  <r>
    <x v="6"/>
    <x v="13"/>
    <m/>
    <s v="All levels"/>
    <x v="3"/>
    <n v="5291276"/>
    <m/>
    <n v="329036"/>
    <n v="4962240"/>
    <m/>
    <m/>
    <m/>
    <m/>
    <m/>
    <m/>
    <m/>
    <m/>
    <m/>
    <x v="0"/>
    <x v="1"/>
    <n v="15"/>
    <x v="795"/>
    <m/>
  </r>
  <r>
    <x v="6"/>
    <x v="13"/>
    <m/>
    <s v="All levels"/>
    <x v="4"/>
    <n v="4962240"/>
    <m/>
    <n v="329036"/>
    <n v="4633204"/>
    <m/>
    <m/>
    <m/>
    <m/>
    <m/>
    <m/>
    <m/>
    <m/>
    <m/>
    <x v="0"/>
    <x v="1"/>
    <n v="15"/>
    <x v="796"/>
    <m/>
  </r>
  <r>
    <x v="6"/>
    <x v="13"/>
    <m/>
    <s v="All levels"/>
    <x v="5"/>
    <n v="4633204"/>
    <m/>
    <n v="329036"/>
    <n v="4304168"/>
    <m/>
    <m/>
    <m/>
    <m/>
    <m/>
    <m/>
    <m/>
    <m/>
    <m/>
    <x v="0"/>
    <x v="1"/>
    <n v="15"/>
    <x v="797"/>
    <m/>
  </r>
  <r>
    <x v="0"/>
    <x v="14"/>
    <m/>
    <s v="All levels"/>
    <x v="0"/>
    <n v="193964"/>
    <m/>
    <n v="19077"/>
    <n v="174887"/>
    <m/>
    <m/>
    <m/>
    <m/>
    <m/>
    <m/>
    <m/>
    <m/>
    <m/>
    <x v="0"/>
    <x v="0"/>
    <n v="13"/>
    <x v="798"/>
    <m/>
  </r>
  <r>
    <x v="0"/>
    <x v="14"/>
    <m/>
    <s v="All levels"/>
    <x v="1"/>
    <n v="174887"/>
    <m/>
    <n v="19077"/>
    <n v="674349"/>
    <s v="UNFPA"/>
    <s v="UNFPA"/>
    <s v="Planned"/>
    <n v="518539"/>
    <m/>
    <n v="136894"/>
    <n v="45870"/>
    <m/>
    <m/>
    <x v="0"/>
    <x v="0"/>
    <n v="13"/>
    <x v="799"/>
    <m/>
  </r>
  <r>
    <x v="0"/>
    <x v="14"/>
    <m/>
    <s v="All levels"/>
    <x v="2"/>
    <n v="674349"/>
    <m/>
    <n v="19077"/>
    <n v="655272"/>
    <m/>
    <m/>
    <m/>
    <m/>
    <m/>
    <m/>
    <m/>
    <m/>
    <m/>
    <x v="0"/>
    <x v="0"/>
    <n v="13"/>
    <x v="800"/>
    <m/>
  </r>
  <r>
    <x v="0"/>
    <x v="14"/>
    <m/>
    <s v="All levels"/>
    <x v="3"/>
    <n v="655272"/>
    <m/>
    <n v="19077"/>
    <n v="636195"/>
    <m/>
    <m/>
    <m/>
    <m/>
    <m/>
    <m/>
    <m/>
    <m/>
    <m/>
    <x v="0"/>
    <x v="0"/>
    <n v="13"/>
    <x v="801"/>
    <m/>
  </r>
  <r>
    <x v="0"/>
    <x v="14"/>
    <m/>
    <s v="All levels"/>
    <x v="4"/>
    <n v="636195"/>
    <m/>
    <n v="19077"/>
    <n v="617118"/>
    <m/>
    <m/>
    <m/>
    <m/>
    <m/>
    <m/>
    <m/>
    <m/>
    <m/>
    <x v="0"/>
    <x v="0"/>
    <n v="13"/>
    <x v="802"/>
    <m/>
  </r>
  <r>
    <x v="0"/>
    <x v="14"/>
    <m/>
    <s v="All levels"/>
    <x v="5"/>
    <n v="617118"/>
    <m/>
    <n v="19077"/>
    <n v="598041"/>
    <m/>
    <m/>
    <m/>
    <m/>
    <m/>
    <m/>
    <m/>
    <m/>
    <m/>
    <x v="0"/>
    <x v="0"/>
    <n v="13"/>
    <x v="803"/>
    <m/>
  </r>
  <r>
    <x v="0"/>
    <x v="14"/>
    <m/>
    <s v="All levels"/>
    <x v="6"/>
    <n v="598041"/>
    <m/>
    <n v="19077"/>
    <n v="1087444"/>
    <s v="TBD"/>
    <s v="TBD"/>
    <s v="Planned"/>
    <n v="508480"/>
    <m/>
    <n v="134239"/>
    <n v="46023"/>
    <m/>
    <m/>
    <x v="0"/>
    <x v="0"/>
    <n v="13"/>
    <x v="804"/>
    <m/>
  </r>
  <r>
    <x v="0"/>
    <x v="14"/>
    <m/>
    <s v="All levels"/>
    <x v="7"/>
    <n v="1087444"/>
    <m/>
    <n v="19077"/>
    <n v="1068367"/>
    <m/>
    <m/>
    <m/>
    <m/>
    <m/>
    <m/>
    <m/>
    <m/>
    <m/>
    <x v="0"/>
    <x v="0"/>
    <n v="13"/>
    <x v="805"/>
    <m/>
  </r>
  <r>
    <x v="0"/>
    <x v="14"/>
    <m/>
    <s v="All levels"/>
    <x v="8"/>
    <n v="1068367"/>
    <m/>
    <n v="19077"/>
    <n v="1049290"/>
    <m/>
    <m/>
    <m/>
    <m/>
    <m/>
    <m/>
    <m/>
    <m/>
    <m/>
    <x v="0"/>
    <x v="0"/>
    <n v="13"/>
    <x v="806"/>
    <m/>
  </r>
  <r>
    <x v="0"/>
    <x v="14"/>
    <m/>
    <s v="All levels"/>
    <x v="9"/>
    <n v="1049290"/>
    <m/>
    <n v="19077"/>
    <n v="1030213"/>
    <m/>
    <m/>
    <m/>
    <m/>
    <m/>
    <m/>
    <m/>
    <m/>
    <m/>
    <x v="0"/>
    <x v="0"/>
    <n v="13"/>
    <x v="807"/>
    <m/>
  </r>
  <r>
    <x v="0"/>
    <x v="14"/>
    <m/>
    <s v="All levels"/>
    <x v="10"/>
    <n v="1030213"/>
    <m/>
    <n v="19077"/>
    <n v="1011136"/>
    <m/>
    <m/>
    <m/>
    <m/>
    <m/>
    <m/>
    <m/>
    <m/>
    <m/>
    <x v="0"/>
    <x v="0"/>
    <n v="13"/>
    <x v="808"/>
    <m/>
  </r>
  <r>
    <x v="0"/>
    <x v="14"/>
    <m/>
    <s v="All levels"/>
    <x v="11"/>
    <n v="1011136"/>
    <m/>
    <n v="19077"/>
    <n v="1514641"/>
    <s v="TBD"/>
    <s v="TBD"/>
    <s v="Planned"/>
    <n v="522582"/>
    <m/>
    <n v="137962"/>
    <n v="46174"/>
    <m/>
    <m/>
    <x v="0"/>
    <x v="0"/>
    <n v="13"/>
    <x v="809"/>
    <m/>
  </r>
  <r>
    <x v="1"/>
    <x v="14"/>
    <m/>
    <s v="All levels"/>
    <x v="12"/>
    <n v="38405"/>
    <m/>
    <n v="6731"/>
    <n v="31674"/>
    <m/>
    <m/>
    <m/>
    <m/>
    <m/>
    <m/>
    <m/>
    <m/>
    <m/>
    <x v="1"/>
    <x v="1"/>
    <n v="15"/>
    <x v="810"/>
    <m/>
  </r>
  <r>
    <x v="1"/>
    <x v="14"/>
    <m/>
    <s v="All levels"/>
    <x v="13"/>
    <n v="31674"/>
    <m/>
    <n v="6712"/>
    <n v="24962"/>
    <m/>
    <m/>
    <m/>
    <m/>
    <m/>
    <m/>
    <m/>
    <m/>
    <m/>
    <x v="1"/>
    <x v="1"/>
    <n v="15"/>
    <x v="811"/>
    <m/>
  </r>
  <r>
    <x v="1"/>
    <x v="14"/>
    <m/>
    <s v="All levels"/>
    <x v="14"/>
    <n v="24962"/>
    <m/>
    <n v="6694"/>
    <n v="18268"/>
    <m/>
    <m/>
    <m/>
    <m/>
    <m/>
    <m/>
    <m/>
    <m/>
    <m/>
    <x v="1"/>
    <x v="1"/>
    <n v="15"/>
    <x v="812"/>
    <m/>
  </r>
  <r>
    <x v="1"/>
    <x v="14"/>
    <m/>
    <s v="All levels"/>
    <x v="0"/>
    <n v="18268"/>
    <m/>
    <n v="6676"/>
    <n v="11592"/>
    <m/>
    <m/>
    <m/>
    <m/>
    <m/>
    <m/>
    <m/>
    <m/>
    <m/>
    <x v="1"/>
    <x v="1"/>
    <n v="15"/>
    <x v="813"/>
    <m/>
  </r>
  <r>
    <x v="1"/>
    <x v="14"/>
    <m/>
    <s v="All levels"/>
    <x v="1"/>
    <n v="11592"/>
    <m/>
    <n v="6657"/>
    <n v="4935"/>
    <m/>
    <m/>
    <m/>
    <m/>
    <m/>
    <m/>
    <m/>
    <m/>
    <m/>
    <x v="1"/>
    <x v="1"/>
    <n v="15"/>
    <x v="814"/>
    <m/>
  </r>
  <r>
    <x v="1"/>
    <x v="14"/>
    <m/>
    <s v="All levels"/>
    <x v="2"/>
    <n v="4935"/>
    <m/>
    <n v="6639"/>
    <n v="148296"/>
    <m/>
    <m/>
    <s v="Committed"/>
    <n v="150000"/>
    <m/>
    <m/>
    <m/>
    <m/>
    <m/>
    <x v="1"/>
    <x v="1"/>
    <n v="15"/>
    <x v="815"/>
    <m/>
  </r>
  <r>
    <x v="1"/>
    <x v="14"/>
    <m/>
    <s v="All levels"/>
    <x v="3"/>
    <n v="148296"/>
    <m/>
    <n v="6621"/>
    <n v="141675"/>
    <m/>
    <m/>
    <m/>
    <m/>
    <m/>
    <m/>
    <m/>
    <m/>
    <m/>
    <x v="1"/>
    <x v="1"/>
    <n v="15"/>
    <x v="816"/>
    <m/>
  </r>
  <r>
    <x v="1"/>
    <x v="14"/>
    <m/>
    <s v="All levels"/>
    <x v="4"/>
    <n v="141675"/>
    <m/>
    <n v="6602"/>
    <n v="135073"/>
    <m/>
    <m/>
    <m/>
    <m/>
    <m/>
    <m/>
    <m/>
    <m/>
    <m/>
    <x v="1"/>
    <x v="1"/>
    <n v="15"/>
    <x v="817"/>
    <m/>
  </r>
  <r>
    <x v="1"/>
    <x v="14"/>
    <m/>
    <s v="All levels"/>
    <x v="5"/>
    <n v="135073"/>
    <m/>
    <n v="6584"/>
    <n v="128489"/>
    <m/>
    <m/>
    <m/>
    <m/>
    <m/>
    <m/>
    <m/>
    <m/>
    <m/>
    <x v="1"/>
    <x v="1"/>
    <n v="15"/>
    <x v="818"/>
    <m/>
  </r>
  <r>
    <x v="1"/>
    <x v="14"/>
    <m/>
    <s v="All levels"/>
    <x v="6"/>
    <n v="128489"/>
    <m/>
    <n v="6566"/>
    <n v="121923"/>
    <m/>
    <m/>
    <m/>
    <m/>
    <m/>
    <m/>
    <m/>
    <m/>
    <m/>
    <x v="1"/>
    <x v="1"/>
    <n v="15"/>
    <x v="819"/>
    <m/>
  </r>
  <r>
    <x v="1"/>
    <x v="14"/>
    <m/>
    <s v="All levels"/>
    <x v="7"/>
    <n v="121923"/>
    <m/>
    <n v="6547"/>
    <n v="115376"/>
    <m/>
    <m/>
    <m/>
    <m/>
    <m/>
    <m/>
    <m/>
    <m/>
    <m/>
    <x v="1"/>
    <x v="1"/>
    <n v="15"/>
    <x v="820"/>
    <m/>
  </r>
  <r>
    <x v="1"/>
    <x v="14"/>
    <m/>
    <s v="All levels"/>
    <x v="8"/>
    <n v="115376"/>
    <m/>
    <n v="6529"/>
    <n v="108847"/>
    <m/>
    <m/>
    <m/>
    <m/>
    <m/>
    <m/>
    <m/>
    <m/>
    <m/>
    <x v="1"/>
    <x v="1"/>
    <n v="15"/>
    <x v="821"/>
    <m/>
  </r>
  <r>
    <x v="1"/>
    <x v="14"/>
    <m/>
    <s v="All levels"/>
    <x v="9"/>
    <n v="108847"/>
    <m/>
    <n v="6511"/>
    <n v="102336"/>
    <m/>
    <m/>
    <m/>
    <m/>
    <m/>
    <m/>
    <m/>
    <m/>
    <m/>
    <x v="1"/>
    <x v="1"/>
    <n v="15"/>
    <x v="822"/>
    <m/>
  </r>
  <r>
    <x v="1"/>
    <x v="14"/>
    <m/>
    <s v="All levels"/>
    <x v="10"/>
    <n v="102336"/>
    <m/>
    <n v="6492"/>
    <n v="95844"/>
    <m/>
    <m/>
    <m/>
    <m/>
    <m/>
    <m/>
    <m/>
    <m/>
    <m/>
    <x v="1"/>
    <x v="1"/>
    <n v="15"/>
    <x v="823"/>
    <m/>
  </r>
  <r>
    <x v="1"/>
    <x v="14"/>
    <m/>
    <s v="All levels"/>
    <x v="11"/>
    <n v="95844"/>
    <m/>
    <n v="6474"/>
    <n v="89370"/>
    <m/>
    <m/>
    <m/>
    <m/>
    <m/>
    <m/>
    <m/>
    <m/>
    <m/>
    <x v="1"/>
    <x v="1"/>
    <n v="15"/>
    <x v="824"/>
    <m/>
  </r>
  <r>
    <x v="1"/>
    <x v="14"/>
    <m/>
    <s v="All levels"/>
    <x v="15"/>
    <n v="89370"/>
    <m/>
    <n v="6456"/>
    <n v="82914"/>
    <m/>
    <m/>
    <m/>
    <m/>
    <m/>
    <m/>
    <m/>
    <m/>
    <m/>
    <x v="1"/>
    <x v="1"/>
    <n v="15"/>
    <x v="825"/>
    <m/>
  </r>
  <r>
    <x v="1"/>
    <x v="14"/>
    <m/>
    <s v="All levels"/>
    <x v="16"/>
    <n v="82914"/>
    <m/>
    <n v="6437"/>
    <n v="76477"/>
    <m/>
    <m/>
    <m/>
    <m/>
    <m/>
    <m/>
    <m/>
    <m/>
    <m/>
    <x v="1"/>
    <x v="1"/>
    <n v="15"/>
    <x v="826"/>
    <m/>
  </r>
  <r>
    <x v="1"/>
    <x v="14"/>
    <m/>
    <s v="All levels"/>
    <x v="17"/>
    <n v="76477"/>
    <m/>
    <n v="6419"/>
    <n v="70058"/>
    <m/>
    <m/>
    <m/>
    <m/>
    <m/>
    <m/>
    <m/>
    <m/>
    <m/>
    <x v="1"/>
    <x v="1"/>
    <n v="15"/>
    <x v="827"/>
    <m/>
  </r>
  <r>
    <x v="2"/>
    <x v="14"/>
    <m/>
    <s v="All levels"/>
    <x v="12"/>
    <n v="595110"/>
    <m/>
    <n v="14352"/>
    <n v="580758"/>
    <m/>
    <m/>
    <m/>
    <m/>
    <m/>
    <m/>
    <m/>
    <m/>
    <m/>
    <x v="2"/>
    <x v="2"/>
    <n v="6"/>
    <x v="828"/>
    <m/>
  </r>
  <r>
    <x v="2"/>
    <x v="14"/>
    <m/>
    <s v="All levels"/>
    <x v="13"/>
    <n v="580758"/>
    <m/>
    <n v="14352"/>
    <n v="566406"/>
    <m/>
    <m/>
    <m/>
    <m/>
    <m/>
    <m/>
    <m/>
    <m/>
    <m/>
    <x v="2"/>
    <x v="2"/>
    <n v="6"/>
    <x v="829"/>
    <m/>
  </r>
  <r>
    <x v="2"/>
    <x v="14"/>
    <m/>
    <s v="All levels"/>
    <x v="14"/>
    <n v="566406"/>
    <m/>
    <n v="14352"/>
    <n v="552054"/>
    <m/>
    <m/>
    <m/>
    <m/>
    <m/>
    <m/>
    <m/>
    <m/>
    <m/>
    <x v="2"/>
    <x v="2"/>
    <n v="6"/>
    <x v="830"/>
    <m/>
  </r>
  <r>
    <x v="2"/>
    <x v="14"/>
    <m/>
    <s v="All levels"/>
    <x v="0"/>
    <n v="552054"/>
    <m/>
    <n v="14352"/>
    <n v="537702"/>
    <m/>
    <m/>
    <m/>
    <m/>
    <m/>
    <m/>
    <m/>
    <m/>
    <m/>
    <x v="2"/>
    <x v="2"/>
    <n v="6"/>
    <x v="831"/>
    <m/>
  </r>
  <r>
    <x v="2"/>
    <x v="14"/>
    <m/>
    <s v="All levels"/>
    <x v="1"/>
    <n v="537702"/>
    <m/>
    <n v="14352"/>
    <n v="523350"/>
    <m/>
    <m/>
    <m/>
    <m/>
    <m/>
    <m/>
    <m/>
    <m/>
    <m/>
    <x v="2"/>
    <x v="2"/>
    <n v="6"/>
    <x v="832"/>
    <m/>
  </r>
  <r>
    <x v="2"/>
    <x v="14"/>
    <m/>
    <s v="All levels"/>
    <x v="2"/>
    <n v="523350"/>
    <m/>
    <n v="14352"/>
    <n v="508998"/>
    <m/>
    <m/>
    <m/>
    <m/>
    <m/>
    <m/>
    <m/>
    <m/>
    <m/>
    <x v="2"/>
    <x v="2"/>
    <n v="6"/>
    <x v="833"/>
    <m/>
  </r>
  <r>
    <x v="2"/>
    <x v="14"/>
    <m/>
    <s v="All levels"/>
    <x v="3"/>
    <n v="508998"/>
    <m/>
    <n v="14352"/>
    <n v="494646"/>
    <m/>
    <m/>
    <m/>
    <m/>
    <m/>
    <m/>
    <m/>
    <m/>
    <m/>
    <x v="2"/>
    <x v="2"/>
    <n v="6"/>
    <x v="834"/>
    <m/>
  </r>
  <r>
    <x v="2"/>
    <x v="14"/>
    <m/>
    <s v="All levels"/>
    <x v="4"/>
    <n v="494646"/>
    <m/>
    <n v="14352"/>
    <n v="480294"/>
    <m/>
    <m/>
    <m/>
    <m/>
    <m/>
    <m/>
    <m/>
    <m/>
    <m/>
    <x v="2"/>
    <x v="2"/>
    <n v="6"/>
    <x v="835"/>
    <m/>
  </r>
  <r>
    <x v="2"/>
    <x v="14"/>
    <m/>
    <s v="All levels"/>
    <x v="5"/>
    <n v="480294"/>
    <m/>
    <n v="14352"/>
    <n v="465942"/>
    <m/>
    <m/>
    <m/>
    <m/>
    <m/>
    <m/>
    <m/>
    <m/>
    <m/>
    <x v="2"/>
    <x v="2"/>
    <n v="6"/>
    <x v="836"/>
    <m/>
  </r>
  <r>
    <x v="2"/>
    <x v="14"/>
    <m/>
    <s v="All levels"/>
    <x v="6"/>
    <n v="465942"/>
    <m/>
    <n v="12437"/>
    <n v="453505"/>
    <m/>
    <m/>
    <m/>
    <m/>
    <m/>
    <m/>
    <m/>
    <m/>
    <m/>
    <x v="2"/>
    <x v="2"/>
    <n v="6"/>
    <x v="837"/>
    <m/>
  </r>
  <r>
    <x v="2"/>
    <x v="14"/>
    <m/>
    <s v="All levels"/>
    <x v="7"/>
    <n v="453505"/>
    <m/>
    <n v="12437"/>
    <n v="441068"/>
    <m/>
    <m/>
    <m/>
    <m/>
    <m/>
    <m/>
    <m/>
    <m/>
    <m/>
    <x v="2"/>
    <x v="2"/>
    <n v="6"/>
    <x v="838"/>
    <m/>
  </r>
  <r>
    <x v="2"/>
    <x v="14"/>
    <m/>
    <s v="All levels"/>
    <x v="8"/>
    <n v="441068"/>
    <m/>
    <n v="12437"/>
    <n v="428631"/>
    <m/>
    <m/>
    <m/>
    <m/>
    <m/>
    <m/>
    <m/>
    <m/>
    <m/>
    <x v="2"/>
    <x v="2"/>
    <n v="6"/>
    <x v="839"/>
    <m/>
  </r>
  <r>
    <x v="2"/>
    <x v="14"/>
    <m/>
    <s v="All levels"/>
    <x v="9"/>
    <n v="428631"/>
    <m/>
    <n v="12437"/>
    <n v="416194"/>
    <m/>
    <m/>
    <m/>
    <m/>
    <m/>
    <m/>
    <m/>
    <m/>
    <m/>
    <x v="2"/>
    <x v="2"/>
    <n v="6"/>
    <x v="840"/>
    <m/>
  </r>
  <r>
    <x v="2"/>
    <x v="14"/>
    <m/>
    <s v="All levels"/>
    <x v="10"/>
    <n v="416194"/>
    <m/>
    <n v="12437"/>
    <n v="403757"/>
    <m/>
    <m/>
    <m/>
    <m/>
    <m/>
    <m/>
    <m/>
    <m/>
    <m/>
    <x v="2"/>
    <x v="2"/>
    <n v="6"/>
    <x v="841"/>
    <m/>
  </r>
  <r>
    <x v="2"/>
    <x v="14"/>
    <m/>
    <s v="All levels"/>
    <x v="11"/>
    <n v="403757"/>
    <m/>
    <n v="12437"/>
    <n v="391320"/>
    <m/>
    <m/>
    <m/>
    <m/>
    <m/>
    <m/>
    <m/>
    <m/>
    <m/>
    <x v="2"/>
    <x v="2"/>
    <n v="6"/>
    <x v="842"/>
    <m/>
  </r>
  <r>
    <x v="2"/>
    <x v="14"/>
    <m/>
    <s v="All levels"/>
    <x v="15"/>
    <n v="391320"/>
    <m/>
    <n v="12437"/>
    <n v="378883"/>
    <m/>
    <m/>
    <m/>
    <m/>
    <m/>
    <m/>
    <m/>
    <m/>
    <m/>
    <x v="2"/>
    <x v="2"/>
    <n v="6"/>
    <x v="843"/>
    <m/>
  </r>
  <r>
    <x v="2"/>
    <x v="14"/>
    <m/>
    <s v="All levels"/>
    <x v="16"/>
    <n v="378883"/>
    <m/>
    <n v="12437"/>
    <n v="366446"/>
    <m/>
    <m/>
    <m/>
    <m/>
    <m/>
    <m/>
    <m/>
    <m/>
    <m/>
    <x v="2"/>
    <x v="2"/>
    <n v="6"/>
    <x v="844"/>
    <m/>
  </r>
  <r>
    <x v="2"/>
    <x v="14"/>
    <m/>
    <s v="All levels"/>
    <x v="17"/>
    <n v="366446"/>
    <m/>
    <n v="12437"/>
    <n v="354009"/>
    <m/>
    <m/>
    <m/>
    <m/>
    <m/>
    <m/>
    <m/>
    <m/>
    <m/>
    <x v="2"/>
    <x v="2"/>
    <n v="6"/>
    <x v="845"/>
    <m/>
  </r>
  <r>
    <x v="2"/>
    <x v="14"/>
    <m/>
    <s v="All levels"/>
    <x v="18"/>
    <n v="354009"/>
    <m/>
    <n v="12437"/>
    <n v="341572"/>
    <m/>
    <m/>
    <m/>
    <m/>
    <m/>
    <m/>
    <m/>
    <m/>
    <m/>
    <x v="2"/>
    <x v="2"/>
    <n v="6"/>
    <x v="846"/>
    <m/>
  </r>
  <r>
    <x v="2"/>
    <x v="14"/>
    <m/>
    <s v="All levels"/>
    <x v="19"/>
    <n v="341572"/>
    <m/>
    <n v="12437"/>
    <n v="329135"/>
    <m/>
    <m/>
    <m/>
    <m/>
    <m/>
    <m/>
    <m/>
    <m/>
    <m/>
    <x v="2"/>
    <x v="2"/>
    <n v="6"/>
    <x v="847"/>
    <m/>
  </r>
  <r>
    <x v="2"/>
    <x v="14"/>
    <m/>
    <s v="All levels"/>
    <x v="20"/>
    <n v="329135"/>
    <m/>
    <n v="12437"/>
    <n v="316698"/>
    <m/>
    <m/>
    <m/>
    <m/>
    <m/>
    <m/>
    <m/>
    <m/>
    <m/>
    <x v="2"/>
    <x v="2"/>
    <n v="6"/>
    <x v="848"/>
    <m/>
  </r>
  <r>
    <x v="3"/>
    <x v="14"/>
    <m/>
    <s v="All levels"/>
    <x v="21"/>
    <n v="100821"/>
    <m/>
    <n v="43147"/>
    <n v="57674"/>
    <m/>
    <m/>
    <m/>
    <m/>
    <m/>
    <m/>
    <m/>
    <m/>
    <m/>
    <x v="3"/>
    <x v="3"/>
    <n v="12"/>
    <x v="849"/>
    <m/>
  </r>
  <r>
    <x v="3"/>
    <x v="14"/>
    <m/>
    <s v="All levels"/>
    <x v="22"/>
    <n v="57674"/>
    <m/>
    <n v="43147"/>
    <n v="81487"/>
    <s v="PSM"/>
    <s v="USAID"/>
    <s v="Received"/>
    <n v="66960"/>
    <m/>
    <n v="22499"/>
    <n v="45717"/>
    <m/>
    <m/>
    <x v="3"/>
    <x v="3"/>
    <n v="12"/>
    <x v="850"/>
    <m/>
  </r>
  <r>
    <x v="3"/>
    <x v="14"/>
    <m/>
    <s v="All levels"/>
    <x v="12"/>
    <n v="81487"/>
    <m/>
    <n v="43147"/>
    <n v="38340"/>
    <m/>
    <m/>
    <m/>
    <m/>
    <m/>
    <m/>
    <m/>
    <m/>
    <m/>
    <x v="3"/>
    <x v="3"/>
    <n v="12"/>
    <x v="851"/>
    <m/>
  </r>
  <r>
    <x v="3"/>
    <x v="14"/>
    <m/>
    <s v="All levels"/>
    <x v="13"/>
    <n v="3834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4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0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2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3"/>
    <n v="0"/>
    <m/>
    <n v="43147"/>
    <n v="19122"/>
    <s v="TBD"/>
    <s v="TBD"/>
    <s v="Planned"/>
    <n v="62269"/>
    <m/>
    <n v="20922"/>
    <n v="45931"/>
    <m/>
    <m/>
    <x v="3"/>
    <x v="3"/>
    <n v="12"/>
    <x v="852"/>
    <m/>
  </r>
  <r>
    <x v="3"/>
    <x v="14"/>
    <m/>
    <s v="All levels"/>
    <x v="4"/>
    <n v="19122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5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6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7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8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9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0"/>
    <n v="0"/>
    <m/>
    <n v="43147"/>
    <n v="23773"/>
    <s v="TBD"/>
    <s v="TBD"/>
    <s v="Planned"/>
    <n v="66920"/>
    <m/>
    <n v="22485"/>
    <n v="46143"/>
    <m/>
    <m/>
    <x v="3"/>
    <x v="3"/>
    <n v="12"/>
    <x v="853"/>
    <m/>
  </r>
  <r>
    <x v="3"/>
    <x v="14"/>
    <m/>
    <s v="All levels"/>
    <x v="11"/>
    <n v="23773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5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6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7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8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9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20"/>
    <n v="0"/>
    <m/>
    <n v="43147"/>
    <n v="24231"/>
    <s v="TBD"/>
    <s v="TBD"/>
    <s v="Planned"/>
    <n v="67378"/>
    <m/>
    <n v="22639"/>
    <n v="46357"/>
    <m/>
    <m/>
    <x v="3"/>
    <x v="3"/>
    <n v="12"/>
    <x v="854"/>
    <m/>
  </r>
  <r>
    <x v="4"/>
    <x v="15"/>
    <s v="cycle "/>
    <s v="All levels"/>
    <x v="0"/>
    <n v="542712"/>
    <m/>
    <n v="117973"/>
    <n v="424739"/>
    <m/>
    <m/>
    <m/>
    <m/>
    <m/>
    <m/>
    <m/>
    <m/>
    <m/>
    <x v="3"/>
    <x v="3"/>
    <n v="12"/>
    <x v="855"/>
    <m/>
  </r>
  <r>
    <x v="4"/>
    <x v="15"/>
    <s v="cycle "/>
    <s v="All levels"/>
    <x v="1"/>
    <n v="424739"/>
    <m/>
    <n v="117973"/>
    <n v="1785646"/>
    <s v="UNFPA"/>
    <s v="UNFPA"/>
    <s v="Expected Deliveries"/>
    <n v="1478880"/>
    <m/>
    <m/>
    <n v="42217"/>
    <m/>
    <m/>
    <x v="3"/>
    <x v="3"/>
    <n v="12"/>
    <x v="856"/>
    <m/>
  </r>
  <r>
    <x v="4"/>
    <x v="15"/>
    <s v="cycle "/>
    <s v="All levels"/>
    <x v="2"/>
    <n v="1785646"/>
    <m/>
    <n v="117973"/>
    <n v="1667673"/>
    <m/>
    <m/>
    <m/>
    <m/>
    <m/>
    <m/>
    <m/>
    <m/>
    <m/>
    <x v="3"/>
    <x v="3"/>
    <n v="12"/>
    <x v="857"/>
    <m/>
  </r>
  <r>
    <x v="4"/>
    <x v="15"/>
    <s v="cycle "/>
    <s v="All levels"/>
    <x v="3"/>
    <n v="1667673"/>
    <m/>
    <n v="117973"/>
    <n v="1549700"/>
    <m/>
    <m/>
    <m/>
    <m/>
    <m/>
    <m/>
    <m/>
    <m/>
    <m/>
    <x v="3"/>
    <x v="3"/>
    <n v="12"/>
    <x v="858"/>
    <m/>
  </r>
  <r>
    <x v="4"/>
    <x v="15"/>
    <s v="cycle "/>
    <s v="All levels"/>
    <x v="4"/>
    <n v="1549700"/>
    <m/>
    <n v="117973"/>
    <n v="1431727"/>
    <m/>
    <m/>
    <m/>
    <m/>
    <m/>
    <m/>
    <m/>
    <m/>
    <m/>
    <x v="3"/>
    <x v="3"/>
    <n v="12"/>
    <x v="859"/>
    <m/>
  </r>
  <r>
    <x v="4"/>
    <x v="15"/>
    <s v="cycle "/>
    <s v="All levels"/>
    <x v="5"/>
    <n v="1431727"/>
    <m/>
    <n v="117973"/>
    <n v="1313754"/>
    <m/>
    <m/>
    <m/>
    <m/>
    <m/>
    <m/>
    <m/>
    <m/>
    <m/>
    <x v="3"/>
    <x v="3"/>
    <n v="12"/>
    <x v="860"/>
    <m/>
  </r>
  <r>
    <x v="4"/>
    <x v="15"/>
    <s v="cycle "/>
    <s v="All levels"/>
    <x v="6"/>
    <n v="1313754"/>
    <m/>
    <n v="117973"/>
    <n v="1402803"/>
    <s v="Govt"/>
    <s v="Govt"/>
    <s v="Committed"/>
    <n v="207022"/>
    <m/>
    <m/>
    <m/>
    <m/>
    <m/>
    <x v="3"/>
    <x v="3"/>
    <n v="12"/>
    <x v="861"/>
    <m/>
  </r>
  <r>
    <x v="4"/>
    <x v="15"/>
    <s v="cycle "/>
    <s v="All levels"/>
    <x v="7"/>
    <n v="1402803"/>
    <m/>
    <n v="117973"/>
    <n v="1284830"/>
    <m/>
    <m/>
    <m/>
    <m/>
    <m/>
    <m/>
    <m/>
    <m/>
    <m/>
    <x v="3"/>
    <x v="3"/>
    <n v="12"/>
    <x v="862"/>
    <m/>
  </r>
  <r>
    <x v="4"/>
    <x v="15"/>
    <s v="cycle "/>
    <s v="All levels"/>
    <x v="8"/>
    <n v="1284830"/>
    <m/>
    <n v="117973"/>
    <n v="1166857"/>
    <m/>
    <m/>
    <m/>
    <m/>
    <m/>
    <m/>
    <m/>
    <m/>
    <m/>
    <x v="3"/>
    <x v="3"/>
    <n v="12"/>
    <x v="863"/>
    <m/>
  </r>
  <r>
    <x v="4"/>
    <x v="15"/>
    <s v="cycle "/>
    <s v="All levels"/>
    <x v="9"/>
    <n v="1166857"/>
    <m/>
    <n v="117973"/>
    <n v="1048884"/>
    <m/>
    <m/>
    <m/>
    <m/>
    <m/>
    <m/>
    <m/>
    <m/>
    <m/>
    <x v="3"/>
    <x v="3"/>
    <n v="12"/>
    <x v="864"/>
    <m/>
  </r>
  <r>
    <x v="4"/>
    <x v="15"/>
    <s v="cycle "/>
    <s v="All levels"/>
    <x v="10"/>
    <n v="1048884"/>
    <m/>
    <n v="117973"/>
    <n v="930911"/>
    <m/>
    <m/>
    <m/>
    <m/>
    <m/>
    <m/>
    <m/>
    <m/>
    <m/>
    <x v="3"/>
    <x v="3"/>
    <n v="12"/>
    <x v="865"/>
    <m/>
  </r>
  <r>
    <x v="4"/>
    <x v="15"/>
    <s v="cycle "/>
    <s v="All levels"/>
    <x v="11"/>
    <n v="930911"/>
    <m/>
    <n v="117973"/>
    <n v="812938"/>
    <m/>
    <m/>
    <m/>
    <m/>
    <m/>
    <m/>
    <m/>
    <m/>
    <m/>
    <x v="3"/>
    <x v="3"/>
    <n v="12"/>
    <x v="866"/>
    <m/>
  </r>
  <r>
    <x v="5"/>
    <x v="14"/>
    <s v="cycle "/>
    <s v="All levels"/>
    <x v="23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21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22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2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3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4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0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"/>
    <n v="5304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2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3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4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5"/>
    <n v="0"/>
    <m/>
    <n v="28000"/>
    <n v="124714"/>
    <s v="TBD"/>
    <s v="TBD"/>
    <s v="Planned"/>
    <n v="152714"/>
    <m/>
    <m/>
    <m/>
    <m/>
    <m/>
    <x v="2"/>
    <x v="2"/>
    <n v="6"/>
    <x v="867"/>
    <m/>
  </r>
  <r>
    <x v="5"/>
    <x v="14"/>
    <s v="cycle "/>
    <s v="All levels"/>
    <x v="6"/>
    <n v="124714"/>
    <m/>
    <n v="28000"/>
    <n v="96714"/>
    <m/>
    <m/>
    <m/>
    <m/>
    <m/>
    <m/>
    <m/>
    <m/>
    <m/>
    <x v="2"/>
    <x v="2"/>
    <n v="6"/>
    <x v="868"/>
    <m/>
  </r>
  <r>
    <x v="5"/>
    <x v="14"/>
    <s v="cycle "/>
    <s v="All levels"/>
    <x v="7"/>
    <n v="96714"/>
    <m/>
    <n v="28000"/>
    <n v="68714"/>
    <m/>
    <m/>
    <m/>
    <m/>
    <m/>
    <m/>
    <m/>
    <m/>
    <m/>
    <x v="2"/>
    <x v="2"/>
    <n v="6"/>
    <x v="869"/>
    <m/>
  </r>
  <r>
    <x v="5"/>
    <x v="14"/>
    <s v="cycle "/>
    <s v="All levels"/>
    <x v="8"/>
    <n v="68714"/>
    <m/>
    <n v="28000"/>
    <n v="40714"/>
    <m/>
    <m/>
    <m/>
    <m/>
    <m/>
    <m/>
    <m/>
    <m/>
    <m/>
    <x v="2"/>
    <x v="2"/>
    <n v="6"/>
    <x v="870"/>
    <m/>
  </r>
  <r>
    <x v="5"/>
    <x v="14"/>
    <s v="cycle "/>
    <s v="All levels"/>
    <x v="9"/>
    <n v="40714"/>
    <m/>
    <n v="28000"/>
    <n v="12714"/>
    <m/>
    <m/>
    <m/>
    <m/>
    <m/>
    <m/>
    <m/>
    <m/>
    <m/>
    <x v="2"/>
    <x v="2"/>
    <n v="6"/>
    <x v="871"/>
    <m/>
  </r>
  <r>
    <x v="5"/>
    <x v="14"/>
    <s v="cycle "/>
    <s v="All levels"/>
    <x v="10"/>
    <n v="12714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1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5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6"/>
    <n v="0"/>
    <m/>
    <n v="28000"/>
    <n v="0"/>
    <m/>
    <m/>
    <m/>
    <m/>
    <m/>
    <m/>
    <m/>
    <m/>
    <m/>
    <x v="2"/>
    <x v="2"/>
    <n v="6"/>
    <x v="96"/>
    <m/>
  </r>
  <r>
    <x v="6"/>
    <x v="14"/>
    <s v="cycle "/>
    <s v="All levels"/>
    <x v="12"/>
    <n v="226023"/>
    <m/>
    <n v="22398"/>
    <n v="203625"/>
    <m/>
    <m/>
    <m/>
    <m/>
    <m/>
    <m/>
    <m/>
    <m/>
    <m/>
    <x v="0"/>
    <x v="1"/>
    <n v="15"/>
    <x v="872"/>
    <m/>
  </r>
  <r>
    <x v="6"/>
    <x v="14"/>
    <s v="cycle "/>
    <s v="All levels"/>
    <x v="13"/>
    <n v="203625"/>
    <m/>
    <n v="22398"/>
    <n v="181227"/>
    <m/>
    <m/>
    <m/>
    <m/>
    <m/>
    <m/>
    <m/>
    <m/>
    <m/>
    <x v="0"/>
    <x v="1"/>
    <n v="15"/>
    <x v="873"/>
    <m/>
  </r>
  <r>
    <x v="6"/>
    <x v="14"/>
    <s v="cycle "/>
    <s v="All levels"/>
    <x v="14"/>
    <n v="181227"/>
    <m/>
    <n v="22398"/>
    <n v="304989"/>
    <m/>
    <m/>
    <m/>
    <n v="146160"/>
    <m/>
    <m/>
    <m/>
    <m/>
    <m/>
    <x v="0"/>
    <x v="1"/>
    <n v="15"/>
    <x v="874"/>
    <m/>
  </r>
  <r>
    <x v="6"/>
    <x v="14"/>
    <s v="cycle "/>
    <s v="All levels"/>
    <x v="0"/>
    <n v="304989"/>
    <m/>
    <n v="22398"/>
    <n v="282591"/>
    <m/>
    <m/>
    <m/>
    <m/>
    <m/>
    <m/>
    <m/>
    <m/>
    <m/>
    <x v="0"/>
    <x v="1"/>
    <n v="15"/>
    <x v="875"/>
    <m/>
  </r>
  <r>
    <x v="6"/>
    <x v="14"/>
    <s v="cycle "/>
    <s v="All levels"/>
    <x v="1"/>
    <n v="282591"/>
    <m/>
    <n v="22398"/>
    <n v="260193"/>
    <m/>
    <m/>
    <m/>
    <m/>
    <m/>
    <m/>
    <m/>
    <m/>
    <m/>
    <x v="0"/>
    <x v="1"/>
    <n v="15"/>
    <x v="876"/>
    <m/>
  </r>
  <r>
    <x v="6"/>
    <x v="14"/>
    <s v="cycle "/>
    <s v="All levels"/>
    <x v="2"/>
    <n v="260193"/>
    <m/>
    <n v="22398"/>
    <n v="237795"/>
    <m/>
    <m/>
    <m/>
    <m/>
    <m/>
    <m/>
    <m/>
    <m/>
    <m/>
    <x v="0"/>
    <x v="1"/>
    <n v="15"/>
    <x v="877"/>
    <m/>
  </r>
  <r>
    <x v="6"/>
    <x v="14"/>
    <s v="cycle "/>
    <s v="All levels"/>
    <x v="3"/>
    <n v="237795"/>
    <m/>
    <n v="22398"/>
    <n v="215397"/>
    <m/>
    <m/>
    <m/>
    <m/>
    <m/>
    <m/>
    <m/>
    <m/>
    <m/>
    <x v="0"/>
    <x v="1"/>
    <n v="15"/>
    <x v="878"/>
    <m/>
  </r>
  <r>
    <x v="6"/>
    <x v="14"/>
    <s v="cycle "/>
    <s v="All levels"/>
    <x v="4"/>
    <n v="215397"/>
    <m/>
    <n v="22398"/>
    <n v="192999"/>
    <m/>
    <m/>
    <m/>
    <m/>
    <m/>
    <m/>
    <m/>
    <m/>
    <m/>
    <x v="0"/>
    <x v="1"/>
    <n v="15"/>
    <x v="879"/>
    <m/>
  </r>
  <r>
    <x v="6"/>
    <x v="14"/>
    <s v="cycle "/>
    <s v="All levels"/>
    <x v="5"/>
    <n v="192999"/>
    <m/>
    <n v="22398"/>
    <n v="170601"/>
    <m/>
    <m/>
    <m/>
    <m/>
    <m/>
    <m/>
    <m/>
    <m/>
    <m/>
    <x v="0"/>
    <x v="1"/>
    <n v="15"/>
    <x v="880"/>
    <m/>
  </r>
</pivotCacheRecords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_rels/pivotTable2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B7086-B7D1-4E7B-8A1A-7462C3D23AE0}" name="PivotTable2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iod ">
  <location ref="H5:K17" firstHeaderRow="0" firstDataRow="1" firstDataCol="1" rowPageCount="2" colPageCount="1"/>
  <pivotFields count="23">
    <pivotField axis="axisPage" showAll="0">
      <items count="9">
        <item x="7"/>
        <item x="4"/>
        <item x="3"/>
        <item x="1"/>
        <item x="0"/>
        <item x="6"/>
        <item x="5"/>
        <item x="2"/>
        <item t="default"/>
      </items>
    </pivotField>
    <pivotField axis="axisPage" showAll="0">
      <items count="17">
        <item x="4"/>
        <item x="10"/>
        <item x="8"/>
        <item x="7"/>
        <item x="14"/>
        <item x="9"/>
        <item x="12"/>
        <item x="11"/>
        <item x="1"/>
        <item x="0"/>
        <item x="13"/>
        <item x="6"/>
        <item x="5"/>
        <item x="15"/>
        <item x="3"/>
        <item x="2"/>
        <item t="default"/>
      </items>
    </pivotField>
    <pivotField showAll="0"/>
    <pivotField showAll="0"/>
    <pivotField axis="axisRow" numFmtId="17" showAll="0">
      <items count="25">
        <item x="23"/>
        <item x="21"/>
        <item x="22"/>
        <item x="12"/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2"/>
        <item x="3"/>
        <item x="1"/>
        <item x="0"/>
        <item x="4"/>
        <item t="default"/>
      </items>
    </pivotField>
    <pivotField dataField="1" showAll="0">
      <items count="6">
        <item x="2"/>
        <item x="3"/>
        <item x="0"/>
        <item x="1"/>
        <item x="4"/>
        <item t="default"/>
      </items>
    </pivotField>
    <pivotField showAll="0"/>
    <pivotField dataField="1" showAll="0">
      <items count="882">
        <item x="96"/>
        <item x="558"/>
        <item x="50"/>
        <item x="515"/>
        <item x="178"/>
        <item x="513"/>
        <item x="147"/>
        <item x="572"/>
        <item x="707"/>
        <item x="691"/>
        <item x="215"/>
        <item x="379"/>
        <item x="619"/>
        <item x="772"/>
        <item x="620"/>
        <item x="852"/>
        <item x="871"/>
        <item x="261"/>
        <item x="358"/>
        <item x="712"/>
        <item x="853"/>
        <item x="95"/>
        <item x="854"/>
        <item x="440"/>
        <item x="294"/>
        <item x="650"/>
        <item x="778"/>
        <item x="285"/>
        <item x="437"/>
        <item x="704"/>
        <item x="593"/>
        <item x="814"/>
        <item x="701"/>
        <item x="567"/>
        <item x="511"/>
        <item x="458"/>
        <item x="93"/>
        <item x="851"/>
        <item x="117"/>
        <item x="122"/>
        <item x="557"/>
        <item x="286"/>
        <item x="224"/>
        <item x="49"/>
        <item x="514"/>
        <item x="229"/>
        <item x="92"/>
        <item x="177"/>
        <item x="192"/>
        <item x="190"/>
        <item x="512"/>
        <item x="146"/>
        <item x="438"/>
        <item x="571"/>
        <item x="706"/>
        <item x="690"/>
        <item x="234"/>
        <item x="214"/>
        <item x="378"/>
        <item x="618"/>
        <item x="849"/>
        <item x="771"/>
        <item x="695"/>
        <item x="870"/>
        <item x="647"/>
        <item x="260"/>
        <item x="711"/>
        <item x="221"/>
        <item x="617"/>
        <item x="357"/>
        <item x="94"/>
        <item x="449"/>
        <item x="439"/>
        <item x="293"/>
        <item x="774"/>
        <item x="649"/>
        <item x="436"/>
        <item x="703"/>
        <item x="813"/>
        <item x="592"/>
        <item x="700"/>
        <item x="289"/>
        <item x="510"/>
        <item x="457"/>
        <item x="850"/>
        <item x="116"/>
        <item x="316"/>
        <item x="121"/>
        <item x="556"/>
        <item x="223"/>
        <item x="48"/>
        <item x="574"/>
        <item x="228"/>
        <item x="176"/>
        <item x="191"/>
        <item x="508"/>
        <item x="189"/>
        <item x="145"/>
        <item x="705"/>
        <item x="570"/>
        <item x="689"/>
        <item x="153"/>
        <item x="233"/>
        <item x="213"/>
        <item x="377"/>
        <item x="770"/>
        <item x="694"/>
        <item x="869"/>
        <item x="646"/>
        <item x="710"/>
        <item x="259"/>
        <item x="220"/>
        <item x="356"/>
        <item x="448"/>
        <item x="780"/>
        <item x="568"/>
        <item x="292"/>
        <item x="648"/>
        <item x="435"/>
        <item x="812"/>
        <item x="702"/>
        <item x="591"/>
        <item x="699"/>
        <item x="565"/>
        <item x="288"/>
        <item x="99"/>
        <item x="456"/>
        <item x="102"/>
        <item x="0"/>
        <item x="115"/>
        <item x="315"/>
        <item x="120"/>
        <item x="555"/>
        <item x="47"/>
        <item x="373"/>
        <item x="573"/>
        <item x="125"/>
        <item x="227"/>
        <item x="496"/>
        <item x="175"/>
        <item x="17"/>
        <item x="507"/>
        <item x="595"/>
        <item x="188"/>
        <item x="91"/>
        <item x="144"/>
        <item x="688"/>
        <item x="569"/>
        <item x="152"/>
        <item x="232"/>
        <item x="212"/>
        <item x="81"/>
        <item x="477"/>
        <item x="376"/>
        <item x="5"/>
        <item x="769"/>
        <item x="693"/>
        <item x="868"/>
        <item x="258"/>
        <item x="709"/>
        <item x="219"/>
        <item x="355"/>
        <item x="447"/>
        <item x="779"/>
        <item x="652"/>
        <item x="855"/>
        <item x="291"/>
        <item x="434"/>
        <item x="811"/>
        <item x="590"/>
        <item x="10"/>
        <item x="698"/>
        <item x="564"/>
        <item x="287"/>
        <item x="98"/>
        <item x="455"/>
        <item x="101"/>
        <item x="114"/>
        <item x="314"/>
        <item x="603"/>
        <item x="119"/>
        <item x="239"/>
        <item x="46"/>
        <item x="372"/>
        <item x="124"/>
        <item x="226"/>
        <item x="495"/>
        <item x="174"/>
        <item x="506"/>
        <item x="594"/>
        <item x="16"/>
        <item x="187"/>
        <item x="104"/>
        <item x="90"/>
        <item x="687"/>
        <item x="151"/>
        <item x="509"/>
        <item x="231"/>
        <item x="211"/>
        <item x="80"/>
        <item x="476"/>
        <item x="375"/>
        <item x="4"/>
        <item x="768"/>
        <item x="692"/>
        <item x="867"/>
        <item x="309"/>
        <item x="257"/>
        <item x="113"/>
        <item x="218"/>
        <item x="354"/>
        <item x="446"/>
        <item x="651"/>
        <item x="517"/>
        <item x="290"/>
        <item x="708"/>
        <item x="810"/>
        <item x="433"/>
        <item x="505"/>
        <item x="589"/>
        <item x="9"/>
        <item x="697"/>
        <item x="563"/>
        <item x="97"/>
        <item x="454"/>
        <item x="596"/>
        <item x="100"/>
        <item x="788"/>
        <item x="313"/>
        <item x="602"/>
        <item x="118"/>
        <item x="777"/>
        <item x="45"/>
        <item x="238"/>
        <item x="123"/>
        <item x="225"/>
        <item x="494"/>
        <item x="173"/>
        <item x="475"/>
        <item x="186"/>
        <item x="103"/>
        <item x="89"/>
        <item x="15"/>
        <item x="150"/>
        <item x="230"/>
        <item x="443"/>
        <item x="374"/>
        <item x="3"/>
        <item x="767"/>
        <item x="600"/>
        <item x="308"/>
        <item x="256"/>
        <item x="112"/>
        <item x="217"/>
        <item x="162"/>
        <item x="353"/>
        <item x="445"/>
        <item x="516"/>
        <item x="240"/>
        <item x="432"/>
        <item x="504"/>
        <item x="588"/>
        <item x="8"/>
        <item x="696"/>
        <item x="562"/>
        <item x="773"/>
        <item x="82"/>
        <item x="303"/>
        <item x="453"/>
        <item x="787"/>
        <item x="672"/>
        <item x="312"/>
        <item x="601"/>
        <item x="302"/>
        <item x="44"/>
        <item x="56"/>
        <item x="493"/>
        <item x="172"/>
        <item x="185"/>
        <item x="88"/>
        <item x="14"/>
        <item x="237"/>
        <item x="306"/>
        <item x="775"/>
        <item x="149"/>
        <item x="743"/>
        <item x="246"/>
        <item x="671"/>
        <item x="252"/>
        <item x="442"/>
        <item x="474"/>
        <item x="281"/>
        <item x="2"/>
        <item x="766"/>
        <item x="599"/>
        <item x="719"/>
        <item x="168"/>
        <item x="255"/>
        <item x="111"/>
        <item x="216"/>
        <item x="161"/>
        <item x="352"/>
        <item x="381"/>
        <item x="776"/>
        <item x="444"/>
        <item x="502"/>
        <item x="664"/>
        <item x="129"/>
        <item x="431"/>
        <item x="503"/>
        <item x="235"/>
        <item x="587"/>
        <item x="7"/>
        <item x="452"/>
        <item x="866"/>
        <item x="786"/>
        <item x="311"/>
        <item x="725"/>
        <item x="752"/>
        <item x="740"/>
        <item x="301"/>
        <item x="43"/>
        <item x="55"/>
        <item x="492"/>
        <item x="171"/>
        <item x="738"/>
        <item x="184"/>
        <item x="87"/>
        <item x="386"/>
        <item x="305"/>
        <item x="13"/>
        <item x="148"/>
        <item x="577"/>
        <item x="486"/>
        <item x="742"/>
        <item x="236"/>
        <item x="670"/>
        <item x="391"/>
        <item x="441"/>
        <item x="566"/>
        <item x="245"/>
        <item x="473"/>
        <item x="673"/>
        <item x="251"/>
        <item x="280"/>
        <item x="1"/>
        <item x="765"/>
        <item x="598"/>
        <item x="133"/>
        <item x="167"/>
        <item x="393"/>
        <item x="718"/>
        <item x="254"/>
        <item x="110"/>
        <item x="323"/>
        <item x="160"/>
        <item x="222"/>
        <item x="380"/>
        <item x="880"/>
        <item x="274"/>
        <item x="501"/>
        <item x="128"/>
        <item x="25"/>
        <item x="586"/>
        <item x="6"/>
        <item x="560"/>
        <item x="451"/>
        <item x="38"/>
        <item x="865"/>
        <item x="141"/>
        <item x="785"/>
        <item x="310"/>
        <item x="739"/>
        <item x="724"/>
        <item x="585"/>
        <item x="751"/>
        <item x="79"/>
        <item x="335"/>
        <item x="300"/>
        <item x="42"/>
        <item x="54"/>
        <item x="873"/>
        <item x="491"/>
        <item x="183"/>
        <item x="86"/>
        <item x="385"/>
        <item x="304"/>
        <item x="12"/>
        <item x="576"/>
        <item x="485"/>
        <item x="741"/>
        <item x="669"/>
        <item x="11"/>
        <item x="634"/>
        <item x="390"/>
        <item x="107"/>
        <item x="263"/>
        <item x="328"/>
        <item x="262"/>
        <item x="279"/>
        <item x="597"/>
        <item x="244"/>
        <item x="132"/>
        <item x="717"/>
        <item x="166"/>
        <item x="250"/>
        <item x="253"/>
        <item x="109"/>
        <item x="322"/>
        <item x="159"/>
        <item x="472"/>
        <item x="639"/>
        <item x="879"/>
        <item x="273"/>
        <item x="500"/>
        <item x="644"/>
        <item x="127"/>
        <item x="392"/>
        <item x="471"/>
        <item x="24"/>
        <item x="559"/>
        <item x="72"/>
        <item x="450"/>
        <item x="37"/>
        <item x="665"/>
        <item x="864"/>
        <item x="140"/>
        <item x="760"/>
        <item x="784"/>
        <item x="723"/>
        <item x="584"/>
        <item x="750"/>
        <item x="78"/>
        <item x="334"/>
        <item x="299"/>
        <item x="41"/>
        <item x="53"/>
        <item x="872"/>
        <item x="490"/>
        <item x="182"/>
        <item x="85"/>
        <item x="384"/>
        <item x="798"/>
        <item x="524"/>
        <item x="627"/>
        <item x="484"/>
        <item x="575"/>
        <item x="668"/>
        <item x="389"/>
        <item x="106"/>
        <item x="327"/>
        <item x="278"/>
        <item x="716"/>
        <item x="131"/>
        <item x="165"/>
        <item x="108"/>
        <item x="321"/>
        <item x="243"/>
        <item x="158"/>
        <item x="249"/>
        <item x="638"/>
        <item x="878"/>
        <item x="272"/>
        <item x="499"/>
        <item x="284"/>
        <item x="643"/>
        <item x="126"/>
        <item x="71"/>
        <item x="23"/>
        <item x="764"/>
        <item x="36"/>
        <item x="863"/>
        <item x="139"/>
        <item x="759"/>
        <item x="783"/>
        <item x="198"/>
        <item x="722"/>
        <item x="749"/>
        <item x="583"/>
        <item x="77"/>
        <item x="264"/>
        <item x="333"/>
        <item x="298"/>
        <item x="40"/>
        <item x="52"/>
        <item x="489"/>
        <item x="181"/>
        <item x="84"/>
        <item x="383"/>
        <item x="307"/>
        <item x="523"/>
        <item x="626"/>
        <item x="483"/>
        <item x="667"/>
        <item x="388"/>
        <item x="105"/>
        <item x="326"/>
        <item x="277"/>
        <item x="715"/>
        <item x="164"/>
        <item x="269"/>
        <item x="130"/>
        <item x="761"/>
        <item x="320"/>
        <item x="726"/>
        <item x="157"/>
        <item x="637"/>
        <item x="877"/>
        <item x="242"/>
        <item x="271"/>
        <item x="367"/>
        <item x="248"/>
        <item x="498"/>
        <item x="283"/>
        <item x="642"/>
        <item x="70"/>
        <item x="763"/>
        <item x="22"/>
        <item x="757"/>
        <item x="758"/>
        <item x="35"/>
        <item x="862"/>
        <item x="138"/>
        <item x="827"/>
        <item x="329"/>
        <item x="782"/>
        <item x="197"/>
        <item x="663"/>
        <item x="721"/>
        <item x="582"/>
        <item x="748"/>
        <item x="76"/>
        <item x="332"/>
        <item x="297"/>
        <item x="39"/>
        <item x="51"/>
        <item x="537"/>
        <item x="180"/>
        <item x="83"/>
        <item x="860"/>
        <item x="382"/>
        <item x="522"/>
        <item x="482"/>
        <item x="170"/>
        <item x="679"/>
        <item x="666"/>
        <item x="387"/>
        <item x="325"/>
        <item x="276"/>
        <item x="714"/>
        <item x="270"/>
        <item x="163"/>
        <item x="268"/>
        <item x="319"/>
        <item x="156"/>
        <item x="430"/>
        <item x="267"/>
        <item x="636"/>
        <item x="876"/>
        <item x="366"/>
        <item x="497"/>
        <item x="282"/>
        <item x="641"/>
        <item x="69"/>
        <item x="241"/>
        <item x="762"/>
        <item x="756"/>
        <item x="247"/>
        <item x="34"/>
        <item x="21"/>
        <item x="29"/>
        <item x="826"/>
        <item x="861"/>
        <item x="137"/>
        <item x="781"/>
        <item x="656"/>
        <item x="196"/>
        <item x="662"/>
        <item x="720"/>
        <item x="532"/>
        <item x="581"/>
        <item x="75"/>
        <item x="747"/>
        <item x="331"/>
        <item x="296"/>
        <item x="57"/>
        <item x="179"/>
        <item x="859"/>
        <item x="521"/>
        <item x="481"/>
        <item x="169"/>
        <item x="678"/>
        <item x="470"/>
        <item x="324"/>
        <item x="275"/>
        <item x="369"/>
        <item x="685"/>
        <item x="561"/>
        <item x="713"/>
        <item x="318"/>
        <item x="155"/>
        <item x="370"/>
        <item x="429"/>
        <item x="266"/>
        <item x="635"/>
        <item x="875"/>
        <item x="365"/>
        <item x="61"/>
        <item x="640"/>
        <item x="615"/>
        <item x="68"/>
        <item x="33"/>
        <item x="825"/>
        <item x="645"/>
        <item x="20"/>
        <item x="28"/>
        <item x="731"/>
        <item x="136"/>
        <item x="655"/>
        <item x="195"/>
        <item x="661"/>
        <item x="531"/>
        <item x="580"/>
        <item x="74"/>
        <item x="746"/>
        <item x="755"/>
        <item x="330"/>
        <item x="295"/>
        <item x="797"/>
        <item x="858"/>
        <item x="418"/>
        <item x="520"/>
        <item x="480"/>
        <item x="677"/>
        <item x="469"/>
        <item x="368"/>
        <item x="684"/>
        <item x="371"/>
        <item x="317"/>
        <item x="154"/>
        <item x="428"/>
        <item x="265"/>
        <item x="351"/>
        <item x="874"/>
        <item x="364"/>
        <item x="60"/>
        <item x="614"/>
        <item x="67"/>
        <item x="824"/>
        <item x="32"/>
        <item x="730"/>
        <item x="19"/>
        <item x="27"/>
        <item x="135"/>
        <item x="536"/>
        <item x="654"/>
        <item x="194"/>
        <item x="660"/>
        <item x="530"/>
        <item x="736"/>
        <item x="745"/>
        <item x="579"/>
        <item x="73"/>
        <item x="143"/>
        <item x="754"/>
        <item x="796"/>
        <item x="857"/>
        <item x="417"/>
        <item x="519"/>
        <item x="479"/>
        <item x="676"/>
        <item x="468"/>
        <item x="488"/>
        <item x="683"/>
        <item x="427"/>
        <item x="350"/>
        <item x="363"/>
        <item x="59"/>
        <item x="613"/>
        <item x="823"/>
        <item x="66"/>
        <item x="31"/>
        <item x="729"/>
        <item x="134"/>
        <item x="535"/>
        <item x="633"/>
        <item x="18"/>
        <item x="26"/>
        <item x="193"/>
        <item x="653"/>
        <item x="659"/>
        <item x="529"/>
        <item x="744"/>
        <item x="735"/>
        <item x="578"/>
        <item x="142"/>
        <item x="753"/>
        <item x="727"/>
        <item x="795"/>
        <item x="856"/>
        <item x="416"/>
        <item x="518"/>
        <item x="478"/>
        <item x="675"/>
        <item x="467"/>
        <item x="487"/>
        <item x="682"/>
        <item x="426"/>
        <item x="349"/>
        <item x="362"/>
        <item x="58"/>
        <item x="822"/>
        <item x="612"/>
        <item x="65"/>
        <item x="30"/>
        <item x="728"/>
        <item x="534"/>
        <item x="632"/>
        <item x="658"/>
        <item x="528"/>
        <item x="734"/>
        <item x="794"/>
        <item x="415"/>
        <item x="674"/>
        <item x="466"/>
        <item x="681"/>
        <item x="425"/>
        <item x="396"/>
        <item x="604"/>
        <item x="348"/>
        <item x="361"/>
        <item x="821"/>
        <item x="611"/>
        <item x="64"/>
        <item x="533"/>
        <item x="631"/>
        <item x="657"/>
        <item x="527"/>
        <item x="733"/>
        <item x="793"/>
        <item x="414"/>
        <item x="465"/>
        <item x="680"/>
        <item x="395"/>
        <item x="424"/>
        <item x="347"/>
        <item x="820"/>
        <item x="360"/>
        <item x="610"/>
        <item x="63"/>
        <item x="630"/>
        <item x="526"/>
        <item x="732"/>
        <item x="792"/>
        <item x="686"/>
        <item x="413"/>
        <item x="464"/>
        <item x="394"/>
        <item x="359"/>
        <item x="616"/>
        <item x="737"/>
        <item x="423"/>
        <item x="819"/>
        <item x="346"/>
        <item x="609"/>
        <item x="62"/>
        <item x="629"/>
        <item x="525"/>
        <item x="791"/>
        <item x="412"/>
        <item x="463"/>
        <item x="818"/>
        <item x="422"/>
        <item x="345"/>
        <item x="608"/>
        <item x="628"/>
        <item x="790"/>
        <item x="411"/>
        <item x="462"/>
        <item x="817"/>
        <item x="421"/>
        <item x="344"/>
        <item x="607"/>
        <item x="789"/>
        <item x="410"/>
        <item x="461"/>
        <item x="816"/>
        <item x="420"/>
        <item x="343"/>
        <item x="606"/>
        <item x="460"/>
        <item x="815"/>
        <item x="419"/>
        <item x="342"/>
        <item x="605"/>
        <item x="459"/>
        <item x="341"/>
        <item x="340"/>
        <item x="848"/>
        <item x="339"/>
        <item x="847"/>
        <item x="338"/>
        <item x="846"/>
        <item x="337"/>
        <item x="622"/>
        <item x="625"/>
        <item x="845"/>
        <item x="336"/>
        <item x="621"/>
        <item x="624"/>
        <item x="844"/>
        <item x="623"/>
        <item x="843"/>
        <item x="803"/>
        <item x="842"/>
        <item x="802"/>
        <item x="841"/>
        <item x="836"/>
        <item x="801"/>
        <item x="840"/>
        <item x="835"/>
        <item x="800"/>
        <item x="839"/>
        <item x="834"/>
        <item x="799"/>
        <item x="838"/>
        <item x="833"/>
        <item x="210"/>
        <item x="837"/>
        <item x="832"/>
        <item x="209"/>
        <item x="831"/>
        <item x="208"/>
        <item x="830"/>
        <item x="207"/>
        <item x="829"/>
        <item x="206"/>
        <item x="828"/>
        <item x="409"/>
        <item x="205"/>
        <item x="408"/>
        <item x="204"/>
        <item x="407"/>
        <item x="203"/>
        <item x="406"/>
        <item x="202"/>
        <item x="405"/>
        <item x="201"/>
        <item x="404"/>
        <item x="200"/>
        <item x="403"/>
        <item x="199"/>
        <item x="402"/>
        <item x="401"/>
        <item x="400"/>
        <item x="399"/>
        <item x="398"/>
        <item x="397"/>
        <item x="808"/>
        <item x="807"/>
        <item x="806"/>
        <item x="805"/>
        <item x="804"/>
        <item x="543"/>
        <item x="542"/>
        <item x="541"/>
        <item x="540"/>
        <item x="539"/>
        <item x="538"/>
        <item x="809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t="default"/>
      </items>
    </pivotField>
    <pivotField showAll="0"/>
  </pivotFields>
  <rowFields count="1">
    <field x="4"/>
  </rowFields>
  <rowItems count="12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pageFields count="2">
    <pageField fld="0" item="1" hier="-1"/>
    <pageField fld="1" item="1" hier="-1"/>
  </pageFields>
  <dataFields count="3">
    <dataField name="MIN MOS" fld="18" baseField="4" baseItem="6"/>
    <dataField name="MAX MOS" fld="19" baseField="4" baseItem="6"/>
    <dataField name="MOS" fld="21" baseField="0" baseItem="0" numFmtId="164"/>
  </dataFields>
  <formats count="11">
    <format dxfId="1">
      <pivotArea type="all" dataOnly="0" outline="0" fieldPosition="0"/>
    </format>
    <format dxfId="2">
      <pivotArea outline="0" collapsedLevelsAreSubtotals="1" fieldPosition="0"/>
    </format>
    <format dxfId="3">
      <pivotArea field="0" type="button" dataOnly="0" labelOnly="1" outline="0" axis="axisPage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1" type="button" dataOnly="0" labelOnly="1" outline="0" axis="axisPage" fieldPosition="1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1" type="button" dataOnly="0" labelOnly="1" outline="0" axis="axisPage" fieldPosition="1"/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47D87-AD34-402D-BBBB-43ABD1602E7F}" name="PivotTable1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 ">
  <location ref="B5:E15" firstHeaderRow="0" firstDataRow="1" firstDataCol="1" rowPageCount="2" colPageCount="1"/>
  <pivotFields count="23">
    <pivotField axis="axisPage" showAll="0">
      <items count="9">
        <item x="7"/>
        <item x="4"/>
        <item x="3"/>
        <item x="1"/>
        <item x="0"/>
        <item x="6"/>
        <item x="5"/>
        <item x="2"/>
        <item t="default"/>
      </items>
    </pivotField>
    <pivotField axis="axisRow" showAll="0">
      <items count="17">
        <item x="4"/>
        <item x="10"/>
        <item x="8"/>
        <item x="7"/>
        <item x="14"/>
        <item x="9"/>
        <item x="12"/>
        <item x="11"/>
        <item x="1"/>
        <item x="0"/>
        <item x="13"/>
        <item x="6"/>
        <item x="5"/>
        <item x="15"/>
        <item x="3"/>
        <item x="2"/>
        <item t="default"/>
      </items>
    </pivotField>
    <pivotField showAll="0"/>
    <pivotField showAll="0"/>
    <pivotField axis="axisPage" numFmtId="17" showAll="0">
      <items count="25">
        <item x="23"/>
        <item x="21"/>
        <item x="22"/>
        <item x="12"/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</pivotFields>
  <rowFields count="1">
    <field x="1"/>
  </rowFields>
  <rowItems count="10">
    <i>
      <x/>
    </i>
    <i>
      <x v="1"/>
    </i>
    <i>
      <x v="2"/>
    </i>
    <i>
      <x v="4"/>
    </i>
    <i>
      <x v="7"/>
    </i>
    <i>
      <x v="8"/>
    </i>
    <i>
      <x v="10"/>
    </i>
    <i>
      <x v="11"/>
    </i>
    <i>
      <x v="12"/>
    </i>
    <i>
      <x v="15"/>
    </i>
  </rowItems>
  <colFields count="1">
    <field x="-2"/>
  </colFields>
  <colItems count="3">
    <i>
      <x/>
    </i>
    <i i="1">
      <x v="1"/>
    </i>
    <i i="2">
      <x v="2"/>
    </i>
  </colItems>
  <pageFields count="2">
    <pageField fld="0" item="2" hier="-1"/>
    <pageField fld="4" item="16" hier="-1"/>
  </pageFields>
  <dataFields count="3">
    <dataField name="MIN MOS" fld="18" baseField="1" baseItem="0"/>
    <dataField name="MAX MOS" fld="19" baseField="0" baseItem="0"/>
    <dataField name="MOS" fld="21" baseField="0" baseItem="0" numFmtId="164"/>
  </dataFields>
  <formats count="17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0" type="button" dataOnly="0" labelOnly="1" outline="0" axis="axisPage" fieldPosition="0"/>
    </format>
    <format dxfId="14">
      <pivotArea dataOnly="0" labelOnly="1" fieldPosition="0">
        <references count="1">
          <reference field="0" count="0"/>
        </references>
      </pivotArea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10">
            <x v="0"/>
            <x v="1"/>
            <x v="2"/>
            <x v="4"/>
            <x v="7"/>
            <x v="8"/>
            <x v="10"/>
            <x v="11"/>
            <x v="12"/>
            <x v="15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10">
            <x v="0"/>
            <x v="1"/>
            <x v="2"/>
            <x v="4"/>
            <x v="7"/>
            <x v="8"/>
            <x v="10"/>
            <x v="11"/>
            <x v="12"/>
            <x v="15"/>
          </reference>
        </references>
      </pivotArea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3" xr16:uid="{65E8B9C9-E592-4240-B6CD-E353D8A5370C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FED07E19-9361-487D-B497-23F86A642AF6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CA9CDAA4-1840-4C92-983E-C8F217119B75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3233141A-4E21-41ED-A159-318A2112175C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23619226-45C7-4073-8350-35F9E9552E3E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3FD25213-9E02-469D-B2DC-FF8C904689CF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4FF709A7-BD76-4AF8-947E-D8FCEEE73022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FA8121A-42B4-4573-B496-31B3DFA87368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F96ECEF-8F85-4A4F-B0FC-B09E0CF4C412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323B88B-CCF8-4D34-8FEF-21EA710FB9B0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5A7B3C5-46CC-4710-8D9E-DF63FDDA5957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DD9AC1C-A977-476D-8166-D4E24A7B7ABF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D346207-FC41-4BE5-8C89-381F2176311C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4E1D0C-0E97-4CCD-B086-3A680D7E67CE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tables/_rels/table3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.xml"/></Relationships> 
</file>

<file path=xl/tables/_rels/table4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2.xml"/></Relationships> 
</file>

<file path=xl/tables/_rels/table5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3.xml"/></Relationships> 
</file>

<file path=xl/tables/_rels/table6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4.xml"/></Relationships> 
</file>

<file path=xl/tables/_rels/table7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5.xml"/></Relationships> 
</file>

<file path=xl/tables/_rels/table8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6.xml"/></Relationships> 
</file>

<file path=xl/tables/_rels/table9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7.xml"/></Relationships> 
</file>

<file path=xl/tables/_rels/table10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8.xml"/></Relationships> 
</file>

<file path=xl/tables/_rels/table11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9.xml"/></Relationships> 
</file>

<file path=xl/tables/_rels/table12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0.xml"/></Relationships> 
</file>

<file path=xl/tables/_rels/table13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1.xml"/></Relationships> 
</file>

<file path=xl/tables/_rels/table14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2.xml"/></Relationships> 
</file>

<file path=xl/tables/_rels/table15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3.xml"/></Relationships> 
</file>

<file path=xl/tables/_rels/table16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4.xml"/></Relationships> 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27F27A-98B0-4D8F-ADC7-4A95C992CC3D}" name="Merged" displayName="Merged" ref="A1:W1184" tableType="queryTable" totalsRowShown="0" headerRowDxfId="29" dataDxfId="28">
  <autoFilter ref="A1:W1184" xr:uid="{F927F27A-98B0-4D8F-ADC7-4A95C992CC3D}"/>
  <tableColumns count="23">
    <tableColumn id="1" xr3:uid="{B1EBE815-01FA-4C8D-BCA4-6B915B9EB831}" uniqueName="1" name="Country " queryTableFieldId="1" dataDxfId="52"/>
    <tableColumn id="2" xr3:uid="{ECE4F99C-7815-4D4E-9F0E-791FC4707404}" uniqueName="2" name="Product " queryTableFieldId="2" dataDxfId="51"/>
    <tableColumn id="3" xr3:uid="{2D5005EE-C958-4B7B-A2BA-909CCE994991}" uniqueName="3" name="UoM" queryTableFieldId="3" dataDxfId="50"/>
    <tableColumn id="4" xr3:uid="{F577871D-2303-4859-9067-1161D82D09B1}" uniqueName="4" name="Iventory reporting level " queryTableFieldId="4" dataDxfId="49"/>
    <tableColumn id="5" xr3:uid="{A2655866-43AC-4EC8-A643-37F73F8C70C9}" uniqueName="5" name="Period" queryTableFieldId="5" dataDxfId="48"/>
    <tableColumn id="6" xr3:uid="{0CB5CDD9-5CBC-45A6-BDB5-6C6F73CDEA08}" uniqueName="6" name="Stock on hand(opening balance)" queryTableFieldId="6" dataDxfId="47"/>
    <tableColumn id="7" xr3:uid="{2B7CA7B8-4049-48CA-BDC1-FECD165D5F12}" uniqueName="7" name="Actual monthly consumption " queryTableFieldId="7" dataDxfId="46"/>
    <tableColumn id="8" xr3:uid="{31FD22EE-F6BD-4704-ABBA-6AAF84AAEFDC}" uniqueName="8" name="Forecasted consumption" queryTableFieldId="8" dataDxfId="45"/>
    <tableColumn id="9" xr3:uid="{0A995E98-D7DB-419D-B335-6F1079EBE9A7}" uniqueName="9" name="Closing balance " queryTableFieldId="9" dataDxfId="44"/>
    <tableColumn id="10" xr3:uid="{9B91E1E3-5206-4629-995D-F1F613AECA80}" uniqueName="10" name="Procurer " queryTableFieldId="10" dataDxfId="43"/>
    <tableColumn id="11" xr3:uid="{2E01D15D-B7F0-47C1-A604-415CEAB84CE5}" uniqueName="11" name="Funding source " queryTableFieldId="11" dataDxfId="42"/>
    <tableColumn id="12" xr3:uid="{F8626C19-629D-4C6A-A9B2-8513FE551B19}" uniqueName="12" name="Status " queryTableFieldId="12" dataDxfId="41"/>
    <tableColumn id="13" xr3:uid="{DBC75A1B-0CFD-4F47-B7D4-00293E787286}" uniqueName="13" name="Quantity " queryTableFieldId="13" dataDxfId="40"/>
    <tableColumn id="14" xr3:uid="{CAF35713-CDB4-4FD0-AEB6-226B2BB1E7E3}" uniqueName="14" name="Unit cost " queryTableFieldId="14" dataDxfId="39"/>
    <tableColumn id="15" xr3:uid="{574B7FE3-EA7A-463D-8426-B67127B6938F}" uniqueName="15" name="Total cost " queryTableFieldId="15" dataDxfId="38"/>
    <tableColumn id="16" xr3:uid="{979B5D33-302A-4374-8226-AC521BAECC66}" uniqueName="16" name="ETA" queryTableFieldId="16" dataDxfId="37"/>
    <tableColumn id="17" xr3:uid="{FF9E594B-FA51-4732-B5C2-181370C97DF1}" uniqueName="17" name="Lead times " queryTableFieldId="17" dataDxfId="36"/>
    <tableColumn id="18" xr3:uid="{36D1401F-57A3-462E-BCB0-23DF2E6B200B}" uniqueName="18" name="Projected Inventory" queryTableFieldId="18" dataDxfId="35"/>
    <tableColumn id="19" xr3:uid="{10BADD29-5898-49CE-91BA-4ED1E3187DCA}" uniqueName="19" name="Min MOS " queryTableFieldId="19" dataDxfId="34"/>
    <tableColumn id="20" xr3:uid="{497D52D1-7E0A-405B-ACE2-2B8A7FD889CF}" uniqueName="20" name="Max MOS " queryTableFieldId="20" dataDxfId="33"/>
    <tableColumn id="21" xr3:uid="{D47BF2AD-5A3C-46AE-A84D-B537516CF9DF}" uniqueName="21" name="Desired MOS" queryTableFieldId="21" dataDxfId="32"/>
    <tableColumn id="22" xr3:uid="{EEF18DE4-BCF6-46B8-9D11-5D92C323998C}" uniqueName="22" name="MOS " queryTableFieldId="22" dataDxfId="31"/>
    <tableColumn id="23" xr3:uid="{6F815BCC-569B-45D3-B423-56171096551B}" uniqueName="23" name="Projected Expired stock " queryTableFieldId="23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89F616-D623-42A1-8FF6-704018C6AFB6}" name="POPtable_1" displayName="POPtable_1" ref="A1:W116" tableType="queryTable" totalsRowShown="0">
  <autoFilter ref="A1:W116" xr:uid="{CB89F616-D623-42A1-8FF6-704018C6AFB6}"/>
  <tableColumns count="23">
    <tableColumn id="1" xr3:uid="{3E362436-FA47-4A91-8DA9-AE4FE4EDF012}" uniqueName="1" name="Country " queryTableFieldId="1" dataDxfId="166"/>
    <tableColumn id="2" xr3:uid="{4A8B032A-06AA-44D2-85D8-751DA04257FA}" uniqueName="2" name="Product " queryTableFieldId="2" dataDxfId="165"/>
    <tableColumn id="3" xr3:uid="{DA950C55-8D32-43FD-B6BB-95B9D5695481}" uniqueName="3" name="UoM" queryTableFieldId="3" dataDxfId="164"/>
    <tableColumn id="4" xr3:uid="{2AAA30CD-256A-455B-9C2A-EF7CA5CD8D0D}" uniqueName="4" name="Iventory reporting level " queryTableFieldId="4" dataDxfId="163"/>
    <tableColumn id="5" xr3:uid="{238F8CA2-34D2-4C88-AFE0-D40FEC56FE8A}" uniqueName="5" name="Period" queryTableFieldId="5" dataDxfId="162"/>
    <tableColumn id="6" xr3:uid="{45406B64-E4F4-4F8D-9D1A-AB8B3A79B1B3}" uniqueName="6" name="Stock on hand(opening balance)" queryTableFieldId="6"/>
    <tableColumn id="7" xr3:uid="{37573B3F-B387-47F3-AF21-AEA93F698641}" uniqueName="7" name="Actual monthly consumption " queryTableFieldId="7"/>
    <tableColumn id="8" xr3:uid="{76A650EC-38D7-40C1-9E76-B58D16CB25E1}" uniqueName="8" name="Forecasted consumption" queryTableFieldId="8"/>
    <tableColumn id="9" xr3:uid="{E40AB66C-68D8-4D30-B2EC-62AFB6B3F27D}" uniqueName="9" name="Closing balance " queryTableFieldId="9"/>
    <tableColumn id="10" xr3:uid="{3021E6E9-EE73-4171-B681-3AF54909778A}" uniqueName="10" name="Procurer " queryTableFieldId="10" dataDxfId="161"/>
    <tableColumn id="11" xr3:uid="{244E97FF-A7BF-4BA1-B27B-8893718A6E87}" uniqueName="11" name="Funding source " queryTableFieldId="11" dataDxfId="160"/>
    <tableColumn id="12" xr3:uid="{23A521F3-D4B7-48A1-B0A1-9E8AF16F3BD8}" uniqueName="12" name="Status " queryTableFieldId="12" dataDxfId="159"/>
    <tableColumn id="13" xr3:uid="{8A6ADE01-3DD1-406F-BD9B-65FD3EC64C62}" uniqueName="13" name="Quantity " queryTableFieldId="13"/>
    <tableColumn id="14" xr3:uid="{9BC37C43-FEFA-4BBA-9659-C751924BE4C5}" uniqueName="14" name="Unit cost " queryTableFieldId="14"/>
    <tableColumn id="15" xr3:uid="{2D566C8E-83F0-4B17-BF4D-608E312006E9}" uniqueName="15" name="Total cost " queryTableFieldId="15"/>
    <tableColumn id="16" xr3:uid="{298E060E-B84B-4989-85E7-85630BBD126D}" uniqueName="16" name="ETA" queryTableFieldId="16" dataDxfId="158"/>
    <tableColumn id="17" xr3:uid="{241EEEBD-5C9B-4525-A7F3-7666B8678785}" uniqueName="17" name="Lead times " queryTableFieldId="17"/>
    <tableColumn id="18" xr3:uid="{3CB40264-7DB0-41F5-8E9A-9603E16A105B}" uniqueName="18" name="Projected Inventory" queryTableFieldId="18"/>
    <tableColumn id="19" xr3:uid="{1E746528-DB7B-4DD3-B680-2DC1B1C51E72}" uniqueName="19" name="Min MOS " queryTableFieldId="19"/>
    <tableColumn id="20" xr3:uid="{AF58FC2A-211A-4BFD-900D-4984B5B07D41}" uniqueName="20" name="Max MOS " queryTableFieldId="20"/>
    <tableColumn id="21" xr3:uid="{8D6C85DE-2986-424D-9D68-4700BB45661B}" uniqueName="21" name="Desired MOS" queryTableFieldId="21"/>
    <tableColumn id="22" xr3:uid="{4190BC80-7E0F-4F48-80A8-CF4ACBB47BAB}" uniqueName="22" name="MOS " queryTableFieldId="22"/>
    <tableColumn id="23" xr3:uid="{E0F87A97-F618-4AB8-A37F-56CD41CB41C0}" uniqueName="23" name="Projected Expired stock " queryTableField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537361-3769-4BC0-B6A8-18723C686380}" name="Mcondomstable_1" displayName="Mcondomstable_1" ref="A1:W99" tableType="queryTable" totalsRowShown="0">
  <autoFilter ref="A1:W99" xr:uid="{75537361-3769-4BC0-B6A8-18723C686380}"/>
  <tableColumns count="23">
    <tableColumn id="1" xr3:uid="{6BDA6CB4-07C6-47E6-8875-819DCD5A588D}" uniqueName="1" name="Country " queryTableFieldId="1" dataDxfId="157"/>
    <tableColumn id="2" xr3:uid="{5C58F2ED-0CB4-4E37-943D-390690AE7AAE}" uniqueName="2" name="Product " queryTableFieldId="2" dataDxfId="156"/>
    <tableColumn id="3" xr3:uid="{F6D7D72F-E6B2-491F-9B45-96A43EFE7228}" uniqueName="3" name="UoM" queryTableFieldId="3" dataDxfId="155"/>
    <tableColumn id="4" xr3:uid="{6BF871FF-C5D4-433D-BA08-48BE78BE61C7}" uniqueName="4" name="Iventory reporting level " queryTableFieldId="4" dataDxfId="154"/>
    <tableColumn id="5" xr3:uid="{133B77D6-2081-4CA6-8F16-46B6649DB9E7}" uniqueName="5" name="Period" queryTableFieldId="5" dataDxfId="153"/>
    <tableColumn id="6" xr3:uid="{5CB3D0EB-8BB0-49FB-971D-59597CDE7118}" uniqueName="6" name="Stock on hand(opening balance)" queryTableFieldId="6"/>
    <tableColumn id="7" xr3:uid="{3077AFBC-CA3A-4B42-B354-B9DDA5BB4F63}" uniqueName="7" name="Actual monthly consumption " queryTableFieldId="7"/>
    <tableColumn id="8" xr3:uid="{4CCFE43C-2DB8-4CA7-B1B5-FF730BFEC5EB}" uniqueName="8" name="Forecasted consumption" queryTableFieldId="8"/>
    <tableColumn id="9" xr3:uid="{A55D01B1-1A27-4E7F-A3E2-31D8B7212500}" uniqueName="9" name="Closing balance " queryTableFieldId="9"/>
    <tableColumn id="10" xr3:uid="{CE076277-94BD-48A6-AE0D-C26D189E0DA9}" uniqueName="10" name="Procurer " queryTableFieldId="10" dataDxfId="152"/>
    <tableColumn id="11" xr3:uid="{806B3D8D-78E6-4084-9E16-5C6BCDADD868}" uniqueName="11" name="Funding source " queryTableFieldId="11" dataDxfId="151"/>
    <tableColumn id="12" xr3:uid="{54109351-0F9B-4C86-BA4C-181000A5F9A1}" uniqueName="12" name="Status " queryTableFieldId="12" dataDxfId="150"/>
    <tableColumn id="13" xr3:uid="{D6597674-860A-4D6F-8623-6A83217530D6}" uniqueName="13" name="Quantity " queryTableFieldId="13"/>
    <tableColumn id="14" xr3:uid="{003CFD7F-73D5-47E8-B08D-A325183678C4}" uniqueName="14" name="Unit cost " queryTableFieldId="14"/>
    <tableColumn id="15" xr3:uid="{7D79A74B-0645-4E06-8F16-F3FE2E783789}" uniqueName="15" name="Total cost " queryTableFieldId="15"/>
    <tableColumn id="16" xr3:uid="{E6DE717A-9B5C-40E6-86D2-F1B3F2ECBA6A}" uniqueName="16" name="ETA" queryTableFieldId="16" dataDxfId="149"/>
    <tableColumn id="17" xr3:uid="{5B39436A-633E-424F-878B-4A1112B71A2B}" uniqueName="17" name="Lead times " queryTableFieldId="17"/>
    <tableColumn id="18" xr3:uid="{87A30FAA-A1F7-4033-A553-A02B7C8D3959}" uniqueName="18" name="Projected Inventory" queryTableFieldId="18"/>
    <tableColumn id="19" xr3:uid="{1CE568A5-3B5D-4EE9-BEA3-602D5BB2E6FC}" uniqueName="19" name="Min MOS " queryTableFieldId="19"/>
    <tableColumn id="20" xr3:uid="{4E69CEA6-F3DB-4193-B646-85A253596843}" uniqueName="20" name="Max MOS " queryTableFieldId="20"/>
    <tableColumn id="21" xr3:uid="{DBC93C20-EAD9-4959-82AD-0139E5B934E3}" uniqueName="21" name="Desired MOS" queryTableFieldId="21"/>
    <tableColumn id="22" xr3:uid="{0399787C-3AB1-4F33-9041-CBDFF77DD06F}" uniqueName="22" name="MOS " queryTableFieldId="22"/>
    <tableColumn id="23" xr3:uid="{321F5047-D6EE-458D-914B-EB2EC6EDECF2}" uniqueName="23" name="Projected Expired stock " queryTableField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F0C044-4EC6-46CD-AFF8-37EA8DE2FD88}" name="Implant3yrstable_1" displayName="Implant3yrstable_1" ref="A1:W52" tableType="queryTable" totalsRowShown="0">
  <autoFilter ref="A1:W52" xr:uid="{6DF0C044-4EC6-46CD-AFF8-37EA8DE2FD88}"/>
  <tableColumns count="23">
    <tableColumn id="1" xr3:uid="{8DCA712F-8C06-4DE2-A0E5-F0EC82FB9698}" uniqueName="1" name="Country " queryTableFieldId="1" dataDxfId="148"/>
    <tableColumn id="2" xr3:uid="{092C9CA0-B213-43F4-BA14-57BF192E003F}" uniqueName="2" name="Product " queryTableFieldId="2" dataDxfId="147"/>
    <tableColumn id="3" xr3:uid="{7077E376-F419-4F1A-A071-80DA803297C2}" uniqueName="3" name="UoM" queryTableFieldId="3" dataDxfId="146"/>
    <tableColumn id="4" xr3:uid="{30E36169-F7CB-49F5-865A-C9B2E0F612F4}" uniqueName="4" name="Iventory reporting level " queryTableFieldId="4" dataDxfId="145"/>
    <tableColumn id="5" xr3:uid="{9915BD45-4294-4882-B66F-6518B04DFDB4}" uniqueName="5" name="Period" queryTableFieldId="5" dataDxfId="144"/>
    <tableColumn id="6" xr3:uid="{EB6077C0-750A-44AD-866A-E75E79CA54F0}" uniqueName="6" name="Stock on hand(opening balance)" queryTableFieldId="6"/>
    <tableColumn id="7" xr3:uid="{98CB2BF9-6B2F-4CA9-8D3F-17EA4493064F}" uniqueName="7" name="Actual monthly consumption " queryTableFieldId="7"/>
    <tableColumn id="8" xr3:uid="{E5FDFF77-53E3-4C26-A367-BB2094A552E2}" uniqueName="8" name="Forecasted consumption" queryTableFieldId="8"/>
    <tableColumn id="9" xr3:uid="{7824542F-F2BD-4F87-AEEC-4FE5781BE4B7}" uniqueName="9" name="Closing balance " queryTableFieldId="9"/>
    <tableColumn id="10" xr3:uid="{94440355-D609-40E1-ABEC-02299EB68AFC}" uniqueName="10" name="Procurer " queryTableFieldId="10"/>
    <tableColumn id="11" xr3:uid="{DB8A54BB-B80E-475E-8DDA-32D90E508332}" uniqueName="11" name="Funding source " queryTableFieldId="11"/>
    <tableColumn id="12" xr3:uid="{8701BE5A-24EF-4A21-AD98-93681B048D44}" uniqueName="12" name="Status " queryTableFieldId="12" dataDxfId="143"/>
    <tableColumn id="13" xr3:uid="{B7FED566-C503-4596-B33C-56658FF0975D}" uniqueName="13" name="Quantity " queryTableFieldId="13"/>
    <tableColumn id="14" xr3:uid="{B7ED37CC-2152-47AA-B8AC-9F783978A77C}" uniqueName="14" name="Unit cost " queryTableFieldId="14"/>
    <tableColumn id="15" xr3:uid="{D2FE3994-6964-4B84-90AE-557E0943BE83}" uniqueName="15" name="Total cost " queryTableFieldId="15"/>
    <tableColumn id="16" xr3:uid="{AA4F0D33-3ADB-4AFF-AE06-1EA7D8A31BA1}" uniqueName="16" name="ETA" queryTableFieldId="16"/>
    <tableColumn id="17" xr3:uid="{F4992E81-4237-4129-9359-E18B8BA56179}" uniqueName="17" name="Lead times " queryTableFieldId="17"/>
    <tableColumn id="18" xr3:uid="{12740CA3-223A-4E59-B797-ABB81440EB8C}" uniqueName="18" name="Projected Inventory" queryTableFieldId="18"/>
    <tableColumn id="19" xr3:uid="{6CF4DE34-EBBA-43C7-93CE-8364E6D388F6}" uniqueName="19" name="Min MOS " queryTableFieldId="19"/>
    <tableColumn id="20" xr3:uid="{0A3C4921-D32F-48B8-89D4-ED56F2AE38C8}" uniqueName="20" name="Max MOS " queryTableFieldId="20"/>
    <tableColumn id="21" xr3:uid="{7D8E9128-F9DB-4653-8DE7-3E96F708A57F}" uniqueName="21" name="Desired MOS" queryTableFieldId="21"/>
    <tableColumn id="22" xr3:uid="{24BADCDA-6388-4605-BDD0-E26DEF57EFC3}" uniqueName="22" name="MOS " queryTableFieldId="22"/>
    <tableColumn id="23" xr3:uid="{0D4F2E68-B6E5-4FAF-86D3-231E2162E1BF}" uniqueName="23" name="Projected Expired stock " queryTableField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2141AA-D7BC-494C-A968-8F5FFD7D0200}" name="implant2rod5yrstable_1" displayName="implant2rod5yrstable_1" ref="A1:W109" tableType="queryTable" totalsRowShown="0">
  <autoFilter ref="A1:W109" xr:uid="{DB2141AA-D7BC-494C-A968-8F5FFD7D0200}"/>
  <tableColumns count="23">
    <tableColumn id="1" xr3:uid="{500BA8A0-651B-457F-937C-D02F71FB0427}" uniqueName="1" name="Country " queryTableFieldId="1" dataDxfId="142"/>
    <tableColumn id="2" xr3:uid="{CFCC3015-D489-4C7C-888A-590C688C6189}" uniqueName="2" name="Product " queryTableFieldId="2" dataDxfId="141"/>
    <tableColumn id="3" xr3:uid="{47DA1590-C4FA-49A4-9AA8-8079292F8195}" uniqueName="3" name="UoM" queryTableFieldId="3" dataDxfId="140"/>
    <tableColumn id="4" xr3:uid="{DAA93A13-78D7-4C0C-A2CA-99A356626B92}" uniqueName="4" name="Iventory reporting level " queryTableFieldId="4" dataDxfId="139"/>
    <tableColumn id="5" xr3:uid="{8BD2EA3A-B83E-4DFC-BFBF-D21E089CD612}" uniqueName="5" name="Period" queryTableFieldId="5" dataDxfId="138"/>
    <tableColumn id="6" xr3:uid="{416BE492-3817-466D-BFF4-4F80028A9CD4}" uniqueName="6" name="Stock on hand(opening balance)" queryTableFieldId="6"/>
    <tableColumn id="7" xr3:uid="{21F4C377-A56C-406F-95EB-F69BF26DCE54}" uniqueName="7" name="Actual monthly consumption " queryTableFieldId="7"/>
    <tableColumn id="8" xr3:uid="{E8C3A021-4921-451E-9AC1-A10DF1729473}" uniqueName="8" name="Forecasted consumption" queryTableFieldId="8"/>
    <tableColumn id="9" xr3:uid="{A6DC6F95-FEB0-4D2C-908C-F296771C67DF}" uniqueName="9" name="Closing balance " queryTableFieldId="9"/>
    <tableColumn id="10" xr3:uid="{A8BD35B5-2A11-4547-AA1A-F3C5EC82B598}" uniqueName="10" name="Procurer " queryTableFieldId="10" dataDxfId="137"/>
    <tableColumn id="11" xr3:uid="{B5086D8B-D09C-43B3-BB52-90126D9B509B}" uniqueName="11" name="Funding source " queryTableFieldId="11" dataDxfId="136"/>
    <tableColumn id="12" xr3:uid="{747D0019-8E91-4056-814E-3C6137D46DCE}" uniqueName="12" name="Status " queryTableFieldId="12" dataDxfId="135"/>
    <tableColumn id="13" xr3:uid="{FCCC880A-F7AB-4594-9AA0-4AF82378BDEC}" uniqueName="13" name="Quantity " queryTableFieldId="13"/>
    <tableColumn id="14" xr3:uid="{F7B259D9-A599-4847-B6C9-F7CDAAB73286}" uniqueName="14" name="Unit cost " queryTableFieldId="14" dataDxfId="134"/>
    <tableColumn id="15" xr3:uid="{8059FE22-B22A-494E-8530-31044C1457BA}" uniqueName="15" name="Total cost " queryTableFieldId="15"/>
    <tableColumn id="16" xr3:uid="{745A3449-C54E-403B-A2B9-26F3C86AB115}" uniqueName="16" name="ETA" queryTableFieldId="16" dataDxfId="133"/>
    <tableColumn id="17" xr3:uid="{67B7581E-0531-4B26-94AE-30C9231C7451}" uniqueName="17" name="Lead times " queryTableFieldId="17"/>
    <tableColumn id="18" xr3:uid="{E88D65D1-D700-4EB9-A840-5B7FAA2DFFE9}" uniqueName="18" name="Projected Inventory" queryTableFieldId="18"/>
    <tableColumn id="19" xr3:uid="{A80F8FCB-3C7D-423A-A69D-8BE44BBE29A6}" uniqueName="19" name="Min MOS " queryTableFieldId="19"/>
    <tableColumn id="20" xr3:uid="{8E61344D-1709-4BB1-B3F7-09ECAC479E51}" uniqueName="20" name="Max MOS " queryTableFieldId="20"/>
    <tableColumn id="21" xr3:uid="{021F3CB9-A594-4BF8-B3D8-38C50DD71CF0}" uniqueName="21" name="Desired MOS" queryTableFieldId="21"/>
    <tableColumn id="22" xr3:uid="{63CB9252-0F87-4A5D-A774-11455A050EF1}" uniqueName="22" name="MOS " queryTableFieldId="22"/>
    <tableColumn id="23" xr3:uid="{F07B4AFB-07FD-44EF-BB00-F53765F414B0}" uniqueName="23" name="Projected Expired stock " queryTableFieldId="2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4167FB-91A9-4963-8BA8-6A49D54825B0}" name="implant1rodtable_1" displayName="implant1rodtable_1" ref="A1:W100" tableType="queryTable" totalsRowShown="0">
  <autoFilter ref="A1:W100" xr:uid="{0B4167FB-91A9-4963-8BA8-6A49D54825B0}"/>
  <tableColumns count="23">
    <tableColumn id="1" xr3:uid="{13856CC6-7EC9-4C5F-A381-6A2DD5DA8435}" uniqueName="1" name="Country " queryTableFieldId="1" dataDxfId="132"/>
    <tableColumn id="2" xr3:uid="{3856D728-D1F1-4073-851D-16F9C635EB99}" uniqueName="2" name="Product " queryTableFieldId="2" dataDxfId="131"/>
    <tableColumn id="3" xr3:uid="{A9E551E2-E39C-4723-85A1-A74AF5DD7DDE}" uniqueName="3" name="UoM" queryTableFieldId="3" dataDxfId="130"/>
    <tableColumn id="4" xr3:uid="{DCD0CA24-E2F7-4F9E-992C-B0FAA542CEC9}" uniqueName="4" name="Iventory reporting level " queryTableFieldId="4" dataDxfId="129"/>
    <tableColumn id="5" xr3:uid="{8BCB911E-2825-40A0-AAC2-D81DD40CABB4}" uniqueName="5" name="Period" queryTableFieldId="5" dataDxfId="128"/>
    <tableColumn id="6" xr3:uid="{198E06B6-EC25-423C-841C-F0AA2B10D1AD}" uniqueName="6" name="Stock on hand(opening balance)" queryTableFieldId="6"/>
    <tableColumn id="7" xr3:uid="{B29BDFB2-5824-4094-B4C0-EA3579F843EA}" uniqueName="7" name="Actual monthly consumption " queryTableFieldId="7"/>
    <tableColumn id="8" xr3:uid="{B19502E5-AF7F-4B35-8239-A97253BF22AF}" uniqueName="8" name="Forecasted consumption" queryTableFieldId="8"/>
    <tableColumn id="9" xr3:uid="{2292E41F-4299-4EA9-9BFF-953DE5685204}" uniqueName="9" name="Closing balance " queryTableFieldId="9"/>
    <tableColumn id="10" xr3:uid="{37824B8B-26D3-4D7D-B329-26B6566BE115}" uniqueName="10" name="Procurer " queryTableFieldId="10" dataDxfId="127"/>
    <tableColumn id="11" xr3:uid="{2FC814F4-8B1A-4E22-A757-696E28764546}" uniqueName="11" name="Funding source " queryTableFieldId="11" dataDxfId="126"/>
    <tableColumn id="12" xr3:uid="{9766D86A-31B0-4BD1-9E8A-1E45A036AED3}" uniqueName="12" name="Status " queryTableFieldId="12" dataDxfId="125"/>
    <tableColumn id="13" xr3:uid="{D5C424AA-96C4-48CA-AD68-8F2BE4BA2A35}" uniqueName="13" name="Quantity " queryTableFieldId="13"/>
    <tableColumn id="14" xr3:uid="{BB7D319E-9B6B-46C0-8983-13F55DC1C9BA}" uniqueName="14" name="Unit cost " queryTableFieldId="14"/>
    <tableColumn id="15" xr3:uid="{6A342176-A8AD-40E9-8DCC-13410B8E92A2}" uniqueName="15" name="Total cost " queryTableFieldId="15"/>
    <tableColumn id="16" xr3:uid="{989976B0-760D-4B38-90AE-C8B3DA34E06E}" uniqueName="16" name="ETA" queryTableFieldId="16"/>
    <tableColumn id="17" xr3:uid="{48DC9299-7B5C-41F4-A8F3-A2D43B4E4833}" uniqueName="17" name="Lead times " queryTableFieldId="17"/>
    <tableColumn id="18" xr3:uid="{BA716F99-6D81-4D28-9337-8298BDED2322}" uniqueName="18" name="Projected Inventory" queryTableFieldId="18"/>
    <tableColumn id="19" xr3:uid="{96D37DCB-D8FC-4730-9884-4CC2FA003960}" uniqueName="19" name="Min MOS " queryTableFieldId="19"/>
    <tableColumn id="20" xr3:uid="{2D00325F-08CC-4C3B-883C-6A91576B397D}" uniqueName="20" name="Max MOS " queryTableFieldId="20"/>
    <tableColumn id="21" xr3:uid="{CF3FECA8-F8AE-4D03-A55D-9B56BC92285D}" uniqueName="21" name="Desired MOS" queryTableFieldId="21"/>
    <tableColumn id="22" xr3:uid="{EC33D913-DC2C-4DA5-B5BE-B1E5F45E72DA}" uniqueName="22" name="MOS " queryTableFieldId="22"/>
    <tableColumn id="23" xr3:uid="{516B06A8-FF83-4297-88D5-12453792107E}" uniqueName="23" name="Projected Expired stock " queryTableFieldId="2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B70716-27DC-4CDE-B8D5-F3D095CDE6B6}" name="HormonalIUDtable_1" displayName="HormonalIUDtable_1" ref="A1:W61" tableType="queryTable" totalsRowShown="0">
  <autoFilter ref="A1:W61" xr:uid="{50B70716-27DC-4CDE-B8D5-F3D095CDE6B6}"/>
  <tableColumns count="23">
    <tableColumn id="1" xr3:uid="{8DDBC150-C2E6-44FA-8B3E-36D6BBDC899B}" uniqueName="1" name="Country " queryTableFieldId="1" dataDxfId="124"/>
    <tableColumn id="2" xr3:uid="{72A45DF7-D8A0-42A1-8D64-7670E53A6B24}" uniqueName="2" name="Product " queryTableFieldId="2" dataDxfId="123"/>
    <tableColumn id="3" xr3:uid="{42447E75-495A-49DB-BA72-74B8EF8514E8}" uniqueName="3" name="UoM" queryTableFieldId="3" dataDxfId="122"/>
    <tableColumn id="4" xr3:uid="{163B71DF-BDE0-4AF7-AB8E-B07A4FFDB357}" uniqueName="4" name="Iventory reporting level " queryTableFieldId="4" dataDxfId="121"/>
    <tableColumn id="5" xr3:uid="{0B64E2C7-EFAE-4B4E-90DB-D42319DCBE96}" uniqueName="5" name="Period" queryTableFieldId="5" dataDxfId="120"/>
    <tableColumn id="6" xr3:uid="{5DDA4C89-66B6-432C-900D-4CFEDE6E83B7}" uniqueName="6" name="Stock on hand(opening balance)" queryTableFieldId="6"/>
    <tableColumn id="7" xr3:uid="{3BEBFB29-B520-4837-8B19-736B3AD30BB1}" uniqueName="7" name="Actual monthly consumption " queryTableFieldId="7"/>
    <tableColumn id="8" xr3:uid="{E190CB04-18A5-4573-8DBB-ACA14302A9A9}" uniqueName="8" name="Forecasted consumption" queryTableFieldId="8"/>
    <tableColumn id="9" xr3:uid="{9C16F906-6E29-43F6-A3F2-44EC74D44F0A}" uniqueName="9" name="Closing balance " queryTableFieldId="9"/>
    <tableColumn id="10" xr3:uid="{EE147020-724D-439C-91F7-944D8EE47BED}" uniqueName="10" name="Procurer " queryTableFieldId="10" dataDxfId="119"/>
    <tableColumn id="11" xr3:uid="{F748F41B-74AB-4171-B3F9-1495EE1F7C69}" uniqueName="11" name="Funding source " queryTableFieldId="11" dataDxfId="118"/>
    <tableColumn id="12" xr3:uid="{421EA8BB-AA0F-441E-B395-47A6230D2832}" uniqueName="12" name="Status " queryTableFieldId="12" dataDxfId="117"/>
    <tableColumn id="13" xr3:uid="{DA28E27C-A61D-4CF7-BA71-5B3FFA727319}" uniqueName="13" name="Quantity " queryTableFieldId="13"/>
    <tableColumn id="14" xr3:uid="{FC41F8D0-8BB8-4E71-8512-9E7D542A3FC1}" uniqueName="14" name="Unit cost " queryTableFieldId="14"/>
    <tableColumn id="15" xr3:uid="{5BF745A2-30F3-4389-A554-7185F734A3B6}" uniqueName="15" name="Total cost " queryTableFieldId="15"/>
    <tableColumn id="16" xr3:uid="{7849CFD5-3DA0-4911-A78F-AA64526F757A}" uniqueName="16" name="ETA" queryTableFieldId="16" dataDxfId="116"/>
    <tableColumn id="17" xr3:uid="{03A4C449-CA77-4F75-9042-C90B9377B0E4}" uniqueName="17" name="Lead times " queryTableFieldId="17"/>
    <tableColumn id="18" xr3:uid="{1DD5F125-361A-418C-8456-CB836DB411FE}" uniqueName="18" name="Projected Inventory" queryTableFieldId="18"/>
    <tableColumn id="19" xr3:uid="{276757E1-E598-454A-ABFE-5131A8688385}" uniqueName="19" name="Min MOS " queryTableFieldId="19"/>
    <tableColumn id="20" xr3:uid="{740C49CD-C435-4E5F-8CED-06021C7AAC26}" uniqueName="20" name="Max MOS " queryTableFieldId="20"/>
    <tableColumn id="21" xr3:uid="{6AB16427-2E69-45BC-89DC-C9BEEFB7C84A}" uniqueName="21" name="Desired MOS" queryTableFieldId="21"/>
    <tableColumn id="22" xr3:uid="{213CAD3B-8476-4BDF-860F-EA02EBF548C6}" uniqueName="22" name="MOS " queryTableFieldId="22"/>
    <tableColumn id="23" xr3:uid="{74F03E13-757C-4D65-B0CE-FE989D6E0EC9}" uniqueName="23" name="Projected Expired stock " queryTableFieldId="2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20EC21-A18C-40F1-BA98-0639358A1AF2}" name="Fcondomstable_1" displayName="Fcondomstable_1" ref="A1:W87" tableType="queryTable" totalsRowShown="0">
  <autoFilter ref="A1:W87" xr:uid="{E920EC21-A18C-40F1-BA98-0639358A1AF2}"/>
  <tableColumns count="23">
    <tableColumn id="1" xr3:uid="{E45E5E01-B40D-4376-821E-98C850C8BFC0}" uniqueName="1" name="Country " queryTableFieldId="1" dataDxfId="115"/>
    <tableColumn id="2" xr3:uid="{4B9A5639-F8D7-4208-828B-C2FA09B21197}" uniqueName="2" name="Product " queryTableFieldId="2" dataDxfId="114"/>
    <tableColumn id="3" xr3:uid="{C78F770D-1A0B-4CD2-8EF7-E5320B28FFBF}" uniqueName="3" name="UoM" queryTableFieldId="3" dataDxfId="113"/>
    <tableColumn id="4" xr3:uid="{56545F7D-2D7B-4E76-B10E-BEF1AA985406}" uniqueName="4" name="Iventory reporting level " queryTableFieldId="4" dataDxfId="112"/>
    <tableColumn id="5" xr3:uid="{D7D652E5-E8EE-40B0-B65E-0C9F2D8505B1}" uniqueName="5" name="Period" queryTableFieldId="5" dataDxfId="111"/>
    <tableColumn id="6" xr3:uid="{B0C4BEFD-DC97-4EE7-B9B0-6162FA7075E4}" uniqueName="6" name="Stock on hand(opening balance)" queryTableFieldId="6"/>
    <tableColumn id="7" xr3:uid="{98F374D3-F075-437D-A580-1ED8A0A5D2C7}" uniqueName="7" name="Actual monthly consumption " queryTableFieldId="7"/>
    <tableColumn id="8" xr3:uid="{2EE8444F-CCE3-4D08-A325-945E80E8D0C8}" uniqueName="8" name="Forecasted consumption" queryTableFieldId="8"/>
    <tableColumn id="9" xr3:uid="{86DA3BCB-A790-47EC-B10F-EC9345BD76B4}" uniqueName="9" name="Closing balance " queryTableFieldId="9"/>
    <tableColumn id="10" xr3:uid="{D13DADC4-B16D-405F-B809-6C87BB94308E}" uniqueName="10" name="Procurer " queryTableFieldId="10" dataDxfId="110"/>
    <tableColumn id="11" xr3:uid="{FD136540-8DC4-429D-AD57-0AC72F2E0E74}" uniqueName="11" name="Funding source " queryTableFieldId="11" dataDxfId="109"/>
    <tableColumn id="12" xr3:uid="{FA735820-C7A4-4C97-BC2E-C47BBEF8EFC8}" uniqueName="12" name="Status " queryTableFieldId="12" dataDxfId="108"/>
    <tableColumn id="13" xr3:uid="{FE9CE692-9B39-4FF7-9DD2-E00E05E2131C}" uniqueName="13" name="Quantity " queryTableFieldId="13"/>
    <tableColumn id="14" xr3:uid="{A7A4B3ED-4E1E-4272-B169-67FD76BBCE6B}" uniqueName="14" name="Unit cost " queryTableFieldId="14"/>
    <tableColumn id="15" xr3:uid="{1D69334C-B6F0-4547-8B7D-5488B90F69BA}" uniqueName="15" name="Total cost " queryTableFieldId="15"/>
    <tableColumn id="16" xr3:uid="{533BCE46-7578-4B18-A48B-43EF2A9BF856}" uniqueName="16" name="ETA" queryTableFieldId="16" dataDxfId="107"/>
    <tableColumn id="17" xr3:uid="{B5313D63-9A29-40F7-8B10-F63039FAE909}" uniqueName="17" name="Lead times " queryTableFieldId="17"/>
    <tableColumn id="18" xr3:uid="{5DA43EF0-FAE7-474A-A70C-4878A012CABD}" uniqueName="18" name="Projected Inventory" queryTableFieldId="18"/>
    <tableColumn id="19" xr3:uid="{9E8F94E0-4B3C-4DB4-AA94-20228A5D1F65}" uniqueName="19" name="Min MOS " queryTableFieldId="19"/>
    <tableColumn id="20" xr3:uid="{318F9B38-3471-49FD-AC65-BEEB56C49EF0}" uniqueName="20" name="Max MOS " queryTableFieldId="20"/>
    <tableColumn id="21" xr3:uid="{200FDB30-6326-4E95-B253-56EC95F64EB6}" uniqueName="21" name="Desired MOS" queryTableFieldId="21"/>
    <tableColumn id="22" xr3:uid="{01B60579-E9C8-448F-AD44-FC4F52A1EA82}" uniqueName="22" name="MOS " queryTableFieldId="22"/>
    <tableColumn id="23" xr3:uid="{D3DE9A49-2B9E-40FB-8763-0511E3E06ADC}" uniqueName="23" name="Projected Expired stock " queryTableFieldId="2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CEC982-0465-4CA5-95C9-426E8968804F}" name="EPtable_1" displayName="EPtable_1" ref="A1:W98" tableType="queryTable" totalsRowShown="0">
  <autoFilter ref="A1:W98" xr:uid="{DCCEC982-0465-4CA5-95C9-426E8968804F}"/>
  <tableColumns count="23">
    <tableColumn id="1" xr3:uid="{9BF0C9D3-0E79-4CFD-8105-8A1823834DA0}" uniqueName="1" name="Country " queryTableFieldId="1" dataDxfId="106"/>
    <tableColumn id="2" xr3:uid="{F2130024-BAE9-4722-9B4D-510647BAF1B0}" uniqueName="2" name="Product " queryTableFieldId="2" dataDxfId="105"/>
    <tableColumn id="3" xr3:uid="{BB2802E6-C50F-418F-A5B4-84F0ED91449A}" uniqueName="3" name="UoM" queryTableFieldId="3" dataDxfId="104"/>
    <tableColumn id="4" xr3:uid="{8B4186E4-4032-43F0-9BC8-81067221D861}" uniqueName="4" name="Iventory reporting level " queryTableFieldId="4" dataDxfId="103"/>
    <tableColumn id="5" xr3:uid="{84517548-AB52-4388-B992-FCE02FEBDBBB}" uniqueName="5" name="Period" queryTableFieldId="5" dataDxfId="102"/>
    <tableColumn id="6" xr3:uid="{69626443-705F-41B2-8EB6-0C906084A49D}" uniqueName="6" name="Stock on hand(opening balance)" queryTableFieldId="6"/>
    <tableColumn id="7" xr3:uid="{AEA69BA5-6ACB-4095-84E3-C8C38BD44E5D}" uniqueName="7" name="Actual monthly consumption " queryTableFieldId="7"/>
    <tableColumn id="8" xr3:uid="{29754D57-4773-4A10-BA44-D9394D6E252C}" uniqueName="8" name="Forecasted consumption" queryTableFieldId="8"/>
    <tableColumn id="9" xr3:uid="{7A7DF3EA-CB5A-4645-B552-9ACA192D655D}" uniqueName="9" name="Closing balance " queryTableFieldId="9"/>
    <tableColumn id="10" xr3:uid="{28061ADB-2FE9-449A-86F3-2EDCA55D7C03}" uniqueName="10" name="Procurer " queryTableFieldId="10" dataDxfId="101"/>
    <tableColumn id="11" xr3:uid="{8E01F12B-997E-4204-B2A6-BDEB80BBE69D}" uniqueName="11" name="Funding source " queryTableFieldId="11" dataDxfId="100"/>
    <tableColumn id="12" xr3:uid="{318D4EF5-AB25-4E5B-B214-30F9EAAAC203}" uniqueName="12" name="Status " queryTableFieldId="12" dataDxfId="99"/>
    <tableColumn id="13" xr3:uid="{D67C0689-CF0A-494D-A334-EE9391F90A4C}" uniqueName="13" name="Quantity " queryTableFieldId="13"/>
    <tableColumn id="14" xr3:uid="{A1B682DA-714A-495D-A7F4-1D92A152BBA9}" uniqueName="14" name="Unit cost " queryTableFieldId="14"/>
    <tableColumn id="15" xr3:uid="{BA2669E0-30A2-45DD-BD73-AB8E87FC5BD4}" uniqueName="15" name="Total cost " queryTableFieldId="15"/>
    <tableColumn id="16" xr3:uid="{8589EF61-0082-4BDA-9FCE-50ADD8352964}" uniqueName="16" name="ETA" queryTableFieldId="16"/>
    <tableColumn id="17" xr3:uid="{18543811-9EAB-438B-8C01-3A024FFDBF9F}" uniqueName="17" name="Lead times " queryTableFieldId="17"/>
    <tableColumn id="18" xr3:uid="{973F757A-56F2-48C2-8227-6BDD6E62D51D}" uniqueName="18" name="Projected Inventory" queryTableFieldId="18"/>
    <tableColumn id="19" xr3:uid="{13C13D28-65CA-4CD4-A666-14B36AC0C602}" uniqueName="19" name="Min MOS " queryTableFieldId="19"/>
    <tableColumn id="20" xr3:uid="{07489005-F6EE-41DE-92F1-A033DB88E48A}" uniqueName="20" name="Max MOS " queryTableFieldId="20"/>
    <tableColumn id="21" xr3:uid="{BDD4A822-71D8-44EA-945F-0B5F7F1FF5A1}" uniqueName="21" name="Desired MOS" queryTableFieldId="21"/>
    <tableColumn id="22" xr3:uid="{80A2AAC5-2A50-456D-A4F4-A3762ADF6192}" uniqueName="22" name="MOS " queryTableFieldId="22"/>
    <tableColumn id="23" xr3:uid="{DAB6496B-2D97-4B86-B662-23F62381C17B}" uniqueName="23" name="Projected Expired stock " queryTableFieldId="2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0FCE6C-C106-4C6B-A7D7-F11139728F28}" name="DMPASCtable_1" displayName="DMPASCtable_1" ref="A1:W109" tableType="queryTable" totalsRowShown="0">
  <autoFilter ref="A1:W109" xr:uid="{8C0FCE6C-C106-4C6B-A7D7-F11139728F28}"/>
  <tableColumns count="23">
    <tableColumn id="1" xr3:uid="{0094E14F-4145-453B-9A42-59FF5FF54E1F}" uniqueName="1" name="Country " queryTableFieldId="1" dataDxfId="98"/>
    <tableColumn id="2" xr3:uid="{63E03D76-6CCA-4AC2-9C5A-A7EB93757F44}" uniqueName="2" name="Product " queryTableFieldId="2" dataDxfId="97"/>
    <tableColumn id="3" xr3:uid="{82E2AE33-ABB5-415A-A86F-444A4DF7FCA8}" uniqueName="3" name="UoM" queryTableFieldId="3" dataDxfId="96"/>
    <tableColumn id="4" xr3:uid="{FEE2D4FD-F337-4C4A-9D0A-F29DAF5D4B62}" uniqueName="4" name="Iventory reporting level " queryTableFieldId="4" dataDxfId="95"/>
    <tableColumn id="5" xr3:uid="{0500495B-93FE-4CFD-BDEB-E0B598B58481}" uniqueName="5" name="Period" queryTableFieldId="5" dataDxfId="94"/>
    <tableColumn id="6" xr3:uid="{A266E797-201E-4FB8-AEC3-E1932989B679}" uniqueName="6" name="Stock on hand(opening balance)" queryTableFieldId="6"/>
    <tableColumn id="7" xr3:uid="{8013A163-D15F-4C45-9382-1E16AAE07D7C}" uniqueName="7" name="Actual monthly consumption " queryTableFieldId="7"/>
    <tableColumn id="8" xr3:uid="{3ECAF757-E6D3-4051-AACE-1D19142195C2}" uniqueName="8" name="Forecasted consumption" queryTableFieldId="8"/>
    <tableColumn id="9" xr3:uid="{2D184F45-824E-4CA4-AAFF-8E0E3D25C8F2}" uniqueName="9" name="Closing balance " queryTableFieldId="9"/>
    <tableColumn id="10" xr3:uid="{C0109B09-E221-4753-B9B6-D9222D118EC3}" uniqueName="10" name="Procurer " queryTableFieldId="10" dataDxfId="93"/>
    <tableColumn id="11" xr3:uid="{A48BF027-5E0C-4413-878F-3F2760CD6242}" uniqueName="11" name="Funding source " queryTableFieldId="11" dataDxfId="92"/>
    <tableColumn id="12" xr3:uid="{724D6E5B-DD0A-4CED-B74E-380D0BF5BD5B}" uniqueName="12" name="Status " queryTableFieldId="12" dataDxfId="91"/>
    <tableColumn id="13" xr3:uid="{F8D74F9B-39F7-4CE9-AA06-6704B8FB20E8}" uniqueName="13" name="Quantity " queryTableFieldId="13"/>
    <tableColumn id="14" xr3:uid="{68E105A8-DA28-4D7B-8BA7-439EECBED3CD}" uniqueName="14" name="Unit cost " queryTableFieldId="14"/>
    <tableColumn id="15" xr3:uid="{D3B93D78-467E-46A5-A261-69A7229AF1BD}" uniqueName="15" name="Total cost " queryTableFieldId="15"/>
    <tableColumn id="16" xr3:uid="{EA87AB3E-D885-4E31-88A4-3E23C80D9C03}" uniqueName="16" name="ETA" queryTableFieldId="16" dataDxfId="90"/>
    <tableColumn id="17" xr3:uid="{0D579896-39DA-4421-8089-A6815E31FFEB}" uniqueName="17" name="Lead times " queryTableFieldId="17"/>
    <tableColumn id="18" xr3:uid="{3B4670D5-37AD-4F9A-B766-9D366F759264}" uniqueName="18" name="Projected Inventory" queryTableFieldId="18"/>
    <tableColumn id="19" xr3:uid="{AE119970-B6B5-41E1-8B82-C5C4B9489CA3}" uniqueName="19" name="Min MOS " queryTableFieldId="19"/>
    <tableColumn id="20" xr3:uid="{FCB021AA-3F75-42C6-9B17-4579CB71ABDD}" uniqueName="20" name="Max MOS " queryTableFieldId="20"/>
    <tableColumn id="21" xr3:uid="{4254BFFE-73A4-47DF-A6A8-FEFCC739AF68}" uniqueName="21" name="Desired MOS" queryTableFieldId="21"/>
    <tableColumn id="22" xr3:uid="{F606E0A7-EEC7-44E6-B57F-46012C474467}" uniqueName="22" name="MOS " queryTableFieldId="22"/>
    <tableColumn id="23" xr3:uid="{1A7B4C27-B30B-4A82-BFAB-3ED85D79501A}" uniqueName="23" name="Projected Expired stock " queryTableFieldId="2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441C809-68C8-4E06-8CE4-591B7F19C037}" name="DMPAIMtable_1" displayName="DMPAIMtable_1" ref="A1:W107" tableType="queryTable" totalsRowShown="0">
  <autoFilter ref="A1:W107" xr:uid="{D441C809-68C8-4E06-8CE4-591B7F19C037}"/>
  <tableColumns count="23">
    <tableColumn id="1" xr3:uid="{68506362-3C97-4DF0-A78D-3375E22AD46E}" uniqueName="1" name="Country " queryTableFieldId="1" dataDxfId="89"/>
    <tableColumn id="2" xr3:uid="{19454759-A520-4882-9F73-00C045B526F3}" uniqueName="2" name="Product " queryTableFieldId="2" dataDxfId="88"/>
    <tableColumn id="3" xr3:uid="{BE7BDC57-2E6D-40FC-AC81-2E2AC19713F8}" uniqueName="3" name="UoM" queryTableFieldId="3" dataDxfId="87"/>
    <tableColumn id="4" xr3:uid="{1A1C93D1-B317-456B-B697-3BB8476CE003}" uniqueName="4" name="Iventory reporting level " queryTableFieldId="4" dataDxfId="86"/>
    <tableColumn id="5" xr3:uid="{CDFFFE4F-9C24-4120-9069-0603D23E73DF}" uniqueName="5" name="Period" queryTableFieldId="5" dataDxfId="85"/>
    <tableColumn id="6" xr3:uid="{939659C5-36DB-44DA-B6B4-5C3C6A379706}" uniqueName="6" name="Stock on hand(opening balance)" queryTableFieldId="6"/>
    <tableColumn id="7" xr3:uid="{D25055B5-54BF-4E9A-B25A-E6F28326909D}" uniqueName="7" name="Actual monthly consumption " queryTableFieldId="7"/>
    <tableColumn id="8" xr3:uid="{1B9EF36F-2EB8-4555-BC03-00906E6DE6B3}" uniqueName="8" name="Forecasted consumption" queryTableFieldId="8"/>
    <tableColumn id="9" xr3:uid="{69EFF464-0995-4F10-A10D-5288C7E6BADD}" uniqueName="9" name="Closing balance " queryTableFieldId="9"/>
    <tableColumn id="10" xr3:uid="{F8101B71-2550-4C48-96BA-C4452DDCB43F}" uniqueName="10" name="Procurer " queryTableFieldId="10" dataDxfId="84"/>
    <tableColumn id="11" xr3:uid="{4D374F53-71E6-43A0-ACDE-EF3B320346A2}" uniqueName="11" name="Funding source " queryTableFieldId="11" dataDxfId="83"/>
    <tableColumn id="12" xr3:uid="{7ED4D08A-3D61-4F83-9DE6-D358DD5634D8}" uniqueName="12" name="Status " queryTableFieldId="12" dataDxfId="82"/>
    <tableColumn id="13" xr3:uid="{58301E91-6CDC-49D0-A1D9-F91F26EC3F33}" uniqueName="13" name="Quantity " queryTableFieldId="13"/>
    <tableColumn id="14" xr3:uid="{5A723A96-F0EC-4A01-B575-61D312ACF27F}" uniqueName="14" name="Unit cost " queryTableFieldId="14"/>
    <tableColumn id="15" xr3:uid="{E1575188-45FF-42A2-A2E0-8C91D1078AD1}" uniqueName="15" name="Total cost " queryTableFieldId="15"/>
    <tableColumn id="16" xr3:uid="{66862430-D81F-4D43-BEB3-47A766941366}" uniqueName="16" name="ETA" queryTableFieldId="16" dataDxfId="81"/>
    <tableColumn id="17" xr3:uid="{6D891879-3C0A-4F91-8091-2F85FD4C93F0}" uniqueName="17" name="Lead times " queryTableFieldId="17"/>
    <tableColumn id="18" xr3:uid="{C0A73086-4BBB-46DD-AD1D-EC22953AE4C6}" uniqueName="18" name="Projected Inventory" queryTableFieldId="18"/>
    <tableColumn id="19" xr3:uid="{7A1F16C7-CD32-4D5E-9040-3A21F12FB71B}" uniqueName="19" name="Min MOS " queryTableFieldId="19"/>
    <tableColumn id="20" xr3:uid="{E9E1E804-211A-4C40-A6A8-124C98EB22F7}" uniqueName="20" name="Max MOS " queryTableFieldId="20"/>
    <tableColumn id="21" xr3:uid="{FA4AF9F5-5A1D-47D1-B9C3-0FB4CDC74646}" uniqueName="21" name="Desired MOS" queryTableFieldId="21"/>
    <tableColumn id="22" xr3:uid="{A818D54A-2A50-4BAC-AF18-6236CA70E210}" uniqueName="22" name="MOS " queryTableFieldId="22"/>
    <tableColumn id="23" xr3:uid="{12DDCA8F-97CC-4B70-95A2-42ED18C40539}" uniqueName="23" name="Projected Expired stock " queryTableFieldId="2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E812E9-E169-48D7-A7AA-4DE7E4B89D62}" name="cyclebeadstable_" displayName="cyclebeadstable_" ref="A1:W36" tableType="queryTable" totalsRowShown="0">
  <autoFilter ref="A1:W36" xr:uid="{80E812E9-E169-48D7-A7AA-4DE7E4B89D62}"/>
  <tableColumns count="23">
    <tableColumn id="1" xr3:uid="{DADC464D-73D9-446C-B638-40F42F4938A5}" uniqueName="1" name="Country " queryTableFieldId="1" dataDxfId="80"/>
    <tableColumn id="2" xr3:uid="{F0451873-7C2D-4CCA-9DAD-E203EAF83838}" uniqueName="2" name="Product " queryTableFieldId="2" dataDxfId="79"/>
    <tableColumn id="3" xr3:uid="{229EA571-DCE0-4C23-A2C2-7C10A3829741}" uniqueName="3" name="UoM" queryTableFieldId="3" dataDxfId="78"/>
    <tableColumn id="4" xr3:uid="{79B4AE32-EE9C-4104-85D3-D8E3524EB9B8}" uniqueName="4" name="Iventory reporting level " queryTableFieldId="4" dataDxfId="77"/>
    <tableColumn id="5" xr3:uid="{92E31143-C724-4672-93C3-CF80F0DEF97A}" uniqueName="5" name="Period" queryTableFieldId="5" dataDxfId="76"/>
    <tableColumn id="6" xr3:uid="{BC860253-CCF2-470D-B91F-3217241BB72D}" uniqueName="6" name="Stock on hand(opening balance)" queryTableFieldId="6"/>
    <tableColumn id="7" xr3:uid="{83B3B5B5-97AA-40EE-AC41-78E7C08F9848}" uniqueName="7" name="Actual monthly consumption " queryTableFieldId="7"/>
    <tableColumn id="8" xr3:uid="{1F583763-A0F8-422D-8645-3EF4535ACDC6}" uniqueName="8" name="Forecasted consumption" queryTableFieldId="8"/>
    <tableColumn id="9" xr3:uid="{559D3DD0-B856-4C1E-8BFB-95AFDBD1CB4A}" uniqueName="9" name="Closing balance " queryTableFieldId="9"/>
    <tableColumn id="10" xr3:uid="{C4D97F58-6C09-4718-BB42-1FCC3B7A291A}" uniqueName="10" name="Procurer " queryTableFieldId="10" dataDxfId="75"/>
    <tableColumn id="11" xr3:uid="{2B7E29E8-79A3-4EF0-8B6C-23FB403CAB83}" uniqueName="11" name="Funding source " queryTableFieldId="11" dataDxfId="74"/>
    <tableColumn id="12" xr3:uid="{3F696AC9-CC6C-4B01-9CF7-DEAFA15DA5DC}" uniqueName="12" name="Status " queryTableFieldId="12" dataDxfId="73"/>
    <tableColumn id="13" xr3:uid="{F747DC3B-5A67-4B0F-B902-0AE481F0AB63}" uniqueName="13" name="Quantity " queryTableFieldId="13"/>
    <tableColumn id="14" xr3:uid="{C798C507-1360-4388-9CFB-1B27B632F5B3}" uniqueName="14" name="Unit cost " queryTableFieldId="14"/>
    <tableColumn id="15" xr3:uid="{B3937DB5-E04B-4C0E-B0D1-5BFA7E9F1F14}" uniqueName="15" name="Total cost " queryTableFieldId="15"/>
    <tableColumn id="16" xr3:uid="{B9B1A53A-44E5-49BE-BE22-C4E1F6F50C0C}" uniqueName="16" name="ETA" queryTableFieldId="16" dataDxfId="72"/>
    <tableColumn id="17" xr3:uid="{29BE1648-F775-40BE-A227-25727C4EF1EA}" uniqueName="17" name="Lead times " queryTableFieldId="17"/>
    <tableColumn id="18" xr3:uid="{5C54FA2A-7ABF-42EC-8400-0498120ED0DC}" uniqueName="18" name="Projected Inventory" queryTableFieldId="18"/>
    <tableColumn id="19" xr3:uid="{22BF1B8A-5CA0-4110-8C09-0CA6AAF2F09C}" uniqueName="19" name="Min MOS " queryTableFieldId="19"/>
    <tableColumn id="20" xr3:uid="{7D9FFDD5-F2C0-4091-A856-29EE81B9E94A}" uniqueName="20" name="Max MOS " queryTableFieldId="20"/>
    <tableColumn id="21" xr3:uid="{3BE6EBDF-7A79-4664-A180-74215D74D8FC}" uniqueName="21" name="Desired MOS" queryTableFieldId="21"/>
    <tableColumn id="22" xr3:uid="{A741E6F3-D034-4E48-A472-58A6A07F249D}" uniqueName="22" name="MOS " queryTableFieldId="22"/>
    <tableColumn id="23" xr3:uid="{41BFC918-DA6C-453F-84F5-816BBBDE3425}" uniqueName="23" name="Projected Expired stock " queryTableFieldId="2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FD6A42-07D5-4BCD-8599-AE5CBFEAC674}" name="CopperIUDtable_" displayName="CopperIUDtable_" ref="A1:W107" tableType="queryTable" totalsRowShown="0">
  <autoFilter ref="A1:W107" xr:uid="{C6FD6A42-07D5-4BCD-8599-AE5CBFEAC674}"/>
  <tableColumns count="23">
    <tableColumn id="1" xr3:uid="{EBD68909-F2B4-4A59-A1E7-ED4867B4CDEC}" uniqueName="1" name="Country " queryTableFieldId="1" dataDxfId="71"/>
    <tableColumn id="2" xr3:uid="{0547A302-AD23-4251-822E-2681BF3A3842}" uniqueName="2" name="Product " queryTableFieldId="2" dataDxfId="70"/>
    <tableColumn id="3" xr3:uid="{FB4B7DE0-E58A-4816-9D38-EAE2852AE643}" uniqueName="3" name="UoM" queryTableFieldId="3" dataDxfId="69"/>
    <tableColumn id="4" xr3:uid="{3B19F44B-8973-4EFA-AFFC-D470AE4AD50E}" uniqueName="4" name="Iventory reporting level " queryTableFieldId="4" dataDxfId="68"/>
    <tableColumn id="5" xr3:uid="{6A24E2BF-C23B-4232-99A2-6B57DFD094DA}" uniqueName="5" name="Period" queryTableFieldId="5" dataDxfId="67"/>
    <tableColumn id="6" xr3:uid="{DB70EC3C-20AF-44A4-AB32-1C626F64800B}" uniqueName="6" name="Stock on hand(opening balance)" queryTableFieldId="6"/>
    <tableColumn id="7" xr3:uid="{8EB7EFBA-DAC7-4363-83A7-21411628C38B}" uniqueName="7" name="Actual monthly consumption " queryTableFieldId="7"/>
    <tableColumn id="8" xr3:uid="{783327AC-125C-40F5-AA7A-AF7840220DCA}" uniqueName="8" name="Forecasted consumption" queryTableFieldId="8"/>
    <tableColumn id="9" xr3:uid="{910E347F-EC7A-46E2-BE5A-2C41ECAA900A}" uniqueName="9" name="Closing balance " queryTableFieldId="9"/>
    <tableColumn id="10" xr3:uid="{8AC17720-A2E5-40AF-B658-5B60967CD367}" uniqueName="10" name="Procurer " queryTableFieldId="10" dataDxfId="66"/>
    <tableColumn id="11" xr3:uid="{A8024201-4400-4866-B378-BC3AC72C78C9}" uniqueName="11" name="Funding source " queryTableFieldId="11" dataDxfId="65"/>
    <tableColumn id="12" xr3:uid="{163508A8-A5C9-48AE-A4CA-7C762356EAD0}" uniqueName="12" name="Status " queryTableFieldId="12" dataDxfId="64"/>
    <tableColumn id="13" xr3:uid="{9341EA0D-307E-4D32-9B36-131A21B7D0E1}" uniqueName="13" name="Quantity " queryTableFieldId="13"/>
    <tableColumn id="14" xr3:uid="{19AC70A7-6A3E-4467-843E-2CD3F299EE5C}" uniqueName="14" name="Unit cost " queryTableFieldId="14" dataDxfId="63"/>
    <tableColumn id="15" xr3:uid="{0BC8755E-F2C7-4B32-A30A-1E0BDEF3D765}" uniqueName="15" name="Total cost " queryTableFieldId="15"/>
    <tableColumn id="16" xr3:uid="{C20EA5B2-B518-4042-9183-A3AFC2D83BE1}" uniqueName="16" name="ETA" queryTableFieldId="16" dataDxfId="62"/>
    <tableColumn id="17" xr3:uid="{631D6340-CF7D-4A4D-8469-C32014C54A98}" uniqueName="17" name="Lead times " queryTableFieldId="17"/>
    <tableColumn id="18" xr3:uid="{5226E95A-AF9E-4284-B74F-F6D871D1177C}" uniqueName="18" name="Projected Inventory" queryTableFieldId="18"/>
    <tableColumn id="19" xr3:uid="{9092ED28-C853-4D84-9B88-9E07CA215E8B}" uniqueName="19" name="Min MOS " queryTableFieldId="19"/>
    <tableColumn id="20" xr3:uid="{34A6E2FB-CCA6-4302-A7CD-F385874C7F3E}" uniqueName="20" name="Max MOS " queryTableFieldId="20"/>
    <tableColumn id="21" xr3:uid="{054273EF-BE3B-46E8-80D4-A18290178950}" uniqueName="21" name="Desired MOS" queryTableFieldId="21"/>
    <tableColumn id="22" xr3:uid="{89327FAA-F845-4820-AFDC-B49C75427A71}" uniqueName="22" name="MOS " queryTableFieldId="22"/>
    <tableColumn id="23" xr3:uid="{5554A508-8410-49A5-8063-D021D19D62AD}" uniqueName="23" name="Projected Expired stock " queryTableFieldId="2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776C916-69EF-4217-949F-A25A38197243}" name="COCtable_" displayName="COCtable_" ref="A1:W115" tableType="queryTable" totalsRowShown="0">
  <autoFilter ref="A1:W115" xr:uid="{7776C916-69EF-4217-949F-A25A38197243}"/>
  <tableColumns count="23">
    <tableColumn id="1" xr3:uid="{7C1FF063-EC8E-4498-9E58-DF83E9AD350C}" uniqueName="1" name="Country " queryTableFieldId="1" dataDxfId="61"/>
    <tableColumn id="2" xr3:uid="{E90BE2C5-CD92-44C5-851F-BF171EA9D2D7}" uniqueName="2" name="Product " queryTableFieldId="2" dataDxfId="60"/>
    <tableColumn id="3" xr3:uid="{20A3F45B-0CF8-4B20-8E88-F2AF2FB71DDD}" uniqueName="3" name="UoM" queryTableFieldId="3" dataDxfId="59"/>
    <tableColumn id="4" xr3:uid="{A2E1DF08-3891-48F7-AE66-79EAB6CDF78A}" uniqueName="4" name="Iventory reporting level " queryTableFieldId="4" dataDxfId="58"/>
    <tableColumn id="5" xr3:uid="{23194F60-F1C3-4FF4-9F5D-F04624AF9D93}" uniqueName="5" name="Period" queryTableFieldId="5" dataDxfId="57"/>
    <tableColumn id="6" xr3:uid="{59DFAE11-142C-4AD9-BAB4-E8CFD45EEF6A}" uniqueName="6" name="Stock on hand(opening balance)" queryTableFieldId="6"/>
    <tableColumn id="7" xr3:uid="{A1DF9E1D-59C9-4A5F-B4D7-64B6D26C57A5}" uniqueName="7" name="Actual monthly consumption " queryTableFieldId="7"/>
    <tableColumn id="8" xr3:uid="{6DEDA67D-71FB-4B52-91A5-C8FA1E7E56F4}" uniqueName="8" name="Forecasted consumption" queryTableFieldId="8"/>
    <tableColumn id="9" xr3:uid="{27EA3C43-4661-499A-ADD6-B1A71BA8EDF9}" uniqueName="9" name="Closing balance " queryTableFieldId="9"/>
    <tableColumn id="10" xr3:uid="{FA029A63-6974-4AFE-91CA-7D1BB22C4A4C}" uniqueName="10" name="Procurer " queryTableFieldId="10" dataDxfId="56"/>
    <tableColumn id="11" xr3:uid="{E487C8FD-55AA-47FB-BFE9-9225E464B6D7}" uniqueName="11" name="Funding source " queryTableFieldId="11" dataDxfId="55"/>
    <tableColumn id="12" xr3:uid="{875FAAC4-A76D-4460-B315-3A4DDAEFC87D}" uniqueName="12" name="Status " queryTableFieldId="12" dataDxfId="54"/>
    <tableColumn id="13" xr3:uid="{44EDC48F-0CF3-4551-8974-1A30FAC8A650}" uniqueName="13" name="Quantity " queryTableFieldId="13"/>
    <tableColumn id="14" xr3:uid="{027C7874-F602-445F-BE64-474C923B2A76}" uniqueName="14" name="Unit cost " queryTableFieldId="14"/>
    <tableColumn id="15" xr3:uid="{B430931F-62D3-4E6D-81F9-5002076B6B27}" uniqueName="15" name="Total cost " queryTableFieldId="15"/>
    <tableColumn id="16" xr3:uid="{10DE86D0-1B4D-4934-B37D-FD4FBAA0F538}" uniqueName="16" name="ETA" queryTableFieldId="16" dataDxfId="53"/>
    <tableColumn id="17" xr3:uid="{BCA3C7D6-89A7-4A7C-8EA4-734266D6C2CA}" uniqueName="17" name="Lead times " queryTableFieldId="17"/>
    <tableColumn id="18" xr3:uid="{1789F3D4-86C4-4BBF-A940-5424493D2246}" uniqueName="18" name="Projected Inventory" queryTableFieldId="18"/>
    <tableColumn id="19" xr3:uid="{A3D4C73A-E166-4A8F-A06B-C75D84B45830}" uniqueName="19" name="Min MOS " queryTableFieldId="19"/>
    <tableColumn id="20" xr3:uid="{2925A253-6C79-44C0-8CFC-6F4AA882D61B}" uniqueName="20" name="Max MOS " queryTableFieldId="20"/>
    <tableColumn id="21" xr3:uid="{8D968902-8572-40B3-8137-DD3709819C26}" uniqueName="21" name="Desired MOS" queryTableFieldId="21"/>
    <tableColumn id="22" xr3:uid="{EB2915E5-2B38-401A-83DB-DE1E2AA4C31B}" uniqueName="22" name="MOS " queryTableFieldId="22"/>
    <tableColumn id="23" xr3:uid="{188608CB-B836-4EB9-90CB-06C65B83671B}" uniqueName="23" name="Projected Expired stock " queryTableFieldId="2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6D63807-3661-4931-968A-A3201B5C4F45}" name="Mcondomstable" displayName="Mcondomstable" ref="B6:X104" totalsRowShown="0" headerRowDxfId="982" dataDxfId="980" headerRowBorderDxfId="981" tableBorderDxfId="979" totalsRowBorderDxfId="978">
  <autoFilter ref="B6:X104" xr:uid="{86D63807-3661-4931-968A-A3201B5C4F45}"/>
  <tableColumns count="23">
    <tableColumn id="1" xr3:uid="{D09770F5-75C1-4D25-B8B2-AA3478499623}" name="Country " dataDxfId="977"/>
    <tableColumn id="2" xr3:uid="{C0D31734-9CC5-4CD7-8AFB-9A19C900BD4E}" name="Product " dataDxfId="976"/>
    <tableColumn id="22" xr3:uid="{2C7FCE11-9CE9-4E02-A949-EAC62FE82391}" name="UoM" dataDxfId="975"/>
    <tableColumn id="3" xr3:uid="{0593726A-0D3B-426C-8B87-868CDDA46AF5}" name="Iventory reporting level " dataDxfId="974"/>
    <tableColumn id="4" xr3:uid="{76B71C76-CD4E-4D9D-9885-E805E68E64F8}" name="Period" dataDxfId="973"/>
    <tableColumn id="5" xr3:uid="{59A0634D-86FA-4D97-AC6B-D73A4CA955B1}" name="Stock on hand(opening balance)" dataDxfId="972"/>
    <tableColumn id="6" xr3:uid="{57F3D49A-9518-43B9-88DE-05E500D6D2B4}" name="Actual monthly consumption " dataDxfId="971"/>
    <tableColumn id="7" xr3:uid="{26211191-BB5D-442A-8B4C-E125D886B06B}" name="Forecasted consumption" dataDxfId="970"/>
    <tableColumn id="8" xr3:uid="{344E454C-0371-4BCC-BCB0-7A9D2887DE52}" name="Closing balance " dataDxfId="969">
      <calculatedColumnFormula>MAX(Mcondomstable[[#This Row],[Stock on hand(opening balance)]]+Mcondomstable[[#This Row],[Quantity ]]-Mcondomstable[[#This Row],[Forecasted consumption]],0)</calculatedColumnFormula>
    </tableColumn>
    <tableColumn id="9" xr3:uid="{D77716E4-09C9-4805-B7BE-579C12D6B3E4}" name="Procurer " dataDxfId="968"/>
    <tableColumn id="10" xr3:uid="{75F8B85B-06C7-49EA-A489-F6A26E75AFC5}" name="Funding source " dataDxfId="967"/>
    <tableColumn id="11" xr3:uid="{C8D39DDC-84FA-4AC4-BEC9-E23B467650D9}" name="Status " dataDxfId="966"/>
    <tableColumn id="12" xr3:uid="{D6742518-DF68-42CD-B705-B5DF1A24230C}" name="Quantity " dataDxfId="965"/>
    <tableColumn id="13" xr3:uid="{CCA5D25A-3108-49D7-89EE-55CFE2167D8C}" name="Unit cost " dataDxfId="964"/>
    <tableColumn id="14" xr3:uid="{47B236CA-0A38-450C-AB97-EAB679E7B2FA}" name="Total cost " dataDxfId="963"/>
    <tableColumn id="15" xr3:uid="{6023D34F-5680-4C55-BDC9-FC452F9A0329}" name="ETA" dataDxfId="962"/>
    <tableColumn id="16" xr3:uid="{9B0A2C81-B2F9-4FB6-98E5-556CE25B3EE7}" name="Lead times " dataDxfId="961"/>
    <tableColumn id="17" xr3:uid="{1B398DD4-51B9-4617-B585-587E6C0A8C71}" name="Projected Inventory" dataDxfId="960"/>
    <tableColumn id="18" xr3:uid="{F1A996D2-6EC8-48A9-A527-7255C5DB9314}" name="Min MOS " dataDxfId="959"/>
    <tableColumn id="19" xr3:uid="{7EAEA774-DAD4-40CF-88C2-F4B3B1F351D6}" name="Max MOS " dataDxfId="958"/>
    <tableColumn id="23" xr3:uid="{8A384A08-6DB7-41A0-9A2F-B27E2AB47C51}" name="Desired MOS" dataDxfId="957"/>
    <tableColumn id="20" xr3:uid="{C76B45E7-288B-4DE1-827B-AE9C561AB06B}" name="MOS " dataDxfId="956">
      <calculatedColumnFormula>Mcondomstable[[#This Row],[Closing balance ]]/Mcondomstable[[#This Row],[Forecasted consumption]]</calculatedColumnFormula>
    </tableColumn>
    <tableColumn id="21" xr3:uid="{DDE71F08-CE92-4AF3-A76E-A908222A95A5}" name="Projected Expired stock " dataDxfId="955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CDCAB6-2738-40CC-9DFF-6A1A0A3EE5C1}" name="Fcondomstable" displayName="Fcondomstable" ref="B6:X92" totalsRowShown="0" headerRowDxfId="954" dataDxfId="952" headerRowBorderDxfId="953" tableBorderDxfId="951" totalsRowBorderDxfId="950">
  <autoFilter ref="B6:X92" xr:uid="{76CDCAB6-2738-40CC-9DFF-6A1A0A3EE5C1}"/>
  <tableColumns count="23">
    <tableColumn id="1" xr3:uid="{B54F5D70-60D5-4235-89C7-D8CF85E0B7DF}" name="Country " dataDxfId="949"/>
    <tableColumn id="2" xr3:uid="{45DCD78C-1762-427C-BAA6-CEF7D6B4A572}" name="Product " dataDxfId="948"/>
    <tableColumn id="22" xr3:uid="{38305734-933F-4BFA-BBB2-5AD4E1CC469D}" name="UoM" dataDxfId="947"/>
    <tableColumn id="3" xr3:uid="{722F1C66-A9A9-42B7-BA57-FB0FB30925E2}" name="Iventory reporting level " dataDxfId="946"/>
    <tableColumn id="4" xr3:uid="{7F2E22A8-565E-461F-BA2B-7215BDD9DCA3}" name="Period" dataDxfId="945"/>
    <tableColumn id="5" xr3:uid="{3C0BA42E-7B74-442B-9ABD-692AEAAD8C3D}" name="Stock on hand(opening balance)" dataDxfId="944"/>
    <tableColumn id="6" xr3:uid="{70A4DBF0-BCE8-4BE4-8D64-1ACB2A784B5F}" name="Actual monthly consumption " dataDxfId="943"/>
    <tableColumn id="7" xr3:uid="{84CE0AF3-9F2D-4907-882B-ED95EB2F0F34}" name="Forecasted consumption" dataDxfId="942"/>
    <tableColumn id="8" xr3:uid="{27DAD7EC-571C-42CA-B661-583CBB01B509}" name="Closing balance " dataDxfId="941">
      <calculatedColumnFormula>MAX(Fcondomstable[[#This Row],[Stock on hand(opening balance)]]+Fcondomstable[[#This Row],[Quantity ]]-Fcondomstable[[#This Row],[Forecasted consumption]],0)</calculatedColumnFormula>
    </tableColumn>
    <tableColumn id="9" xr3:uid="{C5605515-6905-4684-9511-B3B1A53AC78A}" name="Procurer " dataDxfId="940"/>
    <tableColumn id="10" xr3:uid="{74ADF0F0-66E5-4BFC-BFCA-AACFEF0BCD28}" name="Funding source " dataDxfId="939"/>
    <tableColumn id="11" xr3:uid="{786F0BAD-FDC3-46C8-BC03-6828446CDF68}" name="Status " dataDxfId="938"/>
    <tableColumn id="12" xr3:uid="{65AB6427-3F0F-43FA-ADF4-415C79EEC70E}" name="Quantity " dataDxfId="937"/>
    <tableColumn id="13" xr3:uid="{43C8F5B6-0C33-435B-808F-D21085D76C62}" name="Unit cost " dataDxfId="936"/>
    <tableColumn id="14" xr3:uid="{474B0902-13C0-4E18-A1DC-16F93047E602}" name="Total cost " dataDxfId="935"/>
    <tableColumn id="15" xr3:uid="{954ECF43-CB96-46DE-BEF7-8D75A063D8B2}" name="ETA" dataDxfId="934"/>
    <tableColumn id="16" xr3:uid="{E753E57B-E14A-4A98-ADFF-77CE87681B09}" name="Lead times " dataDxfId="933"/>
    <tableColumn id="17" xr3:uid="{CADC5AD2-D7E9-4C3B-8575-A4C30ECEF590}" name="Projected Inventory" dataDxfId="932"/>
    <tableColumn id="18" xr3:uid="{9287F2E1-2E88-4C74-A69D-B5E53C072437}" name="Min MOS " dataDxfId="931"/>
    <tableColumn id="19" xr3:uid="{F47B44A2-7073-4882-AF3A-4E4E8B3CE5E0}" name="Max MOS " dataDxfId="930"/>
    <tableColumn id="24" xr3:uid="{3E4970AF-5323-48B3-9730-DB22B64FDB6F}" name="Desired MOS" dataDxfId="929"/>
    <tableColumn id="20" xr3:uid="{AE259FD6-E788-4BFA-A306-FFC3A1DB3E85}" name="MOS " dataDxfId="928">
      <calculatedColumnFormula>Fcondomstable[[#This Row],[Closing balance ]]/Fcondomstable[[#This Row],[Forecasted consumption]]</calculatedColumnFormula>
    </tableColumn>
    <tableColumn id="21" xr3:uid="{1E9FE424-781A-4CBE-8CC2-62B16DA75FBF}" name="Projected Expired stock " dataDxfId="927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5E71480-9FEC-4BDF-9E7B-0DD97DEEFE73}" name="cyclebeadstable" displayName="cyclebeadstable" ref="B6:X41" totalsRowShown="0" headerRowDxfId="926" dataDxfId="924" headerRowBorderDxfId="925" tableBorderDxfId="923" totalsRowBorderDxfId="922">
  <autoFilter ref="B6:X41" xr:uid="{65E71480-9FEC-4BDF-9E7B-0DD97DEEFE73}"/>
  <tableColumns count="23">
    <tableColumn id="1" xr3:uid="{5E03F33B-9CE4-435F-91A4-FF8AE71E7C6B}" name="Country " dataDxfId="921"/>
    <tableColumn id="2" xr3:uid="{74735F74-0679-4F25-83B1-7F43E76D8A91}" name="Product " dataDxfId="920"/>
    <tableColumn id="22" xr3:uid="{B9B79531-D4F5-4467-A5A1-068B1A21BDB6}" name="UoM" dataDxfId="919"/>
    <tableColumn id="3" xr3:uid="{D1EAE0B6-559D-4002-BE4D-7F830012F64F}" name="Iventory reporting level " dataDxfId="918"/>
    <tableColumn id="4" xr3:uid="{EA49196B-55BA-4006-A6C1-C79BB70D9FD0}" name="Period" dataDxfId="917"/>
    <tableColumn id="5" xr3:uid="{E22C969C-C0E6-47BC-B413-DB870C5F1582}" name="Stock on hand(opening balance)" dataDxfId="916"/>
    <tableColumn id="6" xr3:uid="{27E72328-85E9-4BDF-8E29-3752931A0553}" name="Actual monthly consumption " dataDxfId="915"/>
    <tableColumn id="7" xr3:uid="{4F960F86-8E86-4020-80FC-67F9283612EA}" name="Forecasted consumption" dataDxfId="914"/>
    <tableColumn id="8" xr3:uid="{73496A74-CBB4-4C1F-8E4D-A0EDD842C03A}" name="Closing balance " dataDxfId="913">
      <calculatedColumnFormula>MAX(cyclebeadstable[[#This Row],[Stock on hand(opening balance)]]+cyclebeadstable[[#This Row],[Quantity ]]-cyclebeadstable[[#This Row],[Forecasted consumption]],0)</calculatedColumnFormula>
    </tableColumn>
    <tableColumn id="9" xr3:uid="{0B1B0E17-B589-4F1A-947B-195EBC0198EE}" name="Procurer " dataDxfId="912"/>
    <tableColumn id="10" xr3:uid="{46D59CAF-1EB2-4A5D-B08D-ECA443095D8F}" name="Funding source " dataDxfId="911"/>
    <tableColumn id="11" xr3:uid="{4710932C-7823-4E19-A880-8587F0D0B680}" name="Status " dataDxfId="910"/>
    <tableColumn id="12" xr3:uid="{203298AC-C8C9-4BC3-9287-765539BC7634}" name="Quantity " dataDxfId="909"/>
    <tableColumn id="13" xr3:uid="{AE372783-AE75-4205-BB6E-29E7661A5CB1}" name="Unit cost " dataDxfId="908"/>
    <tableColumn id="14" xr3:uid="{BBF9FE5C-102E-47B3-87A0-3C1FCEB25405}" name="Total cost " dataDxfId="907"/>
    <tableColumn id="15" xr3:uid="{615247B8-73F8-4C36-8019-CD91DB7EC17E}" name="ETA" dataDxfId="906"/>
    <tableColumn id="16" xr3:uid="{22A78215-872D-4E69-A9FE-4DB5CDA4B242}" name="Lead times " dataDxfId="905"/>
    <tableColumn id="17" xr3:uid="{3177649A-AF9C-4A6F-BC08-79FC4CA2A66E}" name="Projected Inventory" dataDxfId="904"/>
    <tableColumn id="18" xr3:uid="{ACF3A919-77B1-4BF2-95CC-911AAB62B06A}" name="Min MOS " dataDxfId="903"/>
    <tableColumn id="19" xr3:uid="{CE576AB8-A7C9-4F73-8C93-2B313F5E492F}" name="Max MOS " dataDxfId="902"/>
    <tableColumn id="23" xr3:uid="{66B6DA64-95BD-4B67-9415-8EB58AEFB821}" name="Desired MOS" dataDxfId="901"/>
    <tableColumn id="20" xr3:uid="{782921EE-04C2-4A6A-9B6C-7BF61A4242B8}" name="MOS " dataDxfId="900">
      <calculatedColumnFormula>cyclebeadstable[[#This Row],[Closing balance ]]/cyclebeadstable[[#This Row],[Forecasted consumption]]</calculatedColumnFormula>
    </tableColumn>
    <tableColumn id="21" xr3:uid="{349FD248-0B0E-4731-819A-17593D9BB3FE}" name="Projected Expired stock " dataDxfId="899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CAD73C1-6225-4268-A823-F3F418D168EA}" name="implant1rodtable" displayName="implant1rodtable" ref="B6:X105" totalsRowShown="0" headerRowDxfId="898" dataDxfId="896" headerRowBorderDxfId="897" tableBorderDxfId="895" totalsRowBorderDxfId="894">
  <autoFilter ref="B6:X105" xr:uid="{CCAD73C1-6225-4268-A823-F3F418D168EA}"/>
  <tableColumns count="23">
    <tableColumn id="1" xr3:uid="{BDCFE559-1CDA-42D0-8A6E-2802A13280C1}" name="Country " dataDxfId="893"/>
    <tableColumn id="2" xr3:uid="{CD2E9D24-94DF-42B1-AFCD-9FF8CE516F34}" name="Product " dataDxfId="892"/>
    <tableColumn id="22" xr3:uid="{D64A5831-C7C0-4407-8D46-5DCC5F3623F4}" name="UoM" dataDxfId="891"/>
    <tableColumn id="3" xr3:uid="{564706EE-53DA-4914-A1A7-DC4BF1C1F075}" name="Iventory reporting level " dataDxfId="890"/>
    <tableColumn id="4" xr3:uid="{FB7FF415-9B65-42DC-9BA6-91B247E28EAC}" name="Period" dataDxfId="889"/>
    <tableColumn id="5" xr3:uid="{E59055AE-E402-4784-B1F7-327CBB0E54EE}" name="Stock on hand(opening balance)" dataDxfId="888"/>
    <tableColumn id="6" xr3:uid="{BA6907AC-6CE3-4CEF-A924-832A54C2621D}" name="Actual monthly consumption " dataDxfId="887"/>
    <tableColumn id="7" xr3:uid="{5ECD3053-D3CE-40F6-BF9C-C160E1283C69}" name="Forecasted consumption" dataDxfId="886"/>
    <tableColumn id="8" xr3:uid="{28A7D808-3116-46DE-B1B8-C1B75876C122}" name="Closing balance " dataDxfId="885">
      <calculatedColumnFormula>MAX(implant1rodtable[[#This Row],[Stock on hand(opening balance)]]-implant1rodtable[[#This Row],[Forecasted consumption]]+implant1rodtable[[#This Row],[Quantity ]],0)</calculatedColumnFormula>
    </tableColumn>
    <tableColumn id="9" xr3:uid="{6FCAE2EF-08EF-46E0-B22E-F1FC775F2E9E}" name="Procurer " dataDxfId="884"/>
    <tableColumn id="10" xr3:uid="{FAD1311C-6EF4-44FD-B91B-B3B9071E6797}" name="Funding source " dataDxfId="883"/>
    <tableColumn id="11" xr3:uid="{5D56D355-72AB-44AB-9546-CFE65FBF9924}" name="Status " dataDxfId="882"/>
    <tableColumn id="12" xr3:uid="{58CD5C09-0565-456E-A240-F89C8DBF75AF}" name="Quantity " dataDxfId="881"/>
    <tableColumn id="13" xr3:uid="{D57C346A-C944-40FF-B486-A6AEB1B5DEBD}" name="Unit cost " dataDxfId="880"/>
    <tableColumn id="14" xr3:uid="{28057D0A-C963-43FA-93D2-214E7317A785}" name="Total cost " dataDxfId="879"/>
    <tableColumn id="15" xr3:uid="{DBDAAD5F-E14A-48A1-AFDB-C554DA25CFE9}" name="ETA" dataDxfId="878"/>
    <tableColumn id="16" xr3:uid="{A0B87152-60B0-43FC-933D-DD0AA17C9B44}" name="Lead times " dataDxfId="877"/>
    <tableColumn id="17" xr3:uid="{34B25D1B-574E-4740-976D-4A214D60E6C7}" name="Projected Inventory" dataDxfId="876"/>
    <tableColumn id="18" xr3:uid="{D5ED1B7B-3BA3-463F-B1B6-B7F247F861C3}" name="Min MOS " dataDxfId="875"/>
    <tableColumn id="19" xr3:uid="{30AFC69E-0DC7-433C-B336-B626C081B168}" name="Max MOS " dataDxfId="874"/>
    <tableColumn id="23" xr3:uid="{2018992A-8ADE-4310-89E5-562F1CC9276F}" name="Desired MOS" dataDxfId="873"/>
    <tableColumn id="20" xr3:uid="{DDBE0569-CFC8-4F33-9BA0-24E1349416BD}" name="MOS " dataDxfId="872">
      <calculatedColumnFormula>implant1rodtable[[#This Row],[Closing balance ]]/implant1rodtable[[#This Row],[Forecasted consumption]]</calculatedColumnFormula>
    </tableColumn>
    <tableColumn id="21" xr3:uid="{BB9A0FB9-5914-45D4-9111-8214557247E7}" name="Projected Expired stock " dataDxfId="871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709C212-B42F-49ED-B95A-CA636DF159FA}" name="Implant3yrstable" displayName="Implant3yrstable" ref="B6:X57" totalsRowShown="0" headerRowDxfId="870" dataDxfId="868" headerRowBorderDxfId="869" tableBorderDxfId="867" totalsRowBorderDxfId="866">
  <autoFilter ref="B6:X57" xr:uid="{6709C212-B42F-49ED-B95A-CA636DF159FA}"/>
  <tableColumns count="23">
    <tableColumn id="1" xr3:uid="{DCB883B2-B87D-40B8-86D6-40270A0BD7A9}" name="Country " dataDxfId="865"/>
    <tableColumn id="2" xr3:uid="{A079D5F6-174D-44D2-80E4-C82FB17B417C}" name="Product " dataDxfId="864"/>
    <tableColumn id="22" xr3:uid="{003D1BD6-111B-4797-8B9B-0B06AC2936E2}" name="UoM" dataDxfId="863"/>
    <tableColumn id="3" xr3:uid="{1357C633-C7D0-46EB-9996-E9283DBD3ECC}" name="Iventory reporting level " dataDxfId="862"/>
    <tableColumn id="4" xr3:uid="{CB02A3F0-F057-433D-9707-3067BC712D59}" name="Period" dataDxfId="861"/>
    <tableColumn id="5" xr3:uid="{4F445E1D-3EAE-400A-A72D-A80F1352A679}" name="Stock on hand(opening balance)" dataDxfId="860"/>
    <tableColumn id="6" xr3:uid="{C0B1E175-641B-4F83-BBB7-CE573FFD0B50}" name="Actual monthly consumption " dataDxfId="859"/>
    <tableColumn id="7" xr3:uid="{B4583E76-BA37-4DF9-9785-85854C02623C}" name="Forecasted consumption" dataDxfId="858"/>
    <tableColumn id="8" xr3:uid="{6F58E744-423E-4ACC-BA07-858E4010798D}" name="Closing balance " dataDxfId="857">
      <calculatedColumnFormula>MAX(Implant3yrstable[[#This Row],[Stock on hand(opening balance)]]+Implant3yrstable[[#This Row],[Quantity ]]-Implant3yrstable[[#This Row],[Forecasted consumption]],0)</calculatedColumnFormula>
    </tableColumn>
    <tableColumn id="9" xr3:uid="{BB7D61EE-1DBB-4FC2-BB02-EA41D1EB5EC4}" name="Procurer " dataDxfId="856"/>
    <tableColumn id="10" xr3:uid="{7A41A299-7484-4FA5-8B04-97DE682D7EE1}" name="Funding source " dataDxfId="855"/>
    <tableColumn id="11" xr3:uid="{68517D05-2B0B-4139-B398-0606B82E15C5}" name="Status " dataDxfId="854"/>
    <tableColumn id="12" xr3:uid="{1B1974F1-7B6A-472A-82F8-59D2ED6BF089}" name="Quantity " dataDxfId="853"/>
    <tableColumn id="13" xr3:uid="{959BDA88-DC8B-4BF2-8AEC-B53CA3C2A842}" name="Unit cost " dataDxfId="852"/>
    <tableColumn id="14" xr3:uid="{19698EF3-2A56-4FD5-AC92-D776A17E8E96}" name="Total cost " dataDxfId="851"/>
    <tableColumn id="15" xr3:uid="{DDBBCD03-E660-4973-A7F4-15D25358B16E}" name="ETA" dataDxfId="850"/>
    <tableColumn id="16" xr3:uid="{930C2E6D-1613-4CD5-B4D4-85288C7E4ABE}" name="Lead times " dataDxfId="849"/>
    <tableColumn id="17" xr3:uid="{03CDCCCB-5719-43EE-9A18-ABFAFAF8CBA6}" name="Projected Inventory" dataDxfId="848"/>
    <tableColumn id="18" xr3:uid="{24C81349-D625-48A4-8C6B-74156BF36E22}" name="Min MOS " dataDxfId="847"/>
    <tableColumn id="19" xr3:uid="{29ABCC3F-89EB-4A5E-A4A5-9ADF393015BA}" name="Max MOS " dataDxfId="846"/>
    <tableColumn id="23" xr3:uid="{A8402047-7A62-4F1E-9EB9-B81D45F42F15}" name="Desired MOS" dataDxfId="845"/>
    <tableColumn id="20" xr3:uid="{CE68FB6A-8304-44CC-9950-E2DA26BB77AF}" name="MOS " dataDxfId="844">
      <calculatedColumnFormula>Implant3yrstable[[#This Row],[Closing balance ]]/Implant3yrstable[[#This Row],[Forecasted consumption]]</calculatedColumnFormula>
    </tableColumn>
    <tableColumn id="21" xr3:uid="{40B79098-188A-4C72-81B9-3722D9C382E9}" name="Projected Expired stock " dataDxfId="843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00FC24B-5AAC-4909-A632-4A89318E7166}" name="implant2rod5yrstable" displayName="implant2rod5yrstable" ref="B6:X114" totalsRowShown="0" headerRowDxfId="842" dataDxfId="840" headerRowBorderDxfId="841" tableBorderDxfId="839" totalsRowBorderDxfId="838">
  <autoFilter ref="B6:X114" xr:uid="{D00FC24B-5AAC-4909-A632-4A89318E7166}"/>
  <tableColumns count="23">
    <tableColumn id="1" xr3:uid="{54BB3E1D-1C79-4C2E-9D67-EE190A81B9DC}" name="Country " dataDxfId="837"/>
    <tableColumn id="2" xr3:uid="{0E8B5935-B790-4057-B139-B3C080A6EC24}" name="Product " dataDxfId="836"/>
    <tableColumn id="22" xr3:uid="{38862451-75F3-41D4-B3B0-D9C263C9D131}" name="UoM" dataDxfId="835"/>
    <tableColumn id="3" xr3:uid="{2294577C-3135-4931-822A-82152FD17A15}" name="Iventory reporting level " dataDxfId="834"/>
    <tableColumn id="4" xr3:uid="{D7517BFF-FE7F-478A-B668-60BB656B906B}" name="Period" dataDxfId="833"/>
    <tableColumn id="5" xr3:uid="{CB2ED972-07B9-491E-9588-F8BA14B35FC7}" name="Stock on hand(opening balance)" dataDxfId="832"/>
    <tableColumn id="6" xr3:uid="{5FD1E308-1C27-4AD4-B8C7-5C8C9C93B160}" name="Actual monthly consumption " dataDxfId="831"/>
    <tableColumn id="7" xr3:uid="{C0A35E7F-3D22-4431-B662-9D1B163A026F}" name="Forecasted consumption" dataDxfId="830"/>
    <tableColumn id="8" xr3:uid="{DEFAB1EA-FEAA-44CB-9BA6-9D48FBAEDB6D}" name="Closing balance " dataDxfId="829">
      <calculatedColumnFormula>MAX(implant2rod5yrstable[[#This Row],[Stock on hand(opening balance)]]+implant2rod5yrstable[[#This Row],[Quantity ]]-implant2rod5yrstable[[#This Row],[Forecasted consumption]],0)</calculatedColumnFormula>
    </tableColumn>
    <tableColumn id="9" xr3:uid="{DFE16001-FB12-4C47-9835-A687D169906B}" name="Procurer " dataDxfId="828"/>
    <tableColumn id="10" xr3:uid="{8D50BB87-8F17-45C1-B062-B1838E97845E}" name="Funding source " dataDxfId="827"/>
    <tableColumn id="11" xr3:uid="{C5781D57-1C65-44EB-A9BA-953D33DAF543}" name="Status " dataDxfId="826"/>
    <tableColumn id="12" xr3:uid="{B7726019-D82C-4072-A41B-DB5A6DBE598A}" name="Quantity " dataDxfId="825"/>
    <tableColumn id="13" xr3:uid="{DB7ED979-2C7F-4F94-B691-9782118CDF72}" name="Unit cost " dataDxfId="824"/>
    <tableColumn id="14" xr3:uid="{6F02D104-9D04-48A0-9C12-CE7D8DBEBB44}" name="Total cost " dataDxfId="823"/>
    <tableColumn id="15" xr3:uid="{F16A3DAA-9FFA-4CCB-AA86-7285FA160E1F}" name="ETA" dataDxfId="822"/>
    <tableColumn id="16" xr3:uid="{B6A5DFDA-8CDB-48AE-ACD3-59F2DB847C24}" name="Lead times " dataDxfId="821"/>
    <tableColumn id="17" xr3:uid="{736B7DE2-38FE-4A8B-B090-26BDAF4322DB}" name="Projected Inventory" dataDxfId="820"/>
    <tableColumn id="18" xr3:uid="{2E328896-70B2-4D0F-9FC7-E9C8F28CD882}" name="Min MOS " dataDxfId="819"/>
    <tableColumn id="19" xr3:uid="{6788B47E-5A50-4542-9DDD-5AE324C12F22}" name="Max MOS " dataDxfId="818"/>
    <tableColumn id="23" xr3:uid="{8A808125-C172-4CC3-AFCF-31B986CC2979}" name="Desired MOS" dataDxfId="817"/>
    <tableColumn id="20" xr3:uid="{07CD9F53-5D10-4E89-92DF-686C5A7EB5B1}" name="MOS " dataDxfId="816">
      <calculatedColumnFormula>implant2rod5yrstable[[#This Row],[Closing balance ]]/implant2rod5yrstable[[#This Row],[Forecasted consumption]]</calculatedColumnFormula>
    </tableColumn>
    <tableColumn id="21" xr3:uid="{DD82E09B-4400-4A4D-9AC7-E1C7D86EDE7A}" name="Projected Expired stock " dataDxfId="815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BD1E41A-4152-403E-822D-DC6FAE14E951}" name="DMPASCtable" displayName="DMPASCtable" ref="B6:X114" totalsRowShown="0" headerRowDxfId="814" dataDxfId="812" headerRowBorderDxfId="813" tableBorderDxfId="811" totalsRowBorderDxfId="810">
  <autoFilter ref="B6:X114" xr:uid="{9BD1E41A-4152-403E-822D-DC6FAE14E951}"/>
  <tableColumns count="23">
    <tableColumn id="1" xr3:uid="{171A77C6-5FA3-45B8-A0B0-7F0C0BC517D8}" name="Country " dataDxfId="809"/>
    <tableColumn id="2" xr3:uid="{B1CF6C02-46BE-47A5-B7C0-50563EDB6381}" name="Product " dataDxfId="808"/>
    <tableColumn id="22" xr3:uid="{6932E3F8-94F8-48F0-8144-088DC2A40E64}" name="UoM" dataDxfId="807"/>
    <tableColumn id="3" xr3:uid="{9A9993D9-0813-45D3-8AB5-7EB681C49A6F}" name="Iventory reporting level " dataDxfId="806"/>
    <tableColumn id="4" xr3:uid="{CC2D6C4D-2F4A-4E70-A9FC-D8ED1F2DBBE7}" name="Period" dataDxfId="805"/>
    <tableColumn id="5" xr3:uid="{51C20400-FE70-470F-B82F-9B9A0DBDB847}" name="Stock on hand(opening balance)" dataDxfId="804"/>
    <tableColumn id="6" xr3:uid="{1677873C-95D2-4BCE-AC60-C7838D667215}" name="Actual monthly consumption " dataDxfId="803"/>
    <tableColumn id="7" xr3:uid="{7558AE4E-5ED9-4711-A6D0-7DEC63718553}" name="Forecasted consumption" dataDxfId="802"/>
    <tableColumn id="8" xr3:uid="{77CAD9ED-9883-4D91-B880-FC728C02B153}" name="Closing balance " dataDxfId="801">
      <calculatedColumnFormula>MAX(DMPASCtable[[#This Row],[Stock on hand(opening balance)]]+DMPASCtable[[#This Row],[Quantity ]]-DMPASCtable[[#This Row],[Forecasted consumption]],0)</calculatedColumnFormula>
    </tableColumn>
    <tableColumn id="9" xr3:uid="{BA663D12-1D58-4584-AC5E-AABE411941A1}" name="Procurer " dataDxfId="800"/>
    <tableColumn id="10" xr3:uid="{15486C25-889B-4293-A16B-9B86D49BA019}" name="Funding source " dataDxfId="799"/>
    <tableColumn id="11" xr3:uid="{84E17713-7332-4DE6-99B0-BC979ED56BA9}" name="Status " dataDxfId="798"/>
    <tableColumn id="12" xr3:uid="{8600103B-D835-487C-BD5A-EB8E0951F8D9}" name="Quantity " dataDxfId="797"/>
    <tableColumn id="13" xr3:uid="{05D33DF9-9EB7-4FED-9C91-4A27CE9A30A8}" name="Unit cost " dataDxfId="796"/>
    <tableColumn id="14" xr3:uid="{BAF26CF4-F278-40FD-B455-5CA56815EB15}" name="Total cost " dataDxfId="795"/>
    <tableColumn id="15" xr3:uid="{01BE496C-058B-4069-B729-6E46F0B9CFDF}" name="ETA" dataDxfId="794"/>
    <tableColumn id="16" xr3:uid="{8CE43CD8-B034-4D15-BC2D-73E3B5E14C6F}" name="Lead times " dataDxfId="793"/>
    <tableColumn id="17" xr3:uid="{A6663175-92A8-4DCE-B788-B7637F2E8B8A}" name="Projected Inventory" dataDxfId="792"/>
    <tableColumn id="18" xr3:uid="{79781DBE-B4D6-4840-9931-9DCE14278099}" name="Min MOS " dataDxfId="791"/>
    <tableColumn id="19" xr3:uid="{E310EDA2-42A8-4941-B9A1-A02E8DFE03EB}" name="Max MOS " dataDxfId="790"/>
    <tableColumn id="23" xr3:uid="{0F59C7AA-2248-41E3-BCF9-E4237898E971}" name="Desired MOS" dataDxfId="789"/>
    <tableColumn id="20" xr3:uid="{94AFB9B5-4F39-4210-AB0A-B80EB414DE85}" name="MOS " dataDxfId="788">
      <calculatedColumnFormula>DMPASCtable[[#This Row],[Closing balance ]]/DMPASCtable[[#This Row],[Forecasted consumption]]</calculatedColumnFormula>
    </tableColumn>
    <tableColumn id="21" xr3:uid="{D013001C-550E-48D6-B9E6-033F080F5099}" name="Projected Expired stock " dataDxfId="787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BF755F8-2B42-4895-83D8-26A33E2A4458}" name="DMPAIMtable" displayName="DMPAIMtable" ref="B6:X112" totalsRowShown="0" headerRowDxfId="786" dataDxfId="784" headerRowBorderDxfId="785" tableBorderDxfId="783" totalsRowBorderDxfId="782">
  <autoFilter ref="B6:X112" xr:uid="{CBF755F8-2B42-4895-83D8-26A33E2A4458}"/>
  <tableColumns count="23">
    <tableColumn id="1" xr3:uid="{DBA63E5D-09BB-4EBB-9EDA-386D8EEB1558}" name="Country " dataDxfId="781"/>
    <tableColumn id="2" xr3:uid="{7CA65D98-19C3-4F61-8A4E-7E2DED6A88A5}" name="Product " dataDxfId="780"/>
    <tableColumn id="22" xr3:uid="{FD19799B-3478-4635-8B27-ED2170A4FB9B}" name="UoM" dataDxfId="779"/>
    <tableColumn id="3" xr3:uid="{6C6FE2E8-74B6-439F-B1B7-B3E3CD100BF7}" name="Iventory reporting level " dataDxfId="778"/>
    <tableColumn id="4" xr3:uid="{DDD89BC7-CF3F-45B9-B0AA-6BB915738231}" name="Period" dataDxfId="777"/>
    <tableColumn id="5" xr3:uid="{1FAB81CF-4D20-4F62-8E96-BCDAF0760283}" name="Stock on hand(opening balance)" dataDxfId="776"/>
    <tableColumn id="6" xr3:uid="{CFB72850-3CDA-4F86-A106-248F9D634634}" name="Actual monthly consumption " dataDxfId="775"/>
    <tableColumn id="7" xr3:uid="{852D74DE-8D09-441A-B076-B46B3495EBDE}" name="Forecasted consumption" dataDxfId="774"/>
    <tableColumn id="8" xr3:uid="{B9A8688A-A587-4632-ADCA-F4A91330185E}" name="Closing balance " dataDxfId="773">
      <calculatedColumnFormula>MAX(DMPAIMtable[[#This Row],[Stock on hand(opening balance)]]+DMPAIMtable[[#This Row],[Quantity ]]-DMPAIMtable[[#This Row],[Forecasted consumption]],0)</calculatedColumnFormula>
    </tableColumn>
    <tableColumn id="9" xr3:uid="{37CBD743-5BD3-448B-8BD6-ABDEEA4EB4C3}" name="Procurer " dataDxfId="772"/>
    <tableColumn id="10" xr3:uid="{62CBA108-A78D-4C60-8A37-F8ABC780E5CA}" name="Funding source " dataDxfId="771"/>
    <tableColumn id="11" xr3:uid="{4E0E6E2F-B80B-4295-B54A-8A7DCC2E8647}" name="Status " dataDxfId="770"/>
    <tableColumn id="12" xr3:uid="{6F96836B-2D7E-4425-B12C-9BC6C7379180}" name="Quantity " dataDxfId="769"/>
    <tableColumn id="13" xr3:uid="{95603086-8094-456E-87C9-63B7B87BF046}" name="Unit cost " dataDxfId="768"/>
    <tableColumn id="14" xr3:uid="{C7145154-AB54-4C7A-808E-C19518FAD2CD}" name="Total cost " dataDxfId="767"/>
    <tableColumn id="15" xr3:uid="{2705DA4E-F520-4A0F-948E-C4067904DB61}" name="ETA" dataDxfId="766"/>
    <tableColumn id="16" xr3:uid="{7807A1D6-2BD3-4F56-A9D8-FAC60592198F}" name="Lead times " dataDxfId="765"/>
    <tableColumn id="17" xr3:uid="{221C2CE5-13E0-48AA-B9A7-F70AC92F42A6}" name="Projected Inventory" dataDxfId="764"/>
    <tableColumn id="18" xr3:uid="{12F93001-02D3-4005-B780-4AB3E3C0EDB5}" name="Min MOS " dataDxfId="763"/>
    <tableColumn id="19" xr3:uid="{FB26AE21-CB0B-4132-B7E8-964C3E64F810}" name="Max MOS " dataDxfId="762"/>
    <tableColumn id="23" xr3:uid="{283C26F0-1C10-4E8D-86DB-4C6EEBB41E48}" name="Desired MOS" dataDxfId="761"/>
    <tableColumn id="20" xr3:uid="{17497AF5-24D9-42AA-8B14-C2329F0139EC}" name="MOS " dataDxfId="760">
      <calculatedColumnFormula>DMPAIMtable[[#This Row],[Closing balance ]]/DMPAIMtable[[#This Row],[Forecasted consumption]]</calculatedColumnFormula>
    </tableColumn>
    <tableColumn id="21" xr3:uid="{A3B46859-3BFF-4309-B61E-785359527FA0}" name="Projected Expired stock " dataDxfId="759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FD82F65-2907-436A-94CF-9705A4C2994B}" name="CopperIUDtable" displayName="CopperIUDtable" ref="B6:X112" totalsRowShown="0" headerRowDxfId="758" dataDxfId="756" headerRowBorderDxfId="757" tableBorderDxfId="755" totalsRowBorderDxfId="754">
  <autoFilter ref="B6:X112" xr:uid="{5FD82F65-2907-436A-94CF-9705A4C2994B}"/>
  <tableColumns count="23">
    <tableColumn id="1" xr3:uid="{341FABE2-2C4A-4BCA-9FEB-405D3FCBEA1D}" name="Country " dataDxfId="753"/>
    <tableColumn id="2" xr3:uid="{CF2F8CCC-0BAB-4EF7-BBCA-E0557BE95DE8}" name="Product " dataDxfId="752"/>
    <tableColumn id="22" xr3:uid="{506D022D-D5D0-447F-B818-EA4B409677FE}" name="UoM" dataDxfId="751"/>
    <tableColumn id="3" xr3:uid="{1EB57148-94BD-4FB5-A032-6B42105CC205}" name="Iventory reporting level " dataDxfId="750"/>
    <tableColumn id="4" xr3:uid="{FDBDA322-F8E1-45FF-8DC4-E9892A1F5299}" name="Period" dataDxfId="749"/>
    <tableColumn id="5" xr3:uid="{C92DF599-544E-4909-9C0A-77B67CBCE4B6}" name="Stock on hand(opening balance)" dataDxfId="748"/>
    <tableColumn id="6" xr3:uid="{8B92B30E-B477-4726-BA9D-FA6AF8FC8882}" name="Actual monthly consumption " dataDxfId="747"/>
    <tableColumn id="7" xr3:uid="{3073E2EA-75B6-46C7-A6B8-8E9573B44294}" name="Forecasted consumption" dataDxfId="746"/>
    <tableColumn id="8" xr3:uid="{1B763A80-CDEA-4FD4-89E9-12C9C1A42AF6}" name="Closing balance " dataDxfId="745">
      <calculatedColumnFormula>MAX(CopperIUDtable[[#This Row],[Stock on hand(opening balance)]]+CopperIUDtable[[#This Row],[Quantity ]]-CopperIUDtable[[#This Row],[Forecasted consumption]],0)</calculatedColumnFormula>
    </tableColumn>
    <tableColumn id="9" xr3:uid="{AE84C66E-C301-42E2-A0FF-27131D234C88}" name="Procurer " dataDxfId="744"/>
    <tableColumn id="10" xr3:uid="{043C09E0-91F5-46AE-A873-49FA34AF96CE}" name="Funding source " dataDxfId="743"/>
    <tableColumn id="11" xr3:uid="{484510FC-F1EC-4141-B1F8-714DBEF008C5}" name="Status " dataDxfId="742"/>
    <tableColumn id="12" xr3:uid="{413F448B-E7C5-4E21-86D6-02C9F24D26F4}" name="Quantity " dataDxfId="741"/>
    <tableColumn id="13" xr3:uid="{7EFD7A2B-29F0-43FF-9551-CA61B33EC55B}" name="Unit cost " dataDxfId="740"/>
    <tableColumn id="14" xr3:uid="{620FF5AD-C4D8-449D-8BCE-94D88F80BD4C}" name="Total cost " dataDxfId="739"/>
    <tableColumn id="15" xr3:uid="{2B7D5013-E9E7-4A07-849D-73D2F5AC7DE8}" name="ETA" dataDxfId="738"/>
    <tableColumn id="16" xr3:uid="{3D4CC780-FA95-42CD-8E38-6EB3ED47EE38}" name="Lead times " dataDxfId="737"/>
    <tableColumn id="17" xr3:uid="{7E1C2E6A-E2D6-4F1E-9910-9A34E96EAB93}" name="Projected Inventory" dataDxfId="736"/>
    <tableColumn id="18" xr3:uid="{91E6DA48-C924-4D0A-8936-E0E8FAD05513}" name="Min MOS " dataDxfId="735"/>
    <tableColumn id="19" xr3:uid="{0295F79C-CFD6-40B4-A334-64B91A244232}" name="Max MOS " dataDxfId="734"/>
    <tableColumn id="23" xr3:uid="{19D61702-5DA9-4F27-A28C-5533F6B25595}" name="Desired MOS" dataDxfId="733"/>
    <tableColumn id="20" xr3:uid="{CC767964-3135-412E-8E94-82CB966DEBB0}" name="MOS " dataDxfId="732">
      <calculatedColumnFormula>CopperIUDtable[[#This Row],[Closing balance ]]/CopperIUDtable[[#This Row],[Forecasted consumption]]</calculatedColumnFormula>
    </tableColumn>
    <tableColumn id="21" xr3:uid="{538237EF-3959-4ADD-93A0-49FC6256B337}" name="Projected Expired stock " dataDxfId="731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80FEFA6-2BED-4397-93B9-94A838B8E733}" name="HormonalIUDtable" displayName="HormonalIUDtable" ref="B6:X66" totalsRowShown="0" headerRowDxfId="730" dataDxfId="728" headerRowBorderDxfId="729" tableBorderDxfId="727" totalsRowBorderDxfId="726">
  <autoFilter ref="B6:X66" xr:uid="{C80FEFA6-2BED-4397-93B9-94A838B8E733}"/>
  <tableColumns count="23">
    <tableColumn id="1" xr3:uid="{AD2CB59C-348B-4F04-8670-4C0F9BCB2E4D}" name="Country " dataDxfId="725"/>
    <tableColumn id="2" xr3:uid="{8CE97686-3AC9-43A8-B4AB-BEB7D33DEAF3}" name="Product " dataDxfId="724"/>
    <tableColumn id="22" xr3:uid="{6FC5672A-85BA-46B5-9D00-99F55BEAD670}" name="UoM" dataDxfId="723"/>
    <tableColumn id="3" xr3:uid="{E1D132BC-DCB5-4FA8-8D87-004E245DD18E}" name="Iventory reporting level " dataDxfId="722"/>
    <tableColumn id="4" xr3:uid="{CD218E7A-294B-4B6F-86EB-3B1F7F0B9167}" name="Period" dataDxfId="721"/>
    <tableColumn id="5" xr3:uid="{8FB29E6D-15E1-43CF-B326-A873DAE730BD}" name="Stock on hand(opening balance)" dataDxfId="720"/>
    <tableColumn id="6" xr3:uid="{1494F7AC-BA20-4D80-B5BC-8042603B7CC8}" name="Actual monthly consumption " dataDxfId="719"/>
    <tableColumn id="7" xr3:uid="{62643DD5-6AFE-4238-94D7-9AF4F3A2CEE9}" name="Forecasted consumption" dataDxfId="718"/>
    <tableColumn id="8" xr3:uid="{77EF651C-38A6-43E0-9AD6-C18E24B3880A}" name="Closing balance " dataDxfId="717">
      <calculatedColumnFormula>MAX(HormonalIUDtable[[#This Row],[Stock on hand(opening balance)]]+HormonalIUDtable[[#This Row],[Quantity ]]-HormonalIUDtable[[#This Row],[Forecasted consumption]],0)</calculatedColumnFormula>
    </tableColumn>
    <tableColumn id="9" xr3:uid="{F642EE5E-80D2-4C61-BCAB-26A831F1C0F3}" name="Procurer " dataDxfId="716"/>
    <tableColumn id="10" xr3:uid="{8CAEDC66-CC91-4391-B009-E3E3A56EA9E6}" name="Funding source " dataDxfId="715"/>
    <tableColumn id="11" xr3:uid="{08B96D0F-9C13-4593-9A77-710688B26FB6}" name="Status " dataDxfId="714"/>
    <tableColumn id="12" xr3:uid="{060B49B5-019E-4215-9264-6CA02FEF7453}" name="Quantity " dataDxfId="713"/>
    <tableColumn id="13" xr3:uid="{4982D1FF-AFB8-434D-A5C7-A00D716F8B42}" name="Unit cost " dataDxfId="712"/>
    <tableColumn id="14" xr3:uid="{A2148309-493F-4910-907F-9FAAE7DABE54}" name="Total cost " dataDxfId="711"/>
    <tableColumn id="15" xr3:uid="{79C8A840-B96F-4461-B0BB-76C3890CE5D2}" name="ETA" dataDxfId="710"/>
    <tableColumn id="16" xr3:uid="{28BA6E32-E9A1-4A08-9BB4-91A835FAC557}" name="Lead times " dataDxfId="709"/>
    <tableColumn id="17" xr3:uid="{F34D893E-7BA2-4484-BCA4-46233914B6AF}" name="Projected Inventory" dataDxfId="708"/>
    <tableColumn id="18" xr3:uid="{958A86D7-6F2F-4ED5-BDDD-6F99C69139DC}" name="Min MOS " dataDxfId="707"/>
    <tableColumn id="19" xr3:uid="{75F5D56B-5403-4FAC-B4E3-3D69A344E457}" name="Max MOS " dataDxfId="706"/>
    <tableColumn id="23" xr3:uid="{510B2C42-89BE-4D50-B9D1-58A2FE1A7A0A}" name="Desired MOS" dataDxfId="705"/>
    <tableColumn id="20" xr3:uid="{AEA70E6C-2F69-4CA7-8529-06B1CBEA8915}" name="MOS " dataDxfId="704">
      <calculatedColumnFormula>HormonalIUDtable[[#This Row],[Closing balance ]]/HormonalIUDtable[[#This Row],[Forecasted consumption]]</calculatedColumnFormula>
    </tableColumn>
    <tableColumn id="21" xr3:uid="{994C249D-F4BB-404E-BDF6-C92B43FE1BF3}" name="Projected Expired stock " dataDxfId="703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7A6F57F-8085-4DD3-9D38-BB21F7E356F2}" name="COCtable" displayName="COCtable" ref="B6:X120" totalsRowShown="0" headerRowDxfId="702" dataDxfId="700" headerRowBorderDxfId="701" tableBorderDxfId="699" totalsRowBorderDxfId="698">
  <autoFilter ref="B6:X120" xr:uid="{67A6F57F-8085-4DD3-9D38-BB21F7E356F2}"/>
  <tableColumns count="23">
    <tableColumn id="1" xr3:uid="{D942F29A-E894-417E-8F1C-18D50A44151F}" name="Country " dataDxfId="697"/>
    <tableColumn id="2" xr3:uid="{9EA01839-6C8A-40EE-A4F8-C4CC7EF48D6D}" name="Product " dataDxfId="696"/>
    <tableColumn id="22" xr3:uid="{7CDE5B5B-BF30-4CB6-9EDC-D0EC1050B3AD}" name="UoM" dataDxfId="695"/>
    <tableColumn id="3" xr3:uid="{B336B2B2-E104-4362-A19D-4C4369198ED3}" name="Iventory reporting level " dataDxfId="694"/>
    <tableColumn id="4" xr3:uid="{05A551F7-4021-422A-8426-DADC543AB38E}" name="Period" dataDxfId="693"/>
    <tableColumn id="5" xr3:uid="{5EED5F64-262B-4918-B3B6-E82BC0800D6B}" name="Stock on hand(opening balance)" dataDxfId="692"/>
    <tableColumn id="6" xr3:uid="{932D540C-DC33-49EB-B73B-48CC1F56C87F}" name="Actual monthly consumption " dataDxfId="691"/>
    <tableColumn id="7" xr3:uid="{7598BDA4-9388-435C-B970-D682E7F32C00}" name="Forecasted consumption" dataDxfId="690"/>
    <tableColumn id="8" xr3:uid="{47FB1884-13FF-4FAD-9E70-D4950117E903}" name="Closing balance " dataDxfId="689">
      <calculatedColumnFormula>MAX(COCtable[[#This Row],[Stock on hand(opening balance)]]+COCtable[[#This Row],[Quantity ]]-COCtable[[#This Row],[Forecasted consumption]],0)</calculatedColumnFormula>
    </tableColumn>
    <tableColumn id="9" xr3:uid="{1B5481E6-ED19-4C8C-8158-53CAC5AC46D4}" name="Procurer " dataDxfId="688"/>
    <tableColumn id="10" xr3:uid="{C001761A-82F6-40BF-A23D-BF5FDD3B7C6E}" name="Funding source " dataDxfId="687"/>
    <tableColumn id="11" xr3:uid="{E23E06DC-2674-4715-A40A-4BD4665BE7FE}" name="Status " dataDxfId="686"/>
    <tableColumn id="12" xr3:uid="{4B2D3011-1A86-4DCA-8059-B6069B7E55B6}" name="Quantity " dataDxfId="685"/>
    <tableColumn id="13" xr3:uid="{D31D2982-75A9-4E2C-B607-C6117C875BC6}" name="Unit cost " dataDxfId="684"/>
    <tableColumn id="14" xr3:uid="{DF2695EC-4F1C-4C40-B103-BFA17D774460}" name="Total cost " dataDxfId="683"/>
    <tableColumn id="15" xr3:uid="{E73A05C8-02EC-4018-9307-C4A42C46D07A}" name="ETA" dataDxfId="682"/>
    <tableColumn id="16" xr3:uid="{71B9B0DD-34EE-45DE-AC4F-341952CC1D97}" name="Lead times " dataDxfId="681"/>
    <tableColumn id="17" xr3:uid="{4CA15143-6209-4D9C-A803-E89916C70832}" name="Projected Inventory" dataDxfId="680"/>
    <tableColumn id="18" xr3:uid="{F5AE3287-B36E-47B5-B7F5-521ABAEA49AE}" name="Min MOS " dataDxfId="679"/>
    <tableColumn id="19" xr3:uid="{3B9F7FBE-B192-4285-AEA6-953A190369B9}" name="Max MOS " dataDxfId="678"/>
    <tableColumn id="23" xr3:uid="{E2B46B7F-02A8-42B9-B879-DE51AC4C4960}" name="Desired MOS" dataDxfId="677"/>
    <tableColumn id="20" xr3:uid="{76A94BF5-17FA-4F7D-BFE7-15D6FF835B9C}" name="MOS " dataDxfId="676">
      <calculatedColumnFormula>COCtable[[#This Row],[Closing balance ]]/COCtable[[#This Row],[Forecasted consumption]]</calculatedColumnFormula>
    </tableColumn>
    <tableColumn id="21" xr3:uid="{4F084708-4590-452B-A096-525B255AECDF}" name="Projected Expired stock " dataDxfId="675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3599D45-037D-4F38-95CB-4595B06EB309}" name="EPtable" displayName="EPtable" ref="B6:X103" totalsRowShown="0" headerRowDxfId="674" dataDxfId="672" headerRowBorderDxfId="673" tableBorderDxfId="671" totalsRowBorderDxfId="670">
  <autoFilter ref="B6:X103" xr:uid="{43599D45-037D-4F38-95CB-4595B06EB309}"/>
  <tableColumns count="23">
    <tableColumn id="1" xr3:uid="{B6C247CC-95ED-4FD3-BB14-9FF870944350}" name="Country " dataDxfId="669"/>
    <tableColumn id="2" xr3:uid="{5EF1E2A3-A125-4D9E-B6DE-CCE373EBF14F}" name="Product " dataDxfId="668"/>
    <tableColumn id="22" xr3:uid="{7CF6F33B-42FC-4995-B1ED-A990FB276191}" name="UoM" dataDxfId="667"/>
    <tableColumn id="3" xr3:uid="{13070BA9-59A1-434B-9A3E-BE818264F528}" name="Iventory reporting level " dataDxfId="666"/>
    <tableColumn id="4" xr3:uid="{2D723FCF-2B22-4EBA-BCA1-A55964FA2910}" name="Period" dataDxfId="665"/>
    <tableColumn id="5" xr3:uid="{7ED9D18E-40E7-4269-AA23-34BA456B4DC6}" name="Stock on hand(opening balance)" dataDxfId="664"/>
    <tableColumn id="6" xr3:uid="{8B34796D-0159-4381-BE04-258D4AE176CB}" name="Actual monthly consumption " dataDxfId="663"/>
    <tableColumn id="7" xr3:uid="{79AC7526-E3A6-4C10-B633-20B4BF641FA0}" name="Forecasted consumption" dataDxfId="662"/>
    <tableColumn id="8" xr3:uid="{38BEA368-7CDB-45B5-BF60-A9F77A48D4FF}" name="Closing balance " dataDxfId="661">
      <calculatedColumnFormula>MAX(EPtable[[#This Row],[Stock on hand(opening balance)]]+EPtable[[#This Row],[Quantity ]]-EPtable[[#This Row],[Forecasted consumption]],0)</calculatedColumnFormula>
    </tableColumn>
    <tableColumn id="9" xr3:uid="{D1ACB762-6FF9-4E3E-9C4B-E2A02545798A}" name="Procurer " dataDxfId="660"/>
    <tableColumn id="10" xr3:uid="{87CF196C-898C-4228-B8D6-AB8E9B1AE1A3}" name="Funding source " dataDxfId="659"/>
    <tableColumn id="11" xr3:uid="{E25DEC09-9FAC-4943-AD33-1C1980A05FDF}" name="Status " dataDxfId="658"/>
    <tableColumn id="12" xr3:uid="{7D1ABFE6-5D4D-4F47-B7F1-B064A07F3877}" name="Quantity " dataDxfId="657"/>
    <tableColumn id="13" xr3:uid="{F45CF7CB-6F46-4292-A612-81B87D66D9FF}" name="Unit cost " dataDxfId="656"/>
    <tableColumn id="14" xr3:uid="{EA0C9BEA-0E07-4CCB-AD2B-F762FD700A9F}" name="Total cost " dataDxfId="655"/>
    <tableColumn id="15" xr3:uid="{433D6B83-85ED-4A59-BC11-F7710BC77FFC}" name="ETA" dataDxfId="654"/>
    <tableColumn id="16" xr3:uid="{63971B22-7494-4993-B0A6-E2F9E00839D9}" name="Lead times " dataDxfId="653"/>
    <tableColumn id="17" xr3:uid="{BBBC7F18-D578-4797-8FE0-5B9A931F9543}" name="Projected Inventory" dataDxfId="652"/>
    <tableColumn id="18" xr3:uid="{CEA6C219-A775-450C-B1E5-7DDEAB2C054F}" name="Min MOS " dataDxfId="651"/>
    <tableColumn id="19" xr3:uid="{BA22600A-8299-4A55-84A3-4C1BAD149EC1}" name="Max MOS " dataDxfId="650"/>
    <tableColumn id="23" xr3:uid="{086DAD22-26FF-4488-81D7-D3E48FE99586}" name="Desired MOS" dataDxfId="649"/>
    <tableColumn id="20" xr3:uid="{08A26CF1-BA03-4B3A-A664-6E9B61718DF0}" name="MOS " dataDxfId="648">
      <calculatedColumnFormula>EPtable[[#This Row],[Closing balance ]]/EPtable[[#This Row],[Forecasted consumption]]</calculatedColumnFormula>
    </tableColumn>
    <tableColumn id="21" xr3:uid="{B7F0F6AF-D441-4D93-AACE-2C6124829A22}" name="Projected Expired stock " dataDxfId="647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B420FF4-A07C-4233-8801-A3EA54CA301B}" name="POPtable" displayName="POPtable" ref="B6:X121" totalsRowShown="0" headerRowDxfId="646" dataDxfId="644" headerRowBorderDxfId="645" tableBorderDxfId="643" totalsRowBorderDxfId="642">
  <autoFilter ref="B6:X121" xr:uid="{DB420FF4-A07C-4233-8801-A3EA54CA301B}"/>
  <tableColumns count="23">
    <tableColumn id="1" xr3:uid="{53ED261F-BCB7-4C5B-998E-2F9C90ABD0FC}" name="Country " dataDxfId="641"/>
    <tableColumn id="2" xr3:uid="{3BDCED1B-8620-4D78-89F9-29A249C4544C}" name="Product " dataDxfId="640"/>
    <tableColumn id="22" xr3:uid="{44AD81EA-DD67-486A-A624-F25BC9A80113}" name="UoM" dataDxfId="639"/>
    <tableColumn id="3" xr3:uid="{CF973952-AFC6-488A-8FB2-185F260B6E6A}" name="Iventory reporting level " dataDxfId="638"/>
    <tableColumn id="4" xr3:uid="{08F3E14F-F1C1-4326-BE42-B9185329CD56}" name="Period" dataDxfId="637"/>
    <tableColumn id="5" xr3:uid="{7783D404-A976-49A8-B408-BE47D320C4D1}" name="Stock on hand(opening balance)" dataDxfId="636"/>
    <tableColumn id="6" xr3:uid="{112F644E-CAC1-4C7B-B556-45C42B282727}" name="Actual monthly consumption " dataDxfId="635"/>
    <tableColumn id="7" xr3:uid="{F70F245F-3D7F-4577-A82C-5DAB9BBFA30C}" name="Forecasted consumption" dataDxfId="634"/>
    <tableColumn id="8" xr3:uid="{D19964EC-549B-46D3-9186-083224AF78A4}" name="Closing balance " dataDxfId="633">
      <calculatedColumnFormula>MAX(POPtable[[#This Row],[Stock on hand(opening balance)]]+POPtable[[#This Row],[Quantity ]]-POPtable[[#This Row],[Forecasted consumption]],0)</calculatedColumnFormula>
    </tableColumn>
    <tableColumn id="9" xr3:uid="{4FAB4F0E-F7C4-4053-AD97-C7257EE336F1}" name="Procurer " dataDxfId="632"/>
    <tableColumn id="10" xr3:uid="{C9148077-03C6-45C1-A83A-EE3A3669D291}" name="Funding source " dataDxfId="631"/>
    <tableColumn id="11" xr3:uid="{0CBAEF2A-EDC4-49AF-A79C-9CEF5B3EEB6B}" name="Status " dataDxfId="630"/>
    <tableColumn id="12" xr3:uid="{F84FA473-31FA-45E7-9049-1E83FE090098}" name="Quantity " dataDxfId="629"/>
    <tableColumn id="13" xr3:uid="{650C5D66-8F01-4A1A-9E7D-35429CACE020}" name="Unit cost " dataDxfId="628"/>
    <tableColumn id="14" xr3:uid="{526933BE-24A6-46FC-87A6-B66A3E3673E7}" name="Total cost " dataDxfId="627"/>
    <tableColumn id="15" xr3:uid="{2BCABF82-4536-4301-8EB9-6787A455075C}" name="ETA" dataDxfId="626"/>
    <tableColumn id="16" xr3:uid="{85B26A79-255A-4C9D-99B3-521B86AF3D56}" name="Lead times " dataDxfId="625"/>
    <tableColumn id="17" xr3:uid="{2E0B0F58-F1ED-44AE-BB74-59B8C1311FFC}" name="Projected Inventory" dataDxfId="624"/>
    <tableColumn id="18" xr3:uid="{7B7E0B0B-28F4-4ED3-B33E-9705254BE86B}" name="Min MOS " dataDxfId="623"/>
    <tableColumn id="19" xr3:uid="{2494620A-E8AB-4E3D-BFD0-C7C3D84D271B}" name="Max MOS " dataDxfId="622"/>
    <tableColumn id="23" xr3:uid="{0C31AFE8-9D44-49D4-9599-C4F5E886F26E}" name="Desired MOS" dataDxfId="621"/>
    <tableColumn id="20" xr3:uid="{F1439CAC-B6D2-4B05-AFA1-4BF457F30535}" name="MOS " dataDxfId="620">
      <calculatedColumnFormula>POPtable[[#This Row],[Closing balance ]]/POPtable[[#This Row],[Forecasted consumption]]</calculatedColumnFormula>
    </tableColumn>
    <tableColumn id="21" xr3:uid="{A39F1AE7-FD9E-4F1F-9DDB-8E84B0CD1D09}" name="Projected Expired stock " dataDxfId="619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EAB1F66-2607-4548-A2B2-FC89EA95AD87}" name="Drapestable" displayName="Drapestable" ref="B6:X18" totalsRowShown="0" headerRowDxfId="618" dataDxfId="616" headerRowBorderDxfId="617" tableBorderDxfId="615" totalsRowBorderDxfId="614">
  <autoFilter ref="B6:X18" xr:uid="{5EAB1F66-2607-4548-A2B2-FC89EA95AD87}"/>
  <tableColumns count="23">
    <tableColumn id="1" xr3:uid="{BA1563F0-DB1D-4265-92D9-F9AF36F8D15E}" name="County " dataDxfId="613"/>
    <tableColumn id="2" xr3:uid="{D6F28A18-666D-4ADB-8E31-023A0A7D1D14}" name="Product " dataDxfId="612"/>
    <tableColumn id="22" xr3:uid="{21188E9E-D3B2-409A-8E3F-3834B59810EE}" name="UoM" dataDxfId="611"/>
    <tableColumn id="3" xr3:uid="{6BB86D3C-BAED-452A-8214-1C2232E7D887}" name="Iventory reporting level " dataDxfId="610"/>
    <tableColumn id="4" xr3:uid="{7BEB379C-3B96-4868-BD36-B7892BB212C1}" name="Period" dataDxfId="609"/>
    <tableColumn id="5" xr3:uid="{FCEFB0C2-2B5F-49FF-8EDB-1A1DF0BEAB20}" name="Stock on hand(opening balance)" dataDxfId="608"/>
    <tableColumn id="6" xr3:uid="{FC44BDDF-C92D-4C86-9EAF-AC1D301C5A16}" name="Actual monthly consumption " dataDxfId="607"/>
    <tableColumn id="7" xr3:uid="{21BA3234-7784-4907-A6CA-64B772E74D0C}" name="Forecasted consumption" dataDxfId="606"/>
    <tableColumn id="8" xr3:uid="{BFA034D1-67E9-4C37-8F6F-E23B2421812C}" name="Closing balance " dataDxfId="605">
      <calculatedColumnFormula>MAX(Drapestable[[#This Row],[Stock on hand(opening balance)]]+Drapestable[[#This Row],[Quantity ]]-Drapestable[[#This Row],[Forecasted consumption]],0)</calculatedColumnFormula>
    </tableColumn>
    <tableColumn id="9" xr3:uid="{B86C65AC-C15E-40AA-B957-08B77BF08634}" name="Procurer " dataDxfId="604"/>
    <tableColumn id="10" xr3:uid="{3357A525-C020-4A30-8AE4-0D728800D6A0}" name="Funding source " dataDxfId="603"/>
    <tableColumn id="11" xr3:uid="{288F58C0-F2AF-488D-ADFD-4C04575CFC26}" name="Status " dataDxfId="602"/>
    <tableColumn id="12" xr3:uid="{B4F5498B-705C-4703-958D-C7ED13DA8F7E}" name="Quantity " dataDxfId="601"/>
    <tableColumn id="13" xr3:uid="{70790324-779A-4957-B2F3-0D3BCE0121B3}" name="Unit cost " dataDxfId="600"/>
    <tableColumn id="14" xr3:uid="{B090509E-805E-48E4-B263-A1144CAD45A6}" name="Total cost " dataDxfId="599"/>
    <tableColumn id="15" xr3:uid="{D64A5CAE-8B8D-495B-950D-2B7C57722DAA}" name="ETA" dataDxfId="598"/>
    <tableColumn id="16" xr3:uid="{AC698AC7-28C9-45B9-A5E3-5F6E7947D615}" name="Lead times " dataDxfId="597"/>
    <tableColumn id="17" xr3:uid="{D022B767-D816-4E5A-BFAC-519955AAE3AC}" name="Projected Inventory" dataDxfId="596"/>
    <tableColumn id="18" xr3:uid="{A87E9B0A-2F3A-4FC4-AED3-464968A47EDE}" name="Min MOS " dataDxfId="595"/>
    <tableColumn id="19" xr3:uid="{2D1BB302-2B2D-4E41-9A1F-5C6C52D5ECE9}" name="Max MOS " dataDxfId="594"/>
    <tableColumn id="23" xr3:uid="{9191D848-4896-453B-A255-956AA5740B47}" name="Desired MOS" dataDxfId="593"/>
    <tableColumn id="20" xr3:uid="{49C9A61C-6493-43F7-BB3E-84D7F55EDDDE}" name="MOS " dataDxfId="592">
      <calculatedColumnFormula>Drapestable[[#This Row],[Closing balance ]]/Drapestable[[#This Row],[Forecasted consumption]]</calculatedColumnFormula>
    </tableColumn>
    <tableColumn id="21" xr3:uid="{8DE54A5E-9830-4D16-8A9D-A2443A07AD4F}" name="Projected Expired stock " dataDxfId="591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ED569C2-9698-497D-A831-04E96E0ED6A8}" name="Traystable" displayName="Traystable" ref="B6:X7" totalsRowShown="0" headerRowDxfId="590" dataDxfId="588" headerRowBorderDxfId="589" tableBorderDxfId="587" totalsRowBorderDxfId="586">
  <autoFilter ref="B6:X7" xr:uid="{EED569C2-9698-497D-A831-04E96E0ED6A8}"/>
  <tableColumns count="23">
    <tableColumn id="1" xr3:uid="{D4F46E91-B5E4-4A49-A718-2AC2D204FFAD}" name="County " dataDxfId="585"/>
    <tableColumn id="2" xr3:uid="{C5F2BA8F-F35B-4F60-9EA4-8483E53FBAF0}" name="Product " dataDxfId="584"/>
    <tableColumn id="22" xr3:uid="{2A47482E-2900-4C86-93C4-2612421A9668}" name="UoM" dataDxfId="583"/>
    <tableColumn id="3" xr3:uid="{E683320F-97C9-4B8A-8BCF-28D90E87C331}" name="Iventory reporting level " dataDxfId="582"/>
    <tableColumn id="4" xr3:uid="{4664C47F-BAF5-4966-AA84-FA802599AECA}" name="Period" dataDxfId="581"/>
    <tableColumn id="5" xr3:uid="{63060DBA-A7C5-418E-A513-6A50A6BC81D0}" name="Stock on hand(opening balance)" dataDxfId="580"/>
    <tableColumn id="6" xr3:uid="{31B235CF-EE4A-40AF-8060-16955CCD3658}" name="Actual monthly consumption " dataDxfId="579"/>
    <tableColumn id="7" xr3:uid="{B1406972-977D-47AF-AC4C-F063E7FD743C}" name="Forecasted consumption" dataDxfId="578"/>
    <tableColumn id="8" xr3:uid="{EE74298E-6E93-4E8D-96EF-558B56D00C90}" name="Closing balance " dataDxfId="577"/>
    <tableColumn id="9" xr3:uid="{C63EA043-AAA2-461E-A3BD-66C920CAAF09}" name="Procurer " dataDxfId="576"/>
    <tableColumn id="10" xr3:uid="{7D200370-98A9-46ED-850C-943587968B72}" name="Funding source " dataDxfId="575"/>
    <tableColumn id="11" xr3:uid="{2C2C407B-A9F2-4AC3-AA29-166A21C3B5DF}" name="Status " dataDxfId="574"/>
    <tableColumn id="12" xr3:uid="{47DDE82B-A382-4B27-925F-80E97658386A}" name="Quantity " dataDxfId="573"/>
    <tableColumn id="13" xr3:uid="{74788CBC-6B17-46BC-B565-9B4251E9AE0B}" name="Unit cost " dataDxfId="572"/>
    <tableColumn id="14" xr3:uid="{0266164E-78B2-41CC-879C-79718399216F}" name="Total cost " dataDxfId="571"/>
    <tableColumn id="15" xr3:uid="{72DF26BC-DB63-4CA6-A112-B8809323D015}" name="ETA" dataDxfId="570"/>
    <tableColumn id="16" xr3:uid="{AA8095FA-1FBC-4FC4-97CF-E18D82620AE7}" name="Lead times " dataDxfId="569"/>
    <tableColumn id="17" xr3:uid="{F1B0B4D3-C8F7-4C13-91DF-0E384EDF3685}" name="Projected Inventory" dataDxfId="568"/>
    <tableColumn id="18" xr3:uid="{C83F22CA-A983-464E-800F-A0B7DC096A60}" name="Min MOS " dataDxfId="567"/>
    <tableColumn id="19" xr3:uid="{D3C28693-C247-401C-9BAC-87CEABD2A425}" name="Max MOS " dataDxfId="566"/>
    <tableColumn id="23" xr3:uid="{5E3AF72B-B73B-4AFA-AAE8-C07D3FCC296B}" name="Desired MOS" dataDxfId="565"/>
    <tableColumn id="20" xr3:uid="{BC896313-5593-40C4-94F7-B36EA74C0666}" name="MOS " dataDxfId="564"/>
    <tableColumn id="21" xr3:uid="{98830C50-9FB7-40F0-8A6D-1F38ABA1BEBA}" name="Projected Expired stock " dataDxfId="563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FACA8FC-7FF2-4047-8081-885F7211F67C}" name="oxytocintable" displayName="oxytocintable" ref="B6:X18" totalsRowShown="0" headerRowDxfId="562" dataDxfId="560" headerRowBorderDxfId="561" tableBorderDxfId="559" totalsRowBorderDxfId="558">
  <autoFilter ref="B6:X18" xr:uid="{EFACA8FC-7FF2-4047-8081-885F7211F67C}"/>
  <tableColumns count="23">
    <tableColumn id="1" xr3:uid="{D0F671BB-F349-4D35-9C4F-60D135BA4FDE}" name="County " dataDxfId="557"/>
    <tableColumn id="2" xr3:uid="{F3745483-A33D-411D-966B-16FE3DCF729C}" name="Product " dataDxfId="556"/>
    <tableColumn id="22" xr3:uid="{7046D9E7-E562-4000-BD49-AA11FD7E99C6}" name="UoM" dataDxfId="555"/>
    <tableColumn id="3" xr3:uid="{C622BCF9-5BC9-497E-B1E2-0C87FFFFB4AC}" name="Iventory reporting level " dataDxfId="554"/>
    <tableColumn id="4" xr3:uid="{FB93A350-CF1A-481D-BC4B-8CC5347196FB}" name="Period" dataDxfId="553"/>
    <tableColumn id="5" xr3:uid="{0E907CB1-63B8-4D8C-BD42-CFDE4DC2C6D6}" name="Stock on hand(opening balance)" dataDxfId="552">
      <calculatedColumnFormula>J6</calculatedColumnFormula>
    </tableColumn>
    <tableColumn id="6" xr3:uid="{9CE37998-8C06-45FA-B9C5-3C0C8428ACC3}" name="Actual monthly consumption " dataDxfId="551"/>
    <tableColumn id="7" xr3:uid="{C02FF50E-E30C-415B-8D70-AF8F0C096526}" name="Forecasted consumption" dataDxfId="550"/>
    <tableColumn id="8" xr3:uid="{60F2F62A-89DC-4CF5-8B4B-6E7D486D656D}" name="Closing balance " dataDxfId="549">
      <calculatedColumnFormula>MAX(oxytocintable[[#This Row],[Stock on hand(opening balance)]]+oxytocintable[[#This Row],[Quantity ]]-oxytocintable[[#This Row],[Forecasted consumption]],0)</calculatedColumnFormula>
    </tableColumn>
    <tableColumn id="9" xr3:uid="{334B5327-55E1-4174-8FC4-F3FCB3B595D1}" name="Procurer " dataDxfId="548"/>
    <tableColumn id="10" xr3:uid="{119E84A3-D88F-4552-8725-B2C17CE85FB7}" name="Funding source " dataDxfId="547"/>
    <tableColumn id="11" xr3:uid="{F036773A-CA04-496D-B509-DCFD5246DD0B}" name="Status " dataDxfId="546"/>
    <tableColumn id="12" xr3:uid="{9C041D67-EEAC-422B-8016-C30E0C60F2BA}" name="Quantity " dataDxfId="545"/>
    <tableColumn id="13" xr3:uid="{45E9FD0A-567D-4742-8E8E-819084C42DF0}" name="Unit cost " dataDxfId="544"/>
    <tableColumn id="14" xr3:uid="{2307A60B-AFAB-4687-8609-486E20EF890F}" name="Total cost " dataDxfId="543"/>
    <tableColumn id="15" xr3:uid="{7CD155BC-193F-48B0-9A02-73FBE970D078}" name="ETA" dataDxfId="542"/>
    <tableColumn id="16" xr3:uid="{D3657214-A741-4050-BC92-2F642BB7AEC9}" name="Lead times " dataDxfId="541"/>
    <tableColumn id="17" xr3:uid="{8829E45F-F62C-426B-8F19-90093A81DBD6}" name="Projected Inventory" dataDxfId="540"/>
    <tableColumn id="18" xr3:uid="{6C2D0746-C115-4CBD-B9C3-EDE3310FA84D}" name="Min MOS " dataDxfId="539"/>
    <tableColumn id="19" xr3:uid="{93D7DE43-7D97-4FCF-822A-9D85AC8FA1C0}" name="Max MOS " dataDxfId="538"/>
    <tableColumn id="23" xr3:uid="{E889013A-DD0A-4812-9776-2D899CAC2F9E}" name="Desired MOS" dataDxfId="537"/>
    <tableColumn id="20" xr3:uid="{CF0A5B78-F744-4AD1-8E27-361497283EEE}" name="MOS " dataDxfId="536">
      <calculatedColumnFormula>oxytocintable[[#This Row],[Closing balance ]]/oxytocintable[[#This Row],[Forecasted consumption]]</calculatedColumnFormula>
    </tableColumn>
    <tableColumn id="21" xr3:uid="{1EBD9A27-1C19-46CB-8096-628B525B67BA}" name="Projected Expired stock " dataDxfId="535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497F574-462D-4C0B-B58E-6CD1CEDE4C42}" name="Misotable" displayName="Misotable" ref="B6:X18" totalsRowShown="0" headerRowDxfId="534" dataDxfId="532" headerRowBorderDxfId="533" tableBorderDxfId="531" totalsRowBorderDxfId="530">
  <autoFilter ref="B6:X18" xr:uid="{A497F574-462D-4C0B-B58E-6CD1CEDE4C42}"/>
  <tableColumns count="23">
    <tableColumn id="1" xr3:uid="{39555672-1B38-492D-8D31-3CB977121C58}" name="County " dataDxfId="529"/>
    <tableColumn id="2" xr3:uid="{D3E37702-5F59-44C7-BDA8-BA5D9A38563F}" name="Product " dataDxfId="528"/>
    <tableColumn id="22" xr3:uid="{73FBF97F-1CEE-490D-A2AD-31B327531AEE}" name="UoM" dataDxfId="527"/>
    <tableColumn id="3" xr3:uid="{7721ACF9-ADF8-4BDD-91D5-90E623828C05}" name="Iventory reporting level " dataDxfId="526"/>
    <tableColumn id="4" xr3:uid="{97B19444-8841-4671-925D-EB60DED0EBEB}" name="Period" dataDxfId="525"/>
    <tableColumn id="5" xr3:uid="{1ECF900B-CA8F-4892-B9ED-9B2BB29479BD}" name="Stock on hand(opening balance)" dataDxfId="524"/>
    <tableColumn id="6" xr3:uid="{52B2073A-C574-4EDC-A627-6E792073105E}" name="Actual monthly consumption " dataDxfId="523"/>
    <tableColumn id="7" xr3:uid="{058B31B9-EB22-4F71-AD27-392C2ABF24B9}" name="Forecasted consumption" dataDxfId="522"/>
    <tableColumn id="8" xr3:uid="{8F34EF44-46AB-4924-8563-92B774267388}" name="Closing balance " dataDxfId="521">
      <calculatedColumnFormula>MAX(Misotable[[#This Row],[Stock on hand(opening balance)]]+Misotable[[#This Row],[Quantity ]]-Misotable[[#This Row],[Forecasted consumption]],0)</calculatedColumnFormula>
    </tableColumn>
    <tableColumn id="9" xr3:uid="{1899A844-850A-46E3-BE18-75C51CE87F30}" name="Procurer " dataDxfId="520"/>
    <tableColumn id="10" xr3:uid="{4E1F4804-A04F-43A8-8866-D42BB8459778}" name="Funding source " dataDxfId="519"/>
    <tableColumn id="11" xr3:uid="{DB5E030B-CC3C-4F5A-9758-872B9916517D}" name="Status " dataDxfId="518"/>
    <tableColumn id="12" xr3:uid="{0D258BB9-9B11-4BFD-9F5D-F1F352488FB3}" name="Quantity " dataDxfId="517"/>
    <tableColumn id="13" xr3:uid="{2398464D-5E02-493A-8E43-35F52E33B8EF}" name="Unit cost " dataDxfId="516"/>
    <tableColumn id="14" xr3:uid="{42E4ABCB-ED3B-45D3-845D-275B4B0AB00A}" name="Total cost " dataDxfId="515"/>
    <tableColumn id="15" xr3:uid="{AE502604-3F87-44D4-9CBD-C99F4600A279}" name="ETA" dataDxfId="514"/>
    <tableColumn id="16" xr3:uid="{398583F9-4687-49FB-BB69-5B2ECFC8CE6C}" name="Lead times " dataDxfId="513"/>
    <tableColumn id="17" xr3:uid="{2C9015F2-4B3E-4159-B44F-7F77FEBA73C4}" name="Projected Inventory" dataDxfId="512"/>
    <tableColumn id="18" xr3:uid="{DE6EFAB1-BC49-4990-BB9D-0F06AB7A376A}" name="Min MOS " dataDxfId="511"/>
    <tableColumn id="19" xr3:uid="{20CDF9C6-4E12-4FA6-9CE3-30C93A3B5CBF}" name="Max MOS " dataDxfId="510"/>
    <tableColumn id="23" xr3:uid="{5E7D7165-4434-4A81-BA4B-259BCE36EE66}" name="Desired MOS" dataDxfId="509"/>
    <tableColumn id="20" xr3:uid="{47B0EA86-AC1D-4609-94A9-2457A9408CC9}" name="MOS " dataDxfId="508">
      <calculatedColumnFormula>Misotable[[#This Row],[Closing balance ]]/Misotable[[#This Row],[Forecasted consumption]]</calculatedColumnFormula>
    </tableColumn>
    <tableColumn id="21" xr3:uid="{983884B3-5000-42E4-BF91-896D568680F2}" name="Projected Expired stock " dataDxfId="507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8F59084-CC66-4FD1-84EF-22E28A487354}" name="mifetable" displayName="mifetable" ref="B6:X18" totalsRowShown="0" headerRowDxfId="506" dataDxfId="504" headerRowBorderDxfId="505" tableBorderDxfId="503" totalsRowBorderDxfId="502">
  <autoFilter ref="B6:X18" xr:uid="{48F59084-CC66-4FD1-84EF-22E28A487354}"/>
  <tableColumns count="23">
    <tableColumn id="1" xr3:uid="{D3DACDBF-6A4B-4B6A-9866-FB637F6503A0}" name="County " dataDxfId="501"/>
    <tableColumn id="2" xr3:uid="{0A8B2B87-2BAB-41C0-AE60-3A6918449F40}" name="Product " dataDxfId="500"/>
    <tableColumn id="22" xr3:uid="{4E68CE96-FC2D-4C15-ABAF-6FC3410ACB7B}" name="UoM" dataDxfId="499"/>
    <tableColumn id="3" xr3:uid="{F6A7F76B-43A9-462A-A6AF-ACC8639CD828}" name="Iventory reporting level " dataDxfId="498"/>
    <tableColumn id="4" xr3:uid="{0590875D-FDF9-44A3-B082-50D1299C6CB0}" name="Period" dataDxfId="497"/>
    <tableColumn id="5" xr3:uid="{7A89591C-E2C7-45E2-B9D0-A17A3D30DD8A}" name="Stock on hand(opening balance)" dataDxfId="496"/>
    <tableColumn id="6" xr3:uid="{E6DFF11F-4585-4C11-ADB8-1188E1516118}" name="Actual monthly consumption " dataDxfId="495"/>
    <tableColumn id="7" xr3:uid="{BC99B89F-4ACD-486C-A3EA-07615112EA7B}" name="Forecasted consumption" dataDxfId="494"/>
    <tableColumn id="8" xr3:uid="{42AD0E77-6D52-456A-A86A-85F99E233221}" name="Closing balance " dataDxfId="493">
      <calculatedColumnFormula>MAX(mifetable[[#This Row],[Stock on hand(opening balance)]]+mifetable[[#This Row],[Quantity ]]-mifetable[[#This Row],[Forecasted consumption]],0)</calculatedColumnFormula>
    </tableColumn>
    <tableColumn id="9" xr3:uid="{9D7B680C-BD7B-4B14-AF36-64FC7AAF520C}" name="Procurer " dataDxfId="492"/>
    <tableColumn id="10" xr3:uid="{09B52AE0-594A-4CB2-B205-8A05675ACA1D}" name="Funding source " dataDxfId="491"/>
    <tableColumn id="11" xr3:uid="{579CF105-4108-480F-BF9B-7590A54F8174}" name="Status " dataDxfId="490"/>
    <tableColumn id="12" xr3:uid="{E358C183-D414-4819-93CC-4BCFAFF98CD5}" name="Quantity " dataDxfId="489"/>
    <tableColumn id="13" xr3:uid="{BB1F9D0D-7EED-4522-BA0B-4EE3C0C575AC}" name="Unit cost " dataDxfId="488"/>
    <tableColumn id="14" xr3:uid="{6F18CB98-CAD4-471A-9C1B-0B6AF741DA46}" name="Total cost " dataDxfId="487"/>
    <tableColumn id="15" xr3:uid="{B528B99B-B7BE-4C61-B3C3-8CD74BE9CB27}" name="ETA" dataDxfId="486"/>
    <tableColumn id="16" xr3:uid="{4658A5BB-08EF-4B31-A006-A031005D6959}" name="Lead times " dataDxfId="485"/>
    <tableColumn id="17" xr3:uid="{B53217EC-D013-40AF-A39A-F133BE58EC35}" name="Projected Inventory" dataDxfId="484"/>
    <tableColumn id="18" xr3:uid="{0BAB1A53-92C0-4BA8-BCE6-C8B770B2B1E4}" name="Min MOS " dataDxfId="483"/>
    <tableColumn id="19" xr3:uid="{C79025A7-8721-41B3-866E-BEF9AD2EFCD6}" name="Max MOS " dataDxfId="482"/>
    <tableColumn id="23" xr3:uid="{36CD8FB9-03E8-4941-93A8-3C76244B5221}" name="Desired MOS" dataDxfId="481"/>
    <tableColumn id="20" xr3:uid="{CFDCDCF1-4183-4BD1-82C0-B619D6E2A7A9}" name="MOS " dataDxfId="480">
      <calculatedColumnFormula>mifetable[[#This Row],[Closing balance ]]/mifetable[[#This Row],[Forecasted consumption]]</calculatedColumnFormula>
    </tableColumn>
    <tableColumn id="21" xr3:uid="{B88F34D4-5C9E-41EB-ACCF-879EB8C1ECE3}" name="Projected Expired stock " dataDxfId="479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5B98449-FF95-4B3C-A6BC-5F58EA55EA60}" name="Txatable" displayName="Txatable" ref="B6:X18" totalsRowShown="0" headerRowDxfId="478" dataDxfId="476" headerRowBorderDxfId="477" tableBorderDxfId="475" totalsRowBorderDxfId="474">
  <autoFilter ref="B6:X18" xr:uid="{75B98449-FF95-4B3C-A6BC-5F58EA55EA60}"/>
  <tableColumns count="23">
    <tableColumn id="1" xr3:uid="{8A15524A-312B-41A9-A0C3-B728761D985E}" name="County " dataDxfId="473"/>
    <tableColumn id="2" xr3:uid="{27017F57-821D-4B3D-8127-37EB23009242}" name="Product " dataDxfId="472"/>
    <tableColumn id="22" xr3:uid="{F6037912-1B64-4A1B-A7AB-02ECB9A79360}" name="UoM" dataDxfId="471"/>
    <tableColumn id="3" xr3:uid="{CBF68C82-57D9-4B85-9253-3AD3EE038F29}" name="Iventory reporting level " dataDxfId="470"/>
    <tableColumn id="4" xr3:uid="{D0AA03A7-B8AE-4CA6-809A-E90E747F7706}" name="Period" dataDxfId="469"/>
    <tableColumn id="5" xr3:uid="{372BAB08-7578-454B-A418-7FDB45106D2B}" name="Stock on hand(opening balance)" dataDxfId="468"/>
    <tableColumn id="6" xr3:uid="{16956C65-1549-430A-9F3D-8B874380753D}" name="Actual monthly consumption " dataDxfId="467"/>
    <tableColumn id="7" xr3:uid="{E54D05A7-C2B8-466E-83A8-C5461ADA75D4}" name="Forecasted consumption" dataDxfId="466"/>
    <tableColumn id="8" xr3:uid="{0736C3B9-D20D-4E9C-80FF-838834A3FC4F}" name="Closing balance " dataDxfId="465">
      <calculatedColumnFormula>MAX(Txatable[[#This Row],[Stock on hand(opening balance)]]+Txatable[[#This Row],[Quantity ]]-Txatable[[#This Row],[Forecasted consumption]],0)</calculatedColumnFormula>
    </tableColumn>
    <tableColumn id="9" xr3:uid="{FA5A2A08-5F48-431B-986F-5C133F4BF154}" name="Procurer " dataDxfId="464"/>
    <tableColumn id="10" xr3:uid="{542D4537-7108-407B-AEF9-276C88C2FD30}" name="Funding source " dataDxfId="463"/>
    <tableColumn id="11" xr3:uid="{1AC8A671-3F17-4A47-9BDF-0B447DF2C644}" name="Status " dataDxfId="462"/>
    <tableColumn id="12" xr3:uid="{1582B3DB-A826-4528-A9DB-85C5DFF4EB17}" name="Quantity " dataDxfId="461"/>
    <tableColumn id="13" xr3:uid="{E6684372-9986-4D20-95D3-ACE3F102B8D3}" name="Unit cost " dataDxfId="460"/>
    <tableColumn id="14" xr3:uid="{3CD7F6F2-2F01-4A60-84DF-8FC3B7614BBC}" name="Total cost " dataDxfId="459"/>
    <tableColumn id="15" xr3:uid="{77D59FE2-E19B-4919-89C3-B3D245ADA2DE}" name="ETA" dataDxfId="458"/>
    <tableColumn id="16" xr3:uid="{11B2D947-6627-409E-9E46-16E075A3011D}" name="Lead times " dataDxfId="457"/>
    <tableColumn id="17" xr3:uid="{997E3AEB-F11D-461F-A58B-BC4DCE2E3F3D}" name="Projected Inventory" dataDxfId="456"/>
    <tableColumn id="18" xr3:uid="{41884875-704B-4796-A516-81D3F20E78E6}" name="Min MOS " dataDxfId="455"/>
    <tableColumn id="19" xr3:uid="{CF3E9FCE-8287-4288-AE70-69CC110C1C81}" name="Max MOS " dataDxfId="454"/>
    <tableColumn id="23" xr3:uid="{71C21CE5-C85C-49C9-BABE-D7DC4A4441A0}" name="Desired MOS" dataDxfId="453"/>
    <tableColumn id="20" xr3:uid="{C7FC7D17-3996-4D32-83F1-2DDADD502433}" name="MOS " dataDxfId="452">
      <calculatedColumnFormula>Txatable[[#This Row],[Closing balance ]]/Txatable[[#This Row],[Forecasted consumption]]</calculatedColumnFormula>
    </tableColumn>
    <tableColumn id="21" xr3:uid="{8DC7094D-29F4-4A8B-A0CB-D96B0708B798}" name="Projected Expired stock " dataDxfId="451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E8E3A57-5963-4FB7-AA4B-2C78379DF2CB}" name="HSCtable" displayName="HSCtable" ref="B6:X18" totalsRowShown="0" headerRowDxfId="450" dataDxfId="448" headerRowBorderDxfId="449" tableBorderDxfId="447" totalsRowBorderDxfId="446">
  <autoFilter ref="B6:X18" xr:uid="{DE8E3A57-5963-4FB7-AA4B-2C78379DF2CB}"/>
  <tableColumns count="23">
    <tableColumn id="1" xr3:uid="{3E8005EC-0F42-497F-A73D-E4F5D2F3272F}" name="County " dataDxfId="445"/>
    <tableColumn id="2" xr3:uid="{04DE323D-729B-4165-859A-67EB28062CBC}" name="Product " dataDxfId="444"/>
    <tableColumn id="22" xr3:uid="{7B8AE062-E4DD-41E7-98F1-DD7641017C00}" name="UoM" dataDxfId="443"/>
    <tableColumn id="3" xr3:uid="{9405CD09-476B-4168-9108-54E1B0EA608E}" name="Iventory reporting level " dataDxfId="442"/>
    <tableColumn id="4" xr3:uid="{F2917D95-1E83-40FD-B2BD-44869EE83260}" name="Period" dataDxfId="441"/>
    <tableColumn id="5" xr3:uid="{F6373BCB-B2F7-4735-AD31-4D8C233057CD}" name="Stock on hand(opening balance)" dataDxfId="440"/>
    <tableColumn id="6" xr3:uid="{4C6C3306-0FBD-463D-9EF1-F019026455B0}" name="Actual monthly consumption " dataDxfId="439"/>
    <tableColumn id="7" xr3:uid="{6C266525-C348-471B-BCF1-25FB57F8D8DD}" name="Forecasted consumption" dataDxfId="438"/>
    <tableColumn id="8" xr3:uid="{5B9386E1-6FE7-4D97-A7B7-7F5734492CE4}" name="Closing balance " dataDxfId="437">
      <calculatedColumnFormula>MAX(HSCtable[[#This Row],[Stock on hand(opening balance)]]+HSCtable[[#This Row],[Quantity ]]-HSCtable[[#This Row],[Forecasted consumption]],0)</calculatedColumnFormula>
    </tableColumn>
    <tableColumn id="9" xr3:uid="{AC46C163-C067-4D5D-BC62-EFA75CAAE8F4}" name="Procurer " dataDxfId="436"/>
    <tableColumn id="10" xr3:uid="{465416B2-654C-480E-ADEB-698325F27045}" name="Funding source " dataDxfId="435"/>
    <tableColumn id="11" xr3:uid="{EF5F9D5B-0345-4994-ADAA-0352E9D95E13}" name="Status " dataDxfId="434"/>
    <tableColumn id="12" xr3:uid="{CC0D8F59-35FB-4EB4-8193-371CCA819C7A}" name="Quantity " dataDxfId="433"/>
    <tableColumn id="13" xr3:uid="{EF7ADC32-970A-468F-BC6E-E6E9D340E13E}" name="Unit cost " dataDxfId="432"/>
    <tableColumn id="14" xr3:uid="{2A9202BF-E75C-4468-AB8C-C0AB9374D8B2}" name="Total cost " dataDxfId="431"/>
    <tableColumn id="15" xr3:uid="{2EB1205E-E655-4962-B7BB-97561467AAD0}" name="ETA" dataDxfId="430"/>
    <tableColumn id="16" xr3:uid="{3B877B40-5309-4E4C-A78A-BF3F209C97FA}" name="Lead times " dataDxfId="429"/>
    <tableColumn id="17" xr3:uid="{CC1316ED-BABC-48FE-8B36-4176F02914F9}" name="Projected Inventory" dataDxfId="428"/>
    <tableColumn id="18" xr3:uid="{1358AD9F-5C00-4EC2-8A2D-27E73296587D}" name="Min MOS " dataDxfId="427"/>
    <tableColumn id="19" xr3:uid="{D0CF45BC-D34F-4DAF-9B41-25C0868B610F}" name="Max MOS " dataDxfId="426"/>
    <tableColumn id="23" xr3:uid="{CBC1A0E7-80FA-461A-8659-31EE10E18AFA}" name="Desired MOS" dataDxfId="425"/>
    <tableColumn id="20" xr3:uid="{C32BCE90-66CD-4299-8D6F-E824DF0948B8}" name="MOS " dataDxfId="424">
      <calculatedColumnFormula>HSCtable[[#This Row],[Closing balance ]]/HSCtable[[#This Row],[Forecasted consumption]]</calculatedColumnFormula>
    </tableColumn>
    <tableColumn id="21" xr3:uid="{3F56B0C9-2352-479F-9E19-135661980DAF}" name="Projected Expired stock " dataDxfId="423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DC040D1-5CB6-49F7-98F7-5ADD72187021}" name="NASGtable" displayName="NASGtable" ref="B6:X7" totalsRowShown="0" headerRowDxfId="422" dataDxfId="420" headerRowBorderDxfId="421" tableBorderDxfId="419" totalsRowBorderDxfId="418">
  <autoFilter ref="B6:X7" xr:uid="{FDC040D1-5CB6-49F7-98F7-5ADD72187021}"/>
  <tableColumns count="23">
    <tableColumn id="1" xr3:uid="{DDE4FE7F-218A-4759-A466-39FCB664FE0E}" name="County " dataDxfId="417"/>
    <tableColumn id="2" xr3:uid="{E9847DCE-E42B-454C-9B30-B39CA4A26E0B}" name="Product " dataDxfId="416"/>
    <tableColumn id="22" xr3:uid="{78549018-49C5-4C98-A3C5-37E4E889ED6B}" name="UoM" dataDxfId="415"/>
    <tableColumn id="3" xr3:uid="{67A08D6B-128A-4416-B018-563F23A54917}" name="Iventory reporting level " dataDxfId="414"/>
    <tableColumn id="4" xr3:uid="{92758F32-CF11-48DF-BD13-DA797AEFEB7F}" name="Period" dataDxfId="413"/>
    <tableColumn id="5" xr3:uid="{DE8C1E39-EC2E-4D3B-81CE-CD283A63B765}" name="Stock on hand(opening balance)" dataDxfId="412"/>
    <tableColumn id="6" xr3:uid="{6F0F34C8-17B8-4713-A95C-D7E314E15928}" name="Actual monthly consumption " dataDxfId="411"/>
    <tableColumn id="7" xr3:uid="{227E4F17-8905-429E-87B3-1289203FCF92}" name="Forecasted consumption" dataDxfId="410"/>
    <tableColumn id="8" xr3:uid="{49AD438C-061F-48A4-996F-42BCE50BAF80}" name="Closing balance " dataDxfId="409"/>
    <tableColumn id="9" xr3:uid="{8CB321D0-0524-4A41-8335-A7E11CCD8516}" name="Procurer " dataDxfId="408"/>
    <tableColumn id="10" xr3:uid="{4851A148-6E74-477B-B342-54D329190A4A}" name="Funding source " dataDxfId="407"/>
    <tableColumn id="11" xr3:uid="{C3D4E128-0A77-48FF-BE4F-2FDD15327A6E}" name="Status " dataDxfId="406"/>
    <tableColumn id="12" xr3:uid="{C32DDCC8-2878-40F7-8E82-553F41113332}" name="Quantity " dataDxfId="405"/>
    <tableColumn id="13" xr3:uid="{FC7DEB16-0A8D-4AD7-AF4C-4376D1583820}" name="Unit cost " dataDxfId="404"/>
    <tableColumn id="14" xr3:uid="{35270C6D-65CF-4B2D-8F6A-5F13A9C27D82}" name="Total cost " dataDxfId="403"/>
    <tableColumn id="15" xr3:uid="{C3A3CE4A-5B43-4A48-B894-33C94B9C7402}" name="ETA" dataDxfId="402"/>
    <tableColumn id="16" xr3:uid="{443980BE-90A7-4966-9045-5DCEBADAF3EC}" name="Lead times " dataDxfId="401"/>
    <tableColumn id="17" xr3:uid="{0AC8025D-4414-4710-8885-0F08A5A79BFC}" name="Projected Inventory" dataDxfId="400"/>
    <tableColumn id="18" xr3:uid="{EB93EE6D-2392-4E29-B577-4095FAD4F6F2}" name="Min MOS " dataDxfId="399"/>
    <tableColumn id="19" xr3:uid="{EA3DE637-CAD6-406A-9B36-57117478EE71}" name="Max MOS " dataDxfId="398"/>
    <tableColumn id="23" xr3:uid="{5A1D1CE3-6655-4531-8AD8-F0DDD802DA27}" name="Desired MOS" dataDxfId="397"/>
    <tableColumn id="20" xr3:uid="{6F722EFC-DB61-4206-96D8-5147D1A8AB21}" name="MOS " dataDxfId="396"/>
    <tableColumn id="21" xr3:uid="{8C1C791C-6303-4303-B8B5-4401067AA597}" name="Projected Expired stock " dataDxfId="395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29AE686-053C-455F-A789-A3F59F2E72BC}" name="UBTtable" displayName="UBTtable" ref="B6:X7" totalsRowShown="0" headerRowDxfId="394" dataDxfId="392" headerRowBorderDxfId="393" tableBorderDxfId="391" totalsRowBorderDxfId="390">
  <autoFilter ref="B6:X7" xr:uid="{029AE686-053C-455F-A789-A3F59F2E72BC}"/>
  <tableColumns count="23">
    <tableColumn id="1" xr3:uid="{3C82F1DE-D41E-48F5-A79F-EEC144C8BFF2}" name="County " dataDxfId="389"/>
    <tableColumn id="2" xr3:uid="{09E001AC-7587-434D-879E-5FC4FF24F759}" name="Product " dataDxfId="388"/>
    <tableColumn id="22" xr3:uid="{C960FDE6-4D32-4EA2-A8A8-BA6DF59BE18C}" name="UoM" dataDxfId="387"/>
    <tableColumn id="3" xr3:uid="{8FBD3C54-C729-4CAC-BEF1-20956C63E0C1}" name="Iventory reporting level " dataDxfId="386"/>
    <tableColumn id="4" xr3:uid="{077F41B2-7933-4AF3-AC3E-222966923E2C}" name="Period" dataDxfId="385"/>
    <tableColumn id="5" xr3:uid="{CE01F3D8-47FD-468A-8F29-5DA605AA6456}" name="Stock on hand(opening balance)" dataDxfId="384"/>
    <tableColumn id="6" xr3:uid="{9D29F36E-B532-4CCA-8303-60C2E18043CA}" name="Actual monthly consumption " dataDxfId="383"/>
    <tableColumn id="7" xr3:uid="{611F34AB-EEE3-41D1-995F-BBDDC9B56779}" name="Forecasted consumption" dataDxfId="382"/>
    <tableColumn id="8" xr3:uid="{4D182508-96AD-4E26-8797-D7A519BEB37A}" name="Closing balance " dataDxfId="381"/>
    <tableColumn id="9" xr3:uid="{65638B0E-19FB-4B91-9094-8B7ACEB71440}" name="Procurer " dataDxfId="380"/>
    <tableColumn id="10" xr3:uid="{C071B2B3-2F00-4A26-89C2-347058B68B9A}" name="Funding source " dataDxfId="379"/>
    <tableColumn id="11" xr3:uid="{D02A5E93-E7C0-4B2E-88E7-010D1C8DDE18}" name="Status " dataDxfId="378"/>
    <tableColumn id="12" xr3:uid="{E7B8DB68-D652-42A4-AF3C-462D6DCF1DE3}" name="Quantity " dataDxfId="377"/>
    <tableColumn id="13" xr3:uid="{316DB617-70C5-490B-9F05-479A85598838}" name="Unit cost " dataDxfId="376"/>
    <tableColumn id="14" xr3:uid="{91E54BDD-2F49-4F44-9804-BF02ABCC77C2}" name="Total cost " dataDxfId="375"/>
    <tableColumn id="15" xr3:uid="{C72A87F9-DD08-4867-92E1-1CFC49244F7A}" name="ETA" dataDxfId="374"/>
    <tableColumn id="16" xr3:uid="{7D9C65D8-4BAF-464F-B202-297931E24C24}" name="Lead times " dataDxfId="373"/>
    <tableColumn id="17" xr3:uid="{A91161DF-19FE-475B-BFBB-05D75048E97D}" name="Projected Inventory" dataDxfId="372"/>
    <tableColumn id="18" xr3:uid="{3A7A8209-2C8C-40D6-AE4C-356CB8D7EFA5}" name="Min MOS " dataDxfId="371"/>
    <tableColumn id="19" xr3:uid="{2502E30C-13A5-4DFD-814F-F4E7B90A0C1A}" name="Max MOS " dataDxfId="370"/>
    <tableColumn id="23" xr3:uid="{DB1087D6-828E-497B-A598-3FD07EFF4C40}" name="Desired MOS" dataDxfId="369"/>
    <tableColumn id="20" xr3:uid="{78B540F6-6BDB-4E64-A4CC-DF5AD4D30807}" name="MOS " dataDxfId="368"/>
    <tableColumn id="21" xr3:uid="{545B6A1F-27C2-49BC-8342-6628DB6432D0}" name="Projected Expired stock " dataDxfId="367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6DEC573-32E5-44A9-8945-D593197C5A96}" name="CC10mgmltable" displayName="CC10mgmltable" ref="B6:X18" totalsRowShown="0" headerRowDxfId="366" dataDxfId="364" headerRowBorderDxfId="365" tableBorderDxfId="363" totalsRowBorderDxfId="362">
  <autoFilter ref="B6:X18" xr:uid="{B6DEC573-32E5-44A9-8945-D593197C5A96}"/>
  <tableColumns count="23">
    <tableColumn id="1" xr3:uid="{9D04DEAC-EDD3-4DFB-97F8-8E16B431271B}" name="County " dataDxfId="361"/>
    <tableColumn id="2" xr3:uid="{55E2F2B9-6D40-4FC6-86D1-9E56B51385C1}" name="Product " dataDxfId="360"/>
    <tableColumn id="22" xr3:uid="{B8F9FD9E-7357-414E-B692-B3E5CD44B537}" name="UoM" dataDxfId="359"/>
    <tableColumn id="3" xr3:uid="{45BCCB81-EC57-472A-9554-1A9982A717CE}" name="Iventory reporting level " dataDxfId="358"/>
    <tableColumn id="4" xr3:uid="{99351374-58E6-44FA-BB65-38FCBD3F944A}" name="Period" dataDxfId="357"/>
    <tableColumn id="5" xr3:uid="{E4CB58CE-28AC-4E19-885A-D8D0AD236B51}" name="Stock on hand(opening balance)" dataDxfId="356"/>
    <tableColumn id="6" xr3:uid="{0D792598-3AF1-4776-ABD4-D5D53448AD91}" name="Actual monthly consumption " dataDxfId="355"/>
    <tableColumn id="7" xr3:uid="{83751EF7-336A-4857-94B6-574781EBF429}" name="Forecasted consumption" dataDxfId="354"/>
    <tableColumn id="8" xr3:uid="{1BBA27ED-0C12-4C0F-BCBF-4B71AC005D8C}" name="Closing balance " dataDxfId="353">
      <calculatedColumnFormula>MAX(CC10mgmltable[[#This Row],[Stock on hand(opening balance)]]+CC10mgmltable[[#This Row],[Quantity ]]-CC10mgmltable[[#This Row],[Forecasted consumption]],0)</calculatedColumnFormula>
    </tableColumn>
    <tableColumn id="9" xr3:uid="{1559392C-56D5-468B-A0E1-51694D509710}" name="Procurer " dataDxfId="352"/>
    <tableColumn id="10" xr3:uid="{4A3748AB-E61E-4A5D-9C2F-805951F9D8A5}" name="Funding source " dataDxfId="351"/>
    <tableColumn id="11" xr3:uid="{47556FD0-D1B3-4198-B60F-5AF71D0BEAD1}" name="Status " dataDxfId="350"/>
    <tableColumn id="12" xr3:uid="{6B8E8554-5617-4462-9638-92084A483F45}" name="Quantity " dataDxfId="349"/>
    <tableColumn id="13" xr3:uid="{D79A3521-257F-4909-8031-9CA41E40750C}" name="Unit cost " dataDxfId="348"/>
    <tableColumn id="14" xr3:uid="{A57EA48F-BE1D-46F6-86EB-4E9DAC7DD1D2}" name="Total cost " dataDxfId="347"/>
    <tableColumn id="15" xr3:uid="{04A25A4F-FBDE-44F8-A169-0841C7ED8513}" name="ETA" dataDxfId="346"/>
    <tableColumn id="16" xr3:uid="{BD718B6D-434D-4F27-9506-93604FFE3CC5}" name="Lead times " dataDxfId="345"/>
    <tableColumn id="17" xr3:uid="{CBA86E71-D76D-43E7-862D-0E897FC29BCA}" name="Projected Inventory" dataDxfId="344"/>
    <tableColumn id="18" xr3:uid="{6077C368-925E-45B0-9845-0A94E4A7960B}" name="Min MOS " dataDxfId="343"/>
    <tableColumn id="19" xr3:uid="{86C05BB6-2A88-44B8-91A7-5C6097412D82}" name="Max MOS " dataDxfId="342"/>
    <tableColumn id="23" xr3:uid="{7CEDCF43-ED69-4E96-AAB7-210EF34247D6}" name="Desired MOS" dataDxfId="341"/>
    <tableColumn id="20" xr3:uid="{39FCC012-38E6-4B93-8613-065FCAE94413}" name="MOS " dataDxfId="340">
      <calculatedColumnFormula>CC10mgmltable[[#This Row],[Closing balance ]]/CC10mgmltable[[#This Row],[Forecasted consumption]]</calculatedColumnFormula>
    </tableColumn>
    <tableColumn id="21" xr3:uid="{99C59866-85A5-48BB-A3D6-88E9F9BABF68}" name="Projected Expired stock " dataDxfId="339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A375B09-DD85-4B3B-9052-2B0EC7ECE26A}" name="CC5mgmltable" displayName="CC5mgmltable" ref="B6:X18" totalsRowShown="0" headerRowDxfId="338" dataDxfId="336" headerRowBorderDxfId="337" tableBorderDxfId="335" totalsRowBorderDxfId="334">
  <autoFilter ref="B6:X18" xr:uid="{DA375B09-DD85-4B3B-9052-2B0EC7ECE26A}"/>
  <tableColumns count="23">
    <tableColumn id="1" xr3:uid="{E590359B-F16F-4D79-A18A-B3FA5E8C9C59}" name="County " dataDxfId="333"/>
    <tableColumn id="2" xr3:uid="{B5CBD591-1E41-4BD0-A16A-3CCE45337B96}" name="Product " dataDxfId="332"/>
    <tableColumn id="22" xr3:uid="{D6156B57-8543-4373-9856-C66D82BB299D}" name="UoM" dataDxfId="331"/>
    <tableColumn id="3" xr3:uid="{E6AB86B1-8BF0-4F43-970E-30A4A47A5DD9}" name="Iventory reporting level " dataDxfId="330"/>
    <tableColumn id="4" xr3:uid="{DB2E5359-95E7-4D4D-9AAF-96223E153893}" name="Period" dataDxfId="329"/>
    <tableColumn id="5" xr3:uid="{4AA04115-504B-49E3-9CC5-51F56A7407C1}" name="Stock on hand(opening balance)" dataDxfId="328"/>
    <tableColumn id="6" xr3:uid="{D5FF3C0D-64F0-4406-ACD0-14E079FEE24C}" name="Actual monthly consumption " dataDxfId="327"/>
    <tableColumn id="7" xr3:uid="{D8F5FE98-133A-4A37-8F89-A6958D3E92D7}" name="Forecasted consumption" dataDxfId="326"/>
    <tableColumn id="8" xr3:uid="{C2B51931-7E52-4C9B-A65D-EB2B5FA96D70}" name="Closing balance " dataDxfId="325">
      <calculatedColumnFormula>MAX(CC5mgmltable[[#This Row],[Stock on hand(opening balance)]]+CC5mgmltable[[#This Row],[Quantity ]]-CC5mgmltable[[#This Row],[Forecasted consumption]],0)</calculatedColumnFormula>
    </tableColumn>
    <tableColumn id="9" xr3:uid="{FA4E903A-4229-416F-9BDB-4061D40951C4}" name="Procurer " dataDxfId="324"/>
    <tableColumn id="10" xr3:uid="{D70D38F2-01C0-4F36-B503-2B1C30315D67}" name="Funding source " dataDxfId="323"/>
    <tableColumn id="11" xr3:uid="{51FBCD72-2DC2-49BC-9C1C-16CEE7B1A545}" name="Status " dataDxfId="322"/>
    <tableColumn id="12" xr3:uid="{3D891963-6C70-4C4A-9172-3A3F03A4F91D}" name="Quantity " dataDxfId="321"/>
    <tableColumn id="13" xr3:uid="{8C7CF06E-0DD9-4C25-A7BC-C5595EE14419}" name="Unit cost " dataDxfId="320"/>
    <tableColumn id="14" xr3:uid="{D5C42533-2DA7-4E27-AD47-66375194E1A3}" name="Total cost " dataDxfId="319"/>
    <tableColumn id="15" xr3:uid="{4471F46B-7B1F-4BBB-9EF6-2238C006A660}" name="ETA" dataDxfId="318"/>
    <tableColumn id="16" xr3:uid="{6C73BD53-BEEF-4F68-801E-39023D96F89E}" name="Lead times " dataDxfId="317"/>
    <tableColumn id="17" xr3:uid="{EE80965A-19AE-4A8A-A703-2699377F0902}" name="Projected Inventory" dataDxfId="316"/>
    <tableColumn id="18" xr3:uid="{1CDA9E24-353C-43AC-AACE-583CDEBC5D7D}" name="Min MOS " dataDxfId="315"/>
    <tableColumn id="19" xr3:uid="{0C4961F6-FBDE-478E-B8B1-6E32343A3913}" name="Max MOS " dataDxfId="314"/>
    <tableColumn id="23" xr3:uid="{EDB56C50-418B-4BBE-B499-2B75B9F5C098}" name="Desired MOS" dataDxfId="313"/>
    <tableColumn id="20" xr3:uid="{61035D7E-D4FF-4F7B-9C30-32F3A3BDBCC3}" name="MOS " dataDxfId="312">
      <calculatedColumnFormula>CC5mgmltable[[#This Row],[Closing balance ]]/CC5mgmltable[[#This Row],[Forecasted consumption]]</calculatedColumnFormula>
    </tableColumn>
    <tableColumn id="21" xr3:uid="{838097E9-7755-4B2C-8C67-EFD15D01EF23}" name="Projected Expired stock " dataDxfId="311"/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5947B2C-C9DB-4C30-BD95-9B10A9480DF6}" name="CC10mgml2table" displayName="CC10mgml2table" ref="B6:X18" totalsRowShown="0" headerRowDxfId="310" dataDxfId="308" headerRowBorderDxfId="309" tableBorderDxfId="307" totalsRowBorderDxfId="306">
  <autoFilter ref="B6:X18" xr:uid="{95947B2C-C9DB-4C30-BD95-9B10A9480DF6}"/>
  <tableColumns count="23">
    <tableColumn id="1" xr3:uid="{6F6F1EF9-1838-460E-8B7D-5115DBFF314B}" name="County " dataDxfId="305"/>
    <tableColumn id="2" xr3:uid="{C5E77EC5-B890-4A24-BA41-77E77C3D42A3}" name="Product " dataDxfId="304"/>
    <tableColumn id="22" xr3:uid="{712E4AC6-CC96-4585-988C-CF331CF79686}" name="UoM" dataDxfId="303"/>
    <tableColumn id="3" xr3:uid="{7A76D247-263E-479E-B812-B5158CC576FB}" name="Iventory reporting level " dataDxfId="302"/>
    <tableColumn id="4" xr3:uid="{3C5982FF-8054-4965-AB06-F26586B300E0}" name="Period" dataDxfId="301"/>
    <tableColumn id="5" xr3:uid="{1B25D650-7734-40F3-BB66-A662F5164DAC}" name="Stock on hand(opening balance)" dataDxfId="300"/>
    <tableColumn id="6" xr3:uid="{73A6180D-A5C2-4ECF-A8DA-C6DCA85526F4}" name="Actual monthly consumption " dataDxfId="299"/>
    <tableColumn id="7" xr3:uid="{FBD86154-2287-430F-9840-1A9E4C352CEB}" name="Forecasted consumption" dataDxfId="298"/>
    <tableColumn id="8" xr3:uid="{F449AD1A-8174-49BF-8D70-749D078C2A24}" name="Closing balance " dataDxfId="297">
      <calculatedColumnFormula>MAX(CC10mgml2table[[#This Row],[Stock on hand(opening balance)]]+CC10mgml2table[[#This Row],[Quantity ]]-CC10mgml2table[[#This Row],[Forecasted consumption]],0)</calculatedColumnFormula>
    </tableColumn>
    <tableColumn id="9" xr3:uid="{7B14D3E1-947C-4D9D-A5BF-B0215BC14877}" name="Procurer " dataDxfId="296"/>
    <tableColumn id="10" xr3:uid="{764E9631-AB3B-4AD1-BBCA-EF543641F342}" name="Funding source " dataDxfId="295"/>
    <tableColumn id="11" xr3:uid="{49F3B5EE-2BED-47D4-BF90-55645D79BAB2}" name="Status " dataDxfId="294"/>
    <tableColumn id="12" xr3:uid="{EBA72903-206D-41F5-86D1-5CB69B30527E}" name="Quantity " dataDxfId="293"/>
    <tableColumn id="13" xr3:uid="{019D6FE3-EF4E-49B9-9459-33B8E3B32DB4}" name="Unit cost " dataDxfId="292"/>
    <tableColumn id="14" xr3:uid="{ACFFEAE0-D3EB-4FEA-8D39-E2396283058C}" name="Total cost " dataDxfId="291"/>
    <tableColumn id="15" xr3:uid="{CF1DD386-1281-4AD2-B7E3-F00EBB2FC417}" name="ETA" dataDxfId="290"/>
    <tableColumn id="16" xr3:uid="{972E8A5E-082E-4084-8945-016E3CD8E83E}" name="Lead times " dataDxfId="289"/>
    <tableColumn id="17" xr3:uid="{4A39AFB4-FAC1-4300-A13D-0C70FD4FF36E}" name="Projected Inventory" dataDxfId="288"/>
    <tableColumn id="18" xr3:uid="{521AAC27-6B2C-476B-9F8B-83C75C8A24C1}" name="Min MOS " dataDxfId="287"/>
    <tableColumn id="19" xr3:uid="{F0C089F5-9A3A-46EC-95ED-46377550437E}" name="Max MOS " dataDxfId="286"/>
    <tableColumn id="23" xr3:uid="{23449819-7A87-4440-BB53-B0C34ECEDF24}" name="Desired MOS" dataDxfId="285"/>
    <tableColumn id="20" xr3:uid="{FCB4EA67-7BFC-4B74-8160-D930DB0323BE}" name="MOS " dataDxfId="284">
      <calculatedColumnFormula>CC10mgml2table[[#This Row],[Closing balance ]]/CC10mgml2table[[#This Row],[Forecasted consumption]]</calculatedColumnFormula>
    </tableColumn>
    <tableColumn id="21" xr3:uid="{1BBCB2D9-0856-4FA5-AA7B-01CAE87CB122}" name="Projected Expired stock " dataDxfId="283"/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E48B449-7DAA-4B31-A463-9E03EFCED975}" name="Surtabletable" displayName="Surtabletable" ref="B6:X7" totalsRowShown="0" headerRowDxfId="282" dataDxfId="280" headerRowBorderDxfId="281" tableBorderDxfId="279" totalsRowBorderDxfId="278">
  <autoFilter ref="B6:X7" xr:uid="{FE48B449-7DAA-4B31-A463-9E03EFCED975}"/>
  <tableColumns count="23">
    <tableColumn id="1" xr3:uid="{DCF30EB6-70CD-4943-874B-E41CACD566C6}" name="County " dataDxfId="277"/>
    <tableColumn id="2" xr3:uid="{E35EB0A8-6CC5-448F-A12F-D997FC9DE59D}" name="Product " dataDxfId="276"/>
    <tableColumn id="22" xr3:uid="{73C38488-A836-4A07-8E43-CCFEB7489108}" name="UoM" dataDxfId="275"/>
    <tableColumn id="3" xr3:uid="{58EA9A80-5775-4953-B0F2-DAF8011C2940}" name="Iventory reporting level " dataDxfId="274"/>
    <tableColumn id="4" xr3:uid="{721CF31C-6414-4BD2-8F59-57025E81E640}" name="Period" dataDxfId="273"/>
    <tableColumn id="5" xr3:uid="{EA1AD069-869B-4367-A7B2-00DEBB2B4835}" name="Stock on hand(opening balance)" dataDxfId="272"/>
    <tableColumn id="6" xr3:uid="{EDDFA0EC-D1CF-43BA-8F43-1CA81423CC1F}" name="Actual monthly consumption " dataDxfId="271"/>
    <tableColumn id="7" xr3:uid="{9C20D3C9-0D14-4AF3-ADAB-B9B3F4192672}" name="Forecasted consumption" dataDxfId="270"/>
    <tableColumn id="8" xr3:uid="{10B43020-8482-43A6-A980-5CB299093034}" name="Closing balance " dataDxfId="269"/>
    <tableColumn id="9" xr3:uid="{F8EF1A9F-5F12-48AB-B70A-27E147665CCD}" name="Procurer " dataDxfId="268"/>
    <tableColumn id="10" xr3:uid="{FC92FB73-FD4B-4505-89FE-5B3D3037050A}" name="Funding source " dataDxfId="267"/>
    <tableColumn id="11" xr3:uid="{D0A96A95-64CA-416C-9FA5-22A07B2AE7E7}" name="Status " dataDxfId="266"/>
    <tableColumn id="12" xr3:uid="{BE11CF57-32B6-4F85-9BEA-15BE9499BAEB}" name="Quantity " dataDxfId="265"/>
    <tableColumn id="13" xr3:uid="{3847AE0F-C30E-412E-AB67-72B068A6FA06}" name="Unit cost " dataDxfId="264"/>
    <tableColumn id="14" xr3:uid="{721D07FB-D8B2-4161-B31F-65E6D7FB1149}" name="Total cost " dataDxfId="263"/>
    <tableColumn id="15" xr3:uid="{4AF080D9-D890-4E5E-9401-21B855463386}" name="ETA" dataDxfId="262"/>
    <tableColumn id="16" xr3:uid="{F6DDD6B3-8367-49A5-92E3-850625B39113}" name="Lead times " dataDxfId="261"/>
    <tableColumn id="17" xr3:uid="{EAF646B1-0A6F-4B8C-A00D-A34D629B69DA}" name="Projected Inventory" dataDxfId="260"/>
    <tableColumn id="18" xr3:uid="{0F994B3E-114A-412F-A297-7270662A84A0}" name="Min MOS " dataDxfId="259"/>
    <tableColumn id="19" xr3:uid="{B7655B0D-6373-43FB-B6F1-35D826FE0A00}" name="Max MOS " dataDxfId="258"/>
    <tableColumn id="23" xr3:uid="{1D539BED-528F-4B3D-A598-0916970543CB}" name="Desired MOS" dataDxfId="257"/>
    <tableColumn id="20" xr3:uid="{56E2FCB4-6362-468B-85E5-AD5D07DEC851}" name="MOS " dataDxfId="256"/>
    <tableColumn id="21" xr3:uid="{42F71803-CE19-42D9-AF61-2289BC041B4B}" name="Projected Expired stock " dataDxfId="255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5444343-488E-4192-919B-0747FAF76E8C}" name="Cpaptable" displayName="Cpaptable" ref="B6:X7" totalsRowShown="0" headerRowDxfId="254" dataDxfId="252" headerRowBorderDxfId="253" tableBorderDxfId="251" totalsRowBorderDxfId="250">
  <autoFilter ref="B6:X7" xr:uid="{D5444343-488E-4192-919B-0747FAF76E8C}"/>
  <tableColumns count="23">
    <tableColumn id="1" xr3:uid="{4F726153-5A41-4911-A99E-A2A8B1815A8B}" name="County " dataDxfId="249"/>
    <tableColumn id="2" xr3:uid="{700FA494-74B0-4062-A10F-031AEC33145C}" name="Product " dataDxfId="248"/>
    <tableColumn id="22" xr3:uid="{9A06C3A0-7906-4CCC-A2A2-3AADE1CFB8EA}" name="UoM" dataDxfId="247"/>
    <tableColumn id="3" xr3:uid="{C793D8C5-688B-4932-BEF0-E81DE8686D1A}" name="Iventory reporting level " dataDxfId="246"/>
    <tableColumn id="4" xr3:uid="{B8FD4970-204E-4120-A1E7-86A54D957981}" name="Period" dataDxfId="245"/>
    <tableColumn id="5" xr3:uid="{17461771-5565-4CD8-9110-75434F3F37DE}" name="Stock on hand(opening balance)" dataDxfId="244"/>
    <tableColumn id="6" xr3:uid="{9F52E796-F666-4640-A78E-CCBEE8E9D480}" name="Actual monthly consumption " dataDxfId="243"/>
    <tableColumn id="7" xr3:uid="{358BB5B9-D089-4ED2-9997-77DB4B9F8E60}" name="Forecasted consumption" dataDxfId="242"/>
    <tableColumn id="8" xr3:uid="{418BAC4A-C0C4-4F4A-8788-2B21D3D0FFCA}" name="Closing balance " dataDxfId="241"/>
    <tableColumn id="9" xr3:uid="{368509BD-21B7-410F-9985-E026DF9FEC9C}" name="Procurer " dataDxfId="240"/>
    <tableColumn id="10" xr3:uid="{E2A75868-A8C0-4CF2-9B0C-2AF21260E23A}" name="Funding source " dataDxfId="239"/>
    <tableColumn id="11" xr3:uid="{6578F2C0-52A0-4B63-B1AC-9E4F2338DCFF}" name="Status " dataDxfId="238"/>
    <tableColumn id="12" xr3:uid="{03D73549-C944-43B2-93A3-A6F30366C2C3}" name="Quantity " dataDxfId="237"/>
    <tableColumn id="13" xr3:uid="{66140F00-4877-4C49-907A-161C7711AA99}" name="Unit cost " dataDxfId="236"/>
    <tableColumn id="14" xr3:uid="{A3383078-81C5-4E94-B7F7-045ECF709A71}" name="Total cost " dataDxfId="235"/>
    <tableColumn id="15" xr3:uid="{17AD0CEB-21F9-4735-AF29-EB66C883831C}" name="ETA" dataDxfId="234"/>
    <tableColumn id="16" xr3:uid="{1C6187CB-977B-42ED-8CB4-0155F9BFF608}" name="Lead times " dataDxfId="233"/>
    <tableColumn id="17" xr3:uid="{41B0E5EE-F2FE-4712-B424-4A91E2AC1A70}" name="Projected Inventory" dataDxfId="232"/>
    <tableColumn id="18" xr3:uid="{42E883D3-5414-4A95-8087-F89402F4B57F}" name="Min MOS " dataDxfId="231"/>
    <tableColumn id="19" xr3:uid="{1BAD8986-42B0-43AE-8BBF-09339EE18476}" name="Max MOS " dataDxfId="230"/>
    <tableColumn id="23" xr3:uid="{A4619BF9-B9CF-4611-841F-CB8F167BA2B0}" name="Desired MOS" dataDxfId="229"/>
    <tableColumn id="20" xr3:uid="{AECC711E-87C6-40D2-B281-EC76B6603974}" name="MOS " dataDxfId="228"/>
    <tableColumn id="21" xr3:uid="{B2CD252B-EE58-46C5-97E5-A8666D2D83AA}" name="Projected Expired stock " dataDxfId="227"/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EF11EF1-A7CA-49E7-AB8C-76CF4E4F8CF3}" name="NICUventtable" displayName="NICUventtable" ref="B6:X7" totalsRowShown="0" headerRowDxfId="226" dataDxfId="224" headerRowBorderDxfId="225" tableBorderDxfId="223" totalsRowBorderDxfId="222">
  <autoFilter ref="B6:X7" xr:uid="{4EF11EF1-A7CA-49E7-AB8C-76CF4E4F8CF3}"/>
  <tableColumns count="23">
    <tableColumn id="1" xr3:uid="{A51DABD6-7FBC-4314-A481-AB8A9736DDCA}" name="County " dataDxfId="221"/>
    <tableColumn id="2" xr3:uid="{8E4A7C67-F086-4C9E-859B-DFC59BC5D173}" name="Product " dataDxfId="220"/>
    <tableColumn id="22" xr3:uid="{0D1FE731-53A6-4541-AD5B-2419BCE00D04}" name="UoM" dataDxfId="219"/>
    <tableColumn id="3" xr3:uid="{2D7B1CFA-FF60-4236-9D35-E4203032F88D}" name="Iventory reporting level " dataDxfId="218"/>
    <tableColumn id="4" xr3:uid="{20902B61-EFAF-44A1-8CC2-0A5B8E0F58F3}" name="Period" dataDxfId="217"/>
    <tableColumn id="5" xr3:uid="{13711B2F-F801-4E45-BC67-A8068FE9B6E4}" name="Stock on hand(opening balance)" dataDxfId="216"/>
    <tableColumn id="6" xr3:uid="{9FD9CD6D-E8ED-4852-BDC2-99C8C218D3EF}" name="Actual monthly consumption " dataDxfId="215"/>
    <tableColumn id="7" xr3:uid="{4C3EA07F-357E-4708-9B39-EA7A3846F5B0}" name="Forecasted consumption" dataDxfId="214"/>
    <tableColumn id="8" xr3:uid="{8EF0F1EA-9185-4C8B-89F6-0EC120B9FD00}" name="Closing balance " dataDxfId="213"/>
    <tableColumn id="9" xr3:uid="{A577FBDC-AB44-4D3D-9412-F1D788322A9F}" name="Procurer " dataDxfId="212"/>
    <tableColumn id="10" xr3:uid="{2E63ECE4-1A75-4CD3-8307-11A3DE45F1E8}" name="Funding source " dataDxfId="211"/>
    <tableColumn id="11" xr3:uid="{2A637B50-0CFB-4B5F-9DF1-73F01EEB6B9A}" name="Status " dataDxfId="210"/>
    <tableColumn id="12" xr3:uid="{2DF52DB6-BF5E-45AF-960F-AAECC8DA451D}" name="Quantity " dataDxfId="209"/>
    <tableColumn id="13" xr3:uid="{409CB672-5C65-4E56-8729-929C4708581A}" name="Unit cost " dataDxfId="208"/>
    <tableColumn id="14" xr3:uid="{4D7D6986-010A-47AB-95EA-65F3EC21A157}" name="Total cost " dataDxfId="207"/>
    <tableColumn id="15" xr3:uid="{6F98444B-C98F-45C4-996C-677BD41BF67A}" name="ETA" dataDxfId="206"/>
    <tableColumn id="16" xr3:uid="{7831A029-BB6A-4B78-8B2E-09F5A34A80A0}" name="Lead times " dataDxfId="205"/>
    <tableColumn id="17" xr3:uid="{7EB37247-101B-499E-A0E2-8023CD6BFA05}" name="Projected Inventory" dataDxfId="204"/>
    <tableColumn id="18" xr3:uid="{A6F70D7A-4A48-43AB-945E-2D8645687F39}" name="Min MOS " dataDxfId="203"/>
    <tableColumn id="19" xr3:uid="{D42D11FE-27BC-4669-AE98-F1FDE7A5498F}" name="Max MOS " dataDxfId="202"/>
    <tableColumn id="23" xr3:uid="{E728E94D-20F9-48EA-B483-1E3C7C8BE57C}" name="Desired MOS" dataDxfId="201"/>
    <tableColumn id="20" xr3:uid="{5E826685-C90F-4671-B216-F5E97B80EBBE}" name="MOS " dataDxfId="200"/>
    <tableColumn id="21" xr3:uid="{8D4D5DEA-9B30-4963-B61A-8E485F524D44}" name="Projected Expired stock " dataDxfId="199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A746BC0-91A3-4B58-B1F6-F900FC839C86}" name="Resus_table" displayName="Resus_table" ref="B6:X7" totalsRowShown="0" headerRowDxfId="198" dataDxfId="196" headerRowBorderDxfId="197" tableBorderDxfId="195" totalsRowBorderDxfId="194">
  <autoFilter ref="B6:X7" xr:uid="{CA746BC0-91A3-4B58-B1F6-F900FC839C86}"/>
  <tableColumns count="23">
    <tableColumn id="1" xr3:uid="{13F54E0F-CC35-4964-8D87-BD21577FD7DD}" name="County " dataDxfId="193"/>
    <tableColumn id="2" xr3:uid="{6423013D-77C9-41E9-A220-EC68C92496E2}" name="Product " dataDxfId="192"/>
    <tableColumn id="22" xr3:uid="{1CCAF510-95C7-4AB0-B42D-74E0F6D6BCA4}" name="UoM" dataDxfId="191"/>
    <tableColumn id="3" xr3:uid="{B43C7CB6-24C7-4253-A025-D7F88AE289C4}" name="Iventory reporting level " dataDxfId="190"/>
    <tableColumn id="4" xr3:uid="{3762A4D2-6C2E-4A25-829A-EC681305C9C4}" name="Period" dataDxfId="189"/>
    <tableColumn id="5" xr3:uid="{36584D32-DF45-4533-9605-EB1D3B5EC193}" name="Stock on hand(opening balance)" dataDxfId="188"/>
    <tableColumn id="6" xr3:uid="{864CBAA5-E450-4DC8-892F-CCAB4E0DA8A6}" name="Actual monthly consumption " dataDxfId="187"/>
    <tableColumn id="7" xr3:uid="{13385624-5956-485C-B2AE-488A570C97F2}" name="Forecasted consumption" dataDxfId="186"/>
    <tableColumn id="8" xr3:uid="{FE7E39E6-084F-4BDA-AF2D-B9A73E6B79C0}" name="Closing balance " dataDxfId="185"/>
    <tableColumn id="9" xr3:uid="{E5F9128A-D368-40DA-B554-A73D51D4A18F}" name="Procurer " dataDxfId="184"/>
    <tableColumn id="10" xr3:uid="{9E15438B-1EEC-43DC-9516-95EF039E955C}" name="Funding source " dataDxfId="183"/>
    <tableColumn id="11" xr3:uid="{D5369C0D-DC7D-4C0B-A0A0-D7790C4418D1}" name="Status " dataDxfId="182"/>
    <tableColumn id="12" xr3:uid="{647D35AD-A344-40F6-A997-0AE4F696A5F6}" name="Quantity " dataDxfId="181"/>
    <tableColumn id="13" xr3:uid="{24FBC264-A675-4861-8D82-53EE9F016159}" name="Unit cost " dataDxfId="180"/>
    <tableColumn id="14" xr3:uid="{CE4BD542-72E4-458E-9C51-3FFBE9F31763}" name="Total cost " dataDxfId="179"/>
    <tableColumn id="15" xr3:uid="{FF416ABC-0360-4F88-B8D0-00DD68DB20BE}" name="ETA" dataDxfId="178"/>
    <tableColumn id="16" xr3:uid="{D8C12A89-76B5-46B1-A35E-212B6D2AA305}" name="Lead times " dataDxfId="177"/>
    <tableColumn id="17" xr3:uid="{4D3DDD0E-9CE6-426B-8203-5B9101BD98A4}" name="Projected Inventory" dataDxfId="176"/>
    <tableColumn id="18" xr3:uid="{38CEA248-6654-4F34-A752-79619CCB595D}" name="Min MOS " dataDxfId="175"/>
    <tableColumn id="19" xr3:uid="{A3A28744-315F-4F62-B121-CC7FC7AE5EC4}" name="Max MOS " dataDxfId="174"/>
    <tableColumn id="23" xr3:uid="{3FCFF9DF-F3CA-4E41-9B71-CDC55BB18C45}" name="Desired MOS" dataDxfId="173"/>
    <tableColumn id="20" xr3:uid="{1703350C-9B20-4DBC-88B8-78AE7AACED6B}" name="MOS " dataDxfId="172"/>
    <tableColumn id="21" xr3:uid="{7BFFD678-9A0F-42BB-91B9-37F5FE076493}" name="Projected Expired stock " dataDxfId="171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3939D42-82D4-4F1C-8F9D-D58E1E061220}" name="countriestable" displayName="countriestable" ref="A2:B15" totalsRowShown="0" headerRowDxfId="170" dataDxfId="169">
  <autoFilter ref="A2:B15" xr:uid="{63939D42-82D4-4F1C-8F9D-D58E1E061220}"/>
  <tableColumns count="2">
    <tableColumn id="1" xr3:uid="{CA265EE2-C038-497F-9B6D-49A711DAC617}" name="Sno " dataDxfId="168"/>
    <tableColumn id="2" xr3:uid="{0F3BE139-F7F1-4B23-8995-0B05852A6E6B}" name="Country " dataDxfId="1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20001" Type="http://schemas.openxmlformats.org/officeDocument/2006/relationships/pivotTable" Target="../pivotTables/pivotTable1.xml"/><Relationship Id="rId20002" Type="http://schemas.openxmlformats.org/officeDocument/2006/relationships/pivotTable" Target="../pivotTables/pivot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5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6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7" Type="http://schemas.openxmlformats.org/officeDocument/2006/relationships/table" Target="../tables/table7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8" Type="http://schemas.openxmlformats.org/officeDocument/2006/relationships/table" Target="../tables/table8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9" Type="http://schemas.openxmlformats.org/officeDocument/2006/relationships/table" Target="../tables/table9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0" Type="http://schemas.openxmlformats.org/officeDocument/2006/relationships/table" Target="../tables/table10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1" Type="http://schemas.openxmlformats.org/officeDocument/2006/relationships/table" Target="../tables/table11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2" Type="http://schemas.openxmlformats.org/officeDocument/2006/relationships/table" Target="../tables/table12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3" Type="http://schemas.openxmlformats.org/officeDocument/2006/relationships/table" Target="../tables/table13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4" Type="http://schemas.openxmlformats.org/officeDocument/2006/relationships/table" Target="../tables/table14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5" Type="http://schemas.openxmlformats.org/officeDocument/2006/relationships/table" Target="../tables/table15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6" Type="http://schemas.openxmlformats.org/officeDocument/2006/relationships/table" Target="../tables/table16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7" Type="http://schemas.openxmlformats.org/officeDocument/2006/relationships/table" Target="../tables/table17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8" Type="http://schemas.openxmlformats.org/officeDocument/2006/relationships/table" Target="../tables/table18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19" Type="http://schemas.openxmlformats.org/officeDocument/2006/relationships/table" Target="../tables/table19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0" Type="http://schemas.openxmlformats.org/officeDocument/2006/relationships/table" Target="../tables/table20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1" Type="http://schemas.openxmlformats.org/officeDocument/2006/relationships/table" Target="../tables/table21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2" Type="http://schemas.openxmlformats.org/officeDocument/2006/relationships/table" Target="../tables/table22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3" Type="http://schemas.openxmlformats.org/officeDocument/2006/relationships/table" Target="../tables/table23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4" Type="http://schemas.openxmlformats.org/officeDocument/2006/relationships/table" Target="../tables/table24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5" Type="http://schemas.openxmlformats.org/officeDocument/2006/relationships/table" Target="../tables/table25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6" Type="http://schemas.openxmlformats.org/officeDocument/2006/relationships/table" Target="../tables/table26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7" Type="http://schemas.openxmlformats.org/officeDocument/2006/relationships/table" Target="../tables/table27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8" Type="http://schemas.openxmlformats.org/officeDocument/2006/relationships/table" Target="../tables/table28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29" Type="http://schemas.openxmlformats.org/officeDocument/2006/relationships/table" Target="../tables/table29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0" Type="http://schemas.openxmlformats.org/officeDocument/2006/relationships/table" Target="../tables/table30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1" Type="http://schemas.openxmlformats.org/officeDocument/2006/relationships/table" Target="../tables/table31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32" Type="http://schemas.openxmlformats.org/officeDocument/2006/relationships/table" Target="../tables/table32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33" Type="http://schemas.openxmlformats.org/officeDocument/2006/relationships/table" Target="../tables/table33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34" Type="http://schemas.openxmlformats.org/officeDocument/2006/relationships/table" Target="../tables/table34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35" Type="http://schemas.openxmlformats.org/officeDocument/2006/relationships/table" Target="../tables/table35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36" Type="http://schemas.openxmlformats.org/officeDocument/2006/relationships/table" Target="../tables/table36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37" Type="http://schemas.openxmlformats.org/officeDocument/2006/relationships/table" Target="../tables/table37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Relationship Id="rId38" Type="http://schemas.openxmlformats.org/officeDocument/2006/relationships/table" Target="../tables/table38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Relationship Id="rId39" Type="http://schemas.openxmlformats.org/officeDocument/2006/relationships/table" Target="../tables/table39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Relationship Id="rId40" Type="http://schemas.openxmlformats.org/officeDocument/2006/relationships/table" Target="../tables/table40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Relationship Id="rId41" Type="http://schemas.openxmlformats.org/officeDocument/2006/relationships/table" Target="../tables/table41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Relationship Id="rId42" Type="http://schemas.openxmlformats.org/officeDocument/2006/relationships/table" Target="../tables/table42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Relationship Id="rId43" Type="http://schemas.openxmlformats.org/officeDocument/2006/relationships/table" Target="../tables/table43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Relationship Id="rId44" Type="http://schemas.openxmlformats.org/officeDocument/2006/relationships/table" Target="../tables/table44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Relationship Id="rId45" Type="http://schemas.openxmlformats.org/officeDocument/2006/relationships/table" Target="../tables/table45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Relationship Id="rId46" Type="http://schemas.openxmlformats.org/officeDocument/2006/relationships/table" Target="../tables/table46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workbookViewId="0">
      <selection activeCell="E22" sqref="E22"/>
    </sheetView>
  </sheetViews>
  <sheetFormatPr defaultRowHeight="15.0" baseColWidth="10"/>
  <cols>
    <col min="2" max="2" width="46.6328125" hidden="0" customWidth="1"/>
    <col min="3" max="3" width="12.1796875" hidden="0" customWidth="1"/>
    <col min="4" max="4" width="8.7265625" hidden="0" customWidth="1"/>
    <col min="5" max="5" width="4.453125" hidden="0" customWidth="1"/>
    <col min="6" max="6" width="8" hidden="0" customWidth="1"/>
    <col min="7" max="7" width="15.26953125" hidden="0" customWidth="1"/>
    <col min="8" max="8" width="11.453125" hidden="0" customWidth="1"/>
    <col min="9" max="9" width="10.453125" hidden="0" customWidth="1"/>
    <col min="10" max="10" width="15.26953125" hidden="0" customWidth="1"/>
    <col min="11" max="11" width="11.453125" hidden="0" customWidth="1"/>
    <col min="12" max="12" width="37.08984375" hidden="0" customWidth="1"/>
    <col min="13" max="13" width="15.26953125" hidden="0" customWidth="1"/>
    <col min="14" max="14" width="11.453125" hidden="0" customWidth="1"/>
    <col min="15" max="15" width="42.90625" hidden="0" customWidth="1"/>
    <col min="16" max="16" width="15.26953125" hidden="0" customWidth="1"/>
    <col min="17" max="17" width="11.453125" hidden="0" customWidth="1"/>
    <col min="18" max="18" width="38.36328125" hidden="0" customWidth="1"/>
    <col min="19" max="19" width="15.26953125" hidden="0" customWidth="1"/>
    <col min="20" max="20" width="11.453125" hidden="0" customWidth="1"/>
    <col min="21" max="21" width="51.26953125" hidden="0" customWidth="1"/>
    <col min="22" max="22" width="15.26953125" hidden="0" customWidth="1"/>
    <col min="23" max="23" width="11.453125" hidden="0" customWidth="1"/>
    <col min="24" max="24" width="64.36328125" hidden="0" customWidth="1"/>
    <col min="25" max="25" width="15.26953125" hidden="0" customWidth="1"/>
    <col min="26" max="26" width="11.453125" hidden="0" customWidth="1"/>
    <col min="27" max="27" width="26.1796875" hidden="0" customWidth="1"/>
    <col min="28" max="28" width="15.26953125" hidden="0" customWidth="1"/>
    <col min="29" max="29" width="11.453125" hidden="0" customWidth="1"/>
    <col min="30" max="30" width="72.08984375" hidden="0" customWidth="1"/>
    <col min="31" max="31" width="15.26953125" hidden="0" customWidth="1"/>
    <col min="32" max="32" width="11.453125" hidden="0" customWidth="1"/>
    <col min="33" max="33" width="61.08984375" hidden="0" customWidth="1"/>
    <col min="34" max="34" width="15.26953125" hidden="0" customWidth="1"/>
    <col min="35" max="35" width="11.453125" hidden="0" customWidth="1"/>
    <col min="36" max="36" width="26.453125" hidden="0" customWidth="1"/>
    <col min="37" max="37" width="15.26953125" hidden="0" customWidth="1"/>
    <col min="38" max="38" width="11.453125" hidden="0" customWidth="1"/>
    <col min="39" max="39" width="38.54296875" hidden="0" customWidth="1"/>
    <col min="40" max="40" width="34.54296875" hidden="0" customWidth="1"/>
    <col min="41" max="41" width="36.36328125" hidden="0" customWidth="1"/>
    <col min="42" max="42" width="36.36328125" hidden="0" customWidth="1"/>
    <col min="43" max="43" width="36.36328125" hidden="0" customWidth="1"/>
    <col min="44" max="44" width="36.36328125" hidden="0" customWidth="1"/>
    <col min="45" max="45" width="36.36328125" hidden="0" customWidth="1"/>
    <col min="46" max="46" width="36.36328125" hidden="0" customWidth="1"/>
    <col min="47" max="47" width="36.36328125" hidden="0" customWidth="1"/>
    <col min="48" max="48" width="36.36328125" hidden="0" customWidth="1"/>
    <col min="49" max="49" width="36.36328125" hidden="0" customWidth="1"/>
    <col min="50" max="50" width="36.36328125" hidden="0" customWidth="1"/>
    <col min="51" max="51" width="36.36328125" hidden="0" customWidth="1"/>
    <col min="52" max="52" width="36.36328125" hidden="0" customWidth="1"/>
    <col min="53" max="53" width="36.36328125" hidden="0" customWidth="1"/>
    <col min="54" max="54" width="36.36328125" hidden="0" customWidth="1"/>
    <col min="55" max="55" width="36.36328125" hidden="0" customWidth="1"/>
    <col min="56" max="56" width="36.36328125" hidden="0" customWidth="1"/>
    <col min="57" max="57" width="36.36328125" hidden="0" customWidth="1"/>
    <col min="58" max="58" width="36.36328125" hidden="0" customWidth="1"/>
    <col min="59" max="59" width="36.36328125" hidden="0" customWidth="1"/>
    <col min="60" max="60" width="36.36328125" hidden="0" customWidth="1"/>
    <col min="61" max="61" width="36.36328125" hidden="0" customWidth="1"/>
    <col min="62" max="62" width="36.36328125" hidden="0" customWidth="1"/>
    <col min="63" max="63" width="36.36328125" hidden="0" customWidth="1"/>
    <col min="64" max="64" width="36.36328125" hidden="0" customWidth="1"/>
    <col min="65" max="65" width="36.36328125" hidden="0" customWidth="1"/>
    <col min="66" max="66" width="36.36328125" hidden="0" customWidth="1"/>
    <col min="67" max="67" width="36.36328125" hidden="0" customWidth="1"/>
    <col min="68" max="68" width="36.36328125" hidden="0" customWidth="1"/>
    <col min="69" max="69" width="36.36328125" hidden="0" customWidth="1"/>
    <col min="70" max="70" width="36.36328125" hidden="0" customWidth="1"/>
    <col min="71" max="71" width="36.36328125" hidden="0" customWidth="1"/>
    <col min="72" max="72" width="36.36328125" hidden="0" customWidth="1"/>
    <col min="73" max="73" width="36.36328125" hidden="0" customWidth="1"/>
    <col min="74" max="74" width="36.36328125" hidden="0" customWidth="1"/>
    <col min="75" max="75" width="36.36328125" hidden="0" customWidth="1"/>
    <col min="76" max="76" width="36.36328125" hidden="0" customWidth="1"/>
    <col min="77" max="77" width="49.36328125" hidden="0" customWidth="1"/>
    <col min="78" max="78" width="49.81640625" hidden="0" customWidth="1"/>
    <col min="79" max="79" width="45.81640625" hidden="0" customWidth="1"/>
    <col min="80" max="80" width="43.26953125" hidden="0" customWidth="1"/>
    <col min="81" max="81" width="43.26953125" hidden="0" customWidth="1"/>
    <col min="82" max="82" width="43.26953125" hidden="0" customWidth="1"/>
    <col min="83" max="83" width="43.26953125" hidden="0" customWidth="1"/>
    <col min="84" max="84" width="43.26953125" hidden="0" customWidth="1"/>
    <col min="85" max="85" width="43.26953125" hidden="0" customWidth="1"/>
    <col min="86" max="86" width="43.26953125" hidden="0" customWidth="1"/>
    <col min="87" max="87" width="43.26953125" hidden="0" customWidth="1"/>
    <col min="88" max="88" width="43.26953125" hidden="0" customWidth="1"/>
    <col min="89" max="89" width="43.26953125" hidden="0" customWidth="1"/>
    <col min="90" max="90" width="43.26953125" hidden="0" customWidth="1"/>
    <col min="91" max="91" width="43.26953125" hidden="0" customWidth="1"/>
    <col min="92" max="92" width="43.26953125" hidden="0" customWidth="1"/>
    <col min="93" max="93" width="43.26953125" hidden="0" customWidth="1"/>
    <col min="94" max="94" width="43.26953125" hidden="0" customWidth="1"/>
    <col min="95" max="95" width="43.26953125" hidden="0" customWidth="1"/>
    <col min="96" max="96" width="43.26953125" hidden="0" customWidth="1"/>
    <col min="97" max="97" width="43.26953125" hidden="0" customWidth="1"/>
    <col min="98" max="98" width="43.26953125" hidden="0" customWidth="1"/>
    <col min="99" max="99" width="43.26953125" hidden="0" customWidth="1"/>
    <col min="100" max="100" width="43.26953125" hidden="0" customWidth="1"/>
    <col min="101" max="101" width="43.26953125" hidden="0" customWidth="1"/>
    <col min="102" max="102" width="43.26953125" hidden="0" customWidth="1"/>
    <col min="103" max="103" width="43.26953125" hidden="0" customWidth="1"/>
    <col min="104" max="104" width="43.26953125" hidden="0" customWidth="1"/>
    <col min="105" max="105" width="43.26953125" hidden="0" customWidth="1"/>
    <col min="106" max="106" width="43.26953125" hidden="0" customWidth="1"/>
    <col min="107" max="107" width="43.26953125" hidden="0" customWidth="1"/>
    <col min="108" max="108" width="43.26953125" hidden="0" customWidth="1"/>
    <col min="109" max="109" width="43.26953125" hidden="0" customWidth="1"/>
    <col min="110" max="110" width="43.26953125" hidden="0" customWidth="1"/>
    <col min="111" max="111" width="43.26953125" hidden="0" customWidth="1"/>
    <col min="112" max="112" width="43.26953125" hidden="0" customWidth="1"/>
    <col min="113" max="113" width="43.26953125" hidden="0" customWidth="1"/>
    <col min="114" max="114" width="43.26953125" hidden="0" customWidth="1"/>
    <col min="115" max="115" width="43.26953125" hidden="0" customWidth="1"/>
    <col min="116" max="116" width="56.26953125" hidden="0" customWidth="1"/>
    <col min="117" max="117" width="56.6328125" hidden="0" customWidth="1"/>
    <col min="118" max="118" width="52.6328125" hidden="0" customWidth="1"/>
    <col min="119" max="119" width="38.81640625" hidden="0" customWidth="1"/>
    <col min="120" max="120" width="38.81640625" hidden="0" customWidth="1"/>
    <col min="121" max="121" width="38.81640625" hidden="0" customWidth="1"/>
    <col min="122" max="122" width="38.81640625" hidden="0" customWidth="1"/>
    <col min="123" max="123" width="38.81640625" hidden="0" customWidth="1"/>
    <col min="124" max="124" width="38.81640625" hidden="0" customWidth="1"/>
    <col min="125" max="125" width="38.81640625" hidden="0" customWidth="1"/>
    <col min="126" max="126" width="38.81640625" hidden="0" customWidth="1"/>
    <col min="127" max="127" width="38.81640625" hidden="0" customWidth="1"/>
    <col min="128" max="128" width="38.81640625" hidden="0" customWidth="1"/>
    <col min="129" max="129" width="38.81640625" hidden="0" customWidth="1"/>
    <col min="130" max="130" width="38.81640625" hidden="0" customWidth="1"/>
    <col min="131" max="131" width="38.81640625" hidden="0" customWidth="1"/>
    <col min="132" max="132" width="38.81640625" hidden="0" customWidth="1"/>
    <col min="133" max="133" width="38.81640625" hidden="0" customWidth="1"/>
    <col min="134" max="134" width="38.81640625" hidden="0" customWidth="1"/>
    <col min="135" max="135" width="38.81640625" hidden="0" customWidth="1"/>
    <col min="136" max="136" width="38.81640625" hidden="0" customWidth="1"/>
    <col min="137" max="137" width="38.81640625" hidden="0" customWidth="1"/>
    <col min="138" max="138" width="38.81640625" hidden="0" customWidth="1"/>
    <col min="139" max="139" width="38.81640625" hidden="0" customWidth="1"/>
    <col min="140" max="140" width="38.81640625" hidden="0" customWidth="1"/>
    <col min="141" max="141" width="38.81640625" hidden="0" customWidth="1"/>
    <col min="142" max="142" width="38.81640625" hidden="0" customWidth="1"/>
    <col min="143" max="143" width="38.81640625" hidden="0" customWidth="1"/>
    <col min="144" max="144" width="38.81640625" hidden="0" customWidth="1"/>
    <col min="145" max="145" width="38.81640625" hidden="0" customWidth="1"/>
    <col min="146" max="146" width="38.81640625" hidden="0" customWidth="1"/>
    <col min="147" max="147" width="38.81640625" hidden="0" customWidth="1"/>
    <col min="148" max="148" width="38.81640625" hidden="0" customWidth="1"/>
    <col min="149" max="149" width="38.81640625" hidden="0" customWidth="1"/>
    <col min="150" max="150" width="38.81640625" hidden="0" customWidth="1"/>
    <col min="151" max="151" width="38.81640625" hidden="0" customWidth="1"/>
    <col min="152" max="152" width="38.81640625" hidden="0" customWidth="1"/>
    <col min="153" max="153" width="38.81640625" hidden="0" customWidth="1"/>
    <col min="154" max="154" width="38.81640625" hidden="0" customWidth="1"/>
    <col min="155" max="155" width="51.90625" hidden="0" customWidth="1"/>
    <col min="156" max="156" width="52.26953125" hidden="0" customWidth="1"/>
    <col min="157" max="157" width="48.26953125" hidden="0" customWidth="1"/>
    <col min="158" max="158" width="44.6328125" hidden="0" customWidth="1"/>
    <col min="159" max="159" width="44.6328125" hidden="0" customWidth="1"/>
    <col min="160" max="160" width="44.6328125" hidden="0" customWidth="1"/>
    <col min="161" max="161" width="44.6328125" hidden="0" customWidth="1"/>
    <col min="162" max="162" width="44.6328125" hidden="0" customWidth="1"/>
    <col min="163" max="163" width="44.6328125" hidden="0" customWidth="1"/>
    <col min="164" max="164" width="44.6328125" hidden="0" customWidth="1"/>
    <col min="165" max="165" width="44.6328125" hidden="0" customWidth="1"/>
    <col min="166" max="166" width="44.6328125" hidden="0" customWidth="1"/>
    <col min="167" max="167" width="44.6328125" hidden="0" customWidth="1"/>
    <col min="168" max="168" width="44.6328125" hidden="0" customWidth="1"/>
    <col min="169" max="169" width="44.6328125" hidden="0" customWidth="1"/>
    <col min="170" max="170" width="44.6328125" hidden="0" customWidth="1"/>
    <col min="171" max="171" width="44.6328125" hidden="0" customWidth="1"/>
    <col min="172" max="172" width="44.6328125" hidden="0" customWidth="1"/>
    <col min="173" max="173" width="44.6328125" hidden="0" customWidth="1"/>
    <col min="174" max="174" width="44.6328125" hidden="0" customWidth="1"/>
    <col min="175" max="175" width="44.6328125" hidden="0" customWidth="1"/>
    <col min="176" max="176" width="44.6328125" hidden="0" customWidth="1"/>
    <col min="177" max="177" width="44.6328125" hidden="0" customWidth="1"/>
    <col min="178" max="178" width="44.6328125" hidden="0" customWidth="1"/>
    <col min="179" max="179" width="44.6328125" hidden="0" customWidth="1"/>
    <col min="180" max="180" width="44.6328125" hidden="0" customWidth="1"/>
    <col min="181" max="181" width="44.6328125" hidden="0" customWidth="1"/>
    <col min="182" max="182" width="44.6328125" hidden="0" customWidth="1"/>
    <col min="183" max="183" width="44.6328125" hidden="0" customWidth="1"/>
    <col min="184" max="184" width="44.6328125" hidden="0" customWidth="1"/>
    <col min="185" max="185" width="44.6328125" hidden="0" customWidth="1"/>
    <col min="186" max="186" width="44.6328125" hidden="0" customWidth="1"/>
    <col min="187" max="187" width="44.6328125" hidden="0" customWidth="1"/>
    <col min="188" max="188" width="44.6328125" hidden="0" customWidth="1"/>
    <col min="189" max="189" width="44.6328125" hidden="0" customWidth="1"/>
    <col min="190" max="190" width="44.6328125" hidden="0" customWidth="1"/>
    <col min="191" max="191" width="44.6328125" hidden="0" customWidth="1"/>
    <col min="192" max="192" width="44.6328125" hidden="0" customWidth="1"/>
    <col min="193" max="193" width="44.6328125" hidden="0" customWidth="1"/>
    <col min="194" max="194" width="57.6328125" hidden="0" customWidth="1"/>
    <col min="195" max="195" width="58.08984375" hidden="0" customWidth="1"/>
    <col min="196" max="196" width="54.08984375" hidden="0" customWidth="1"/>
    <col min="197" max="197" width="40.08984375" hidden="0" customWidth="1"/>
    <col min="198" max="198" width="40.08984375" hidden="0" customWidth="1"/>
    <col min="199" max="199" width="40.08984375" hidden="0" customWidth="1"/>
    <col min="200" max="200" width="40.08984375" hidden="0" customWidth="1"/>
    <col min="201" max="201" width="40.08984375" hidden="0" customWidth="1"/>
    <col min="202" max="202" width="40.08984375" hidden="0" customWidth="1"/>
    <col min="203" max="203" width="40.08984375" hidden="0" customWidth="1"/>
    <col min="204" max="204" width="40.08984375" hidden="0" customWidth="1"/>
    <col min="205" max="205" width="40.08984375" hidden="0" customWidth="1"/>
    <col min="206" max="206" width="40.08984375" hidden="0" customWidth="1"/>
    <col min="207" max="207" width="40.08984375" hidden="0" customWidth="1"/>
    <col min="208" max="208" width="40.08984375" hidden="0" customWidth="1"/>
    <col min="209" max="209" width="40.08984375" hidden="0" customWidth="1"/>
    <col min="210" max="210" width="40.08984375" hidden="0" customWidth="1"/>
    <col min="211" max="211" width="40.08984375" hidden="0" customWidth="1"/>
    <col min="212" max="212" width="40.08984375" hidden="0" customWidth="1"/>
    <col min="213" max="213" width="40.08984375" hidden="0" customWidth="1"/>
    <col min="214" max="214" width="40.08984375" hidden="0" customWidth="1"/>
    <col min="215" max="215" width="40.08984375" hidden="0" customWidth="1"/>
    <col min="216" max="216" width="40.08984375" hidden="0" customWidth="1"/>
    <col min="217" max="217" width="40.08984375" hidden="0" customWidth="1"/>
    <col min="218" max="218" width="40.08984375" hidden="0" customWidth="1"/>
    <col min="219" max="219" width="40.08984375" hidden="0" customWidth="1"/>
    <col min="220" max="220" width="40.08984375" hidden="0" customWidth="1"/>
    <col min="221" max="221" width="40.08984375" hidden="0" customWidth="1"/>
    <col min="222" max="222" width="40.08984375" hidden="0" customWidth="1"/>
    <col min="223" max="223" width="40.08984375" hidden="0" customWidth="1"/>
    <col min="224" max="224" width="40.08984375" hidden="0" customWidth="1"/>
    <col min="225" max="225" width="40.08984375" hidden="0" customWidth="1"/>
    <col min="226" max="226" width="40.08984375" hidden="0" customWidth="1"/>
    <col min="227" max="227" width="40.08984375" hidden="0" customWidth="1"/>
    <col min="228" max="228" width="40.08984375" hidden="0" customWidth="1"/>
    <col min="229" max="229" width="40.08984375" hidden="0" customWidth="1"/>
    <col min="230" max="230" width="40.08984375" hidden="0" customWidth="1"/>
    <col min="231" max="231" width="40.08984375" hidden="0" customWidth="1"/>
    <col min="232" max="232" width="40.08984375" hidden="0" customWidth="1"/>
    <col min="233" max="233" width="53.08984375" hidden="0" customWidth="1"/>
    <col min="234" max="234" width="53.453125" hidden="0" customWidth="1"/>
    <col min="235" max="235" width="49.453125" hidden="0" customWidth="1"/>
    <col min="236" max="236" width="53" hidden="0" customWidth="1"/>
    <col min="237" max="237" width="53" hidden="0" customWidth="1"/>
    <col min="238" max="238" width="53" hidden="0" customWidth="1"/>
    <col min="239" max="239" width="53" hidden="0" customWidth="1"/>
    <col min="240" max="240" width="53" hidden="0" customWidth="1"/>
    <col min="241" max="241" width="53" hidden="0" customWidth="1"/>
    <col min="242" max="242" width="53" hidden="0" customWidth="1"/>
    <col min="243" max="243" width="53" hidden="0" customWidth="1"/>
    <col min="244" max="244" width="53" hidden="0" customWidth="1"/>
    <col min="245" max="245" width="53" hidden="0" customWidth="1"/>
    <col min="246" max="246" width="53" hidden="0" customWidth="1"/>
    <col min="247" max="247" width="53" hidden="0" customWidth="1"/>
    <col min="248" max="248" width="53" hidden="0" customWidth="1"/>
    <col min="249" max="249" width="53" hidden="0" customWidth="1"/>
    <col min="250" max="250" width="53" hidden="0" customWidth="1"/>
    <col min="251" max="251" width="53" hidden="0" customWidth="1"/>
    <col min="252" max="252" width="53" hidden="0" customWidth="1"/>
    <col min="253" max="253" width="53" hidden="0" customWidth="1"/>
    <col min="254" max="254" width="53" hidden="0" customWidth="1"/>
    <col min="255" max="255" width="53" hidden="0" customWidth="1"/>
    <col min="256" max="256" width="53" hidden="0" customWidth="1"/>
    <col min="257" max="257" width="53" hidden="0" customWidth="1"/>
    <col min="258" max="258" width="53" hidden="0" customWidth="1"/>
    <col min="259" max="259" width="53" hidden="0" customWidth="1"/>
    <col min="260" max="260" width="53" hidden="0" customWidth="1"/>
    <col min="261" max="261" width="53" hidden="0" customWidth="1"/>
    <col min="262" max="262" width="53" hidden="0" customWidth="1"/>
    <col min="263" max="263" width="53" hidden="0" customWidth="1"/>
    <col min="264" max="264" width="53" hidden="0" customWidth="1"/>
    <col min="265" max="265" width="53" hidden="0" customWidth="1"/>
    <col min="266" max="266" width="53" hidden="0" customWidth="1"/>
    <col min="267" max="267" width="53" hidden="0" customWidth="1"/>
    <col min="268" max="268" width="53" hidden="0" customWidth="1"/>
    <col min="269" max="269" width="53" hidden="0" customWidth="1"/>
    <col min="270" max="270" width="53" hidden="0" customWidth="1"/>
    <col min="271" max="271" width="53" hidden="0" customWidth="1"/>
    <col min="272" max="272" width="66.08984375" hidden="0" customWidth="1"/>
    <col min="273" max="273" width="66.453125" hidden="0" customWidth="1"/>
    <col min="274" max="274" width="62.453125" hidden="0" customWidth="1"/>
    <col min="275" max="275" width="66.08984375" hidden="0" customWidth="1"/>
    <col min="276" max="276" width="66.08984375" hidden="0" customWidth="1"/>
    <col min="277" max="277" width="66.08984375" hidden="0" customWidth="1"/>
    <col min="278" max="278" width="66.08984375" hidden="0" customWidth="1"/>
    <col min="279" max="279" width="66.08984375" hidden="0" customWidth="1"/>
    <col min="280" max="280" width="66.08984375" hidden="0" customWidth="1"/>
    <col min="281" max="281" width="66.08984375" hidden="0" customWidth="1"/>
    <col min="282" max="282" width="66.08984375" hidden="0" customWidth="1"/>
    <col min="283" max="283" width="66.08984375" hidden="0" customWidth="1"/>
    <col min="284" max="284" width="66.08984375" hidden="0" customWidth="1"/>
    <col min="285" max="285" width="66.08984375" hidden="0" customWidth="1"/>
    <col min="286" max="286" width="66.08984375" hidden="0" customWidth="1"/>
    <col min="287" max="287" width="66.08984375" hidden="0" customWidth="1"/>
    <col min="288" max="288" width="66.08984375" hidden="0" customWidth="1"/>
    <col min="289" max="289" width="66.08984375" hidden="0" customWidth="1"/>
    <col min="290" max="290" width="66.08984375" hidden="0" customWidth="1"/>
    <col min="291" max="291" width="66.08984375" hidden="0" customWidth="1"/>
    <col min="292" max="292" width="66.08984375" hidden="0" customWidth="1"/>
    <col min="293" max="293" width="66.08984375" hidden="0" customWidth="1"/>
    <col min="294" max="294" width="66.08984375" hidden="0" customWidth="1"/>
    <col min="295" max="295" width="66.08984375" hidden="0" customWidth="1"/>
    <col min="296" max="296" width="66.08984375" hidden="0" customWidth="1"/>
    <col min="297" max="297" width="66.08984375" hidden="0" customWidth="1"/>
    <col min="298" max="298" width="66.08984375" hidden="0" customWidth="1"/>
    <col min="299" max="299" width="66.08984375" hidden="0" customWidth="1"/>
    <col min="300" max="300" width="66.08984375" hidden="0" customWidth="1"/>
    <col min="301" max="301" width="66.08984375" hidden="0" customWidth="1"/>
    <col min="302" max="302" width="66.08984375" hidden="0" customWidth="1"/>
    <col min="303" max="303" width="66.08984375" hidden="0" customWidth="1"/>
    <col min="304" max="304" width="66.08984375" hidden="0" customWidth="1"/>
    <col min="305" max="305" width="66.08984375" hidden="0" customWidth="1"/>
    <col min="306" max="306" width="66.08984375" hidden="0" customWidth="1"/>
    <col min="307" max="307" width="66.08984375" hidden="0" customWidth="1"/>
    <col min="308" max="308" width="66.08984375" hidden="0" customWidth="1"/>
    <col min="309" max="309" width="66.08984375" hidden="0" customWidth="1"/>
    <col min="310" max="310" width="66.08984375" hidden="0" customWidth="1"/>
    <col min="311" max="311" width="79.1796875" hidden="0" customWidth="1"/>
    <col min="312" max="312" width="79.54296875" hidden="0" customWidth="1"/>
    <col min="313" max="313" width="75.54296875" hidden="0" customWidth="1"/>
    <col min="314" max="314" width="27.90625" hidden="0" customWidth="1"/>
    <col min="315" max="315" width="27.90625" hidden="0" customWidth="1"/>
    <col min="316" max="316" width="27.90625" hidden="0" customWidth="1"/>
    <col min="317" max="317" width="27.90625" hidden="0" customWidth="1"/>
    <col min="318" max="318" width="27.90625" hidden="0" customWidth="1"/>
    <col min="319" max="319" width="27.90625" hidden="0" customWidth="1"/>
    <col min="320" max="320" width="27.90625" hidden="0" customWidth="1"/>
    <col min="321" max="321" width="27.90625" hidden="0" customWidth="1"/>
    <col min="322" max="322" width="27.90625" hidden="0" customWidth="1"/>
    <col min="323" max="323" width="27.90625" hidden="0" customWidth="1"/>
    <col min="324" max="324" width="27.90625" hidden="0" customWidth="1"/>
    <col min="325" max="325" width="27.90625" hidden="0" customWidth="1"/>
    <col min="326" max="326" width="27.90625" hidden="0" customWidth="1"/>
    <col min="327" max="327" width="27.90625" hidden="0" customWidth="1"/>
    <col min="328" max="328" width="27.90625" hidden="0" customWidth="1"/>
    <col min="329" max="329" width="27.90625" hidden="0" customWidth="1"/>
    <col min="330" max="330" width="27.90625" hidden="0" customWidth="1"/>
    <col min="331" max="331" width="27.90625" hidden="0" customWidth="1"/>
    <col min="332" max="332" width="27.90625" hidden="0" customWidth="1"/>
    <col min="333" max="333" width="27.90625" hidden="0" customWidth="1"/>
    <col min="334" max="334" width="27.90625" hidden="0" customWidth="1"/>
    <col min="335" max="335" width="27.90625" hidden="0" customWidth="1"/>
    <col min="336" max="336" width="27.90625" hidden="0" customWidth="1"/>
    <col min="337" max="337" width="27.90625" hidden="0" customWidth="1"/>
    <col min="338" max="338" width="27.90625" hidden="0" customWidth="1"/>
    <col min="339" max="339" width="27.90625" hidden="0" customWidth="1"/>
    <col min="340" max="340" width="27.90625" hidden="0" customWidth="1"/>
    <col min="341" max="341" width="27.90625" hidden="0" customWidth="1"/>
    <col min="342" max="342" width="27.90625" hidden="0" customWidth="1"/>
    <col min="343" max="343" width="27.90625" hidden="0" customWidth="1"/>
    <col min="344" max="344" width="27.90625" hidden="0" customWidth="1"/>
    <col min="345" max="345" width="27.90625" hidden="0" customWidth="1"/>
    <col min="346" max="346" width="27.90625" hidden="0" customWidth="1"/>
    <col min="347" max="347" width="27.90625" hidden="0" customWidth="1"/>
    <col min="348" max="348" width="27.90625" hidden="0" customWidth="1"/>
    <col min="349" max="349" width="27.90625" hidden="0" customWidth="1"/>
    <col min="350" max="350" width="40.90625" hidden="0" customWidth="1"/>
    <col min="351" max="351" width="41.26953125" hidden="0" customWidth="1"/>
    <col min="352" max="352" width="37.26953125" hidden="0" customWidth="1"/>
    <col min="353" max="353" width="73.81640625" hidden="0" customWidth="1"/>
    <col min="354" max="354" width="73.81640625" hidden="0" customWidth="1"/>
    <col min="355" max="355" width="73.81640625" hidden="0" customWidth="1"/>
    <col min="356" max="356" width="73.81640625" hidden="0" customWidth="1"/>
    <col min="357" max="357" width="73.81640625" hidden="0" customWidth="1"/>
    <col min="358" max="358" width="73.81640625" hidden="0" customWidth="1"/>
    <col min="359" max="359" width="73.81640625" hidden="0" customWidth="1"/>
    <col min="360" max="360" width="73.81640625" hidden="0" customWidth="1"/>
    <col min="361" max="361" width="73.81640625" hidden="0" customWidth="1"/>
    <col min="362" max="362" width="73.81640625" hidden="0" customWidth="1"/>
    <col min="363" max="363" width="73.81640625" hidden="0" customWidth="1"/>
    <col min="364" max="364" width="73.81640625" hidden="0" customWidth="1"/>
    <col min="365" max="365" width="73.81640625" hidden="0" customWidth="1"/>
    <col min="366" max="366" width="73.81640625" hidden="0" customWidth="1"/>
    <col min="367" max="367" width="73.81640625" hidden="0" customWidth="1"/>
    <col min="368" max="368" width="73.81640625" hidden="0" customWidth="1"/>
    <col min="369" max="369" width="73.81640625" hidden="0" customWidth="1"/>
    <col min="370" max="370" width="73.81640625" hidden="0" customWidth="1"/>
    <col min="371" max="371" width="73.81640625" hidden="0" customWidth="1"/>
    <col min="372" max="372" width="73.81640625" hidden="0" customWidth="1"/>
    <col min="373" max="373" width="73.81640625" hidden="0" customWidth="1"/>
    <col min="374" max="374" width="73.81640625" hidden="0" customWidth="1"/>
    <col min="375" max="375" width="73.81640625" hidden="0" customWidth="1"/>
    <col min="376" max="376" width="73.81640625" hidden="0" customWidth="1"/>
    <col min="377" max="377" width="73.81640625" hidden="0" customWidth="1"/>
    <col min="378" max="378" width="73.81640625" hidden="0" customWidth="1"/>
    <col min="379" max="379" width="73.81640625" hidden="0" customWidth="1"/>
    <col min="380" max="380" width="73.81640625" hidden="0" customWidth="1"/>
    <col min="381" max="381" width="73.81640625" hidden="0" customWidth="1"/>
    <col min="382" max="382" width="73.81640625" hidden="0" customWidth="1"/>
    <col min="383" max="383" width="73.81640625" hidden="0" customWidth="1"/>
    <col min="384" max="384" width="73.81640625" hidden="0" customWidth="1"/>
    <col min="385" max="385" width="73.81640625" hidden="0" customWidth="1"/>
    <col min="386" max="386" width="73.81640625" hidden="0" customWidth="1"/>
    <col min="387" max="387" width="73.81640625" hidden="0" customWidth="1"/>
    <col min="388" max="388" width="73.81640625" hidden="0" customWidth="1"/>
    <col min="389" max="389" width="86.90625" hidden="0" customWidth="1"/>
    <col min="390" max="390" width="87.26953125" hidden="0" customWidth="1"/>
    <col min="391" max="391" width="83.26953125" hidden="0" customWidth="1"/>
    <col min="392" max="392" width="62.81640625" hidden="0" customWidth="1"/>
    <col min="393" max="393" width="62.81640625" hidden="0" customWidth="1"/>
    <col min="394" max="394" width="62.81640625" hidden="0" customWidth="1"/>
    <col min="395" max="395" width="62.81640625" hidden="0" customWidth="1"/>
    <col min="396" max="396" width="62.81640625" hidden="0" customWidth="1"/>
    <col min="397" max="397" width="62.81640625" hidden="0" customWidth="1"/>
    <col min="398" max="398" width="62.81640625" hidden="0" customWidth="1"/>
    <col min="399" max="399" width="62.81640625" hidden="0" customWidth="1"/>
    <col min="400" max="400" width="62.81640625" hidden="0" customWidth="1"/>
    <col min="401" max="401" width="62.81640625" hidden="0" customWidth="1"/>
    <col min="402" max="402" width="62.81640625" hidden="0" customWidth="1"/>
    <col min="403" max="403" width="62.81640625" hidden="0" customWidth="1"/>
    <col min="404" max="404" width="62.81640625" hidden="0" customWidth="1"/>
    <col min="405" max="405" width="62.81640625" hidden="0" customWidth="1"/>
    <col min="406" max="406" width="62.81640625" hidden="0" customWidth="1"/>
    <col min="407" max="407" width="62.81640625" hidden="0" customWidth="1"/>
    <col min="408" max="408" width="62.81640625" hidden="0" customWidth="1"/>
    <col min="409" max="409" width="62.81640625" hidden="0" customWidth="1"/>
    <col min="410" max="410" width="62.81640625" hidden="0" customWidth="1"/>
    <col min="411" max="411" width="62.81640625" hidden="0" customWidth="1"/>
    <col min="412" max="412" width="62.81640625" hidden="0" customWidth="1"/>
    <col min="413" max="413" width="62.81640625" hidden="0" customWidth="1"/>
    <col min="414" max="414" width="62.81640625" hidden="0" customWidth="1"/>
    <col min="415" max="415" width="62.81640625" hidden="0" customWidth="1"/>
    <col min="416" max="416" width="62.81640625" hidden="0" customWidth="1"/>
    <col min="417" max="417" width="62.81640625" hidden="0" customWidth="1"/>
    <col min="418" max="418" width="62.81640625" hidden="0" customWidth="1"/>
    <col min="419" max="419" width="62.81640625" hidden="0" customWidth="1"/>
    <col min="420" max="420" width="62.81640625" hidden="0" customWidth="1"/>
    <col min="421" max="421" width="62.81640625" hidden="0" customWidth="1"/>
    <col min="422" max="422" width="62.81640625" hidden="0" customWidth="1"/>
    <col min="423" max="423" width="62.81640625" hidden="0" customWidth="1"/>
    <col min="424" max="424" width="62.81640625" hidden="0" customWidth="1"/>
    <col min="425" max="425" width="62.81640625" hidden="0" customWidth="1"/>
    <col min="426" max="426" width="62.81640625" hidden="0" customWidth="1"/>
    <col min="427" max="427" width="62.81640625" hidden="0" customWidth="1"/>
    <col min="428" max="428" width="75.90625" hidden="0" customWidth="1"/>
    <col min="429" max="429" width="76.26953125" hidden="0" customWidth="1"/>
    <col min="430" max="430" width="72.26953125" hidden="0" customWidth="1"/>
    <col min="431" max="431" width="28.1796875" hidden="0" customWidth="1"/>
    <col min="432" max="432" width="28.1796875" hidden="0" customWidth="1"/>
    <col min="433" max="433" width="28.1796875" hidden="0" customWidth="1"/>
    <col min="434" max="434" width="28.1796875" hidden="0" customWidth="1"/>
    <col min="435" max="435" width="28.1796875" hidden="0" customWidth="1"/>
    <col min="436" max="436" width="28.1796875" hidden="0" customWidth="1"/>
    <col min="437" max="437" width="28.1796875" hidden="0" customWidth="1"/>
    <col min="438" max="438" width="28.1796875" hidden="0" customWidth="1"/>
    <col min="439" max="439" width="28.1796875" hidden="0" customWidth="1"/>
    <col min="440" max="440" width="28.1796875" hidden="0" customWidth="1"/>
    <col min="441" max="441" width="28.1796875" hidden="0" customWidth="1"/>
    <col min="442" max="442" width="28.1796875" hidden="0" customWidth="1"/>
    <col min="443" max="443" width="28.1796875" hidden="0" customWidth="1"/>
    <col min="444" max="444" width="28.1796875" hidden="0" customWidth="1"/>
    <col min="445" max="445" width="28.1796875" hidden="0" customWidth="1"/>
    <col min="446" max="446" width="28.1796875" hidden="0" customWidth="1"/>
    <col min="447" max="447" width="28.1796875" hidden="0" customWidth="1"/>
    <col min="448" max="448" width="28.1796875" hidden="0" customWidth="1"/>
    <col min="449" max="449" width="28.1796875" hidden="0" customWidth="1"/>
    <col min="450" max="450" width="28.1796875" hidden="0" customWidth="1"/>
    <col min="451" max="451" width="28.1796875" hidden="0" customWidth="1"/>
    <col min="452" max="452" width="28.1796875" hidden="0" customWidth="1"/>
    <col min="453" max="453" width="28.1796875" hidden="0" customWidth="1"/>
    <col min="454" max="454" width="28.1796875" hidden="0" customWidth="1"/>
    <col min="455" max="455" width="28.1796875" hidden="0" customWidth="1"/>
    <col min="456" max="456" width="28.1796875" hidden="0" customWidth="1"/>
    <col min="457" max="457" width="28.1796875" hidden="0" customWidth="1"/>
    <col min="458" max="458" width="28.1796875" hidden="0" customWidth="1"/>
    <col min="459" max="459" width="28.1796875" hidden="0" customWidth="1"/>
    <col min="460" max="460" width="28.1796875" hidden="0" customWidth="1"/>
    <col min="461" max="461" width="28.1796875" hidden="0" customWidth="1"/>
    <col min="462" max="462" width="28.1796875" hidden="0" customWidth="1"/>
    <col min="463" max="463" width="28.1796875" hidden="0" customWidth="1"/>
    <col min="464" max="464" width="28.1796875" hidden="0" customWidth="1"/>
    <col min="465" max="465" width="28.1796875" hidden="0" customWidth="1"/>
    <col min="466" max="466" width="28.1796875" hidden="0" customWidth="1"/>
    <col min="467" max="467" width="41.1796875" hidden="0" customWidth="1"/>
    <col min="468" max="468" width="41.6328125" hidden="0" customWidth="1"/>
    <col min="469" max="469" width="37.6328125" hidden="0" customWidth="1"/>
  </cols>
  <sheetData>
    <row r="2">
      <c r="B2" s="2" t="s">
        <v>6</v>
      </c>
      <c r="C2" s="2" t="s">
        <v>72</v>
      </c>
      <c r="D2" s="6"/>
      <c r="E2" s="6"/>
      <c r="H2" s="2" t="s">
        <v>6</v>
      </c>
      <c r="I2" s="2" t="s">
        <v>77</v>
      </c>
      <c r="J2" s="6"/>
      <c r="K2" s="6"/>
    </row>
    <row r="3">
      <c r="B3" s="2" t="s">
        <v>10</v>
      </c>
      <c r="C3" s="4" t="n">
        <v>46143</v>
      </c>
      <c r="D3" s="6"/>
      <c r="E3" s="6"/>
      <c r="H3" s="2" t="s">
        <v>7</v>
      </c>
      <c r="I3" s="2" t="s">
        <v>38</v>
      </c>
      <c r="J3" s="6"/>
      <c r="K3" s="6"/>
    </row>
    <row r="4">
      <c r="B4" s="6"/>
      <c r="C4" s="6"/>
      <c r="D4" s="6"/>
      <c r="E4" s="6"/>
      <c r="H4" s="6"/>
      <c r="I4" s="6"/>
      <c r="J4" s="6"/>
      <c r="K4" s="6"/>
    </row>
    <row r="5">
      <c r="B5" s="2" t="s">
        <v>6</v>
      </c>
      <c r="C5" s="5" t="s">
        <v>169</v>
      </c>
      <c r="D5" s="5" t="s">
        <v>170</v>
      </c>
      <c r="E5" s="5" t="s">
        <v>171</v>
      </c>
      <c r="H5" s="2" t="s">
        <v>0</v>
      </c>
      <c r="I5" s="2" t="s">
        <v>169</v>
      </c>
      <c r="J5" s="2" t="s">
        <v>170</v>
      </c>
      <c r="K5" s="2" t="s">
        <v>171</v>
      </c>
    </row>
    <row r="6">
      <c r="B6" s="1" t="s">
        <v>36</v>
      </c>
      <c r="C6" s="2" t="n">
        <v>6</v>
      </c>
      <c r="D6" s="2" t="n">
        <v>12</v>
      </c>
      <c r="E6" s="3" t="n">
        <v>0</v>
      </c>
      <c r="H6" s="4" t="n">
        <v>45839</v>
      </c>
      <c r="I6" s="2" t="n">
        <v>6</v>
      </c>
      <c r="J6" s="2" t="n">
        <v>12</v>
      </c>
      <c r="K6" s="3" t="n">
        <v>1.5217160284049083</v>
      </c>
    </row>
    <row r="7">
      <c r="B7" s="1" t="s">
        <v>38</v>
      </c>
      <c r="C7" s="2" t="n">
        <v>6</v>
      </c>
      <c r="D7" s="2" t="n">
        <v>12</v>
      </c>
      <c r="E7" s="3" t="n">
        <v>18.757636213538799</v>
      </c>
      <c r="H7" s="4" t="n">
        <v>45870</v>
      </c>
      <c r="I7" s="2" t="n">
        <v>6</v>
      </c>
      <c r="J7" s="2" t="n">
        <v>12</v>
      </c>
      <c r="K7" s="3" t="n">
        <v>1.3290973194666607</v>
      </c>
    </row>
    <row r="8">
      <c r="B8" s="1" t="s">
        <v>34</v>
      </c>
      <c r="C8" s="2" t="n">
        <v>6</v>
      </c>
      <c r="D8" s="2" t="n">
        <v>12</v>
      </c>
      <c r="E8" s="3" t="n">
        <v>0</v>
      </c>
      <c r="H8" s="4" t="n">
        <v>45901</v>
      </c>
      <c r="I8" s="2" t="n">
        <v>6</v>
      </c>
      <c r="J8" s="2" t="n">
        <v>12</v>
      </c>
      <c r="K8" s="3" t="n">
        <v>0.32909731946666076</v>
      </c>
    </row>
    <row r="9">
      <c r="B9" s="1" t="s">
        <v>54</v>
      </c>
      <c r="C9" s="2" t="n">
        <v>6</v>
      </c>
      <c r="D9" s="2" t="n">
        <v>12</v>
      </c>
      <c r="E9" s="3" t="n">
        <v>0.55097689294736596</v>
      </c>
      <c r="H9" s="4" t="n">
        <v>45931</v>
      </c>
      <c r="I9" s="2" t="n">
        <v>6</v>
      </c>
      <c r="J9" s="2" t="n">
        <v>12</v>
      </c>
      <c r="K9" s="3" t="n">
        <v>0.4018862807392361</v>
      </c>
    </row>
    <row r="10">
      <c r="B10" s="1" t="s">
        <v>41</v>
      </c>
      <c r="C10" s="2" t="n">
        <v>6</v>
      </c>
      <c r="D10" s="2" t="n">
        <v>12</v>
      </c>
      <c r="E10" s="3" t="n">
        <v>11.240270843307572</v>
      </c>
      <c r="H10" s="4" t="n">
        <v>45962</v>
      </c>
      <c r="I10" s="2" t="n">
        <v>6</v>
      </c>
      <c r="J10" s="2" t="n">
        <v>12</v>
      </c>
      <c r="K10" s="3" t="n">
        <v>0</v>
      </c>
    </row>
    <row r="11">
      <c r="B11" s="1" t="s">
        <v>125</v>
      </c>
      <c r="C11" s="2" t="n">
        <v>6</v>
      </c>
      <c r="D11" s="2" t="n">
        <v>12</v>
      </c>
      <c r="E11" s="3" t="n">
        <v>14.766426402762649</v>
      </c>
      <c r="H11" s="4" t="n">
        <v>45992</v>
      </c>
      <c r="I11" s="2" t="n">
        <v>6</v>
      </c>
      <c r="J11" s="2" t="n">
        <v>12</v>
      </c>
      <c r="K11" s="3" t="n">
        <v>0</v>
      </c>
    </row>
    <row r="12">
      <c r="B12" s="1" t="s">
        <v>29</v>
      </c>
      <c r="C12" s="2" t="n">
        <v>6</v>
      </c>
      <c r="D12" s="2" t="n">
        <v>12</v>
      </c>
      <c r="E12" s="3" t="n">
        <v>0</v>
      </c>
      <c r="H12" s="4" t="n">
        <v>46023</v>
      </c>
      <c r="I12" s="2" t="n">
        <v>6</v>
      </c>
      <c r="J12" s="2" t="n">
        <v>12</v>
      </c>
      <c r="K12" s="3" t="n">
        <v>0</v>
      </c>
    </row>
    <row r="13">
      <c r="B13" s="1" t="s">
        <v>42</v>
      </c>
      <c r="C13" s="2" t="n">
        <v>6</v>
      </c>
      <c r="D13" s="2" t="n">
        <v>12</v>
      </c>
      <c r="E13" s="3" t="n">
        <v>20.613900283089723</v>
      </c>
      <c r="H13" s="4" t="n">
        <v>46054</v>
      </c>
      <c r="I13" s="2" t="n">
        <v>6</v>
      </c>
      <c r="J13" s="2" t="n">
        <v>12</v>
      </c>
      <c r="K13" s="3" t="n">
        <v>0</v>
      </c>
    </row>
    <row r="14">
      <c r="B14" s="1" t="s">
        <v>44</v>
      </c>
      <c r="C14" s="2" t="n">
        <v>6</v>
      </c>
      <c r="D14" s="2" t="n">
        <v>12</v>
      </c>
      <c r="E14" s="3" t="n">
        <v>10.369893777902544</v>
      </c>
      <c r="H14" s="4" t="n">
        <v>46082</v>
      </c>
      <c r="I14" s="2" t="n">
        <v>6</v>
      </c>
      <c r="J14" s="2" t="n">
        <v>12</v>
      </c>
      <c r="K14" s="3" t="n">
        <v>0</v>
      </c>
    </row>
    <row r="15">
      <c r="B15" s="1" t="s">
        <v>46</v>
      </c>
      <c r="C15" s="2" t="n">
        <v>6</v>
      </c>
      <c r="D15" s="2" t="n">
        <v>12</v>
      </c>
      <c r="E15" s="3" t="n">
        <v>11.439775910364146</v>
      </c>
      <c r="H15" s="4" t="n">
        <v>46113</v>
      </c>
      <c r="I15" s="2" t="n">
        <v>6</v>
      </c>
      <c r="J15" s="2" t="n">
        <v>12</v>
      </c>
      <c r="K15" s="3" t="n">
        <v>0</v>
      </c>
    </row>
    <row r="16">
      <c r="H16" s="4" t="n">
        <v>46143</v>
      </c>
      <c r="I16" s="2" t="n">
        <v>6</v>
      </c>
      <c r="J16" s="2" t="n">
        <v>12</v>
      </c>
      <c r="K16" s="3" t="n">
        <v>0</v>
      </c>
    </row>
    <row r="17">
      <c r="H17" s="4" t="n">
        <v>46174</v>
      </c>
      <c r="I17" s="2" t="n">
        <v>6</v>
      </c>
      <c r="J17" s="2" t="n">
        <v>12</v>
      </c>
      <c r="K17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1" sqref="A1:XFD1048576"/>
    </sheetView>
  </sheetViews>
  <sheetFormatPr defaultRowHeight="15.0" baseColWidth="10"/>
  <cols>
    <col min="1" max="1" width="11.54296875" hidden="0" customWidth="1"/>
    <col min="2" max="2" width="75.81640625" hidden="0" customWidth="1"/>
    <col min="3" max="3" width="8.453125" hidden="0" customWidth="1"/>
    <col min="4" max="4" width="24.08984375" hidden="0" customWidth="1"/>
    <col min="5" max="5" width="11.81640625" hidden="0" customWidth="1"/>
    <col min="6" max="6" width="31.453125" hidden="0" customWidth="1"/>
    <col min="7" max="7" width="28.81640625" hidden="0" customWidth="1"/>
    <col min="8" max="8" width="25" hidden="0" customWidth="1"/>
    <col min="9" max="9" width="17.5429687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.08984375" hidden="0" customWidth="1"/>
    <col min="14" max="14" width="11.36328125" hidden="0" customWidth="1"/>
    <col min="15" max="15" width="12.08984375" hidden="0" customWidth="1"/>
    <col min="16" max="16" width="6.453125" hidden="0" customWidth="1"/>
    <col min="17" max="17" width="13.08984375" hidden="0" customWidth="1"/>
    <col min="18" max="18" width="20.453125" hidden="0" customWidth="1"/>
    <col min="19" max="19" width="11.26953125" hidden="0" customWidth="1"/>
    <col min="20" max="20" width="11.54296875" hidden="0" customWidth="1"/>
    <col min="21" max="21" width="14.54296875" hidden="0" customWidth="1"/>
    <col min="22" max="22" width="7.7265625" hidden="0" customWidth="1"/>
    <col min="23" max="23" width="24.36328125" hidden="0" customWidth="1"/>
  </cols>
  <sheetData>
    <row r="1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1</v>
      </c>
      <c r="V1" s="7" t="s">
        <v>26</v>
      </c>
      <c r="W1" s="7" t="s">
        <v>27</v>
      </c>
    </row>
    <row r="2">
      <c r="A2" s="7" t="s">
        <v>28</v>
      </c>
      <c r="B2" s="7" t="s">
        <v>49</v>
      </c>
      <c r="C2" s="7" t="s">
        <v>50</v>
      </c>
      <c r="D2" s="7" t="s">
        <v>31</v>
      </c>
      <c r="E2" s="8" t="n">
        <v>45839</v>
      </c>
      <c r="F2" s="7" t="n">
        <v>369278</v>
      </c>
      <c r="H2" s="7" t="n">
        <v>94644</v>
      </c>
      <c r="I2" s="7" t="n">
        <v>274634</v>
      </c>
      <c r="L2" s="7"/>
      <c r="S2" s="7" t="n">
        <v>9</v>
      </c>
      <c r="T2" s="7" t="n">
        <v>14</v>
      </c>
      <c r="U2" s="7" t="n">
        <v>13</v>
      </c>
      <c r="V2" s="9" t="n">
        <v>2.901758167448544</v>
      </c>
    </row>
    <row r="3">
      <c r="A3" s="7" t="s">
        <v>28</v>
      </c>
      <c r="B3" s="7" t="s">
        <v>49</v>
      </c>
      <c r="C3" s="7" t="s">
        <v>50</v>
      </c>
      <c r="D3" s="7" t="s">
        <v>31</v>
      </c>
      <c r="E3" s="8" t="n">
        <v>45870</v>
      </c>
      <c r="F3" s="7" t="n">
        <v>274634</v>
      </c>
      <c r="H3" s="7" t="n">
        <v>94644</v>
      </c>
      <c r="I3" s="7" t="n">
        <v>698529</v>
      </c>
      <c r="J3" s="7" t="s">
        <v>51</v>
      </c>
      <c r="K3" s="7" t="s">
        <v>51</v>
      </c>
      <c r="L3" s="7" t="s">
        <v>4</v>
      </c>
      <c r="M3" s="7" t="n">
        <v>518539</v>
      </c>
      <c r="O3" s="7" t="n">
        <v>136894</v>
      </c>
      <c r="P3" s="7" t="n">
        <v>45870</v>
      </c>
      <c r="S3" s="7" t="n">
        <v>9</v>
      </c>
      <c r="T3" s="7" t="n">
        <v>14</v>
      </c>
      <c r="U3" s="7" t="n">
        <v>13</v>
      </c>
      <c r="V3" s="9" t="n">
        <v>7.3805946494231014</v>
      </c>
    </row>
    <row r="4">
      <c r="A4" s="7" t="s">
        <v>28</v>
      </c>
      <c r="B4" s="7" t="s">
        <v>49</v>
      </c>
      <c r="C4" s="7" t="s">
        <v>50</v>
      </c>
      <c r="D4" s="7" t="s">
        <v>31</v>
      </c>
      <c r="E4" s="8" t="n">
        <v>45901</v>
      </c>
      <c r="F4" s="7" t="n">
        <v>698529</v>
      </c>
      <c r="H4" s="7" t="n">
        <v>94644</v>
      </c>
      <c r="I4" s="7" t="n">
        <v>603885</v>
      </c>
      <c r="L4" s="7"/>
      <c r="S4" s="7" t="n">
        <v>9</v>
      </c>
      <c r="T4" s="7" t="n">
        <v>14</v>
      </c>
      <c r="U4" s="7" t="n">
        <v>13</v>
      </c>
      <c r="V4" s="9" t="n">
        <v>6.3805946494231014</v>
      </c>
    </row>
    <row r="5">
      <c r="A5" s="7" t="s">
        <v>28</v>
      </c>
      <c r="B5" s="7" t="s">
        <v>49</v>
      </c>
      <c r="C5" s="7" t="s">
        <v>50</v>
      </c>
      <c r="D5" s="7" t="s">
        <v>31</v>
      </c>
      <c r="E5" s="8" t="n">
        <v>45931</v>
      </c>
      <c r="F5" s="7" t="n">
        <v>603885</v>
      </c>
      <c r="H5" s="7" t="n">
        <v>94644</v>
      </c>
      <c r="I5" s="7" t="n">
        <v>509241</v>
      </c>
      <c r="L5" s="7"/>
      <c r="S5" s="7" t="n">
        <v>9</v>
      </c>
      <c r="T5" s="7" t="n">
        <v>14</v>
      </c>
      <c r="U5" s="7" t="n">
        <v>13</v>
      </c>
      <c r="V5" s="9" t="n">
        <v>5.3805946494231014</v>
      </c>
    </row>
    <row r="6">
      <c r="A6" s="7" t="s">
        <v>28</v>
      </c>
      <c r="B6" s="7" t="s">
        <v>49</v>
      </c>
      <c r="C6" s="7" t="s">
        <v>50</v>
      </c>
      <c r="D6" s="7" t="s">
        <v>31</v>
      </c>
      <c r="E6" s="8" t="n">
        <v>45962</v>
      </c>
      <c r="F6" s="7" t="n">
        <v>509241</v>
      </c>
      <c r="H6" s="7" t="n">
        <v>94644</v>
      </c>
      <c r="I6" s="7" t="n">
        <v>414597</v>
      </c>
      <c r="L6" s="7"/>
      <c r="S6" s="7" t="n">
        <v>9</v>
      </c>
      <c r="T6" s="7" t="n">
        <v>14</v>
      </c>
      <c r="U6" s="7" t="n">
        <v>13</v>
      </c>
      <c r="V6" s="9" t="n">
        <v>4.3805946494231014</v>
      </c>
    </row>
    <row r="7">
      <c r="A7" s="7" t="s">
        <v>28</v>
      </c>
      <c r="B7" s="7" t="s">
        <v>49</v>
      </c>
      <c r="C7" s="7" t="s">
        <v>50</v>
      </c>
      <c r="D7" s="7" t="s">
        <v>31</v>
      </c>
      <c r="E7" s="8" t="n">
        <v>45992</v>
      </c>
      <c r="F7" s="7" t="n">
        <v>414597</v>
      </c>
      <c r="H7" s="7" t="n">
        <v>94644</v>
      </c>
      <c r="I7" s="7" t="n">
        <v>319953</v>
      </c>
      <c r="L7" s="7"/>
      <c r="S7" s="7" t="n">
        <v>9</v>
      </c>
      <c r="T7" s="7" t="n">
        <v>14</v>
      </c>
      <c r="U7" s="7" t="n">
        <v>13</v>
      </c>
      <c r="V7" s="9" t="n">
        <v>3.3805946494231014</v>
      </c>
    </row>
    <row r="8">
      <c r="A8" s="7" t="s">
        <v>28</v>
      </c>
      <c r="B8" s="7" t="s">
        <v>49</v>
      </c>
      <c r="C8" s="7" t="s">
        <v>50</v>
      </c>
      <c r="D8" s="7" t="s">
        <v>31</v>
      </c>
      <c r="E8" s="8" t="n">
        <v>46023</v>
      </c>
      <c r="F8" s="7" t="n">
        <v>319953</v>
      </c>
      <c r="H8" s="7" t="n">
        <v>94644</v>
      </c>
      <c r="I8" s="7" t="n">
        <v>733789</v>
      </c>
      <c r="J8" s="7" t="s">
        <v>2</v>
      </c>
      <c r="K8" s="7" t="s">
        <v>2</v>
      </c>
      <c r="L8" s="7" t="s">
        <v>4</v>
      </c>
      <c r="M8" s="7" t="n">
        <v>508480</v>
      </c>
      <c r="O8" s="7" t="n">
        <v>134239</v>
      </c>
      <c r="P8" s="7" t="n">
        <v>46023</v>
      </c>
      <c r="S8" s="7" t="n">
        <v>9</v>
      </c>
      <c r="T8" s="7" t="n">
        <v>14</v>
      </c>
      <c r="U8" s="7" t="n">
        <v>13</v>
      </c>
      <c r="V8" s="9" t="n">
        <v>7.7531486412239552</v>
      </c>
    </row>
    <row r="9">
      <c r="A9" s="7" t="s">
        <v>28</v>
      </c>
      <c r="B9" s="7" t="s">
        <v>49</v>
      </c>
      <c r="C9" s="7" t="s">
        <v>50</v>
      </c>
      <c r="D9" s="7" t="s">
        <v>31</v>
      </c>
      <c r="E9" s="8" t="n">
        <v>46054</v>
      </c>
      <c r="F9" s="7" t="n">
        <v>733789</v>
      </c>
      <c r="H9" s="7" t="n">
        <v>94644</v>
      </c>
      <c r="I9" s="7" t="n">
        <v>639145</v>
      </c>
      <c r="L9" s="7"/>
      <c r="S9" s="7" t="n">
        <v>9</v>
      </c>
      <c r="T9" s="7" t="n">
        <v>14</v>
      </c>
      <c r="U9" s="7" t="n">
        <v>13</v>
      </c>
      <c r="V9" s="9" t="n">
        <v>6.7531486412239552</v>
      </c>
    </row>
    <row r="10">
      <c r="A10" s="7" t="s">
        <v>28</v>
      </c>
      <c r="B10" s="7" t="s">
        <v>49</v>
      </c>
      <c r="C10" s="7" t="s">
        <v>50</v>
      </c>
      <c r="D10" s="7" t="s">
        <v>31</v>
      </c>
      <c r="E10" s="8" t="n">
        <v>46082</v>
      </c>
      <c r="F10" s="7" t="n">
        <v>639145</v>
      </c>
      <c r="H10" s="7" t="n">
        <v>94644</v>
      </c>
      <c r="I10" s="7" t="n">
        <v>544501</v>
      </c>
      <c r="L10" s="7"/>
      <c r="S10" s="7" t="n">
        <v>9</v>
      </c>
      <c r="T10" s="7" t="n">
        <v>14</v>
      </c>
      <c r="U10" s="7" t="n">
        <v>13</v>
      </c>
      <c r="V10" s="9" t="n">
        <v>5.7531486412239552</v>
      </c>
    </row>
    <row r="11">
      <c r="A11" s="7" t="s">
        <v>28</v>
      </c>
      <c r="B11" s="7" t="s">
        <v>49</v>
      </c>
      <c r="C11" s="7" t="s">
        <v>50</v>
      </c>
      <c r="D11" s="7" t="s">
        <v>31</v>
      </c>
      <c r="E11" s="8" t="n">
        <v>46113</v>
      </c>
      <c r="F11" s="7" t="n">
        <v>544501</v>
      </c>
      <c r="H11" s="7" t="n">
        <v>94644</v>
      </c>
      <c r="I11" s="7" t="n">
        <v>449857</v>
      </c>
      <c r="L11" s="7"/>
      <c r="S11" s="7" t="n">
        <v>9</v>
      </c>
      <c r="T11" s="7" t="n">
        <v>14</v>
      </c>
      <c r="U11" s="7" t="n">
        <v>13</v>
      </c>
      <c r="V11" s="9" t="n">
        <v>4.7531486412239552</v>
      </c>
    </row>
    <row r="12">
      <c r="A12" s="7" t="s">
        <v>28</v>
      </c>
      <c r="B12" s="7" t="s">
        <v>49</v>
      </c>
      <c r="C12" s="7" t="s">
        <v>50</v>
      </c>
      <c r="D12" s="7" t="s">
        <v>31</v>
      </c>
      <c r="E12" s="8" t="n">
        <v>46143</v>
      </c>
      <c r="F12" s="7" t="n">
        <v>449857</v>
      </c>
      <c r="H12" s="7" t="n">
        <v>94644</v>
      </c>
      <c r="I12" s="7" t="n">
        <v>355213</v>
      </c>
      <c r="L12" s="7"/>
      <c r="S12" s="7" t="n">
        <v>9</v>
      </c>
      <c r="T12" s="7" t="n">
        <v>14</v>
      </c>
      <c r="U12" s="7" t="n">
        <v>13</v>
      </c>
      <c r="V12" s="9" t="n">
        <v>3.7531486412239552</v>
      </c>
    </row>
    <row r="13">
      <c r="A13" s="7" t="s">
        <v>28</v>
      </c>
      <c r="B13" s="7" t="s">
        <v>49</v>
      </c>
      <c r="C13" s="7" t="s">
        <v>50</v>
      </c>
      <c r="D13" s="7" t="s">
        <v>31</v>
      </c>
      <c r="E13" s="8" t="n">
        <v>46174</v>
      </c>
      <c r="F13" s="7" t="n">
        <v>355213</v>
      </c>
      <c r="H13" s="7" t="n">
        <v>94644</v>
      </c>
      <c r="I13" s="7" t="n">
        <v>783151</v>
      </c>
      <c r="J13" s="7" t="s">
        <v>2</v>
      </c>
      <c r="K13" s="7" t="s">
        <v>2</v>
      </c>
      <c r="L13" s="7" t="s">
        <v>4</v>
      </c>
      <c r="M13" s="7" t="n">
        <v>522582</v>
      </c>
      <c r="O13" s="7" t="n">
        <v>137962</v>
      </c>
      <c r="P13" s="7" t="n">
        <v>46174</v>
      </c>
      <c r="S13" s="7" t="n">
        <v>9</v>
      </c>
      <c r="T13" s="7" t="n">
        <v>14</v>
      </c>
      <c r="U13" s="7" t="n">
        <v>13</v>
      </c>
      <c r="V13" s="9" t="n">
        <v>8.2747030979248546</v>
      </c>
    </row>
    <row r="14">
      <c r="A14" s="7" t="s">
        <v>75</v>
      </c>
      <c r="B14" s="7" t="s">
        <v>125</v>
      </c>
      <c r="C14" s="7" t="s">
        <v>50</v>
      </c>
      <c r="D14" s="7" t="s">
        <v>31</v>
      </c>
      <c r="E14" s="8" t="n">
        <v>45748</v>
      </c>
      <c r="F14" s="7" t="n">
        <v>1382615</v>
      </c>
      <c r="H14" s="7" t="n">
        <v>150366</v>
      </c>
      <c r="I14" s="7" t="n">
        <v>1232249</v>
      </c>
      <c r="L14" s="7"/>
      <c r="S14" s="7" t="n">
        <v>7</v>
      </c>
      <c r="T14" s="7" t="n">
        <v>15</v>
      </c>
      <c r="U14" s="7" t="n">
        <v>15</v>
      </c>
      <c r="V14" s="9" t="n">
        <v>8.1949975393373506</v>
      </c>
    </row>
    <row r="15">
      <c r="A15" s="7" t="s">
        <v>75</v>
      </c>
      <c r="B15" s="7" t="s">
        <v>125</v>
      </c>
      <c r="C15" s="7" t="s">
        <v>50</v>
      </c>
      <c r="D15" s="7" t="s">
        <v>31</v>
      </c>
      <c r="E15" s="8" t="n">
        <v>45778</v>
      </c>
      <c r="F15" s="7" t="n">
        <v>1232249</v>
      </c>
      <c r="H15" s="7" t="n">
        <v>150778</v>
      </c>
      <c r="I15" s="7" t="n">
        <v>1081471</v>
      </c>
      <c r="L15" s="7"/>
      <c r="S15" s="7" t="n">
        <v>7</v>
      </c>
      <c r="T15" s="7" t="n">
        <v>15</v>
      </c>
      <c r="U15" s="7" t="n">
        <v>15</v>
      </c>
      <c r="V15" s="9" t="n">
        <v>7.1726047566621123</v>
      </c>
    </row>
    <row r="16">
      <c r="A16" s="7" t="s">
        <v>75</v>
      </c>
      <c r="B16" s="7" t="s">
        <v>125</v>
      </c>
      <c r="C16" s="7" t="s">
        <v>50</v>
      </c>
      <c r="D16" s="7" t="s">
        <v>31</v>
      </c>
      <c r="E16" s="8" t="n">
        <v>45809</v>
      </c>
      <c r="F16" s="7" t="n">
        <v>1081471</v>
      </c>
      <c r="H16" s="7" t="n">
        <v>151190</v>
      </c>
      <c r="I16" s="7" t="n">
        <v>930281</v>
      </c>
      <c r="L16" s="7"/>
      <c r="S16" s="7" t="n">
        <v>7</v>
      </c>
      <c r="T16" s="7" t="n">
        <v>15</v>
      </c>
      <c r="U16" s="7" t="n">
        <v>15</v>
      </c>
      <c r="V16" s="9" t="n">
        <v>6.1530590647529602</v>
      </c>
    </row>
    <row r="17">
      <c r="A17" s="7" t="s">
        <v>75</v>
      </c>
      <c r="B17" s="7" t="s">
        <v>125</v>
      </c>
      <c r="C17" s="7" t="s">
        <v>50</v>
      </c>
      <c r="D17" s="7" t="s">
        <v>31</v>
      </c>
      <c r="E17" s="8" t="n">
        <v>45839</v>
      </c>
      <c r="F17" s="7" t="n">
        <v>930281</v>
      </c>
      <c r="H17" s="7" t="n">
        <v>151602</v>
      </c>
      <c r="I17" s="7" t="n">
        <v>778679</v>
      </c>
      <c r="L17" s="7"/>
      <c r="S17" s="7" t="n">
        <v>7</v>
      </c>
      <c r="T17" s="7" t="n">
        <v>15</v>
      </c>
      <c r="U17" s="7" t="n">
        <v>15</v>
      </c>
      <c r="V17" s="9" t="n">
        <v>5.136337251487447</v>
      </c>
    </row>
    <row r="18">
      <c r="A18" s="7" t="s">
        <v>75</v>
      </c>
      <c r="B18" s="7" t="s">
        <v>125</v>
      </c>
      <c r="C18" s="7" t="s">
        <v>50</v>
      </c>
      <c r="D18" s="7" t="s">
        <v>31</v>
      </c>
      <c r="E18" s="8" t="n">
        <v>45870</v>
      </c>
      <c r="F18" s="7" t="n">
        <v>778679</v>
      </c>
      <c r="H18" s="7" t="n">
        <v>152014</v>
      </c>
      <c r="I18" s="7" t="n">
        <v>626665</v>
      </c>
      <c r="L18" s="7"/>
      <c r="S18" s="7" t="n">
        <v>7</v>
      </c>
      <c r="T18" s="7" t="n">
        <v>15</v>
      </c>
      <c r="U18" s="7" t="n">
        <v>15</v>
      </c>
      <c r="V18" s="9" t="n">
        <v>4.1224163563882277</v>
      </c>
    </row>
    <row r="19">
      <c r="A19" s="7" t="s">
        <v>75</v>
      </c>
      <c r="B19" s="7" t="s">
        <v>125</v>
      </c>
      <c r="C19" s="7" t="s">
        <v>50</v>
      </c>
      <c r="D19" s="7" t="s">
        <v>31</v>
      </c>
      <c r="E19" s="8" t="n">
        <v>45901</v>
      </c>
      <c r="F19" s="7" t="n">
        <v>626665</v>
      </c>
      <c r="H19" s="7" t="n">
        <v>152426</v>
      </c>
      <c r="I19" s="7" t="n">
        <v>474239</v>
      </c>
      <c r="L19" s="7"/>
      <c r="S19" s="7" t="n">
        <v>7</v>
      </c>
      <c r="T19" s="7" t="n">
        <v>15</v>
      </c>
      <c r="U19" s="7" t="n">
        <v>15</v>
      </c>
      <c r="V19" s="9" t="n">
        <v>3.1112736672221275</v>
      </c>
    </row>
    <row r="20">
      <c r="A20" s="7" t="s">
        <v>75</v>
      </c>
      <c r="B20" s="7" t="s">
        <v>125</v>
      </c>
      <c r="C20" s="7" t="s">
        <v>50</v>
      </c>
      <c r="D20" s="7" t="s">
        <v>31</v>
      </c>
      <c r="E20" s="8" t="n">
        <v>45931</v>
      </c>
      <c r="F20" s="7" t="n">
        <v>474239</v>
      </c>
      <c r="H20" s="7" t="n">
        <v>152838</v>
      </c>
      <c r="I20" s="7" t="n">
        <v>2283300</v>
      </c>
      <c r="L20" s="7" t="s">
        <v>4</v>
      </c>
      <c r="M20" s="7" t="n">
        <v>1961899</v>
      </c>
      <c r="S20" s="7" t="n">
        <v>7</v>
      </c>
      <c r="T20" s="7" t="n">
        <v>15</v>
      </c>
      <c r="U20" s="7" t="n">
        <v>15</v>
      </c>
      <c r="V20" s="9" t="n">
        <v>14.939347544458839</v>
      </c>
    </row>
    <row r="21">
      <c r="A21" s="7" t="s">
        <v>75</v>
      </c>
      <c r="B21" s="7" t="s">
        <v>125</v>
      </c>
      <c r="C21" s="7" t="s">
        <v>50</v>
      </c>
      <c r="D21" s="7" t="s">
        <v>31</v>
      </c>
      <c r="E21" s="8" t="n">
        <v>45962</v>
      </c>
      <c r="F21" s="7" t="n">
        <v>2283300</v>
      </c>
      <c r="H21" s="7" t="n">
        <v>153250</v>
      </c>
      <c r="I21" s="7" t="n">
        <v>2130050</v>
      </c>
      <c r="L21" s="7"/>
      <c r="S21" s="7" t="n">
        <v>7</v>
      </c>
      <c r="T21" s="7" t="n">
        <v>15</v>
      </c>
      <c r="U21" s="7" t="n">
        <v>15</v>
      </c>
      <c r="V21" s="9" t="n">
        <v>13.899184339314845</v>
      </c>
    </row>
    <row r="22">
      <c r="A22" s="7" t="s">
        <v>75</v>
      </c>
      <c r="B22" s="7" t="s">
        <v>125</v>
      </c>
      <c r="C22" s="7" t="s">
        <v>50</v>
      </c>
      <c r="D22" s="7" t="s">
        <v>31</v>
      </c>
      <c r="E22" s="8" t="n">
        <v>45992</v>
      </c>
      <c r="F22" s="7" t="n">
        <v>2130050</v>
      </c>
      <c r="H22" s="7" t="n">
        <v>153662</v>
      </c>
      <c r="I22" s="7" t="n">
        <v>1976388</v>
      </c>
      <c r="L22" s="7"/>
      <c r="S22" s="7" t="n">
        <v>7</v>
      </c>
      <c r="T22" s="7" t="n">
        <v>15</v>
      </c>
      <c r="U22" s="7" t="n">
        <v>15</v>
      </c>
      <c r="V22" s="9" t="n">
        <v>12.861917715505459</v>
      </c>
    </row>
    <row r="23">
      <c r="A23" s="7" t="s">
        <v>75</v>
      </c>
      <c r="B23" s="7" t="s">
        <v>125</v>
      </c>
      <c r="C23" s="7" t="s">
        <v>50</v>
      </c>
      <c r="D23" s="7" t="s">
        <v>31</v>
      </c>
      <c r="E23" s="8" t="n">
        <v>46023</v>
      </c>
      <c r="F23" s="7" t="n">
        <v>1976388</v>
      </c>
      <c r="H23" s="7" t="n">
        <v>154074</v>
      </c>
      <c r="I23" s="7" t="n">
        <v>1822314</v>
      </c>
      <c r="L23" s="7"/>
      <c r="S23" s="7" t="n">
        <v>7</v>
      </c>
      <c r="T23" s="7" t="n">
        <v>15</v>
      </c>
      <c r="U23" s="7" t="n">
        <v>15</v>
      </c>
      <c r="V23" s="9" t="n">
        <v>11.827524436309826</v>
      </c>
    </row>
    <row r="24">
      <c r="A24" s="7" t="s">
        <v>75</v>
      </c>
      <c r="B24" s="7" t="s">
        <v>125</v>
      </c>
      <c r="C24" s="7" t="s">
        <v>50</v>
      </c>
      <c r="D24" s="7" t="s">
        <v>31</v>
      </c>
      <c r="E24" s="8" t="n">
        <v>46054</v>
      </c>
      <c r="F24" s="7" t="n">
        <v>1822314</v>
      </c>
      <c r="H24" s="7" t="n">
        <v>154486</v>
      </c>
      <c r="I24" s="7" t="n">
        <v>1667828</v>
      </c>
      <c r="L24" s="7"/>
      <c r="S24" s="7" t="n">
        <v>7</v>
      </c>
      <c r="T24" s="7" t="n">
        <v>15</v>
      </c>
      <c r="U24" s="7" t="n">
        <v>15</v>
      </c>
      <c r="V24" s="9" t="n">
        <v>10.795981512887899</v>
      </c>
    </row>
    <row r="25">
      <c r="A25" s="7" t="s">
        <v>75</v>
      </c>
      <c r="B25" s="7" t="s">
        <v>125</v>
      </c>
      <c r="C25" s="7" t="s">
        <v>50</v>
      </c>
      <c r="D25" s="7" t="s">
        <v>31</v>
      </c>
      <c r="E25" s="8" t="n">
        <v>46082</v>
      </c>
      <c r="F25" s="7" t="n">
        <v>1667828</v>
      </c>
      <c r="H25" s="7" t="n">
        <v>154898</v>
      </c>
      <c r="I25" s="7" t="n">
        <v>1512930</v>
      </c>
      <c r="L25" s="7"/>
      <c r="S25" s="7" t="n">
        <v>7</v>
      </c>
      <c r="T25" s="7" t="n">
        <v>15</v>
      </c>
      <c r="U25" s="7" t="n">
        <v>15</v>
      </c>
      <c r="V25" s="9" t="n">
        <v>9.7672662009838724</v>
      </c>
    </row>
    <row r="26">
      <c r="A26" s="7" t="s">
        <v>75</v>
      </c>
      <c r="B26" s="7" t="s">
        <v>125</v>
      </c>
      <c r="C26" s="7" t="s">
        <v>50</v>
      </c>
      <c r="D26" s="7" t="s">
        <v>31</v>
      </c>
      <c r="E26" s="8" t="n">
        <v>46113</v>
      </c>
      <c r="F26" s="7" t="n">
        <v>1512930</v>
      </c>
      <c r="H26" s="7" t="n">
        <v>155310</v>
      </c>
      <c r="I26" s="7" t="n">
        <v>1357620</v>
      </c>
      <c r="L26" s="7"/>
      <c r="S26" s="7" t="n">
        <v>7</v>
      </c>
      <c r="T26" s="7" t="n">
        <v>15</v>
      </c>
      <c r="U26" s="7" t="n">
        <v>15</v>
      </c>
      <c r="V26" s="9" t="n">
        <v>8.7413559976820547</v>
      </c>
    </row>
    <row r="27">
      <c r="A27" s="7" t="s">
        <v>75</v>
      </c>
      <c r="B27" s="7" t="s">
        <v>125</v>
      </c>
      <c r="C27" s="7" t="s">
        <v>50</v>
      </c>
      <c r="D27" s="7" t="s">
        <v>31</v>
      </c>
      <c r="E27" s="8" t="n">
        <v>46143</v>
      </c>
      <c r="F27" s="7" t="n">
        <v>1357620</v>
      </c>
      <c r="H27" s="7" t="n">
        <v>155722</v>
      </c>
      <c r="I27" s="7" t="n">
        <v>1201898</v>
      </c>
      <c r="L27" s="7"/>
      <c r="S27" s="7" t="n">
        <v>7</v>
      </c>
      <c r="T27" s="7" t="n">
        <v>15</v>
      </c>
      <c r="U27" s="7" t="n">
        <v>15</v>
      </c>
      <c r="V27" s="9" t="n">
        <v>7.7182286382142538</v>
      </c>
    </row>
    <row r="28">
      <c r="A28" s="7" t="s">
        <v>75</v>
      </c>
      <c r="B28" s="7" t="s">
        <v>125</v>
      </c>
      <c r="C28" s="7" t="s">
        <v>50</v>
      </c>
      <c r="D28" s="7" t="s">
        <v>31</v>
      </c>
      <c r="E28" s="8" t="n">
        <v>46174</v>
      </c>
      <c r="F28" s="7" t="n">
        <v>1201898</v>
      </c>
      <c r="H28" s="7" t="n">
        <v>156134</v>
      </c>
      <c r="I28" s="7" t="n">
        <v>2332740</v>
      </c>
      <c r="L28" s="7" t="s">
        <v>4</v>
      </c>
      <c r="M28" s="7" t="n">
        <v>1286976</v>
      </c>
      <c r="S28" s="7" t="n">
        <v>7</v>
      </c>
      <c r="T28" s="7" t="n">
        <v>15</v>
      </c>
      <c r="U28" s="7" t="n">
        <v>15</v>
      </c>
      <c r="V28" s="9" t="n">
        <v>14.940627922169419</v>
      </c>
    </row>
    <row r="29">
      <c r="A29" s="7" t="s">
        <v>75</v>
      </c>
      <c r="B29" s="7" t="s">
        <v>125</v>
      </c>
      <c r="C29" s="7" t="s">
        <v>50</v>
      </c>
      <c r="D29" s="7" t="s">
        <v>31</v>
      </c>
      <c r="E29" s="8" t="n">
        <v>46204</v>
      </c>
      <c r="F29" s="7" t="n">
        <v>2332740</v>
      </c>
      <c r="H29" s="7" t="n">
        <v>156546</v>
      </c>
      <c r="I29" s="7" t="n">
        <v>2176194</v>
      </c>
      <c r="L29" s="7"/>
      <c r="S29" s="7" t="n">
        <v>7</v>
      </c>
      <c r="T29" s="7" t="n">
        <v>15</v>
      </c>
      <c r="U29" s="7" t="n">
        <v>15</v>
      </c>
      <c r="V29" s="9" t="n">
        <v>13.901306964087233</v>
      </c>
    </row>
    <row r="30">
      <c r="A30" s="7" t="s">
        <v>75</v>
      </c>
      <c r="B30" s="7" t="s">
        <v>125</v>
      </c>
      <c r="C30" s="7" t="s">
        <v>50</v>
      </c>
      <c r="D30" s="7" t="s">
        <v>31</v>
      </c>
      <c r="E30" s="8" t="n">
        <v>46235</v>
      </c>
      <c r="F30" s="7" t="n">
        <v>2176194</v>
      </c>
      <c r="H30" s="7" t="n">
        <v>156958</v>
      </c>
      <c r="I30" s="7" t="n">
        <v>2019236</v>
      </c>
      <c r="L30" s="7"/>
      <c r="S30" s="7" t="n">
        <v>7</v>
      </c>
      <c r="T30" s="7" t="n">
        <v>15</v>
      </c>
      <c r="U30" s="7" t="n">
        <v>15</v>
      </c>
      <c r="V30" s="9" t="n">
        <v>12.864817339670486</v>
      </c>
    </row>
    <row r="31">
      <c r="A31" s="7" t="s">
        <v>75</v>
      </c>
      <c r="B31" s="7" t="s">
        <v>125</v>
      </c>
      <c r="C31" s="7" t="s">
        <v>50</v>
      </c>
      <c r="D31" s="7" t="s">
        <v>31</v>
      </c>
      <c r="E31" s="8" t="n">
        <v>46266</v>
      </c>
      <c r="F31" s="7" t="n">
        <v>2019236</v>
      </c>
      <c r="H31" s="7" t="n">
        <v>157370</v>
      </c>
      <c r="I31" s="7" t="n">
        <v>1861866</v>
      </c>
      <c r="L31" s="7"/>
      <c r="S31" s="7" t="n">
        <v>7</v>
      </c>
      <c r="T31" s="7" t="n">
        <v>15</v>
      </c>
      <c r="U31" s="7" t="n">
        <v>15</v>
      </c>
      <c r="V31" s="9" t="n">
        <v>11.831136811336341</v>
      </c>
    </row>
    <row r="32">
      <c r="A32" s="7" t="s">
        <v>76</v>
      </c>
      <c r="B32" s="7" t="s">
        <v>125</v>
      </c>
      <c r="C32" s="7" t="s">
        <v>50</v>
      </c>
      <c r="D32" s="7" t="s">
        <v>31</v>
      </c>
      <c r="E32" s="8" t="n">
        <v>45748</v>
      </c>
      <c r="F32" s="7" t="n">
        <v>2715813</v>
      </c>
      <c r="H32" s="7" t="n">
        <v>161418</v>
      </c>
      <c r="I32" s="7" t="n">
        <v>2554395</v>
      </c>
      <c r="L32" s="7"/>
      <c r="S32" s="7" t="n">
        <v>3</v>
      </c>
      <c r="T32" s="7" t="n">
        <v>6</v>
      </c>
      <c r="U32" s="7" t="n">
        <v>6</v>
      </c>
      <c r="V32" s="9" t="n">
        <v>15.824722149946103</v>
      </c>
    </row>
    <row r="33">
      <c r="A33" s="7" t="s">
        <v>76</v>
      </c>
      <c r="B33" s="7" t="s">
        <v>125</v>
      </c>
      <c r="C33" s="7" t="s">
        <v>50</v>
      </c>
      <c r="D33" s="7" t="s">
        <v>31</v>
      </c>
      <c r="E33" s="8" t="n">
        <v>45778</v>
      </c>
      <c r="F33" s="7" t="n">
        <v>2554395</v>
      </c>
      <c r="H33" s="7" t="n">
        <v>161418</v>
      </c>
      <c r="I33" s="7" t="n">
        <v>2392977</v>
      </c>
      <c r="L33" s="7"/>
      <c r="S33" s="7" t="n">
        <v>3</v>
      </c>
      <c r="T33" s="7" t="n">
        <v>6</v>
      </c>
      <c r="U33" s="7" t="n">
        <v>6</v>
      </c>
      <c r="V33" s="9" t="n">
        <v>14.824722149946103</v>
      </c>
    </row>
    <row r="34">
      <c r="A34" s="7" t="s">
        <v>76</v>
      </c>
      <c r="B34" s="7" t="s">
        <v>125</v>
      </c>
      <c r="C34" s="7" t="s">
        <v>50</v>
      </c>
      <c r="D34" s="7" t="s">
        <v>31</v>
      </c>
      <c r="E34" s="8" t="n">
        <v>45809</v>
      </c>
      <c r="F34" s="7" t="n">
        <v>2392977</v>
      </c>
      <c r="H34" s="7" t="n">
        <v>161418</v>
      </c>
      <c r="I34" s="7" t="n">
        <v>2231559</v>
      </c>
      <c r="L34" s="7"/>
      <c r="S34" s="7" t="n">
        <v>3</v>
      </c>
      <c r="T34" s="7" t="n">
        <v>6</v>
      </c>
      <c r="U34" s="7" t="n">
        <v>6</v>
      </c>
      <c r="V34" s="9" t="n">
        <v>13.824722149946103</v>
      </c>
    </row>
    <row r="35">
      <c r="A35" s="7" t="s">
        <v>76</v>
      </c>
      <c r="B35" s="7" t="s">
        <v>125</v>
      </c>
      <c r="C35" s="7" t="s">
        <v>50</v>
      </c>
      <c r="D35" s="7" t="s">
        <v>31</v>
      </c>
      <c r="E35" s="8" t="n">
        <v>45839</v>
      </c>
      <c r="F35" s="7" t="n">
        <v>2231559</v>
      </c>
      <c r="H35" s="7" t="n">
        <v>161418</v>
      </c>
      <c r="I35" s="7" t="n">
        <v>2070141</v>
      </c>
      <c r="L35" s="7"/>
      <c r="S35" s="7" t="n">
        <v>3</v>
      </c>
      <c r="T35" s="7" t="n">
        <v>6</v>
      </c>
      <c r="U35" s="7" t="n">
        <v>6</v>
      </c>
      <c r="V35" s="9" t="n">
        <v>12.824722149946103</v>
      </c>
    </row>
    <row r="36">
      <c r="A36" s="7" t="s">
        <v>76</v>
      </c>
      <c r="B36" s="7" t="s">
        <v>125</v>
      </c>
      <c r="C36" s="7" t="s">
        <v>50</v>
      </c>
      <c r="D36" s="7" t="s">
        <v>31</v>
      </c>
      <c r="E36" s="8" t="n">
        <v>45870</v>
      </c>
      <c r="F36" s="7" t="n">
        <v>2070141</v>
      </c>
      <c r="H36" s="7" t="n">
        <v>161418</v>
      </c>
      <c r="I36" s="7" t="n">
        <v>1908723</v>
      </c>
      <c r="L36" s="7"/>
      <c r="S36" s="7" t="n">
        <v>3</v>
      </c>
      <c r="T36" s="7" t="n">
        <v>6</v>
      </c>
      <c r="U36" s="7" t="n">
        <v>6</v>
      </c>
      <c r="V36" s="9" t="n">
        <v>11.824722149946103</v>
      </c>
    </row>
    <row r="37">
      <c r="A37" s="7" t="s">
        <v>76</v>
      </c>
      <c r="B37" s="7" t="s">
        <v>125</v>
      </c>
      <c r="C37" s="7" t="s">
        <v>50</v>
      </c>
      <c r="D37" s="7" t="s">
        <v>31</v>
      </c>
      <c r="E37" s="8" t="n">
        <v>45901</v>
      </c>
      <c r="F37" s="7" t="n">
        <v>1908723</v>
      </c>
      <c r="H37" s="7" t="n">
        <v>161418</v>
      </c>
      <c r="I37" s="7" t="n">
        <v>1747305</v>
      </c>
      <c r="L37" s="7"/>
      <c r="S37" s="7" t="n">
        <v>3</v>
      </c>
      <c r="T37" s="7" t="n">
        <v>6</v>
      </c>
      <c r="U37" s="7" t="n">
        <v>6</v>
      </c>
      <c r="V37" s="9" t="n">
        <v>10.824722149946103</v>
      </c>
    </row>
    <row r="38">
      <c r="A38" s="7" t="s">
        <v>76</v>
      </c>
      <c r="B38" s="7" t="s">
        <v>125</v>
      </c>
      <c r="C38" s="7" t="s">
        <v>50</v>
      </c>
      <c r="D38" s="7" t="s">
        <v>31</v>
      </c>
      <c r="E38" s="8" t="n">
        <v>45931</v>
      </c>
      <c r="F38" s="7" t="n">
        <v>1747305</v>
      </c>
      <c r="H38" s="7" t="n">
        <v>161418</v>
      </c>
      <c r="I38" s="7" t="n">
        <v>1585887</v>
      </c>
      <c r="L38" s="7"/>
      <c r="S38" s="7" t="n">
        <v>3</v>
      </c>
      <c r="T38" s="7" t="n">
        <v>6</v>
      </c>
      <c r="U38" s="7" t="n">
        <v>6</v>
      </c>
      <c r="V38" s="9" t="n">
        <v>9.824722149946103</v>
      </c>
    </row>
    <row r="39">
      <c r="A39" s="7" t="s">
        <v>76</v>
      </c>
      <c r="B39" s="7" t="s">
        <v>125</v>
      </c>
      <c r="C39" s="7" t="s">
        <v>50</v>
      </c>
      <c r="D39" s="7" t="s">
        <v>31</v>
      </c>
      <c r="E39" s="8" t="n">
        <v>45962</v>
      </c>
      <c r="F39" s="7" t="n">
        <v>1585887</v>
      </c>
      <c r="H39" s="7" t="n">
        <v>161418</v>
      </c>
      <c r="I39" s="7" t="n">
        <v>1424469</v>
      </c>
      <c r="L39" s="7"/>
      <c r="S39" s="7" t="n">
        <v>3</v>
      </c>
      <c r="T39" s="7" t="n">
        <v>6</v>
      </c>
      <c r="U39" s="7" t="n">
        <v>6</v>
      </c>
      <c r="V39" s="9" t="n">
        <v>8.824722149946103</v>
      </c>
    </row>
    <row r="40">
      <c r="A40" s="7" t="s">
        <v>76</v>
      </c>
      <c r="B40" s="7" t="s">
        <v>125</v>
      </c>
      <c r="C40" s="7" t="s">
        <v>50</v>
      </c>
      <c r="D40" s="7" t="s">
        <v>31</v>
      </c>
      <c r="E40" s="8" t="n">
        <v>45992</v>
      </c>
      <c r="F40" s="7" t="n">
        <v>1424469</v>
      </c>
      <c r="H40" s="7" t="n">
        <v>161418</v>
      </c>
      <c r="I40" s="7" t="n">
        <v>1263051</v>
      </c>
      <c r="L40" s="7"/>
      <c r="S40" s="7" t="n">
        <v>3</v>
      </c>
      <c r="T40" s="7" t="n">
        <v>6</v>
      </c>
      <c r="U40" s="7" t="n">
        <v>6</v>
      </c>
      <c r="V40" s="9" t="n">
        <v>7.824722149946103</v>
      </c>
    </row>
    <row r="41">
      <c r="A41" s="7" t="s">
        <v>76</v>
      </c>
      <c r="B41" s="7" t="s">
        <v>125</v>
      </c>
      <c r="C41" s="7" t="s">
        <v>50</v>
      </c>
      <c r="D41" s="7" t="s">
        <v>31</v>
      </c>
      <c r="E41" s="8" t="n">
        <v>46023</v>
      </c>
      <c r="F41" s="7" t="n">
        <v>1263051</v>
      </c>
      <c r="H41" s="7" t="n">
        <v>104925</v>
      </c>
      <c r="I41" s="7" t="n">
        <v>1158126</v>
      </c>
      <c r="L41" s="7"/>
      <c r="S41" s="7" t="n">
        <v>3</v>
      </c>
      <c r="T41" s="7" t="n">
        <v>6</v>
      </c>
      <c r="U41" s="7" t="n">
        <v>6</v>
      </c>
      <c r="V41" s="9" t="n">
        <v>11.037655468191565</v>
      </c>
    </row>
    <row r="42">
      <c r="A42" s="7" t="s">
        <v>76</v>
      </c>
      <c r="B42" s="7" t="s">
        <v>125</v>
      </c>
      <c r="C42" s="7" t="s">
        <v>50</v>
      </c>
      <c r="D42" s="7" t="s">
        <v>31</v>
      </c>
      <c r="E42" s="8" t="n">
        <v>46054</v>
      </c>
      <c r="F42" s="7" t="n">
        <v>1158126</v>
      </c>
      <c r="H42" s="7" t="n">
        <v>104925</v>
      </c>
      <c r="I42" s="7" t="n">
        <v>1053201</v>
      </c>
      <c r="L42" s="7"/>
      <c r="S42" s="7" t="n">
        <v>3</v>
      </c>
      <c r="T42" s="7" t="n">
        <v>6</v>
      </c>
      <c r="U42" s="7" t="n">
        <v>6</v>
      </c>
      <c r="V42" s="9" t="n">
        <v>10.037655468191565</v>
      </c>
    </row>
    <row r="43">
      <c r="A43" s="7" t="s">
        <v>76</v>
      </c>
      <c r="B43" s="7" t="s">
        <v>125</v>
      </c>
      <c r="C43" s="7" t="s">
        <v>50</v>
      </c>
      <c r="D43" s="7" t="s">
        <v>31</v>
      </c>
      <c r="E43" s="8" t="n">
        <v>46082</v>
      </c>
      <c r="F43" s="7" t="n">
        <v>1053201</v>
      </c>
      <c r="H43" s="7" t="n">
        <v>104925</v>
      </c>
      <c r="I43" s="7" t="n">
        <v>948276</v>
      </c>
      <c r="L43" s="7"/>
      <c r="S43" s="7" t="n">
        <v>3</v>
      </c>
      <c r="T43" s="7" t="n">
        <v>6</v>
      </c>
      <c r="U43" s="7" t="n">
        <v>6</v>
      </c>
      <c r="V43" s="9" t="n">
        <v>9.0376554681915646</v>
      </c>
    </row>
    <row r="44">
      <c r="A44" s="7" t="s">
        <v>76</v>
      </c>
      <c r="B44" s="7" t="s">
        <v>125</v>
      </c>
      <c r="C44" s="7" t="s">
        <v>50</v>
      </c>
      <c r="D44" s="7" t="s">
        <v>31</v>
      </c>
      <c r="E44" s="8" t="n">
        <v>46113</v>
      </c>
      <c r="F44" s="7" t="n">
        <v>948276</v>
      </c>
      <c r="H44" s="7" t="n">
        <v>104925</v>
      </c>
      <c r="I44" s="7" t="n">
        <v>843351</v>
      </c>
      <c r="L44" s="7"/>
      <c r="S44" s="7" t="n">
        <v>3</v>
      </c>
      <c r="T44" s="7" t="n">
        <v>6</v>
      </c>
      <c r="U44" s="7" t="n">
        <v>6</v>
      </c>
      <c r="V44" s="9" t="n">
        <v>8.0376554681915646</v>
      </c>
    </row>
    <row r="45">
      <c r="A45" s="7" t="s">
        <v>76</v>
      </c>
      <c r="B45" s="7" t="s">
        <v>125</v>
      </c>
      <c r="C45" s="7" t="s">
        <v>50</v>
      </c>
      <c r="D45" s="7" t="s">
        <v>31</v>
      </c>
      <c r="E45" s="8" t="n">
        <v>46143</v>
      </c>
      <c r="F45" s="7" t="n">
        <v>843351</v>
      </c>
      <c r="H45" s="7" t="n">
        <v>104925</v>
      </c>
      <c r="I45" s="7" t="n">
        <v>738426</v>
      </c>
      <c r="L45" s="7"/>
      <c r="S45" s="7" t="n">
        <v>3</v>
      </c>
      <c r="T45" s="7" t="n">
        <v>6</v>
      </c>
      <c r="U45" s="7" t="n">
        <v>6</v>
      </c>
      <c r="V45" s="9" t="n">
        <v>7.0376554681915655</v>
      </c>
    </row>
    <row r="46">
      <c r="A46" s="7" t="s">
        <v>76</v>
      </c>
      <c r="B46" s="7" t="s">
        <v>125</v>
      </c>
      <c r="C46" s="7" t="s">
        <v>50</v>
      </c>
      <c r="D46" s="7" t="s">
        <v>31</v>
      </c>
      <c r="E46" s="8" t="n">
        <v>46174</v>
      </c>
      <c r="F46" s="7" t="n">
        <v>738426</v>
      </c>
      <c r="H46" s="7" t="n">
        <v>104925</v>
      </c>
      <c r="I46" s="7" t="n">
        <v>633501</v>
      </c>
      <c r="L46" s="7"/>
      <c r="S46" s="7" t="n">
        <v>3</v>
      </c>
      <c r="T46" s="7" t="n">
        <v>6</v>
      </c>
      <c r="U46" s="7" t="n">
        <v>6</v>
      </c>
      <c r="V46" s="9" t="n">
        <v>6.0376554681915655</v>
      </c>
    </row>
    <row r="47">
      <c r="A47" s="7" t="s">
        <v>76</v>
      </c>
      <c r="B47" s="7" t="s">
        <v>125</v>
      </c>
      <c r="C47" s="7" t="s">
        <v>50</v>
      </c>
      <c r="D47" s="7" t="s">
        <v>31</v>
      </c>
      <c r="E47" s="8" t="n">
        <v>46204</v>
      </c>
      <c r="F47" s="7" t="n">
        <v>633501</v>
      </c>
      <c r="H47" s="7" t="n">
        <v>104925</v>
      </c>
      <c r="I47" s="7" t="n">
        <v>528576</v>
      </c>
      <c r="L47" s="7"/>
      <c r="S47" s="7" t="n">
        <v>3</v>
      </c>
      <c r="T47" s="7" t="n">
        <v>6</v>
      </c>
      <c r="U47" s="7" t="n">
        <v>6</v>
      </c>
      <c r="V47" s="9" t="n">
        <v>5.0376554681915655</v>
      </c>
    </row>
    <row r="48">
      <c r="A48" s="7" t="s">
        <v>76</v>
      </c>
      <c r="B48" s="7" t="s">
        <v>125</v>
      </c>
      <c r="C48" s="7" t="s">
        <v>50</v>
      </c>
      <c r="D48" s="7" t="s">
        <v>31</v>
      </c>
      <c r="E48" s="8" t="n">
        <v>46235</v>
      </c>
      <c r="F48" s="7" t="n">
        <v>528576</v>
      </c>
      <c r="H48" s="7" t="n">
        <v>104925</v>
      </c>
      <c r="I48" s="7" t="n">
        <v>423651</v>
      </c>
      <c r="L48" s="7"/>
      <c r="S48" s="7" t="n">
        <v>3</v>
      </c>
      <c r="T48" s="7" t="n">
        <v>6</v>
      </c>
      <c r="U48" s="7" t="n">
        <v>6</v>
      </c>
      <c r="V48" s="9" t="n">
        <v>4.0376554681915655</v>
      </c>
    </row>
    <row r="49">
      <c r="A49" s="7" t="s">
        <v>76</v>
      </c>
      <c r="B49" s="7" t="s">
        <v>125</v>
      </c>
      <c r="C49" s="7" t="s">
        <v>50</v>
      </c>
      <c r="D49" s="7" t="s">
        <v>31</v>
      </c>
      <c r="E49" s="8" t="n">
        <v>46266</v>
      </c>
      <c r="F49" s="7" t="n">
        <v>423651</v>
      </c>
      <c r="H49" s="7" t="n">
        <v>104925</v>
      </c>
      <c r="I49" s="7" t="n">
        <v>318726</v>
      </c>
      <c r="L49" s="7"/>
      <c r="S49" s="7" t="n">
        <v>3</v>
      </c>
      <c r="T49" s="7" t="n">
        <v>6</v>
      </c>
      <c r="U49" s="7" t="n">
        <v>6</v>
      </c>
      <c r="V49" s="9" t="n">
        <v>3.0376554681915655</v>
      </c>
    </row>
    <row r="50">
      <c r="A50" s="7" t="s">
        <v>76</v>
      </c>
      <c r="B50" s="7" t="s">
        <v>125</v>
      </c>
      <c r="C50" s="7" t="s">
        <v>50</v>
      </c>
      <c r="D50" s="7" t="s">
        <v>31</v>
      </c>
      <c r="E50" s="8" t="n">
        <v>46296</v>
      </c>
      <c r="F50" s="7" t="n">
        <v>318726</v>
      </c>
      <c r="H50" s="7" t="n">
        <v>104925</v>
      </c>
      <c r="I50" s="7" t="n">
        <v>213801</v>
      </c>
      <c r="L50" s="7"/>
      <c r="S50" s="7" t="n">
        <v>3</v>
      </c>
      <c r="T50" s="7" t="n">
        <v>6</v>
      </c>
      <c r="U50" s="7" t="n">
        <v>6</v>
      </c>
      <c r="V50" s="9" t="n">
        <v>2.0376554681915655</v>
      </c>
    </row>
    <row r="51">
      <c r="A51" s="7" t="s">
        <v>76</v>
      </c>
      <c r="B51" s="7" t="s">
        <v>125</v>
      </c>
      <c r="C51" s="7" t="s">
        <v>50</v>
      </c>
      <c r="D51" s="7" t="s">
        <v>31</v>
      </c>
      <c r="E51" s="8" t="n">
        <v>46327</v>
      </c>
      <c r="F51" s="7" t="n">
        <v>213801</v>
      </c>
      <c r="H51" s="7" t="n">
        <v>104925</v>
      </c>
      <c r="I51" s="7" t="n">
        <v>108876</v>
      </c>
      <c r="L51" s="7"/>
      <c r="S51" s="7" t="n">
        <v>3</v>
      </c>
      <c r="T51" s="7" t="n">
        <v>6</v>
      </c>
      <c r="U51" s="7" t="n">
        <v>6</v>
      </c>
      <c r="V51" s="9" t="n">
        <v>1.0376554681915655</v>
      </c>
    </row>
    <row r="52">
      <c r="A52" s="7" t="s">
        <v>76</v>
      </c>
      <c r="B52" s="7" t="s">
        <v>125</v>
      </c>
      <c r="C52" s="7" t="s">
        <v>50</v>
      </c>
      <c r="D52" s="7" t="s">
        <v>31</v>
      </c>
      <c r="E52" s="8" t="n">
        <v>46357</v>
      </c>
      <c r="F52" s="7" t="n">
        <v>108876</v>
      </c>
      <c r="H52" s="7" t="n">
        <v>104925</v>
      </c>
      <c r="I52" s="7" t="n">
        <v>3951</v>
      </c>
      <c r="L52" s="7"/>
      <c r="S52" s="7" t="n">
        <v>3</v>
      </c>
      <c r="T52" s="7" t="n">
        <v>6</v>
      </c>
      <c r="U52" s="7" t="n">
        <v>6</v>
      </c>
      <c r="V52" s="9" t="n">
        <v>3.7655468191565407E-2</v>
      </c>
    </row>
    <row r="53">
      <c r="A53" s="7" t="s">
        <v>72</v>
      </c>
      <c r="B53" s="7" t="s">
        <v>125</v>
      </c>
      <c r="C53" s="7" t="s">
        <v>50</v>
      </c>
      <c r="D53" s="7" t="s">
        <v>31</v>
      </c>
      <c r="E53" s="8" t="n">
        <v>45689</v>
      </c>
      <c r="F53" s="7" t="n">
        <v>446096</v>
      </c>
      <c r="H53" s="7" t="n">
        <v>43147</v>
      </c>
      <c r="I53" s="7" t="n">
        <v>477685</v>
      </c>
      <c r="J53" s="7" t="s">
        <v>51</v>
      </c>
      <c r="K53" s="7" t="s">
        <v>51</v>
      </c>
      <c r="L53" s="7" t="s">
        <v>153</v>
      </c>
      <c r="M53" s="7" t="n">
        <v>74736</v>
      </c>
      <c r="O53" s="7" t="n">
        <v>21763</v>
      </c>
      <c r="S53" s="7" t="n">
        <v>6</v>
      </c>
      <c r="T53" s="7" t="n">
        <v>12</v>
      </c>
      <c r="U53" s="7" t="n">
        <v>12</v>
      </c>
      <c r="V53" s="9" t="n">
        <v>11.071105754745405</v>
      </c>
    </row>
    <row r="54">
      <c r="A54" s="7" t="s">
        <v>72</v>
      </c>
      <c r="B54" s="7" t="s">
        <v>125</v>
      </c>
      <c r="C54" s="7" t="s">
        <v>50</v>
      </c>
      <c r="D54" s="7" t="s">
        <v>31</v>
      </c>
      <c r="E54" s="8" t="n">
        <v>45717</v>
      </c>
      <c r="F54" s="7" t="n">
        <v>477685</v>
      </c>
      <c r="H54" s="7" t="n">
        <v>43147</v>
      </c>
      <c r="I54" s="7" t="n">
        <v>434538</v>
      </c>
      <c r="L54" s="7"/>
      <c r="S54" s="7" t="n">
        <v>6</v>
      </c>
      <c r="T54" s="7" t="n">
        <v>12</v>
      </c>
      <c r="U54" s="7" t="n">
        <v>12</v>
      </c>
      <c r="V54" s="9" t="n">
        <v>10.071105754745405</v>
      </c>
    </row>
    <row r="55">
      <c r="A55" s="7" t="s">
        <v>72</v>
      </c>
      <c r="B55" s="7" t="s">
        <v>125</v>
      </c>
      <c r="C55" s="7" t="s">
        <v>50</v>
      </c>
      <c r="D55" s="7" t="s">
        <v>31</v>
      </c>
      <c r="E55" s="8" t="n">
        <v>45748</v>
      </c>
      <c r="F55" s="7" t="n">
        <v>434538</v>
      </c>
      <c r="H55" s="7" t="n">
        <v>43147</v>
      </c>
      <c r="I55" s="7" t="n">
        <v>391391</v>
      </c>
      <c r="L55" s="7"/>
      <c r="S55" s="7" t="n">
        <v>6</v>
      </c>
      <c r="T55" s="7" t="n">
        <v>12</v>
      </c>
      <c r="U55" s="7" t="n">
        <v>12</v>
      </c>
      <c r="V55" s="9" t="n">
        <v>9.071105754745405</v>
      </c>
    </row>
    <row r="56">
      <c r="A56" s="7" t="s">
        <v>72</v>
      </c>
      <c r="B56" s="7" t="s">
        <v>125</v>
      </c>
      <c r="C56" s="7" t="s">
        <v>50</v>
      </c>
      <c r="D56" s="7" t="s">
        <v>31</v>
      </c>
      <c r="E56" s="8" t="n">
        <v>45778</v>
      </c>
      <c r="F56" s="7" t="n">
        <v>391391</v>
      </c>
      <c r="H56" s="7" t="n">
        <v>43147</v>
      </c>
      <c r="I56" s="7" t="n">
        <v>348244</v>
      </c>
      <c r="L56" s="7"/>
      <c r="S56" s="7" t="n">
        <v>6</v>
      </c>
      <c r="T56" s="7" t="n">
        <v>12</v>
      </c>
      <c r="U56" s="7" t="n">
        <v>12</v>
      </c>
      <c r="V56" s="9" t="n">
        <v>8.071105754745405</v>
      </c>
    </row>
    <row r="57">
      <c r="A57" s="7" t="s">
        <v>72</v>
      </c>
      <c r="B57" s="7" t="s">
        <v>125</v>
      </c>
      <c r="C57" s="7" t="s">
        <v>50</v>
      </c>
      <c r="D57" s="7" t="s">
        <v>31</v>
      </c>
      <c r="E57" s="8" t="n">
        <v>45809</v>
      </c>
      <c r="F57" s="7" t="n">
        <v>348244</v>
      </c>
      <c r="H57" s="7" t="n">
        <v>43147</v>
      </c>
      <c r="I57" s="7" t="n">
        <v>305097</v>
      </c>
      <c r="L57" s="7"/>
      <c r="S57" s="7" t="n">
        <v>6</v>
      </c>
      <c r="T57" s="7" t="n">
        <v>12</v>
      </c>
      <c r="U57" s="7" t="n">
        <v>12</v>
      </c>
      <c r="V57" s="9" t="n">
        <v>7.071105754745405</v>
      </c>
    </row>
    <row r="58">
      <c r="A58" s="7" t="s">
        <v>72</v>
      </c>
      <c r="B58" s="7" t="s">
        <v>125</v>
      </c>
      <c r="C58" s="7" t="s">
        <v>50</v>
      </c>
      <c r="D58" s="7" t="s">
        <v>31</v>
      </c>
      <c r="E58" s="8" t="n">
        <v>45839</v>
      </c>
      <c r="F58" s="7" t="n">
        <v>305097</v>
      </c>
      <c r="H58" s="7" t="n">
        <v>43147</v>
      </c>
      <c r="I58" s="7" t="n">
        <v>261950</v>
      </c>
      <c r="L58" s="7"/>
      <c r="S58" s="7" t="n">
        <v>6</v>
      </c>
      <c r="T58" s="7" t="n">
        <v>12</v>
      </c>
      <c r="U58" s="7" t="n">
        <v>12</v>
      </c>
      <c r="V58" s="9" t="n">
        <v>6.071105754745405</v>
      </c>
    </row>
    <row r="59">
      <c r="A59" s="7" t="s">
        <v>72</v>
      </c>
      <c r="B59" s="7" t="s">
        <v>125</v>
      </c>
      <c r="C59" s="7" t="s">
        <v>50</v>
      </c>
      <c r="D59" s="7" t="s">
        <v>31</v>
      </c>
      <c r="E59" s="8" t="n">
        <v>45870</v>
      </c>
      <c r="F59" s="7" t="n">
        <v>261950</v>
      </c>
      <c r="H59" s="7" t="n">
        <v>43147</v>
      </c>
      <c r="I59" s="7" t="n">
        <v>519187</v>
      </c>
      <c r="J59" s="7" t="s">
        <v>51</v>
      </c>
      <c r="K59" s="7" t="s">
        <v>51</v>
      </c>
      <c r="L59" s="7" t="s">
        <v>154</v>
      </c>
      <c r="M59" s="7" t="n">
        <v>300384</v>
      </c>
      <c r="O59" s="7" t="n">
        <v>87472</v>
      </c>
      <c r="S59" s="7" t="n">
        <v>6</v>
      </c>
      <c r="T59" s="7" t="n">
        <v>12</v>
      </c>
      <c r="U59" s="7" t="n">
        <v>12</v>
      </c>
      <c r="V59" s="9" t="n">
        <v>12.032980276728393</v>
      </c>
    </row>
    <row r="60">
      <c r="A60" s="7" t="s">
        <v>72</v>
      </c>
      <c r="B60" s="7" t="s">
        <v>125</v>
      </c>
      <c r="C60" s="7" t="s">
        <v>50</v>
      </c>
      <c r="D60" s="7" t="s">
        <v>31</v>
      </c>
      <c r="E60" s="8" t="n">
        <v>45901</v>
      </c>
      <c r="F60" s="7" t="n">
        <v>519187</v>
      </c>
      <c r="H60" s="7" t="n">
        <v>43147</v>
      </c>
      <c r="I60" s="7" t="n">
        <v>676632</v>
      </c>
      <c r="J60" s="7" t="s">
        <v>51</v>
      </c>
      <c r="K60" s="7" t="s">
        <v>51</v>
      </c>
      <c r="L60" s="7" t="s">
        <v>154</v>
      </c>
      <c r="M60" s="7" t="n">
        <v>200592</v>
      </c>
      <c r="O60" s="7" t="n">
        <v>58412</v>
      </c>
      <c r="S60" s="7" t="n">
        <v>6</v>
      </c>
      <c r="T60" s="7" t="n">
        <v>12</v>
      </c>
      <c r="U60" s="7" t="n">
        <v>12</v>
      </c>
      <c r="V60" s="9" t="n">
        <v>15.682017289730457</v>
      </c>
    </row>
    <row r="61">
      <c r="A61" s="7" t="s">
        <v>72</v>
      </c>
      <c r="B61" s="7" t="s">
        <v>125</v>
      </c>
      <c r="C61" s="7" t="s">
        <v>50</v>
      </c>
      <c r="D61" s="7" t="s">
        <v>31</v>
      </c>
      <c r="E61" s="8" t="n">
        <v>45931</v>
      </c>
      <c r="F61" s="7" t="n">
        <v>676632</v>
      </c>
      <c r="H61" s="7" t="n">
        <v>43147</v>
      </c>
      <c r="I61" s="7" t="n">
        <v>633485</v>
      </c>
      <c r="L61" s="7"/>
      <c r="S61" s="7" t="n">
        <v>6</v>
      </c>
      <c r="T61" s="7" t="n">
        <v>12</v>
      </c>
      <c r="U61" s="7" t="n">
        <v>12</v>
      </c>
      <c r="V61" s="9" t="n">
        <v>14.682017289730457</v>
      </c>
    </row>
    <row r="62">
      <c r="A62" s="7" t="s">
        <v>72</v>
      </c>
      <c r="B62" s="7" t="s">
        <v>125</v>
      </c>
      <c r="C62" s="7" t="s">
        <v>50</v>
      </c>
      <c r="D62" s="7" t="s">
        <v>31</v>
      </c>
      <c r="E62" s="8" t="n">
        <v>45962</v>
      </c>
      <c r="F62" s="7" t="n">
        <v>633485</v>
      </c>
      <c r="H62" s="7" t="n">
        <v>43147</v>
      </c>
      <c r="I62" s="7" t="n">
        <v>590338</v>
      </c>
      <c r="L62" s="7"/>
      <c r="S62" s="7" t="n">
        <v>6</v>
      </c>
      <c r="T62" s="7" t="n">
        <v>12</v>
      </c>
      <c r="U62" s="7" t="n">
        <v>12</v>
      </c>
      <c r="V62" s="9" t="n">
        <v>13.682017289730457</v>
      </c>
    </row>
    <row r="63">
      <c r="A63" s="7" t="s">
        <v>72</v>
      </c>
      <c r="B63" s="7" t="s">
        <v>125</v>
      </c>
      <c r="C63" s="7" t="s">
        <v>50</v>
      </c>
      <c r="D63" s="7" t="s">
        <v>31</v>
      </c>
      <c r="E63" s="8" t="n">
        <v>45992</v>
      </c>
      <c r="F63" s="7" t="n">
        <v>590338</v>
      </c>
      <c r="H63" s="7" t="n">
        <v>43147</v>
      </c>
      <c r="I63" s="7" t="n">
        <v>547191</v>
      </c>
      <c r="L63" s="7"/>
      <c r="S63" s="7" t="n">
        <v>6</v>
      </c>
      <c r="T63" s="7" t="n">
        <v>12</v>
      </c>
      <c r="U63" s="7" t="n">
        <v>12</v>
      </c>
      <c r="V63" s="9" t="n">
        <v>12.682017289730457</v>
      </c>
    </row>
    <row r="64">
      <c r="A64" s="7" t="s">
        <v>72</v>
      </c>
      <c r="B64" s="7" t="s">
        <v>125</v>
      </c>
      <c r="C64" s="7" t="s">
        <v>50</v>
      </c>
      <c r="D64" s="7" t="s">
        <v>31</v>
      </c>
      <c r="E64" s="8" t="n">
        <v>46023</v>
      </c>
      <c r="F64" s="7" t="n">
        <v>547191</v>
      </c>
      <c r="H64" s="7" t="n">
        <v>43147</v>
      </c>
      <c r="I64" s="7" t="n">
        <v>809715</v>
      </c>
      <c r="J64" s="7" t="s">
        <v>2</v>
      </c>
      <c r="K64" s="7" t="s">
        <v>2</v>
      </c>
      <c r="L64" s="7" t="s">
        <v>4</v>
      </c>
      <c r="M64" s="7" t="n">
        <v>305671</v>
      </c>
      <c r="O64" s="7" t="n">
        <v>89011</v>
      </c>
      <c r="P64" s="7" t="n">
        <v>46023</v>
      </c>
      <c r="S64" s="7" t="n">
        <v>6</v>
      </c>
      <c r="T64" s="7" t="n">
        <v>12</v>
      </c>
      <c r="U64" s="7" t="n">
        <v>12</v>
      </c>
      <c r="V64" s="9" t="n">
        <v>18.766426402762647</v>
      </c>
    </row>
    <row r="65">
      <c r="A65" s="7" t="s">
        <v>72</v>
      </c>
      <c r="B65" s="7" t="s">
        <v>125</v>
      </c>
      <c r="C65" s="7" t="s">
        <v>50</v>
      </c>
      <c r="D65" s="7" t="s">
        <v>31</v>
      </c>
      <c r="E65" s="8" t="n">
        <v>46054</v>
      </c>
      <c r="F65" s="7" t="n">
        <v>809715</v>
      </c>
      <c r="H65" s="7" t="n">
        <v>43147</v>
      </c>
      <c r="I65" s="7" t="n">
        <v>766568</v>
      </c>
      <c r="L65" s="7"/>
      <c r="S65" s="7" t="n">
        <v>6</v>
      </c>
      <c r="T65" s="7" t="n">
        <v>12</v>
      </c>
      <c r="U65" s="7" t="n">
        <v>12</v>
      </c>
      <c r="V65" s="9" t="n">
        <v>17.766426402762647</v>
      </c>
    </row>
    <row r="66">
      <c r="A66" s="7" t="s">
        <v>72</v>
      </c>
      <c r="B66" s="7" t="s">
        <v>125</v>
      </c>
      <c r="C66" s="7" t="s">
        <v>50</v>
      </c>
      <c r="D66" s="7" t="s">
        <v>31</v>
      </c>
      <c r="E66" s="8" t="n">
        <v>46082</v>
      </c>
      <c r="F66" s="7" t="n">
        <v>766568</v>
      </c>
      <c r="H66" s="7" t="n">
        <v>43147</v>
      </c>
      <c r="I66" s="7" t="n">
        <v>723421</v>
      </c>
      <c r="L66" s="7"/>
      <c r="S66" s="7" t="n">
        <v>6</v>
      </c>
      <c r="T66" s="7" t="n">
        <v>12</v>
      </c>
      <c r="U66" s="7" t="n">
        <v>12</v>
      </c>
      <c r="V66" s="9" t="n">
        <v>16.766426402762647</v>
      </c>
    </row>
    <row r="67">
      <c r="A67" s="7" t="s">
        <v>72</v>
      </c>
      <c r="B67" s="7" t="s">
        <v>125</v>
      </c>
      <c r="C67" s="7" t="s">
        <v>50</v>
      </c>
      <c r="D67" s="7" t="s">
        <v>31</v>
      </c>
      <c r="E67" s="8" t="n">
        <v>46113</v>
      </c>
      <c r="F67" s="7" t="n">
        <v>723421</v>
      </c>
      <c r="H67" s="7" t="n">
        <v>43147</v>
      </c>
      <c r="I67" s="7" t="n">
        <v>680274</v>
      </c>
      <c r="L67" s="7"/>
      <c r="S67" s="7" t="n">
        <v>6</v>
      </c>
      <c r="T67" s="7" t="n">
        <v>12</v>
      </c>
      <c r="U67" s="7" t="n">
        <v>12</v>
      </c>
      <c r="V67" s="9" t="n">
        <v>15.766426402762649</v>
      </c>
    </row>
    <row r="68">
      <c r="A68" s="7" t="s">
        <v>72</v>
      </c>
      <c r="B68" s="7" t="s">
        <v>125</v>
      </c>
      <c r="C68" s="7" t="s">
        <v>50</v>
      </c>
      <c r="D68" s="7" t="s">
        <v>31</v>
      </c>
      <c r="E68" s="8" t="n">
        <v>46143</v>
      </c>
      <c r="F68" s="7" t="n">
        <v>680274</v>
      </c>
      <c r="H68" s="7" t="n">
        <v>43147</v>
      </c>
      <c r="I68" s="7" t="n">
        <v>637127</v>
      </c>
      <c r="L68" s="7"/>
      <c r="S68" s="7" t="n">
        <v>6</v>
      </c>
      <c r="T68" s="7" t="n">
        <v>12</v>
      </c>
      <c r="U68" s="7" t="n">
        <v>12</v>
      </c>
      <c r="V68" s="9" t="n">
        <v>14.766426402762649</v>
      </c>
    </row>
    <row r="69">
      <c r="A69" s="7" t="s">
        <v>72</v>
      </c>
      <c r="B69" s="7" t="s">
        <v>125</v>
      </c>
      <c r="C69" s="7" t="s">
        <v>50</v>
      </c>
      <c r="D69" s="7" t="s">
        <v>31</v>
      </c>
      <c r="E69" s="8" t="n">
        <v>46174</v>
      </c>
      <c r="F69" s="7" t="n">
        <v>637127</v>
      </c>
      <c r="H69" s="7" t="n">
        <v>43147</v>
      </c>
      <c r="I69" s="7" t="n">
        <v>593980</v>
      </c>
      <c r="L69" s="7"/>
      <c r="S69" s="7" t="n">
        <v>6</v>
      </c>
      <c r="T69" s="7" t="n">
        <v>12</v>
      </c>
      <c r="U69" s="7" t="n">
        <v>12</v>
      </c>
      <c r="V69" s="9" t="n">
        <v>13.766426402762649</v>
      </c>
    </row>
    <row r="70">
      <c r="A70" s="7" t="s">
        <v>72</v>
      </c>
      <c r="B70" s="7" t="s">
        <v>125</v>
      </c>
      <c r="C70" s="7" t="s">
        <v>50</v>
      </c>
      <c r="D70" s="7" t="s">
        <v>31</v>
      </c>
      <c r="E70" s="8" t="n">
        <v>46204</v>
      </c>
      <c r="F70" s="7" t="n">
        <v>593980</v>
      </c>
      <c r="H70" s="7" t="n">
        <v>43147</v>
      </c>
      <c r="I70" s="7" t="n">
        <v>550833</v>
      </c>
      <c r="L70" s="7"/>
      <c r="S70" s="7" t="n">
        <v>6</v>
      </c>
      <c r="T70" s="7" t="n">
        <v>12</v>
      </c>
      <c r="U70" s="7" t="n">
        <v>12</v>
      </c>
      <c r="V70" s="9" t="n">
        <v>12.766426402762649</v>
      </c>
    </row>
    <row r="71">
      <c r="A71" s="7" t="s">
        <v>72</v>
      </c>
      <c r="B71" s="7" t="s">
        <v>125</v>
      </c>
      <c r="C71" s="7" t="s">
        <v>50</v>
      </c>
      <c r="D71" s="7" t="s">
        <v>31</v>
      </c>
      <c r="E71" s="8" t="n">
        <v>46235</v>
      </c>
      <c r="F71" s="7" t="n">
        <v>550833</v>
      </c>
      <c r="H71" s="7" t="n">
        <v>43147</v>
      </c>
      <c r="I71" s="7" t="n">
        <v>507686</v>
      </c>
      <c r="L71" s="7"/>
      <c r="S71" s="7" t="n">
        <v>6</v>
      </c>
      <c r="T71" s="7" t="n">
        <v>12</v>
      </c>
      <c r="U71" s="7" t="n">
        <v>12</v>
      </c>
      <c r="V71" s="9" t="n">
        <v>11.766426402762649</v>
      </c>
    </row>
    <row r="72">
      <c r="A72" s="7" t="s">
        <v>72</v>
      </c>
      <c r="B72" s="7" t="s">
        <v>125</v>
      </c>
      <c r="C72" s="7" t="s">
        <v>50</v>
      </c>
      <c r="D72" s="7" t="s">
        <v>31</v>
      </c>
      <c r="E72" s="8" t="n">
        <v>46266</v>
      </c>
      <c r="F72" s="7" t="n">
        <v>507686</v>
      </c>
      <c r="H72" s="7" t="n">
        <v>43147</v>
      </c>
      <c r="I72" s="7" t="n">
        <v>464539</v>
      </c>
      <c r="L72" s="7"/>
      <c r="S72" s="7" t="n">
        <v>6</v>
      </c>
      <c r="T72" s="7" t="n">
        <v>12</v>
      </c>
      <c r="U72" s="7" t="n">
        <v>12</v>
      </c>
      <c r="V72" s="9" t="n">
        <v>10.766426402762649</v>
      </c>
    </row>
    <row r="73">
      <c r="A73" s="7" t="s">
        <v>72</v>
      </c>
      <c r="B73" s="7" t="s">
        <v>125</v>
      </c>
      <c r="C73" s="7" t="s">
        <v>50</v>
      </c>
      <c r="D73" s="7" t="s">
        <v>31</v>
      </c>
      <c r="E73" s="8" t="n">
        <v>46296</v>
      </c>
      <c r="F73" s="7" t="n">
        <v>464539</v>
      </c>
      <c r="H73" s="7" t="n">
        <v>43147</v>
      </c>
      <c r="I73" s="7" t="n">
        <v>421392</v>
      </c>
      <c r="L73" s="7"/>
      <c r="S73" s="7" t="n">
        <v>6</v>
      </c>
      <c r="T73" s="7" t="n">
        <v>12</v>
      </c>
      <c r="U73" s="7" t="n">
        <v>12</v>
      </c>
      <c r="V73" s="9" t="n">
        <v>9.7664264027626491</v>
      </c>
    </row>
    <row r="74">
      <c r="A74" s="7" t="s">
        <v>72</v>
      </c>
      <c r="B74" s="7" t="s">
        <v>125</v>
      </c>
      <c r="C74" s="7" t="s">
        <v>50</v>
      </c>
      <c r="D74" s="7" t="s">
        <v>31</v>
      </c>
      <c r="E74" s="8" t="n">
        <v>46327</v>
      </c>
      <c r="F74" s="7" t="n">
        <v>421392</v>
      </c>
      <c r="H74" s="7" t="n">
        <v>43147</v>
      </c>
      <c r="I74" s="7" t="n">
        <v>378245</v>
      </c>
      <c r="L74" s="7"/>
      <c r="S74" s="7" t="n">
        <v>6</v>
      </c>
      <c r="T74" s="7" t="n">
        <v>12</v>
      </c>
      <c r="U74" s="7" t="n">
        <v>12</v>
      </c>
      <c r="V74" s="9" t="n">
        <v>8.7664264027626491</v>
      </c>
    </row>
    <row r="75">
      <c r="A75" s="7" t="s">
        <v>72</v>
      </c>
      <c r="B75" s="7" t="s">
        <v>125</v>
      </c>
      <c r="C75" s="7" t="s">
        <v>50</v>
      </c>
      <c r="D75" s="7" t="s">
        <v>31</v>
      </c>
      <c r="E75" s="8" t="n">
        <v>46357</v>
      </c>
      <c r="F75" s="7" t="n">
        <v>378245</v>
      </c>
      <c r="H75" s="7" t="n">
        <v>43147</v>
      </c>
      <c r="I75" s="7" t="n">
        <v>603989</v>
      </c>
      <c r="J75" s="7" t="s">
        <v>2</v>
      </c>
      <c r="K75" s="7" t="s">
        <v>2</v>
      </c>
      <c r="L75" s="7" t="s">
        <v>4</v>
      </c>
      <c r="M75" s="7" t="n">
        <v>268891</v>
      </c>
      <c r="O75" s="7" t="n">
        <v>78302</v>
      </c>
      <c r="P75" s="7" t="n">
        <v>46357</v>
      </c>
      <c r="S75" s="7" t="n">
        <v>6</v>
      </c>
      <c r="T75" s="7" t="n">
        <v>12</v>
      </c>
      <c r="U75" s="7" t="n">
        <v>12</v>
      </c>
      <c r="V75" s="9" t="n">
        <v>13.9984008158157</v>
      </c>
    </row>
    <row r="76">
      <c r="A76" s="7" t="s">
        <v>77</v>
      </c>
      <c r="B76" s="7" t="s">
        <v>125</v>
      </c>
      <c r="C76" s="7" t="s">
        <v>50</v>
      </c>
      <c r="D76" s="7" t="s">
        <v>31</v>
      </c>
      <c r="E76" s="8" t="n">
        <v>45658</v>
      </c>
      <c r="F76" s="7" t="n">
        <v>603989</v>
      </c>
      <c r="H76" s="7" t="n">
        <v>43147</v>
      </c>
      <c r="I76" s="7" t="n">
        <v>560842</v>
      </c>
      <c r="L76" s="7"/>
      <c r="S76" s="7" t="n">
        <v>6</v>
      </c>
      <c r="T76" s="7" t="n">
        <v>12</v>
      </c>
      <c r="U76" s="7" t="n">
        <v>12</v>
      </c>
      <c r="V76" s="9" t="n">
        <v>12.9984008158157</v>
      </c>
    </row>
    <row r="77">
      <c r="A77" s="7" t="s">
        <v>77</v>
      </c>
      <c r="B77" s="7" t="s">
        <v>125</v>
      </c>
      <c r="C77" s="7" t="s">
        <v>50</v>
      </c>
      <c r="D77" s="7" t="s">
        <v>31</v>
      </c>
      <c r="E77" s="8" t="n">
        <v>45689</v>
      </c>
      <c r="F77" s="7" t="n">
        <v>560842</v>
      </c>
      <c r="H77" s="7" t="n">
        <v>43147</v>
      </c>
      <c r="I77" s="7" t="n">
        <v>517695</v>
      </c>
      <c r="L77" s="7"/>
      <c r="S77" s="7" t="n">
        <v>6</v>
      </c>
      <c r="T77" s="7" t="n">
        <v>12</v>
      </c>
      <c r="U77" s="7" t="n">
        <v>12</v>
      </c>
      <c r="V77" s="9" t="n">
        <v>11.9984008158157</v>
      </c>
    </row>
    <row r="78">
      <c r="A78" s="7" t="s">
        <v>77</v>
      </c>
      <c r="B78" s="7" t="s">
        <v>125</v>
      </c>
      <c r="C78" s="7" t="s">
        <v>50</v>
      </c>
      <c r="D78" s="7" t="s">
        <v>31</v>
      </c>
      <c r="E78" s="8" t="n">
        <v>45717</v>
      </c>
      <c r="F78" s="7" t="n">
        <v>517695</v>
      </c>
      <c r="H78" s="7" t="n">
        <v>43147</v>
      </c>
      <c r="I78" s="7" t="n">
        <v>474548</v>
      </c>
      <c r="L78" s="7"/>
      <c r="S78" s="7" t="n">
        <v>6</v>
      </c>
      <c r="T78" s="7" t="n">
        <v>12</v>
      </c>
      <c r="U78" s="7" t="n">
        <v>12</v>
      </c>
      <c r="V78" s="9" t="n">
        <v>10.9984008158157</v>
      </c>
    </row>
    <row r="79">
      <c r="A79" s="7" t="s">
        <v>77</v>
      </c>
      <c r="B79" s="7" t="s">
        <v>125</v>
      </c>
      <c r="C79" s="7" t="s">
        <v>50</v>
      </c>
      <c r="D79" s="7" t="s">
        <v>31</v>
      </c>
      <c r="E79" s="8" t="n">
        <v>45748</v>
      </c>
      <c r="F79" s="7" t="n">
        <v>474548</v>
      </c>
      <c r="H79" s="7" t="n">
        <v>43147</v>
      </c>
      <c r="I79" s="7" t="n">
        <v>431401</v>
      </c>
      <c r="L79" s="7"/>
      <c r="S79" s="7" t="n">
        <v>6</v>
      </c>
      <c r="T79" s="7" t="n">
        <v>12</v>
      </c>
      <c r="U79" s="7" t="n">
        <v>12</v>
      </c>
      <c r="V79" s="9" t="n">
        <v>9.9984008158156996</v>
      </c>
    </row>
    <row r="80">
      <c r="A80" s="7" t="s">
        <v>77</v>
      </c>
      <c r="B80" s="7" t="s">
        <v>125</v>
      </c>
      <c r="C80" s="7" t="s">
        <v>50</v>
      </c>
      <c r="D80" s="7" t="s">
        <v>31</v>
      </c>
      <c r="E80" s="8" t="n">
        <v>45778</v>
      </c>
      <c r="F80" s="7" t="n">
        <v>431401</v>
      </c>
      <c r="H80" s="7" t="n">
        <v>43147</v>
      </c>
      <c r="I80" s="7" t="n">
        <v>388254</v>
      </c>
      <c r="L80" s="7"/>
      <c r="S80" s="7" t="n">
        <v>6</v>
      </c>
      <c r="T80" s="7" t="n">
        <v>12</v>
      </c>
      <c r="U80" s="7" t="n">
        <v>12</v>
      </c>
      <c r="V80" s="9" t="n">
        <v>8.9984008158156996</v>
      </c>
    </row>
    <row r="81">
      <c r="A81" s="7" t="s">
        <v>77</v>
      </c>
      <c r="B81" s="7" t="s">
        <v>125</v>
      </c>
      <c r="C81" s="7" t="s">
        <v>50</v>
      </c>
      <c r="D81" s="7" t="s">
        <v>31</v>
      </c>
      <c r="E81" s="8" t="n">
        <v>45809</v>
      </c>
      <c r="F81" s="7" t="n">
        <v>388254</v>
      </c>
      <c r="H81" s="7" t="n">
        <v>43147</v>
      </c>
      <c r="I81" s="7" t="n">
        <v>345107</v>
      </c>
      <c r="L81" s="7"/>
      <c r="S81" s="7" t="n">
        <v>6</v>
      </c>
      <c r="T81" s="7" t="n">
        <v>12</v>
      </c>
      <c r="U81" s="7" t="n">
        <v>12</v>
      </c>
      <c r="V81" s="9" t="n">
        <v>7.9984008158156996</v>
      </c>
    </row>
    <row r="82">
      <c r="A82" s="7" t="s">
        <v>77</v>
      </c>
      <c r="B82" s="7" t="s">
        <v>125</v>
      </c>
      <c r="C82" s="7" t="s">
        <v>50</v>
      </c>
      <c r="D82" s="7" t="s">
        <v>31</v>
      </c>
      <c r="E82" s="8" t="n">
        <v>45839</v>
      </c>
      <c r="F82" s="7" t="n">
        <v>1493412</v>
      </c>
      <c r="H82" s="7" t="n">
        <v>283568</v>
      </c>
      <c r="I82" s="7" t="n">
        <v>1209844</v>
      </c>
      <c r="L82" s="7"/>
      <c r="S82" s="7" t="n">
        <v>6</v>
      </c>
      <c r="T82" s="7" t="n">
        <v>12</v>
      </c>
      <c r="U82" s="7" t="n">
        <v>12</v>
      </c>
      <c r="V82" s="9" t="n">
        <v>4.2665039778818485</v>
      </c>
    </row>
    <row r="83">
      <c r="A83" s="7" t="s">
        <v>77</v>
      </c>
      <c r="B83" s="7" t="s">
        <v>125</v>
      </c>
      <c r="C83" s="7" t="s">
        <v>50</v>
      </c>
      <c r="D83" s="7" t="s">
        <v>31</v>
      </c>
      <c r="E83" s="8" t="n">
        <v>45870</v>
      </c>
      <c r="F83" s="7" t="n">
        <v>1209844</v>
      </c>
      <c r="H83" s="7" t="n">
        <v>283568</v>
      </c>
      <c r="I83" s="7" t="n">
        <v>926276</v>
      </c>
      <c r="L83" s="7"/>
      <c r="S83" s="7" t="n">
        <v>6</v>
      </c>
      <c r="T83" s="7" t="n">
        <v>12</v>
      </c>
      <c r="U83" s="7" t="n">
        <v>12</v>
      </c>
      <c r="V83" s="9" t="n">
        <v>3.2665039778818485</v>
      </c>
    </row>
    <row r="84">
      <c r="A84" s="7" t="s">
        <v>77</v>
      </c>
      <c r="B84" s="7" t="s">
        <v>125</v>
      </c>
      <c r="C84" s="7" t="s">
        <v>50</v>
      </c>
      <c r="D84" s="7" t="s">
        <v>31</v>
      </c>
      <c r="E84" s="8" t="n">
        <v>45901</v>
      </c>
      <c r="F84" s="7" t="n">
        <v>926276</v>
      </c>
      <c r="H84" s="7" t="n">
        <v>283568</v>
      </c>
      <c r="I84" s="7" t="n">
        <v>1643652</v>
      </c>
      <c r="J84" s="7" t="s">
        <v>51</v>
      </c>
      <c r="K84" s="7" t="s">
        <v>51</v>
      </c>
      <c r="L84" s="7" t="s">
        <v>154</v>
      </c>
      <c r="M84" s="7" t="n">
        <v>1000944</v>
      </c>
      <c r="S84" s="7" t="n">
        <v>6</v>
      </c>
      <c r="T84" s="7" t="n">
        <v>12</v>
      </c>
      <c r="U84" s="7" t="n">
        <v>12</v>
      </c>
      <c r="V84" s="9" t="n">
        <v>5.7963239857811883</v>
      </c>
    </row>
    <row r="85">
      <c r="A85" s="7" t="s">
        <v>77</v>
      </c>
      <c r="B85" s="7" t="s">
        <v>125</v>
      </c>
      <c r="C85" s="7" t="s">
        <v>50</v>
      </c>
      <c r="D85" s="7" t="s">
        <v>31</v>
      </c>
      <c r="E85" s="8" t="n">
        <v>45931</v>
      </c>
      <c r="F85" s="7" t="n">
        <v>1643652</v>
      </c>
      <c r="H85" s="7" t="n">
        <v>283568</v>
      </c>
      <c r="I85" s="7" t="n">
        <v>3157204</v>
      </c>
      <c r="J85" s="7" t="s">
        <v>168</v>
      </c>
      <c r="K85" s="7" t="s">
        <v>168</v>
      </c>
      <c r="L85" s="7" t="s">
        <v>147</v>
      </c>
      <c r="M85" s="7" t="n">
        <v>1797120</v>
      </c>
      <c r="S85" s="7" t="n">
        <v>6</v>
      </c>
      <c r="T85" s="7" t="n">
        <v>12</v>
      </c>
      <c r="U85" s="7" t="n">
        <v>12</v>
      </c>
      <c r="V85" s="9" t="n">
        <v>11.133851492410992</v>
      </c>
    </row>
    <row r="86">
      <c r="A86" s="7" t="s">
        <v>77</v>
      </c>
      <c r="B86" s="7" t="s">
        <v>125</v>
      </c>
      <c r="C86" s="7" t="s">
        <v>50</v>
      </c>
      <c r="D86" s="7" t="s">
        <v>31</v>
      </c>
      <c r="E86" s="8" t="n">
        <v>45962</v>
      </c>
      <c r="F86" s="7" t="n">
        <v>3157204</v>
      </c>
      <c r="H86" s="7" t="n">
        <v>283568</v>
      </c>
      <c r="I86" s="7" t="n">
        <v>2873636</v>
      </c>
      <c r="L86" s="7"/>
      <c r="S86" s="7" t="n">
        <v>6</v>
      </c>
      <c r="T86" s="7" t="n">
        <v>12</v>
      </c>
      <c r="U86" s="7" t="n">
        <v>12</v>
      </c>
      <c r="V86" s="9" t="n">
        <v>10.133851492410992</v>
      </c>
    </row>
    <row r="87">
      <c r="A87" s="7" t="s">
        <v>77</v>
      </c>
      <c r="B87" s="7" t="s">
        <v>125</v>
      </c>
      <c r="C87" s="7" t="s">
        <v>50</v>
      </c>
      <c r="D87" s="7" t="s">
        <v>31</v>
      </c>
      <c r="E87" s="8" t="n">
        <v>45992</v>
      </c>
      <c r="F87" s="7" t="n">
        <v>2873636</v>
      </c>
      <c r="H87" s="7" t="n">
        <v>283568</v>
      </c>
      <c r="I87" s="7" t="n">
        <v>2590068</v>
      </c>
      <c r="L87" s="7"/>
      <c r="S87" s="7" t="n">
        <v>6</v>
      </c>
      <c r="T87" s="7" t="n">
        <v>12</v>
      </c>
      <c r="U87" s="7" t="n">
        <v>12</v>
      </c>
      <c r="V87" s="9" t="n">
        <v>9.1338514924109919</v>
      </c>
    </row>
    <row r="88">
      <c r="A88" s="7" t="s">
        <v>77</v>
      </c>
      <c r="B88" s="7" t="s">
        <v>125</v>
      </c>
      <c r="C88" s="7" t="s">
        <v>50</v>
      </c>
      <c r="D88" s="7" t="s">
        <v>31</v>
      </c>
      <c r="E88" s="8" t="n">
        <v>46023</v>
      </c>
      <c r="F88" s="7" t="n">
        <v>2590068</v>
      </c>
      <c r="H88" s="7" t="n">
        <v>283568</v>
      </c>
      <c r="I88" s="7" t="n">
        <v>2306500</v>
      </c>
      <c r="L88" s="7"/>
      <c r="S88" s="7" t="n">
        <v>6</v>
      </c>
      <c r="T88" s="7" t="n">
        <v>12</v>
      </c>
      <c r="U88" s="7" t="n">
        <v>12</v>
      </c>
      <c r="V88" s="9" t="n">
        <v>8.1338514924109919</v>
      </c>
    </row>
    <row r="89">
      <c r="A89" s="7" t="s">
        <v>77</v>
      </c>
      <c r="B89" s="7" t="s">
        <v>125</v>
      </c>
      <c r="C89" s="7" t="s">
        <v>50</v>
      </c>
      <c r="D89" s="7" t="s">
        <v>31</v>
      </c>
      <c r="E89" s="8" t="n">
        <v>46054</v>
      </c>
      <c r="F89" s="7" t="n">
        <v>2306500</v>
      </c>
      <c r="H89" s="7" t="n">
        <v>283568</v>
      </c>
      <c r="I89" s="7" t="n">
        <v>2022932</v>
      </c>
      <c r="L89" s="7"/>
      <c r="S89" s="7" t="n">
        <v>6</v>
      </c>
      <c r="T89" s="7" t="n">
        <v>12</v>
      </c>
      <c r="U89" s="7" t="n">
        <v>12</v>
      </c>
      <c r="V89" s="9" t="n">
        <v>7.133851492410991</v>
      </c>
    </row>
    <row r="90">
      <c r="A90" s="7" t="s">
        <v>77</v>
      </c>
      <c r="B90" s="7" t="s">
        <v>125</v>
      </c>
      <c r="C90" s="7" t="s">
        <v>50</v>
      </c>
      <c r="D90" s="7" t="s">
        <v>31</v>
      </c>
      <c r="E90" s="8" t="n">
        <v>46082</v>
      </c>
      <c r="F90" s="7" t="n">
        <v>2022932</v>
      </c>
      <c r="H90" s="7" t="n">
        <v>283568</v>
      </c>
      <c r="I90" s="7" t="n">
        <v>1739364</v>
      </c>
      <c r="L90" s="7"/>
      <c r="S90" s="7" t="n">
        <v>6</v>
      </c>
      <c r="T90" s="7" t="n">
        <v>12</v>
      </c>
      <c r="U90" s="7" t="n">
        <v>12</v>
      </c>
      <c r="V90" s="9" t="n">
        <v>6.133851492410991</v>
      </c>
    </row>
    <row r="91">
      <c r="A91" s="7" t="s">
        <v>77</v>
      </c>
      <c r="B91" s="7" t="s">
        <v>125</v>
      </c>
      <c r="C91" s="7" t="s">
        <v>50</v>
      </c>
      <c r="D91" s="7" t="s">
        <v>31</v>
      </c>
      <c r="E91" s="8" t="n">
        <v>46113</v>
      </c>
      <c r="F91" s="7" t="n">
        <v>1739364</v>
      </c>
      <c r="H91" s="7" t="n">
        <v>283568</v>
      </c>
      <c r="I91" s="7" t="n">
        <v>1455796</v>
      </c>
      <c r="L91" s="7"/>
      <c r="S91" s="7" t="n">
        <v>6</v>
      </c>
      <c r="T91" s="7" t="n">
        <v>12</v>
      </c>
      <c r="U91" s="7" t="n">
        <v>12</v>
      </c>
      <c r="V91" s="9" t="n">
        <v>5.133851492410991</v>
      </c>
    </row>
    <row r="92">
      <c r="A92" s="7" t="s">
        <v>77</v>
      </c>
      <c r="B92" s="7" t="s">
        <v>125</v>
      </c>
      <c r="C92" s="7" t="s">
        <v>50</v>
      </c>
      <c r="D92" s="7" t="s">
        <v>31</v>
      </c>
      <c r="E92" s="8" t="n">
        <v>46143</v>
      </c>
      <c r="F92" s="7" t="n">
        <v>1455796</v>
      </c>
      <c r="H92" s="7" t="n">
        <v>283568</v>
      </c>
      <c r="I92" s="7" t="n">
        <v>1172228</v>
      </c>
      <c r="L92" s="7"/>
      <c r="S92" s="7" t="n">
        <v>6</v>
      </c>
      <c r="T92" s="7" t="n">
        <v>12</v>
      </c>
      <c r="U92" s="7" t="n">
        <v>12</v>
      </c>
      <c r="V92" s="9" t="n">
        <v>4.133851492410991</v>
      </c>
    </row>
    <row r="93">
      <c r="A93" s="7" t="s">
        <v>77</v>
      </c>
      <c r="B93" s="7" t="s">
        <v>125</v>
      </c>
      <c r="C93" s="7" t="s">
        <v>50</v>
      </c>
      <c r="D93" s="7" t="s">
        <v>31</v>
      </c>
      <c r="E93" s="8" t="n">
        <v>46174</v>
      </c>
      <c r="F93" s="7" t="n">
        <v>1172228</v>
      </c>
      <c r="H93" s="7" t="n">
        <v>283568</v>
      </c>
      <c r="I93" s="7" t="n">
        <v>888660</v>
      </c>
      <c r="L93" s="7"/>
      <c r="S93" s="7" t="n">
        <v>6</v>
      </c>
      <c r="T93" s="7" t="n">
        <v>12</v>
      </c>
      <c r="U93" s="7" t="n">
        <v>12</v>
      </c>
      <c r="V93" s="9" t="n">
        <v>3.1338514924109915</v>
      </c>
    </row>
    <row r="94">
      <c r="A94" s="7" t="s">
        <v>74</v>
      </c>
      <c r="B94" s="7" t="s">
        <v>125</v>
      </c>
      <c r="C94" s="7" t="s">
        <v>50</v>
      </c>
      <c r="D94" s="7" t="s">
        <v>31</v>
      </c>
      <c r="E94" s="8" t="n">
        <v>45870</v>
      </c>
      <c r="F94" s="7" t="n">
        <v>133925</v>
      </c>
      <c r="H94" s="7" t="n">
        <v>78000</v>
      </c>
      <c r="I94" s="7" t="n">
        <v>85925</v>
      </c>
      <c r="J94" s="7" t="s">
        <v>51</v>
      </c>
      <c r="K94" s="7" t="s">
        <v>51</v>
      </c>
      <c r="L94" s="7" t="s">
        <v>154</v>
      </c>
      <c r="M94" s="7" t="n">
        <v>30000</v>
      </c>
      <c r="S94" s="7" t="n">
        <v>3</v>
      </c>
      <c r="T94" s="7" t="n">
        <v>6</v>
      </c>
      <c r="U94" s="7" t="n">
        <v>6</v>
      </c>
      <c r="V94" s="9" t="n">
        <v>1.1016025641025642</v>
      </c>
    </row>
    <row r="95">
      <c r="A95" s="7" t="s">
        <v>74</v>
      </c>
      <c r="B95" s="7" t="s">
        <v>125</v>
      </c>
      <c r="C95" s="7" t="s">
        <v>50</v>
      </c>
      <c r="D95" s="7" t="s">
        <v>31</v>
      </c>
      <c r="E95" s="8" t="n">
        <v>45901</v>
      </c>
      <c r="F95" s="7" t="n">
        <v>85925</v>
      </c>
      <c r="H95" s="7" t="n">
        <v>78000</v>
      </c>
      <c r="I95" s="7" t="n">
        <v>68405</v>
      </c>
      <c r="J95" s="7" t="s">
        <v>51</v>
      </c>
      <c r="K95" s="7" t="s">
        <v>51</v>
      </c>
      <c r="L95" s="7" t="s">
        <v>154</v>
      </c>
      <c r="M95" s="7" t="n">
        <v>60480</v>
      </c>
      <c r="S95" s="7" t="n">
        <v>3</v>
      </c>
      <c r="T95" s="7" t="n">
        <v>6</v>
      </c>
      <c r="U95" s="7" t="n">
        <v>6</v>
      </c>
      <c r="V95" s="9" t="n">
        <v>0.87698717948717952</v>
      </c>
    </row>
    <row r="96">
      <c r="A96" s="7" t="s">
        <v>74</v>
      </c>
      <c r="B96" s="7" t="s">
        <v>125</v>
      </c>
      <c r="C96" s="7" t="s">
        <v>50</v>
      </c>
      <c r="D96" s="7" t="s">
        <v>31</v>
      </c>
      <c r="E96" s="8" t="n">
        <v>45931</v>
      </c>
      <c r="F96" s="7" t="n">
        <v>68405</v>
      </c>
      <c r="H96" s="7" t="n">
        <v>78000</v>
      </c>
      <c r="I96" s="7" t="n">
        <v>121445</v>
      </c>
      <c r="J96" s="7" t="s">
        <v>51</v>
      </c>
      <c r="K96" s="7" t="s">
        <v>51</v>
      </c>
      <c r="L96" s="7" t="s">
        <v>154</v>
      </c>
      <c r="M96" s="7" t="n">
        <v>131040</v>
      </c>
      <c r="S96" s="7" t="n">
        <v>3</v>
      </c>
      <c r="T96" s="7" t="n">
        <v>6</v>
      </c>
      <c r="U96" s="7" t="n">
        <v>6</v>
      </c>
      <c r="V96" s="9" t="n">
        <v>1.5569871794871795</v>
      </c>
    </row>
    <row r="97">
      <c r="A97" s="7" t="s">
        <v>74</v>
      </c>
      <c r="B97" s="7" t="s">
        <v>125</v>
      </c>
      <c r="C97" s="7" t="s">
        <v>50</v>
      </c>
      <c r="D97" s="7" t="s">
        <v>31</v>
      </c>
      <c r="E97" s="8" t="n">
        <v>45962</v>
      </c>
      <c r="F97" s="7" t="n">
        <v>121445</v>
      </c>
      <c r="H97" s="7" t="n">
        <v>78000</v>
      </c>
      <c r="I97" s="7" t="n">
        <v>43445</v>
      </c>
      <c r="L97" s="7"/>
      <c r="S97" s="7" t="n">
        <v>3</v>
      </c>
      <c r="T97" s="7" t="n">
        <v>6</v>
      </c>
      <c r="U97" s="7" t="n">
        <v>6</v>
      </c>
      <c r="V97" s="9" t="n">
        <v>0.55698717948717946</v>
      </c>
    </row>
    <row r="98">
      <c r="A98" s="7" t="s">
        <v>74</v>
      </c>
      <c r="B98" s="7" t="s">
        <v>125</v>
      </c>
      <c r="C98" s="7" t="s">
        <v>50</v>
      </c>
      <c r="D98" s="7" t="s">
        <v>31</v>
      </c>
      <c r="E98" s="8" t="n">
        <v>45992</v>
      </c>
      <c r="F98" s="7" t="n">
        <v>43445</v>
      </c>
      <c r="H98" s="7" t="n">
        <v>78000</v>
      </c>
      <c r="I98" s="7" t="n">
        <v>0</v>
      </c>
      <c r="L98" s="7"/>
      <c r="S98" s="7" t="n">
        <v>3</v>
      </c>
      <c r="T98" s="7" t="n">
        <v>6</v>
      </c>
      <c r="U98" s="7" t="n">
        <v>6</v>
      </c>
      <c r="V98" s="9" t="n">
        <v>0</v>
      </c>
    </row>
    <row r="99">
      <c r="A99" s="7" t="s">
        <v>74</v>
      </c>
      <c r="B99" s="7" t="s">
        <v>125</v>
      </c>
      <c r="C99" s="7" t="s">
        <v>50</v>
      </c>
      <c r="D99" s="7" t="s">
        <v>31</v>
      </c>
      <c r="E99" s="8" t="n">
        <v>46023</v>
      </c>
      <c r="F99" s="7" t="n">
        <v>0</v>
      </c>
      <c r="H99" s="7" t="n">
        <v>78000</v>
      </c>
      <c r="I99" s="7" t="n">
        <v>371800</v>
      </c>
      <c r="J99" s="7" t="s">
        <v>2</v>
      </c>
      <c r="K99" s="7" t="s">
        <v>2</v>
      </c>
      <c r="L99" s="7" t="s">
        <v>4</v>
      </c>
      <c r="M99" s="7" t="n">
        <v>449800</v>
      </c>
      <c r="S99" s="7" t="n">
        <v>3</v>
      </c>
      <c r="T99" s="7" t="n">
        <v>6</v>
      </c>
      <c r="U99" s="7" t="n">
        <v>6</v>
      </c>
      <c r="V99" s="9" t="n">
        <v>4.7666666666666666</v>
      </c>
    </row>
    <row r="100">
      <c r="A100" s="7" t="s">
        <v>74</v>
      </c>
      <c r="B100" s="7" t="s">
        <v>125</v>
      </c>
      <c r="C100" s="7" t="s">
        <v>50</v>
      </c>
      <c r="D100" s="7" t="s">
        <v>31</v>
      </c>
      <c r="E100" s="8" t="n">
        <v>46054</v>
      </c>
      <c r="F100" s="7" t="n">
        <v>371800</v>
      </c>
      <c r="H100" s="7" t="n">
        <v>78000</v>
      </c>
      <c r="I100" s="7" t="n">
        <v>293800</v>
      </c>
      <c r="L100" s="7"/>
      <c r="S100" s="7" t="n">
        <v>3</v>
      </c>
      <c r="T100" s="7" t="n">
        <v>6</v>
      </c>
      <c r="U100" s="7" t="n">
        <v>6</v>
      </c>
      <c r="V100" s="9" t="n">
        <v>3.7666666666666666</v>
      </c>
    </row>
    <row r="101">
      <c r="A101" s="7" t="s">
        <v>74</v>
      </c>
      <c r="B101" s="7" t="s">
        <v>125</v>
      </c>
      <c r="C101" s="7" t="s">
        <v>50</v>
      </c>
      <c r="D101" s="7" t="s">
        <v>31</v>
      </c>
      <c r="E101" s="8" t="n">
        <v>46082</v>
      </c>
      <c r="F101" s="7" t="n">
        <v>293800</v>
      </c>
      <c r="H101" s="7" t="n">
        <v>78000</v>
      </c>
      <c r="I101" s="7" t="n">
        <v>215800</v>
      </c>
      <c r="L101" s="7"/>
      <c r="S101" s="7" t="n">
        <v>3</v>
      </c>
      <c r="T101" s="7" t="n">
        <v>6</v>
      </c>
      <c r="U101" s="7" t="n">
        <v>6</v>
      </c>
      <c r="V101" s="9" t="n">
        <v>2.7666666666666666</v>
      </c>
    </row>
    <row r="102">
      <c r="A102" s="7" t="s">
        <v>74</v>
      </c>
      <c r="B102" s="7" t="s">
        <v>125</v>
      </c>
      <c r="C102" s="7" t="s">
        <v>50</v>
      </c>
      <c r="D102" s="7" t="s">
        <v>31</v>
      </c>
      <c r="E102" s="8" t="n">
        <v>46113</v>
      </c>
      <c r="F102" s="7" t="n">
        <v>215800</v>
      </c>
      <c r="H102" s="7" t="n">
        <v>78000</v>
      </c>
      <c r="I102" s="7" t="n">
        <v>380417</v>
      </c>
      <c r="J102" s="7" t="s">
        <v>2</v>
      </c>
      <c r="K102" s="7" t="s">
        <v>2</v>
      </c>
      <c r="L102" s="7" t="s">
        <v>4</v>
      </c>
      <c r="M102" s="7" t="n">
        <v>242617</v>
      </c>
      <c r="S102" s="7" t="n">
        <v>3</v>
      </c>
      <c r="T102" s="7" t="n">
        <v>6</v>
      </c>
      <c r="U102" s="7" t="n">
        <v>6</v>
      </c>
      <c r="V102" s="9" t="n">
        <v>4.8771410256410253</v>
      </c>
    </row>
    <row r="103">
      <c r="A103" s="7" t="s">
        <v>74</v>
      </c>
      <c r="B103" s="7" t="s">
        <v>125</v>
      </c>
      <c r="C103" s="7" t="s">
        <v>50</v>
      </c>
      <c r="D103" s="7" t="s">
        <v>31</v>
      </c>
      <c r="E103" s="8" t="n">
        <v>46143</v>
      </c>
      <c r="F103" s="7" t="n">
        <v>380417</v>
      </c>
      <c r="H103" s="7" t="n">
        <v>78000</v>
      </c>
      <c r="I103" s="7" t="n">
        <v>302417</v>
      </c>
      <c r="L103" s="7"/>
      <c r="S103" s="7" t="n">
        <v>3</v>
      </c>
      <c r="T103" s="7" t="n">
        <v>6</v>
      </c>
      <c r="U103" s="7" t="n">
        <v>6</v>
      </c>
      <c r="V103" s="9" t="n">
        <v>3.8771410256410257</v>
      </c>
    </row>
    <row r="104">
      <c r="A104" s="7" t="s">
        <v>74</v>
      </c>
      <c r="B104" s="7" t="s">
        <v>125</v>
      </c>
      <c r="C104" s="7" t="s">
        <v>50</v>
      </c>
      <c r="D104" s="7" t="s">
        <v>31</v>
      </c>
      <c r="E104" s="8" t="n">
        <v>46174</v>
      </c>
      <c r="F104" s="7" t="n">
        <v>302417</v>
      </c>
      <c r="H104" s="7" t="n">
        <v>78000</v>
      </c>
      <c r="I104" s="7" t="n">
        <v>224417</v>
      </c>
      <c r="L104" s="7"/>
      <c r="S104" s="7" t="n">
        <v>3</v>
      </c>
      <c r="T104" s="7" t="n">
        <v>6</v>
      </c>
      <c r="U104" s="7" t="n">
        <v>6</v>
      </c>
      <c r="V104" s="9" t="n">
        <v>2.8771410256410257</v>
      </c>
    </row>
    <row r="105">
      <c r="A105" s="7" t="s">
        <v>74</v>
      </c>
      <c r="B105" s="7" t="s">
        <v>125</v>
      </c>
      <c r="C105" s="7" t="s">
        <v>50</v>
      </c>
      <c r="D105" s="7" t="s">
        <v>31</v>
      </c>
      <c r="E105" s="8" t="n">
        <v>46204</v>
      </c>
      <c r="F105" s="7" t="n">
        <v>224417</v>
      </c>
      <c r="H105" s="7" t="n">
        <v>78000</v>
      </c>
      <c r="I105" s="7" t="n">
        <v>399917</v>
      </c>
      <c r="J105" s="7" t="s">
        <v>2</v>
      </c>
      <c r="K105" s="7" t="s">
        <v>2</v>
      </c>
      <c r="L105" s="7" t="s">
        <v>4</v>
      </c>
      <c r="M105" s="7" t="n">
        <v>253500</v>
      </c>
      <c r="S105" s="7" t="n">
        <v>3</v>
      </c>
      <c r="T105" s="7" t="n">
        <v>6</v>
      </c>
      <c r="U105" s="7" t="n">
        <v>6</v>
      </c>
      <c r="V105" s="9" t="n">
        <v>5.1271410256410253</v>
      </c>
    </row>
    <row r="106">
      <c r="A106" s="7" t="s">
        <v>74</v>
      </c>
      <c r="B106" s="7" t="s">
        <v>125</v>
      </c>
      <c r="C106" s="7" t="s">
        <v>50</v>
      </c>
      <c r="D106" s="7" t="s">
        <v>31</v>
      </c>
      <c r="E106" s="8" t="n">
        <v>46235</v>
      </c>
      <c r="F106" s="7" t="n">
        <v>399917</v>
      </c>
      <c r="H106" s="7" t="n">
        <v>78000</v>
      </c>
      <c r="I106" s="7" t="n">
        <v>321917</v>
      </c>
      <c r="L106" s="7"/>
      <c r="S106" s="7" t="n">
        <v>3</v>
      </c>
      <c r="T106" s="7" t="n">
        <v>6</v>
      </c>
      <c r="U106" s="7" t="n">
        <v>6</v>
      </c>
      <c r="V106" s="9" t="n">
        <v>4.1271410256410253</v>
      </c>
    </row>
    <row r="107">
      <c r="A107" s="7" t="s">
        <v>166</v>
      </c>
      <c r="B107" s="7" t="s">
        <v>125</v>
      </c>
      <c r="C107" s="7" t="s">
        <v>50</v>
      </c>
      <c r="D107" s="7" t="s">
        <v>31</v>
      </c>
      <c r="E107" s="8" t="n">
        <v>45748</v>
      </c>
      <c r="F107" s="7" t="n">
        <v>528688</v>
      </c>
      <c r="H107" s="7" t="n">
        <v>46807</v>
      </c>
      <c r="I107" s="7" t="n">
        <v>481881</v>
      </c>
      <c r="L107" s="7"/>
      <c r="S107" s="7" t="n">
        <v>9</v>
      </c>
      <c r="T107" s="7" t="n">
        <v>15</v>
      </c>
      <c r="U107" s="7" t="n">
        <v>15</v>
      </c>
      <c r="V107" s="9" t="n">
        <v>10.295062704296367</v>
      </c>
    </row>
    <row r="108">
      <c r="A108" s="7" t="s">
        <v>166</v>
      </c>
      <c r="B108" s="7" t="s">
        <v>125</v>
      </c>
      <c r="C108" s="7" t="s">
        <v>50</v>
      </c>
      <c r="D108" s="7" t="s">
        <v>31</v>
      </c>
      <c r="E108" s="8" t="n">
        <v>45778</v>
      </c>
      <c r="F108" s="7" t="n">
        <v>481881</v>
      </c>
      <c r="H108" s="7" t="n">
        <v>46807</v>
      </c>
      <c r="I108" s="7" t="n">
        <v>435074</v>
      </c>
      <c r="L108" s="7"/>
      <c r="S108" s="7" t="n">
        <v>9</v>
      </c>
      <c r="T108" s="7" t="n">
        <v>15</v>
      </c>
      <c r="U108" s="7" t="n">
        <v>15</v>
      </c>
      <c r="V108" s="9" t="n">
        <v>9.2950627042963667</v>
      </c>
    </row>
    <row r="109">
      <c r="A109" s="7" t="s">
        <v>166</v>
      </c>
      <c r="B109" s="7" t="s">
        <v>125</v>
      </c>
      <c r="C109" s="7" t="s">
        <v>50</v>
      </c>
      <c r="D109" s="7" t="s">
        <v>31</v>
      </c>
      <c r="E109" s="8" t="n">
        <v>45809</v>
      </c>
      <c r="F109" s="7" t="n">
        <v>435074</v>
      </c>
      <c r="H109" s="7" t="n">
        <v>46807</v>
      </c>
      <c r="I109" s="7" t="n">
        <v>388267</v>
      </c>
      <c r="L109" s="7"/>
      <c r="S109" s="7" t="n">
        <v>9</v>
      </c>
      <c r="T109" s="7" t="n">
        <v>15</v>
      </c>
      <c r="U109" s="7" t="n">
        <v>15</v>
      </c>
      <c r="V109" s="9" t="n">
        <v>8.2950627042963667</v>
      </c>
    </row>
    <row r="110">
      <c r="A110" s="7" t="s">
        <v>166</v>
      </c>
      <c r="B110" s="7" t="s">
        <v>125</v>
      </c>
      <c r="C110" s="7" t="s">
        <v>50</v>
      </c>
      <c r="D110" s="7" t="s">
        <v>31</v>
      </c>
      <c r="E110" s="8" t="n">
        <v>45839</v>
      </c>
      <c r="F110" s="7" t="n">
        <v>388267</v>
      </c>
      <c r="H110" s="7" t="n">
        <v>46807</v>
      </c>
      <c r="I110" s="7" t="n">
        <v>444276</v>
      </c>
      <c r="L110" s="7"/>
      <c r="M110" s="7" t="n">
        <v>102816</v>
      </c>
      <c r="S110" s="7" t="n">
        <v>9</v>
      </c>
      <c r="T110" s="7" t="n">
        <v>15</v>
      </c>
      <c r="U110" s="7" t="n">
        <v>15</v>
      </c>
      <c r="V110" s="9" t="n">
        <v>9.4916572307560827</v>
      </c>
    </row>
    <row r="111">
      <c r="A111" s="7" t="s">
        <v>166</v>
      </c>
      <c r="B111" s="7" t="s">
        <v>125</v>
      </c>
      <c r="C111" s="7" t="s">
        <v>50</v>
      </c>
      <c r="D111" s="7" t="s">
        <v>31</v>
      </c>
      <c r="E111" s="8" t="n">
        <v>45870</v>
      </c>
      <c r="F111" s="7" t="n">
        <v>444276</v>
      </c>
      <c r="H111" s="7" t="n">
        <v>46807</v>
      </c>
      <c r="I111" s="7" t="n">
        <v>397469</v>
      </c>
      <c r="L111" s="7"/>
      <c r="S111" s="7" t="n">
        <v>9</v>
      </c>
      <c r="T111" s="7" t="n">
        <v>15</v>
      </c>
      <c r="U111" s="7" t="n">
        <v>15</v>
      </c>
      <c r="V111" s="9" t="n">
        <v>8.4916572307560827</v>
      </c>
    </row>
    <row r="112">
      <c r="A112" s="7" t="s">
        <v>166</v>
      </c>
      <c r="B112" s="7" t="s">
        <v>125</v>
      </c>
      <c r="C112" s="7" t="s">
        <v>50</v>
      </c>
      <c r="D112" s="7" t="s">
        <v>31</v>
      </c>
      <c r="E112" s="8" t="n">
        <v>45901</v>
      </c>
      <c r="F112" s="7" t="n">
        <v>397469</v>
      </c>
      <c r="H112" s="7" t="n">
        <v>46807</v>
      </c>
      <c r="I112" s="7" t="n">
        <v>350662</v>
      </c>
      <c r="L112" s="7"/>
      <c r="S112" s="7" t="n">
        <v>9</v>
      </c>
      <c r="T112" s="7" t="n">
        <v>15</v>
      </c>
      <c r="U112" s="7" t="n">
        <v>15</v>
      </c>
      <c r="V112" s="9" t="n">
        <v>7.4916572307560836</v>
      </c>
    </row>
    <row r="113">
      <c r="A113" s="7" t="s">
        <v>166</v>
      </c>
      <c r="B113" s="7" t="s">
        <v>125</v>
      </c>
      <c r="C113" s="7" t="s">
        <v>50</v>
      </c>
      <c r="D113" s="7" t="s">
        <v>31</v>
      </c>
      <c r="E113" s="8" t="n">
        <v>45931</v>
      </c>
      <c r="F113" s="7" t="n">
        <v>350662</v>
      </c>
      <c r="H113" s="7" t="n">
        <v>46807</v>
      </c>
      <c r="I113" s="7" t="n">
        <v>303855</v>
      </c>
      <c r="L113" s="7"/>
      <c r="S113" s="7" t="n">
        <v>9</v>
      </c>
      <c r="T113" s="7" t="n">
        <v>15</v>
      </c>
      <c r="U113" s="7" t="n">
        <v>15</v>
      </c>
      <c r="V113" s="9" t="n">
        <v>6.4916572307560836</v>
      </c>
    </row>
    <row r="114">
      <c r="A114" s="7" t="s">
        <v>166</v>
      </c>
      <c r="B114" s="7" t="s">
        <v>125</v>
      </c>
      <c r="C114" s="7" t="s">
        <v>50</v>
      </c>
      <c r="D114" s="7" t="s">
        <v>31</v>
      </c>
      <c r="E114" s="8" t="n">
        <v>45962</v>
      </c>
      <c r="F114" s="7" t="n">
        <v>303855</v>
      </c>
      <c r="H114" s="7" t="n">
        <v>46807</v>
      </c>
      <c r="I114" s="7" t="n">
        <v>257048</v>
      </c>
      <c r="L114" s="7"/>
      <c r="S114" s="7" t="n">
        <v>9</v>
      </c>
      <c r="T114" s="7" t="n">
        <v>15</v>
      </c>
      <c r="U114" s="7" t="n">
        <v>15</v>
      </c>
      <c r="V114" s="9" t="n">
        <v>5.4916572307560836</v>
      </c>
    </row>
    <row r="115">
      <c r="A115" s="7" t="s">
        <v>166</v>
      </c>
      <c r="B115" s="7" t="s">
        <v>125</v>
      </c>
      <c r="C115" s="7" t="s">
        <v>50</v>
      </c>
      <c r="D115" s="7" t="s">
        <v>31</v>
      </c>
      <c r="E115" s="8" t="n">
        <v>45992</v>
      </c>
      <c r="F115" s="7" t="n">
        <v>257048</v>
      </c>
      <c r="H115" s="7" t="n">
        <v>46807</v>
      </c>
      <c r="I115" s="7" t="n">
        <v>210241</v>
      </c>
      <c r="L115" s="7"/>
      <c r="S115" s="7" t="n">
        <v>9</v>
      </c>
      <c r="T115" s="7" t="n">
        <v>15</v>
      </c>
      <c r="U115" s="7" t="n">
        <v>15</v>
      </c>
      <c r="V115" s="9" t="n">
        <v>4.4916572307560836</v>
      </c>
    </row>
    <row r="116">
      <c r="A116" s="7" t="s">
        <v>28</v>
      </c>
      <c r="B116" s="7" t="s">
        <v>46</v>
      </c>
      <c r="C116" s="7" t="s">
        <v>151</v>
      </c>
      <c r="D116" s="7" t="s">
        <v>31</v>
      </c>
      <c r="E116" s="8" t="n">
        <v>45839</v>
      </c>
      <c r="F116" s="7" t="n">
        <v>4488</v>
      </c>
      <c r="H116" s="7" t="n">
        <v>906</v>
      </c>
      <c r="I116" s="7" t="n">
        <v>3582</v>
      </c>
      <c r="L116" s="7"/>
      <c r="S116" s="7" t="n">
        <v>9</v>
      </c>
      <c r="T116" s="7" t="n">
        <v>14</v>
      </c>
      <c r="U116" s="7" t="n">
        <v>13</v>
      </c>
      <c r="V116" s="9" t="n">
        <v>3.9536423841059603</v>
      </c>
    </row>
    <row r="117">
      <c r="A117" s="7" t="s">
        <v>28</v>
      </c>
      <c r="B117" s="7" t="s">
        <v>46</v>
      </c>
      <c r="C117" s="7" t="s">
        <v>151</v>
      </c>
      <c r="D117" s="7" t="s">
        <v>31</v>
      </c>
      <c r="E117" s="8" t="n">
        <v>45870</v>
      </c>
      <c r="F117" s="7" t="n">
        <v>3582</v>
      </c>
      <c r="H117" s="7" t="n">
        <v>906</v>
      </c>
      <c r="I117" s="7" t="n">
        <v>2676</v>
      </c>
      <c r="L117" s="7"/>
      <c r="S117" s="7" t="n">
        <v>9</v>
      </c>
      <c r="T117" s="7" t="n">
        <v>14</v>
      </c>
      <c r="U117" s="7" t="n">
        <v>13</v>
      </c>
      <c r="V117" s="9" t="n">
        <v>2.9536423841059603</v>
      </c>
    </row>
    <row r="118">
      <c r="A118" s="7" t="s">
        <v>28</v>
      </c>
      <c r="B118" s="7" t="s">
        <v>46</v>
      </c>
      <c r="C118" s="7" t="s">
        <v>151</v>
      </c>
      <c r="D118" s="7" t="s">
        <v>31</v>
      </c>
      <c r="E118" s="8" t="n">
        <v>45901</v>
      </c>
      <c r="F118" s="7" t="n">
        <v>2676</v>
      </c>
      <c r="H118" s="7" t="n">
        <v>906</v>
      </c>
      <c r="I118" s="7" t="n">
        <v>1770</v>
      </c>
      <c r="L118" s="7"/>
      <c r="S118" s="7" t="n">
        <v>9</v>
      </c>
      <c r="T118" s="7" t="n">
        <v>14</v>
      </c>
      <c r="U118" s="7" t="n">
        <v>13</v>
      </c>
      <c r="V118" s="9" t="n">
        <v>1.9536423841059603</v>
      </c>
    </row>
    <row r="119">
      <c r="A119" s="7" t="s">
        <v>28</v>
      </c>
      <c r="B119" s="7" t="s">
        <v>46</v>
      </c>
      <c r="C119" s="7" t="s">
        <v>151</v>
      </c>
      <c r="D119" s="7" t="s">
        <v>31</v>
      </c>
      <c r="E119" s="8" t="n">
        <v>45931</v>
      </c>
      <c r="F119" s="7" t="n">
        <v>1770</v>
      </c>
      <c r="H119" s="7" t="n">
        <v>906</v>
      </c>
      <c r="I119" s="7" t="n">
        <v>864</v>
      </c>
      <c r="L119" s="7"/>
      <c r="S119" s="7" t="n">
        <v>9</v>
      </c>
      <c r="T119" s="7" t="n">
        <v>14</v>
      </c>
      <c r="U119" s="7" t="n">
        <v>13</v>
      </c>
      <c r="V119" s="9" t="n">
        <v>0.95364238410596025</v>
      </c>
    </row>
    <row r="120">
      <c r="A120" s="7" t="s">
        <v>28</v>
      </c>
      <c r="B120" s="7" t="s">
        <v>46</v>
      </c>
      <c r="C120" s="7" t="s">
        <v>151</v>
      </c>
      <c r="D120" s="7" t="s">
        <v>31</v>
      </c>
      <c r="E120" s="8" t="n">
        <v>45962</v>
      </c>
      <c r="F120" s="7" t="n">
        <v>864</v>
      </c>
      <c r="H120" s="7" t="n">
        <v>906</v>
      </c>
      <c r="I120" s="7" t="n">
        <v>4541</v>
      </c>
      <c r="J120" s="7" t="s">
        <v>2</v>
      </c>
      <c r="K120" s="7" t="s">
        <v>2</v>
      </c>
      <c r="L120" s="7" t="s">
        <v>4</v>
      </c>
      <c r="M120" s="7" t="n">
        <v>4583</v>
      </c>
      <c r="O120" s="7" t="n">
        <v>2310</v>
      </c>
      <c r="S120" s="7" t="n">
        <v>9</v>
      </c>
      <c r="T120" s="7" t="n">
        <v>14</v>
      </c>
      <c r="U120" s="7" t="n">
        <v>13</v>
      </c>
      <c r="V120" s="9" t="n">
        <v>5.0121412803532008</v>
      </c>
    </row>
    <row r="121">
      <c r="A121" s="7" t="s">
        <v>28</v>
      </c>
      <c r="B121" s="7" t="s">
        <v>46</v>
      </c>
      <c r="C121" s="7" t="s">
        <v>151</v>
      </c>
      <c r="D121" s="7" t="s">
        <v>31</v>
      </c>
      <c r="E121" s="8" t="n">
        <v>45992</v>
      </c>
      <c r="F121" s="7" t="n">
        <v>4541</v>
      </c>
      <c r="H121" s="7" t="n">
        <v>906</v>
      </c>
      <c r="I121" s="7" t="n">
        <v>3635</v>
      </c>
      <c r="L121" s="7"/>
      <c r="S121" s="7" t="n">
        <v>9</v>
      </c>
      <c r="T121" s="7" t="n">
        <v>14</v>
      </c>
      <c r="U121" s="7" t="n">
        <v>13</v>
      </c>
      <c r="V121" s="9" t="n">
        <v>4.0121412803532008</v>
      </c>
    </row>
    <row r="122">
      <c r="A122" s="7" t="s">
        <v>28</v>
      </c>
      <c r="B122" s="7" t="s">
        <v>46</v>
      </c>
      <c r="C122" s="7" t="s">
        <v>151</v>
      </c>
      <c r="D122" s="7" t="s">
        <v>31</v>
      </c>
      <c r="E122" s="8" t="n">
        <v>46023</v>
      </c>
      <c r="F122" s="7" t="n">
        <v>3635</v>
      </c>
      <c r="H122" s="7" t="n">
        <v>906</v>
      </c>
      <c r="I122" s="7" t="n">
        <v>2729</v>
      </c>
      <c r="L122" s="7"/>
      <c r="S122" s="7" t="n">
        <v>9</v>
      </c>
      <c r="T122" s="7" t="n">
        <v>14</v>
      </c>
      <c r="U122" s="7" t="n">
        <v>13</v>
      </c>
      <c r="V122" s="9" t="n">
        <v>3.0121412803532008</v>
      </c>
    </row>
    <row r="123">
      <c r="A123" s="7" t="s">
        <v>28</v>
      </c>
      <c r="B123" s="7" t="s">
        <v>46</v>
      </c>
      <c r="C123" s="7" t="s">
        <v>151</v>
      </c>
      <c r="D123" s="7" t="s">
        <v>31</v>
      </c>
      <c r="E123" s="8" t="n">
        <v>46054</v>
      </c>
      <c r="F123" s="7" t="n">
        <v>2729</v>
      </c>
      <c r="H123" s="7" t="n">
        <v>906</v>
      </c>
      <c r="I123" s="7" t="n">
        <v>1823</v>
      </c>
      <c r="L123" s="7"/>
      <c r="S123" s="7" t="n">
        <v>9</v>
      </c>
      <c r="T123" s="7" t="n">
        <v>14</v>
      </c>
      <c r="U123" s="7" t="n">
        <v>13</v>
      </c>
      <c r="V123" s="9" t="n">
        <v>2.0121412803532008</v>
      </c>
    </row>
    <row r="124">
      <c r="A124" s="7" t="s">
        <v>28</v>
      </c>
      <c r="B124" s="7" t="s">
        <v>46</v>
      </c>
      <c r="C124" s="7" t="s">
        <v>151</v>
      </c>
      <c r="D124" s="7" t="s">
        <v>31</v>
      </c>
      <c r="E124" s="8" t="n">
        <v>46082</v>
      </c>
      <c r="F124" s="7" t="n">
        <v>1823</v>
      </c>
      <c r="H124" s="7" t="n">
        <v>906</v>
      </c>
      <c r="I124" s="7" t="n">
        <v>917</v>
      </c>
      <c r="L124" s="7"/>
      <c r="S124" s="7" t="n">
        <v>9</v>
      </c>
      <c r="T124" s="7" t="n">
        <v>14</v>
      </c>
      <c r="U124" s="7" t="n">
        <v>13</v>
      </c>
      <c r="V124" s="9" t="n">
        <v>1.0121412803532008</v>
      </c>
    </row>
    <row r="125">
      <c r="A125" s="7" t="s">
        <v>28</v>
      </c>
      <c r="B125" s="7" t="s">
        <v>46</v>
      </c>
      <c r="C125" s="7" t="s">
        <v>151</v>
      </c>
      <c r="D125" s="7" t="s">
        <v>31</v>
      </c>
      <c r="E125" s="8" t="n">
        <v>46113</v>
      </c>
      <c r="F125" s="7" t="n">
        <v>917</v>
      </c>
      <c r="H125" s="7" t="n">
        <v>906</v>
      </c>
      <c r="I125" s="7" t="n">
        <v>4616</v>
      </c>
      <c r="J125" s="7" t="s">
        <v>2</v>
      </c>
      <c r="K125" s="7" t="s">
        <v>2</v>
      </c>
      <c r="L125" s="7" t="s">
        <v>4</v>
      </c>
      <c r="M125" s="7" t="n">
        <v>4605</v>
      </c>
      <c r="O125" s="7" t="n">
        <v>2321</v>
      </c>
      <c r="S125" s="7" t="n">
        <v>9</v>
      </c>
      <c r="T125" s="7" t="n">
        <v>14</v>
      </c>
      <c r="U125" s="7" t="n">
        <v>13</v>
      </c>
      <c r="V125" s="9" t="n">
        <v>5.0949227373068435</v>
      </c>
    </row>
    <row r="126">
      <c r="A126" s="7" t="s">
        <v>28</v>
      </c>
      <c r="B126" s="7" t="s">
        <v>46</v>
      </c>
      <c r="C126" s="7" t="s">
        <v>151</v>
      </c>
      <c r="D126" s="7" t="s">
        <v>31</v>
      </c>
      <c r="E126" s="8" t="n">
        <v>46143</v>
      </c>
      <c r="F126" s="7" t="n">
        <v>4616</v>
      </c>
      <c r="H126" s="7" t="n">
        <v>906</v>
      </c>
      <c r="I126" s="7" t="n">
        <v>3710</v>
      </c>
      <c r="L126" s="7"/>
      <c r="S126" s="7" t="n">
        <v>9</v>
      </c>
      <c r="T126" s="7" t="n">
        <v>14</v>
      </c>
      <c r="U126" s="7" t="n">
        <v>13</v>
      </c>
      <c r="V126" s="9" t="n">
        <v>4.0949227373068435</v>
      </c>
    </row>
    <row r="127">
      <c r="A127" s="7" t="s">
        <v>28</v>
      </c>
      <c r="B127" s="7" t="s">
        <v>46</v>
      </c>
      <c r="C127" s="7" t="s">
        <v>151</v>
      </c>
      <c r="D127" s="7" t="s">
        <v>31</v>
      </c>
      <c r="E127" s="8" t="n">
        <v>46174</v>
      </c>
      <c r="F127" s="7" t="n">
        <v>3710</v>
      </c>
      <c r="H127" s="7" t="n">
        <v>906</v>
      </c>
      <c r="I127" s="7" t="n">
        <v>2804</v>
      </c>
      <c r="L127" s="7"/>
      <c r="S127" s="7" t="n">
        <v>9</v>
      </c>
      <c r="T127" s="7" t="n">
        <v>14</v>
      </c>
      <c r="U127" s="7" t="n">
        <v>13</v>
      </c>
      <c r="V127" s="9" t="n">
        <v>3.0949227373068431</v>
      </c>
    </row>
    <row r="128">
      <c r="A128" s="7" t="s">
        <v>75</v>
      </c>
      <c r="B128" s="7" t="s">
        <v>46</v>
      </c>
      <c r="C128" s="7" t="s">
        <v>151</v>
      </c>
      <c r="D128" s="7" t="s">
        <v>31</v>
      </c>
      <c r="E128" s="8" t="n">
        <v>45748</v>
      </c>
      <c r="F128" s="7" t="n">
        <v>17844</v>
      </c>
      <c r="H128" s="7" t="n">
        <v>1662</v>
      </c>
      <c r="I128" s="7" t="n">
        <v>16182</v>
      </c>
      <c r="L128" s="7"/>
      <c r="V128" s="9" t="n">
        <v>9.7364620938628157</v>
      </c>
    </row>
    <row r="129">
      <c r="A129" s="7" t="s">
        <v>75</v>
      </c>
      <c r="B129" s="7" t="s">
        <v>46</v>
      </c>
      <c r="C129" s="7" t="s">
        <v>151</v>
      </c>
      <c r="D129" s="7" t="s">
        <v>31</v>
      </c>
      <c r="E129" s="8" t="n">
        <v>45778</v>
      </c>
      <c r="F129" s="7" t="n">
        <v>16182</v>
      </c>
      <c r="H129" s="7" t="n">
        <v>1665</v>
      </c>
      <c r="I129" s="7" t="n">
        <v>14517</v>
      </c>
      <c r="L129" s="7"/>
      <c r="V129" s="9" t="n">
        <v>8.7189189189189182</v>
      </c>
    </row>
    <row r="130">
      <c r="A130" s="7" t="s">
        <v>75</v>
      </c>
      <c r="B130" s="7" t="s">
        <v>46</v>
      </c>
      <c r="C130" s="7" t="s">
        <v>151</v>
      </c>
      <c r="D130" s="7" t="s">
        <v>31</v>
      </c>
      <c r="E130" s="8" t="n">
        <v>45809</v>
      </c>
      <c r="F130" s="7" t="n">
        <v>14517</v>
      </c>
      <c r="H130" s="7" t="n">
        <v>1668</v>
      </c>
      <c r="I130" s="7" t="n">
        <v>12849</v>
      </c>
      <c r="L130" s="7"/>
      <c r="V130" s="9" t="n">
        <v>7.7032374100719423</v>
      </c>
    </row>
    <row r="131">
      <c r="A131" s="7" t="s">
        <v>75</v>
      </c>
      <c r="B131" s="7" t="s">
        <v>46</v>
      </c>
      <c r="C131" s="7" t="s">
        <v>151</v>
      </c>
      <c r="D131" s="7" t="s">
        <v>31</v>
      </c>
      <c r="E131" s="8" t="n">
        <v>45839</v>
      </c>
      <c r="F131" s="7" t="n">
        <v>12849</v>
      </c>
      <c r="H131" s="7" t="n">
        <v>1671</v>
      </c>
      <c r="I131" s="7" t="n">
        <v>11178</v>
      </c>
      <c r="L131" s="7"/>
      <c r="S131" s="7" t="n">
        <v>7</v>
      </c>
      <c r="T131" s="7" t="n">
        <v>15</v>
      </c>
      <c r="U131" s="7" t="n">
        <v>15</v>
      </c>
      <c r="V131" s="9" t="n">
        <v>6.6894075403949733</v>
      </c>
    </row>
    <row r="132">
      <c r="A132" s="7" t="s">
        <v>75</v>
      </c>
      <c r="B132" s="7" t="s">
        <v>46</v>
      </c>
      <c r="C132" s="7" t="s">
        <v>151</v>
      </c>
      <c r="D132" s="7" t="s">
        <v>31</v>
      </c>
      <c r="E132" s="8" t="n">
        <v>45870</v>
      </c>
      <c r="F132" s="7" t="n">
        <v>11178</v>
      </c>
      <c r="H132" s="7" t="n">
        <v>1674</v>
      </c>
      <c r="I132" s="7" t="n">
        <v>17504</v>
      </c>
      <c r="L132" s="7" t="s">
        <v>152</v>
      </c>
      <c r="M132" s="7" t="n">
        <v>8000</v>
      </c>
      <c r="S132" s="7" t="n">
        <v>7</v>
      </c>
      <c r="T132" s="7" t="n">
        <v>15</v>
      </c>
      <c r="U132" s="7" t="n">
        <v>15</v>
      </c>
      <c r="V132" s="9" t="n">
        <v>10.456391875746714</v>
      </c>
    </row>
    <row r="133">
      <c r="A133" s="7" t="s">
        <v>75</v>
      </c>
      <c r="B133" s="7" t="s">
        <v>46</v>
      </c>
      <c r="C133" s="7" t="s">
        <v>151</v>
      </c>
      <c r="D133" s="7" t="s">
        <v>31</v>
      </c>
      <c r="E133" s="8" t="n">
        <v>45901</v>
      </c>
      <c r="F133" s="7" t="n">
        <v>17504</v>
      </c>
      <c r="H133" s="7" t="n">
        <v>1677</v>
      </c>
      <c r="I133" s="7" t="n">
        <v>15827</v>
      </c>
      <c r="L133" s="7"/>
      <c r="S133" s="7" t="n">
        <v>7</v>
      </c>
      <c r="T133" s="7" t="n">
        <v>15</v>
      </c>
      <c r="U133" s="7" t="n">
        <v>15</v>
      </c>
      <c r="V133" s="9" t="n">
        <v>9.4376863446630885</v>
      </c>
    </row>
    <row r="134">
      <c r="A134" s="7" t="s">
        <v>75</v>
      </c>
      <c r="B134" s="7" t="s">
        <v>46</v>
      </c>
      <c r="C134" s="7" t="s">
        <v>151</v>
      </c>
      <c r="D134" s="7" t="s">
        <v>31</v>
      </c>
      <c r="E134" s="8" t="n">
        <v>45931</v>
      </c>
      <c r="F134" s="7" t="n">
        <v>15827</v>
      </c>
      <c r="H134" s="7" t="n">
        <v>1680</v>
      </c>
      <c r="I134" s="7" t="n">
        <v>14147</v>
      </c>
      <c r="L134" s="7"/>
      <c r="S134" s="7" t="n">
        <v>7</v>
      </c>
      <c r="T134" s="7" t="n">
        <v>15</v>
      </c>
      <c r="U134" s="7" t="n">
        <v>15</v>
      </c>
      <c r="V134" s="9" t="n">
        <v>8.4208333333333325</v>
      </c>
    </row>
    <row r="135">
      <c r="A135" s="7" t="s">
        <v>75</v>
      </c>
      <c r="B135" s="7" t="s">
        <v>46</v>
      </c>
      <c r="C135" s="7" t="s">
        <v>151</v>
      </c>
      <c r="D135" s="7" t="s">
        <v>31</v>
      </c>
      <c r="E135" s="8" t="n">
        <v>45962</v>
      </c>
      <c r="F135" s="7" t="n">
        <v>14147</v>
      </c>
      <c r="H135" s="7" t="n">
        <v>1682</v>
      </c>
      <c r="I135" s="7" t="n">
        <v>12465</v>
      </c>
      <c r="L135" s="7"/>
      <c r="S135" s="7" t="n">
        <v>7</v>
      </c>
      <c r="T135" s="7" t="n">
        <v>15</v>
      </c>
      <c r="U135" s="7" t="n">
        <v>15</v>
      </c>
      <c r="V135" s="9" t="n">
        <v>7.4108204518430441</v>
      </c>
    </row>
    <row r="136">
      <c r="A136" s="7" t="s">
        <v>75</v>
      </c>
      <c r="B136" s="7" t="s">
        <v>46</v>
      </c>
      <c r="C136" s="7" t="s">
        <v>151</v>
      </c>
      <c r="D136" s="7" t="s">
        <v>31</v>
      </c>
      <c r="E136" s="8" t="n">
        <v>45992</v>
      </c>
      <c r="F136" s="7" t="n">
        <v>12465</v>
      </c>
      <c r="H136" s="7" t="n">
        <v>1685</v>
      </c>
      <c r="I136" s="7" t="n">
        <v>25130</v>
      </c>
      <c r="L136" s="7" t="s">
        <v>4</v>
      </c>
      <c r="M136" s="7" t="n">
        <v>14350</v>
      </c>
      <c r="S136" s="7" t="n">
        <v>7</v>
      </c>
      <c r="T136" s="7" t="n">
        <v>15</v>
      </c>
      <c r="U136" s="7" t="n">
        <v>15</v>
      </c>
      <c r="V136" s="9" t="n">
        <v>14.913946587537092</v>
      </c>
    </row>
    <row r="137">
      <c r="A137" s="7" t="s">
        <v>75</v>
      </c>
      <c r="B137" s="7" t="s">
        <v>46</v>
      </c>
      <c r="C137" s="7" t="s">
        <v>151</v>
      </c>
      <c r="D137" s="7" t="s">
        <v>31</v>
      </c>
      <c r="E137" s="8" t="n">
        <v>46023</v>
      </c>
      <c r="F137" s="7" t="n">
        <v>25130</v>
      </c>
      <c r="H137" s="7" t="n">
        <v>1685</v>
      </c>
      <c r="I137" s="7" t="n">
        <v>23445</v>
      </c>
      <c r="L137" s="7"/>
      <c r="S137" s="7" t="n">
        <v>7</v>
      </c>
      <c r="T137" s="7" t="n">
        <v>15</v>
      </c>
      <c r="U137" s="7" t="n">
        <v>15</v>
      </c>
      <c r="V137" s="9" t="n">
        <v>13.913946587537092</v>
      </c>
    </row>
    <row r="138">
      <c r="A138" s="7" t="s">
        <v>75</v>
      </c>
      <c r="B138" s="7" t="s">
        <v>46</v>
      </c>
      <c r="C138" s="7" t="s">
        <v>151</v>
      </c>
      <c r="D138" s="7" t="s">
        <v>31</v>
      </c>
      <c r="E138" s="8" t="n">
        <v>46054</v>
      </c>
      <c r="F138" s="7" t="n">
        <v>23445</v>
      </c>
      <c r="H138" s="7" t="n">
        <v>1685</v>
      </c>
      <c r="I138" s="7" t="n">
        <v>21760</v>
      </c>
      <c r="L138" s="7"/>
      <c r="S138" s="7" t="n">
        <v>7</v>
      </c>
      <c r="T138" s="7" t="n">
        <v>15</v>
      </c>
      <c r="U138" s="7" t="n">
        <v>15</v>
      </c>
      <c r="V138" s="9" t="n">
        <v>12.913946587537092</v>
      </c>
    </row>
    <row r="139">
      <c r="A139" s="7" t="s">
        <v>75</v>
      </c>
      <c r="B139" s="7" t="s">
        <v>46</v>
      </c>
      <c r="C139" s="7" t="s">
        <v>151</v>
      </c>
      <c r="D139" s="7" t="s">
        <v>31</v>
      </c>
      <c r="E139" s="8" t="n">
        <v>46082</v>
      </c>
      <c r="F139" s="7" t="n">
        <v>21760</v>
      </c>
      <c r="H139" s="7" t="n">
        <v>1685</v>
      </c>
      <c r="I139" s="7" t="n">
        <v>20075</v>
      </c>
      <c r="L139" s="7"/>
      <c r="S139" s="7" t="n">
        <v>7</v>
      </c>
      <c r="T139" s="7" t="n">
        <v>15</v>
      </c>
      <c r="U139" s="7" t="n">
        <v>15</v>
      </c>
      <c r="V139" s="9" t="n">
        <v>11.913946587537092</v>
      </c>
    </row>
    <row r="140">
      <c r="A140" s="7" t="s">
        <v>75</v>
      </c>
      <c r="B140" s="7" t="s">
        <v>46</v>
      </c>
      <c r="C140" s="7" t="s">
        <v>151</v>
      </c>
      <c r="D140" s="7" t="s">
        <v>31</v>
      </c>
      <c r="E140" s="8" t="n">
        <v>46113</v>
      </c>
      <c r="F140" s="7" t="n">
        <v>20075</v>
      </c>
      <c r="H140" s="7" t="n">
        <v>1685</v>
      </c>
      <c r="I140" s="7" t="n">
        <v>18390</v>
      </c>
      <c r="L140" s="7"/>
      <c r="S140" s="7" t="n">
        <v>7</v>
      </c>
      <c r="T140" s="7" t="n">
        <v>15</v>
      </c>
      <c r="U140" s="7" t="n">
        <v>15</v>
      </c>
      <c r="V140" s="9" t="n">
        <v>10.913946587537092</v>
      </c>
    </row>
    <row r="141">
      <c r="A141" s="7" t="s">
        <v>75</v>
      </c>
      <c r="B141" s="7" t="s">
        <v>46</v>
      </c>
      <c r="C141" s="7" t="s">
        <v>151</v>
      </c>
      <c r="D141" s="7" t="s">
        <v>31</v>
      </c>
      <c r="E141" s="8" t="n">
        <v>46143</v>
      </c>
      <c r="F141" s="7" t="n">
        <v>18390</v>
      </c>
      <c r="H141" s="7" t="n">
        <v>1685</v>
      </c>
      <c r="I141" s="7" t="n">
        <v>16705</v>
      </c>
      <c r="L141" s="7"/>
      <c r="S141" s="7" t="n">
        <v>7</v>
      </c>
      <c r="T141" s="7" t="n">
        <v>15</v>
      </c>
      <c r="U141" s="7" t="n">
        <v>15</v>
      </c>
      <c r="V141" s="9" t="n">
        <v>9.913946587537092</v>
      </c>
    </row>
    <row r="142">
      <c r="A142" s="7" t="s">
        <v>75</v>
      </c>
      <c r="B142" s="7" t="s">
        <v>46</v>
      </c>
      <c r="C142" s="7" t="s">
        <v>151</v>
      </c>
      <c r="D142" s="7" t="s">
        <v>31</v>
      </c>
      <c r="E142" s="8" t="n">
        <v>46174</v>
      </c>
      <c r="F142" s="7" t="n">
        <v>16705</v>
      </c>
      <c r="H142" s="7" t="n">
        <v>1685</v>
      </c>
      <c r="I142" s="7" t="n">
        <v>15020</v>
      </c>
      <c r="L142" s="7"/>
      <c r="S142" s="7" t="n">
        <v>7</v>
      </c>
      <c r="T142" s="7" t="n">
        <v>15</v>
      </c>
      <c r="U142" s="7" t="n">
        <v>15</v>
      </c>
      <c r="V142" s="9" t="n">
        <v>8.913946587537092</v>
      </c>
    </row>
    <row r="143">
      <c r="A143" s="7" t="s">
        <v>75</v>
      </c>
      <c r="B143" s="7" t="s">
        <v>46</v>
      </c>
      <c r="C143" s="7" t="s">
        <v>151</v>
      </c>
      <c r="D143" s="7" t="s">
        <v>31</v>
      </c>
      <c r="E143" s="8" t="n">
        <v>46204</v>
      </c>
      <c r="F143" s="7" t="n">
        <v>15020</v>
      </c>
      <c r="H143" s="7" t="n">
        <v>1685</v>
      </c>
      <c r="I143" s="7" t="n">
        <v>13335</v>
      </c>
      <c r="L143" s="7"/>
      <c r="S143" s="7" t="n">
        <v>7</v>
      </c>
      <c r="T143" s="7" t="n">
        <v>15</v>
      </c>
      <c r="U143" s="7" t="n">
        <v>15</v>
      </c>
      <c r="V143" s="9" t="n">
        <v>7.913946587537092</v>
      </c>
    </row>
    <row r="144">
      <c r="A144" s="7" t="s">
        <v>75</v>
      </c>
      <c r="B144" s="7" t="s">
        <v>46</v>
      </c>
      <c r="C144" s="7" t="s">
        <v>151</v>
      </c>
      <c r="D144" s="7" t="s">
        <v>31</v>
      </c>
      <c r="E144" s="8" t="n">
        <v>46235</v>
      </c>
      <c r="F144" s="7" t="n">
        <v>13335</v>
      </c>
      <c r="H144" s="7" t="n">
        <v>1685</v>
      </c>
      <c r="I144" s="7" t="n">
        <v>25275</v>
      </c>
      <c r="L144" s="7" t="s">
        <v>4</v>
      </c>
      <c r="M144" s="7" t="n">
        <v>13625</v>
      </c>
      <c r="S144" s="7" t="n">
        <v>7</v>
      </c>
      <c r="T144" s="7" t="n">
        <v>15</v>
      </c>
      <c r="U144" s="7" t="n">
        <v>15</v>
      </c>
      <c r="V144" s="9" t="n">
        <v>15</v>
      </c>
    </row>
    <row r="145">
      <c r="A145" s="7" t="s">
        <v>75</v>
      </c>
      <c r="B145" s="7" t="s">
        <v>46</v>
      </c>
      <c r="C145" s="7" t="s">
        <v>151</v>
      </c>
      <c r="D145" s="7" t="s">
        <v>31</v>
      </c>
      <c r="E145" s="8" t="n">
        <v>46266</v>
      </c>
      <c r="F145" s="7" t="n">
        <v>25275</v>
      </c>
      <c r="H145" s="7" t="n">
        <v>1685</v>
      </c>
      <c r="I145" s="7" t="n">
        <v>23590</v>
      </c>
      <c r="L145" s="7"/>
      <c r="S145" s="7" t="n">
        <v>7</v>
      </c>
      <c r="T145" s="7" t="n">
        <v>15</v>
      </c>
      <c r="U145" s="7" t="n">
        <v>15</v>
      </c>
      <c r="V145" s="9" t="n">
        <v>14</v>
      </c>
    </row>
    <row r="146">
      <c r="A146" s="7" t="s">
        <v>76</v>
      </c>
      <c r="B146" s="7" t="s">
        <v>46</v>
      </c>
      <c r="C146" s="7" t="s">
        <v>151</v>
      </c>
      <c r="D146" s="7" t="s">
        <v>31</v>
      </c>
      <c r="E146" s="8" t="n">
        <v>45748</v>
      </c>
      <c r="F146" s="7" t="n">
        <v>1193</v>
      </c>
      <c r="H146" s="7" t="n">
        <v>5693</v>
      </c>
      <c r="I146" s="7" t="n">
        <v>0</v>
      </c>
      <c r="L146" s="7"/>
      <c r="S146" s="7" t="n">
        <v>3</v>
      </c>
      <c r="T146" s="7" t="n">
        <v>6</v>
      </c>
      <c r="U146" s="7" t="n">
        <v>6</v>
      </c>
      <c r="V146" s="9" t="n">
        <v>0</v>
      </c>
    </row>
    <row r="147">
      <c r="A147" s="7" t="s">
        <v>76</v>
      </c>
      <c r="B147" s="7" t="s">
        <v>46</v>
      </c>
      <c r="C147" s="7" t="s">
        <v>151</v>
      </c>
      <c r="D147" s="7" t="s">
        <v>31</v>
      </c>
      <c r="E147" s="8" t="n">
        <v>45778</v>
      </c>
      <c r="F147" s="7" t="n">
        <v>23590</v>
      </c>
      <c r="H147" s="7" t="n">
        <v>5693</v>
      </c>
      <c r="I147" s="7" t="n">
        <v>17897</v>
      </c>
      <c r="L147" s="7"/>
      <c r="S147" s="7" t="n">
        <v>3</v>
      </c>
      <c r="T147" s="7" t="n">
        <v>6</v>
      </c>
      <c r="U147" s="7" t="n">
        <v>6</v>
      </c>
      <c r="V147" s="9" t="n">
        <v>3.1436852274723344</v>
      </c>
    </row>
    <row r="148">
      <c r="A148" s="7" t="s">
        <v>76</v>
      </c>
      <c r="B148" s="7" t="s">
        <v>46</v>
      </c>
      <c r="C148" s="7" t="s">
        <v>151</v>
      </c>
      <c r="D148" s="7" t="s">
        <v>31</v>
      </c>
      <c r="E148" s="8" t="n">
        <v>45809</v>
      </c>
      <c r="F148" s="7" t="n">
        <v>0</v>
      </c>
      <c r="H148" s="7" t="n">
        <v>5693</v>
      </c>
      <c r="I148" s="7" t="n">
        <v>0</v>
      </c>
      <c r="L148" s="7"/>
      <c r="S148" s="7" t="n">
        <v>3</v>
      </c>
      <c r="T148" s="7" t="n">
        <v>6</v>
      </c>
      <c r="U148" s="7" t="n">
        <v>6</v>
      </c>
      <c r="V148" s="9" t="n">
        <v>0</v>
      </c>
    </row>
    <row r="149">
      <c r="A149" s="7" t="s">
        <v>76</v>
      </c>
      <c r="B149" s="7" t="s">
        <v>46</v>
      </c>
      <c r="C149" s="7" t="s">
        <v>151</v>
      </c>
      <c r="D149" s="7" t="s">
        <v>31</v>
      </c>
      <c r="E149" s="8" t="n">
        <v>45839</v>
      </c>
      <c r="F149" s="7" t="n">
        <v>17897</v>
      </c>
      <c r="H149" s="7" t="n">
        <v>5693</v>
      </c>
      <c r="I149" s="7" t="n">
        <v>12204</v>
      </c>
      <c r="L149" s="7"/>
      <c r="S149" s="7" t="n">
        <v>3</v>
      </c>
      <c r="T149" s="7" t="n">
        <v>6</v>
      </c>
      <c r="U149" s="7" t="n">
        <v>6</v>
      </c>
      <c r="V149" s="9" t="n">
        <v>2.1436852274723344</v>
      </c>
    </row>
    <row r="150">
      <c r="A150" s="7" t="s">
        <v>76</v>
      </c>
      <c r="B150" s="7" t="s">
        <v>46</v>
      </c>
      <c r="C150" s="7" t="s">
        <v>151</v>
      </c>
      <c r="D150" s="7" t="s">
        <v>31</v>
      </c>
      <c r="E150" s="8" t="n">
        <v>45870</v>
      </c>
      <c r="F150" s="7" t="n">
        <v>0</v>
      </c>
      <c r="H150" s="7" t="n">
        <v>5693</v>
      </c>
      <c r="I150" s="7" t="n">
        <v>0</v>
      </c>
      <c r="L150" s="7"/>
      <c r="S150" s="7" t="n">
        <v>3</v>
      </c>
      <c r="T150" s="7" t="n">
        <v>6</v>
      </c>
      <c r="U150" s="7" t="n">
        <v>6</v>
      </c>
      <c r="V150" s="9" t="n">
        <v>0</v>
      </c>
    </row>
    <row r="151">
      <c r="A151" s="7" t="s">
        <v>76</v>
      </c>
      <c r="B151" s="7" t="s">
        <v>46</v>
      </c>
      <c r="C151" s="7" t="s">
        <v>151</v>
      </c>
      <c r="D151" s="7" t="s">
        <v>31</v>
      </c>
      <c r="E151" s="8" t="n">
        <v>45901</v>
      </c>
      <c r="F151" s="7" t="n">
        <v>12204</v>
      </c>
      <c r="H151" s="7" t="n">
        <v>5693</v>
      </c>
      <c r="I151" s="7" t="n">
        <v>6511</v>
      </c>
      <c r="L151" s="7"/>
      <c r="S151" s="7" t="n">
        <v>3</v>
      </c>
      <c r="T151" s="7" t="n">
        <v>6</v>
      </c>
      <c r="U151" s="7" t="n">
        <v>6</v>
      </c>
      <c r="V151" s="9" t="n">
        <v>1.1436852274723344</v>
      </c>
    </row>
    <row r="152">
      <c r="A152" s="7" t="s">
        <v>76</v>
      </c>
      <c r="B152" s="7" t="s">
        <v>46</v>
      </c>
      <c r="C152" s="7" t="s">
        <v>151</v>
      </c>
      <c r="D152" s="7" t="s">
        <v>31</v>
      </c>
      <c r="E152" s="8" t="n">
        <v>45931</v>
      </c>
      <c r="F152" s="7" t="n">
        <v>0</v>
      </c>
      <c r="H152" s="7" t="n">
        <v>5693</v>
      </c>
      <c r="I152" s="7" t="n">
        <v>0</v>
      </c>
      <c r="L152" s="7"/>
      <c r="S152" s="7" t="n">
        <v>3</v>
      </c>
      <c r="T152" s="7" t="n">
        <v>6</v>
      </c>
      <c r="U152" s="7" t="n">
        <v>6</v>
      </c>
      <c r="V152" s="9" t="n">
        <v>0</v>
      </c>
    </row>
    <row r="153">
      <c r="A153" s="7" t="s">
        <v>76</v>
      </c>
      <c r="B153" s="7" t="s">
        <v>46</v>
      </c>
      <c r="C153" s="7" t="s">
        <v>151</v>
      </c>
      <c r="D153" s="7" t="s">
        <v>31</v>
      </c>
      <c r="E153" s="8" t="n">
        <v>45962</v>
      </c>
      <c r="F153" s="7" t="n">
        <v>6511</v>
      </c>
      <c r="H153" s="7" t="n">
        <v>5693</v>
      </c>
      <c r="I153" s="7" t="n">
        <v>818</v>
      </c>
      <c r="L153" s="7"/>
      <c r="S153" s="7" t="n">
        <v>3</v>
      </c>
      <c r="T153" s="7" t="n">
        <v>6</v>
      </c>
      <c r="U153" s="7" t="n">
        <v>6</v>
      </c>
      <c r="V153" s="9" t="n">
        <v>0.14368522747233445</v>
      </c>
    </row>
    <row r="154">
      <c r="A154" s="7" t="s">
        <v>76</v>
      </c>
      <c r="B154" s="7" t="s">
        <v>46</v>
      </c>
      <c r="C154" s="7" t="s">
        <v>151</v>
      </c>
      <c r="D154" s="7" t="s">
        <v>31</v>
      </c>
      <c r="E154" s="8" t="n">
        <v>45992</v>
      </c>
      <c r="F154" s="7" t="n">
        <v>0</v>
      </c>
      <c r="H154" s="7" t="n">
        <v>5693</v>
      </c>
      <c r="I154" s="7" t="n">
        <v>0</v>
      </c>
      <c r="L154" s="7"/>
      <c r="S154" s="7" t="n">
        <v>3</v>
      </c>
      <c r="T154" s="7" t="n">
        <v>6</v>
      </c>
      <c r="U154" s="7" t="n">
        <v>6</v>
      </c>
      <c r="V154" s="9" t="n">
        <v>0</v>
      </c>
    </row>
    <row r="155">
      <c r="A155" s="7" t="s">
        <v>76</v>
      </c>
      <c r="B155" s="7" t="s">
        <v>46</v>
      </c>
      <c r="C155" s="7" t="s">
        <v>151</v>
      </c>
      <c r="D155" s="7" t="s">
        <v>31</v>
      </c>
      <c r="E155" s="8" t="n">
        <v>46023</v>
      </c>
      <c r="F155" s="7" t="n">
        <v>818</v>
      </c>
      <c r="H155" s="7" t="n">
        <v>14161</v>
      </c>
      <c r="I155" s="7" t="n">
        <v>0</v>
      </c>
      <c r="L155" s="7"/>
      <c r="S155" s="7" t="n">
        <v>3</v>
      </c>
      <c r="T155" s="7" t="n">
        <v>6</v>
      </c>
      <c r="U155" s="7" t="n">
        <v>6</v>
      </c>
      <c r="V155" s="9" t="n">
        <v>0</v>
      </c>
    </row>
    <row r="156">
      <c r="A156" s="7" t="s">
        <v>76</v>
      </c>
      <c r="B156" s="7" t="s">
        <v>46</v>
      </c>
      <c r="C156" s="7" t="s">
        <v>151</v>
      </c>
      <c r="D156" s="7" t="s">
        <v>31</v>
      </c>
      <c r="E156" s="8" t="n">
        <v>46054</v>
      </c>
      <c r="F156" s="7" t="n">
        <v>0</v>
      </c>
      <c r="H156" s="7" t="n">
        <v>14161</v>
      </c>
      <c r="I156" s="7" t="n">
        <v>0</v>
      </c>
      <c r="L156" s="7"/>
      <c r="S156" s="7" t="n">
        <v>3</v>
      </c>
      <c r="T156" s="7" t="n">
        <v>6</v>
      </c>
      <c r="U156" s="7" t="n">
        <v>6</v>
      </c>
      <c r="V156" s="9" t="n">
        <v>0</v>
      </c>
    </row>
    <row r="157">
      <c r="A157" s="7" t="s">
        <v>76</v>
      </c>
      <c r="B157" s="7" t="s">
        <v>46</v>
      </c>
      <c r="C157" s="7" t="s">
        <v>151</v>
      </c>
      <c r="D157" s="7" t="s">
        <v>31</v>
      </c>
      <c r="E157" s="8" t="n">
        <v>46082</v>
      </c>
      <c r="F157" s="7" t="n">
        <v>0</v>
      </c>
      <c r="H157" s="7" t="n">
        <v>14161</v>
      </c>
      <c r="I157" s="7" t="n">
        <v>0</v>
      </c>
      <c r="L157" s="7"/>
      <c r="S157" s="7" t="n">
        <v>3</v>
      </c>
      <c r="T157" s="7" t="n">
        <v>6</v>
      </c>
      <c r="U157" s="7" t="n">
        <v>6</v>
      </c>
      <c r="V157" s="9" t="n">
        <v>0</v>
      </c>
    </row>
    <row r="158">
      <c r="A158" s="7" t="s">
        <v>76</v>
      </c>
      <c r="B158" s="7" t="s">
        <v>46</v>
      </c>
      <c r="C158" s="7" t="s">
        <v>151</v>
      </c>
      <c r="D158" s="7" t="s">
        <v>31</v>
      </c>
      <c r="E158" s="8" t="n">
        <v>46113</v>
      </c>
      <c r="F158" s="7" t="n">
        <v>0</v>
      </c>
      <c r="H158" s="7" t="n">
        <v>14161</v>
      </c>
      <c r="I158" s="7" t="n">
        <v>0</v>
      </c>
      <c r="L158" s="7"/>
      <c r="S158" s="7" t="n">
        <v>3</v>
      </c>
      <c r="T158" s="7" t="n">
        <v>6</v>
      </c>
      <c r="U158" s="7" t="n">
        <v>6</v>
      </c>
      <c r="V158" s="9" t="n">
        <v>0</v>
      </c>
    </row>
    <row r="159">
      <c r="A159" s="7" t="s">
        <v>76</v>
      </c>
      <c r="B159" s="7" t="s">
        <v>46</v>
      </c>
      <c r="C159" s="7" t="s">
        <v>151</v>
      </c>
      <c r="D159" s="7" t="s">
        <v>31</v>
      </c>
      <c r="E159" s="8" t="n">
        <v>46143</v>
      </c>
      <c r="F159" s="7" t="n">
        <v>0</v>
      </c>
      <c r="H159" s="7" t="n">
        <v>14161</v>
      </c>
      <c r="I159" s="7" t="n">
        <v>0</v>
      </c>
      <c r="L159" s="7"/>
      <c r="S159" s="7" t="n">
        <v>3</v>
      </c>
      <c r="T159" s="7" t="n">
        <v>6</v>
      </c>
      <c r="U159" s="7" t="n">
        <v>6</v>
      </c>
      <c r="V159" s="9" t="n">
        <v>0</v>
      </c>
    </row>
    <row r="160">
      <c r="A160" s="7" t="s">
        <v>76</v>
      </c>
      <c r="B160" s="7" t="s">
        <v>46</v>
      </c>
      <c r="C160" s="7" t="s">
        <v>151</v>
      </c>
      <c r="D160" s="7" t="s">
        <v>31</v>
      </c>
      <c r="E160" s="8" t="n">
        <v>46174</v>
      </c>
      <c r="F160" s="7" t="n">
        <v>0</v>
      </c>
      <c r="H160" s="7" t="n">
        <v>14161</v>
      </c>
      <c r="I160" s="7" t="n">
        <v>0</v>
      </c>
      <c r="L160" s="7"/>
      <c r="S160" s="7" t="n">
        <v>3</v>
      </c>
      <c r="T160" s="7" t="n">
        <v>6</v>
      </c>
      <c r="U160" s="7" t="n">
        <v>6</v>
      </c>
      <c r="V160" s="9" t="n">
        <v>0</v>
      </c>
    </row>
    <row r="161">
      <c r="A161" s="7" t="s">
        <v>76</v>
      </c>
      <c r="B161" s="7" t="s">
        <v>46</v>
      </c>
      <c r="C161" s="7" t="s">
        <v>151</v>
      </c>
      <c r="D161" s="7" t="s">
        <v>31</v>
      </c>
      <c r="E161" s="8" t="n">
        <v>46204</v>
      </c>
      <c r="F161" s="7" t="n">
        <v>0</v>
      </c>
      <c r="H161" s="7" t="n">
        <v>14161</v>
      </c>
      <c r="I161" s="7" t="n">
        <v>0</v>
      </c>
      <c r="L161" s="7"/>
      <c r="S161" s="7" t="n">
        <v>3</v>
      </c>
      <c r="T161" s="7" t="n">
        <v>6</v>
      </c>
      <c r="U161" s="7" t="n">
        <v>6</v>
      </c>
      <c r="V161" s="9" t="n">
        <v>0</v>
      </c>
    </row>
    <row r="162">
      <c r="A162" s="7" t="s">
        <v>76</v>
      </c>
      <c r="B162" s="7" t="s">
        <v>46</v>
      </c>
      <c r="C162" s="7" t="s">
        <v>151</v>
      </c>
      <c r="D162" s="7" t="s">
        <v>31</v>
      </c>
      <c r="E162" s="8" t="n">
        <v>46235</v>
      </c>
      <c r="F162" s="7" t="n">
        <v>0</v>
      </c>
      <c r="H162" s="7" t="n">
        <v>14161</v>
      </c>
      <c r="I162" s="7" t="n">
        <v>0</v>
      </c>
      <c r="L162" s="7"/>
      <c r="S162" s="7" t="n">
        <v>3</v>
      </c>
      <c r="T162" s="7" t="n">
        <v>6</v>
      </c>
      <c r="U162" s="7" t="n">
        <v>6</v>
      </c>
      <c r="V162" s="9" t="n">
        <v>0</v>
      </c>
    </row>
    <row r="163">
      <c r="A163" s="7" t="s">
        <v>76</v>
      </c>
      <c r="B163" s="7" t="s">
        <v>46</v>
      </c>
      <c r="C163" s="7" t="s">
        <v>151</v>
      </c>
      <c r="D163" s="7" t="s">
        <v>31</v>
      </c>
      <c r="E163" s="8" t="n">
        <v>46266</v>
      </c>
      <c r="F163" s="7" t="n">
        <v>0</v>
      </c>
      <c r="H163" s="7" t="n">
        <v>14161</v>
      </c>
      <c r="I163" s="7" t="n">
        <v>0</v>
      </c>
      <c r="L163" s="7"/>
      <c r="S163" s="7" t="n">
        <v>3</v>
      </c>
      <c r="T163" s="7" t="n">
        <v>6</v>
      </c>
      <c r="U163" s="7" t="n">
        <v>6</v>
      </c>
      <c r="V163" s="9" t="n">
        <v>0</v>
      </c>
    </row>
    <row r="164">
      <c r="A164" s="7" t="s">
        <v>76</v>
      </c>
      <c r="B164" s="7" t="s">
        <v>46</v>
      </c>
      <c r="C164" s="7" t="s">
        <v>151</v>
      </c>
      <c r="D164" s="7" t="s">
        <v>31</v>
      </c>
      <c r="E164" s="8" t="n">
        <v>46296</v>
      </c>
      <c r="F164" s="7" t="n">
        <v>0</v>
      </c>
      <c r="H164" s="7" t="n">
        <v>14161</v>
      </c>
      <c r="I164" s="7" t="n">
        <v>0</v>
      </c>
      <c r="L164" s="7"/>
      <c r="S164" s="7" t="n">
        <v>3</v>
      </c>
      <c r="T164" s="7" t="n">
        <v>6</v>
      </c>
      <c r="U164" s="7" t="n">
        <v>6</v>
      </c>
      <c r="V164" s="9" t="n">
        <v>0</v>
      </c>
    </row>
    <row r="165">
      <c r="A165" s="7" t="s">
        <v>76</v>
      </c>
      <c r="B165" s="7" t="s">
        <v>46</v>
      </c>
      <c r="C165" s="7" t="s">
        <v>151</v>
      </c>
      <c r="D165" s="7" t="s">
        <v>31</v>
      </c>
      <c r="E165" s="8" t="n">
        <v>46327</v>
      </c>
      <c r="F165" s="7" t="n">
        <v>0</v>
      </c>
      <c r="H165" s="7" t="n">
        <v>14161</v>
      </c>
      <c r="I165" s="7" t="n">
        <v>0</v>
      </c>
      <c r="L165" s="7"/>
      <c r="S165" s="7" t="n">
        <v>3</v>
      </c>
      <c r="T165" s="7" t="n">
        <v>6</v>
      </c>
      <c r="U165" s="7" t="n">
        <v>6</v>
      </c>
      <c r="V165" s="9" t="n">
        <v>0</v>
      </c>
    </row>
    <row r="166">
      <c r="A166" s="7" t="s">
        <v>76</v>
      </c>
      <c r="B166" s="7" t="s">
        <v>46</v>
      </c>
      <c r="C166" s="7" t="s">
        <v>151</v>
      </c>
      <c r="D166" s="7" t="s">
        <v>31</v>
      </c>
      <c r="E166" s="8" t="n">
        <v>46357</v>
      </c>
      <c r="F166" s="7" t="n">
        <v>0</v>
      </c>
      <c r="H166" s="7" t="n">
        <v>14161</v>
      </c>
      <c r="I166" s="7" t="n">
        <v>0</v>
      </c>
      <c r="L166" s="7"/>
      <c r="S166" s="7" t="n">
        <v>3</v>
      </c>
      <c r="T166" s="7" t="n">
        <v>6</v>
      </c>
      <c r="U166" s="7" t="n">
        <v>6</v>
      </c>
      <c r="V166" s="9" t="n">
        <v>0</v>
      </c>
    </row>
    <row r="167">
      <c r="A167" s="7" t="s">
        <v>72</v>
      </c>
      <c r="B167" s="7" t="s">
        <v>46</v>
      </c>
      <c r="C167" s="7" t="s">
        <v>151</v>
      </c>
      <c r="D167" s="7" t="s">
        <v>31</v>
      </c>
      <c r="E167" s="8" t="n">
        <v>45689</v>
      </c>
      <c r="F167" s="7" t="n">
        <v>14632</v>
      </c>
      <c r="G167" s="7" t="n">
        <v>988</v>
      </c>
      <c r="H167" s="7" t="n">
        <v>1785</v>
      </c>
      <c r="I167" s="7" t="n">
        <v>12847</v>
      </c>
      <c r="L167" s="7"/>
      <c r="S167" s="7" t="n">
        <v>6</v>
      </c>
      <c r="T167" s="7" t="n">
        <v>12</v>
      </c>
      <c r="U167" s="7" t="n">
        <v>12</v>
      </c>
      <c r="V167" s="9" t="n">
        <v>7.1971988795518209</v>
      </c>
    </row>
    <row r="168">
      <c r="A168" s="7" t="s">
        <v>72</v>
      </c>
      <c r="B168" s="7" t="s">
        <v>46</v>
      </c>
      <c r="C168" s="7" t="s">
        <v>151</v>
      </c>
      <c r="D168" s="7" t="s">
        <v>31</v>
      </c>
      <c r="E168" s="8" t="n">
        <v>45717</v>
      </c>
      <c r="F168" s="7" t="n">
        <v>12847</v>
      </c>
      <c r="G168" s="7" t="n">
        <v>670</v>
      </c>
      <c r="H168" s="7" t="n">
        <v>1785</v>
      </c>
      <c r="I168" s="7" t="n">
        <v>11062</v>
      </c>
      <c r="L168" s="7"/>
      <c r="S168" s="7" t="n">
        <v>6</v>
      </c>
      <c r="T168" s="7" t="n">
        <v>12</v>
      </c>
      <c r="U168" s="7" t="n">
        <v>12</v>
      </c>
      <c r="V168" s="9" t="n">
        <v>6.1971988795518209</v>
      </c>
    </row>
    <row r="169">
      <c r="A169" s="7" t="s">
        <v>72</v>
      </c>
      <c r="B169" s="7" t="s">
        <v>46</v>
      </c>
      <c r="C169" s="7" t="s">
        <v>151</v>
      </c>
      <c r="D169" s="7" t="s">
        <v>31</v>
      </c>
      <c r="E169" s="8" t="n">
        <v>45748</v>
      </c>
      <c r="F169" s="7" t="n">
        <v>11062</v>
      </c>
      <c r="G169" s="7" t="n">
        <v>1396</v>
      </c>
      <c r="H169" s="7" t="n">
        <v>1785</v>
      </c>
      <c r="I169" s="7" t="n">
        <v>9277</v>
      </c>
      <c r="L169" s="7"/>
      <c r="S169" s="7" t="n">
        <v>6</v>
      </c>
      <c r="T169" s="7" t="n">
        <v>12</v>
      </c>
      <c r="U169" s="7" t="n">
        <v>12</v>
      </c>
      <c r="V169" s="9" t="n">
        <v>5.1971988795518209</v>
      </c>
    </row>
    <row r="170">
      <c r="A170" s="7" t="s">
        <v>72</v>
      </c>
      <c r="B170" s="7" t="s">
        <v>46</v>
      </c>
      <c r="C170" s="7" t="s">
        <v>151</v>
      </c>
      <c r="D170" s="7" t="s">
        <v>31</v>
      </c>
      <c r="E170" s="8" t="n">
        <v>45778</v>
      </c>
      <c r="F170" s="7" t="n">
        <v>9277</v>
      </c>
      <c r="G170" s="7" t="n">
        <v>830</v>
      </c>
      <c r="H170" s="7" t="n">
        <v>1785</v>
      </c>
      <c r="I170" s="7" t="n">
        <v>7492</v>
      </c>
      <c r="L170" s="7"/>
      <c r="S170" s="7" t="n">
        <v>6</v>
      </c>
      <c r="T170" s="7" t="n">
        <v>12</v>
      </c>
      <c r="U170" s="7" t="n">
        <v>12</v>
      </c>
      <c r="V170" s="9" t="n">
        <v>4.1971988795518209</v>
      </c>
    </row>
    <row r="171">
      <c r="A171" s="7" t="s">
        <v>72</v>
      </c>
      <c r="B171" s="7" t="s">
        <v>46</v>
      </c>
      <c r="C171" s="7" t="s">
        <v>151</v>
      </c>
      <c r="D171" s="7" t="s">
        <v>31</v>
      </c>
      <c r="E171" s="8" t="n">
        <v>45809</v>
      </c>
      <c r="F171" s="7" t="n">
        <v>7492</v>
      </c>
      <c r="G171" s="7" t="n">
        <v>946</v>
      </c>
      <c r="H171" s="7" t="n">
        <v>1785</v>
      </c>
      <c r="I171" s="7" t="n">
        <v>5707</v>
      </c>
      <c r="L171" s="7"/>
      <c r="S171" s="7" t="n">
        <v>6</v>
      </c>
      <c r="T171" s="7" t="n">
        <v>12</v>
      </c>
      <c r="U171" s="7" t="n">
        <v>12</v>
      </c>
      <c r="V171" s="9" t="n">
        <v>3.1971988795518209</v>
      </c>
    </row>
    <row r="172">
      <c r="A172" s="7" t="s">
        <v>72</v>
      </c>
      <c r="B172" s="7" t="s">
        <v>46</v>
      </c>
      <c r="C172" s="7" t="s">
        <v>151</v>
      </c>
      <c r="D172" s="7" t="s">
        <v>31</v>
      </c>
      <c r="E172" s="8" t="n">
        <v>45839</v>
      </c>
      <c r="F172" s="7" t="n">
        <v>5707</v>
      </c>
      <c r="G172" s="7" t="n">
        <v>1178</v>
      </c>
      <c r="H172" s="7" t="n">
        <v>1785</v>
      </c>
      <c r="I172" s="7" t="n">
        <v>3922</v>
      </c>
      <c r="L172" s="7"/>
      <c r="S172" s="7" t="n">
        <v>6</v>
      </c>
      <c r="T172" s="7" t="n">
        <v>12</v>
      </c>
      <c r="U172" s="7" t="n">
        <v>12</v>
      </c>
      <c r="V172" s="9" t="n">
        <v>2.1971988795518209</v>
      </c>
    </row>
    <row r="173">
      <c r="A173" s="7" t="s">
        <v>72</v>
      </c>
      <c r="B173" s="7" t="s">
        <v>46</v>
      </c>
      <c r="C173" s="7" t="s">
        <v>151</v>
      </c>
      <c r="D173" s="7" t="s">
        <v>31</v>
      </c>
      <c r="E173" s="8" t="n">
        <v>45870</v>
      </c>
      <c r="F173" s="7" t="n">
        <v>3922</v>
      </c>
      <c r="H173" s="7" t="n">
        <v>1785</v>
      </c>
      <c r="I173" s="7" t="n">
        <v>24137</v>
      </c>
      <c r="J173" s="7" t="s">
        <v>51</v>
      </c>
      <c r="K173" s="7" t="s">
        <v>51</v>
      </c>
      <c r="L173" s="7" t="s">
        <v>147</v>
      </c>
      <c r="M173" s="7" t="n">
        <v>22000</v>
      </c>
      <c r="O173" s="7" t="n">
        <v>14784</v>
      </c>
      <c r="P173" s="7" t="n">
        <v>45870</v>
      </c>
      <c r="S173" s="7" t="n">
        <v>6</v>
      </c>
      <c r="T173" s="7" t="n">
        <v>12</v>
      </c>
      <c r="U173" s="7" t="n">
        <v>12</v>
      </c>
      <c r="V173" s="9" t="n">
        <v>13.522128851540616</v>
      </c>
    </row>
    <row r="174">
      <c r="A174" s="7" t="s">
        <v>72</v>
      </c>
      <c r="B174" s="7" t="s">
        <v>46</v>
      </c>
      <c r="C174" s="7" t="s">
        <v>151</v>
      </c>
      <c r="D174" s="7" t="s">
        <v>31</v>
      </c>
      <c r="E174" s="8" t="n">
        <v>45901</v>
      </c>
      <c r="F174" s="7" t="n">
        <v>24137</v>
      </c>
      <c r="H174" s="7" t="n">
        <v>1785</v>
      </c>
      <c r="I174" s="7" t="n">
        <v>22352</v>
      </c>
      <c r="L174" s="7"/>
      <c r="S174" s="7" t="n">
        <v>6</v>
      </c>
      <c r="T174" s="7" t="n">
        <v>12</v>
      </c>
      <c r="U174" s="7" t="n">
        <v>12</v>
      </c>
      <c r="V174" s="9" t="n">
        <v>12.522128851540616</v>
      </c>
    </row>
    <row r="175">
      <c r="A175" s="7" t="s">
        <v>72</v>
      </c>
      <c r="B175" s="7" t="s">
        <v>46</v>
      </c>
      <c r="C175" s="7" t="s">
        <v>151</v>
      </c>
      <c r="D175" s="7" t="s">
        <v>31</v>
      </c>
      <c r="E175" s="8" t="n">
        <v>45931</v>
      </c>
      <c r="F175" s="7" t="n">
        <v>22352</v>
      </c>
      <c r="H175" s="7" t="n">
        <v>1785</v>
      </c>
      <c r="I175" s="7" t="n">
        <v>20567</v>
      </c>
      <c r="L175" s="7"/>
      <c r="S175" s="7" t="n">
        <v>6</v>
      </c>
      <c r="T175" s="7" t="n">
        <v>12</v>
      </c>
      <c r="U175" s="7" t="n">
        <v>12</v>
      </c>
      <c r="V175" s="9" t="n">
        <v>11.522128851540616</v>
      </c>
    </row>
    <row r="176">
      <c r="A176" s="7" t="s">
        <v>72</v>
      </c>
      <c r="B176" s="7" t="s">
        <v>46</v>
      </c>
      <c r="C176" s="7" t="s">
        <v>151</v>
      </c>
      <c r="D176" s="7" t="s">
        <v>31</v>
      </c>
      <c r="E176" s="8" t="n">
        <v>45962</v>
      </c>
      <c r="F176" s="7" t="n">
        <v>20567</v>
      </c>
      <c r="H176" s="7" t="n">
        <v>1785</v>
      </c>
      <c r="I176" s="7" t="n">
        <v>18782</v>
      </c>
      <c r="L176" s="7"/>
      <c r="S176" s="7" t="n">
        <v>6</v>
      </c>
      <c r="T176" s="7" t="n">
        <v>12</v>
      </c>
      <c r="U176" s="7" t="n">
        <v>12</v>
      </c>
      <c r="V176" s="9" t="n">
        <v>10.522128851540616</v>
      </c>
    </row>
    <row r="177">
      <c r="A177" s="7" t="s">
        <v>72</v>
      </c>
      <c r="B177" s="7" t="s">
        <v>46</v>
      </c>
      <c r="C177" s="7" t="s">
        <v>151</v>
      </c>
      <c r="D177" s="7" t="s">
        <v>31</v>
      </c>
      <c r="E177" s="8" t="n">
        <v>45992</v>
      </c>
      <c r="F177" s="7" t="n">
        <v>18782</v>
      </c>
      <c r="H177" s="7" t="n">
        <v>1785</v>
      </c>
      <c r="I177" s="7" t="n">
        <v>16997</v>
      </c>
      <c r="L177" s="7"/>
      <c r="S177" s="7" t="n">
        <v>6</v>
      </c>
      <c r="T177" s="7" t="n">
        <v>12</v>
      </c>
      <c r="U177" s="7" t="n">
        <v>12</v>
      </c>
      <c r="V177" s="9" t="n">
        <v>9.5221288515406162</v>
      </c>
    </row>
    <row r="178">
      <c r="A178" s="7" t="s">
        <v>72</v>
      </c>
      <c r="B178" s="7" t="s">
        <v>46</v>
      </c>
      <c r="C178" s="7" t="s">
        <v>151</v>
      </c>
      <c r="D178" s="7" t="s">
        <v>31</v>
      </c>
      <c r="E178" s="8" t="n">
        <v>46023</v>
      </c>
      <c r="F178" s="7" t="n">
        <v>16997</v>
      </c>
      <c r="H178" s="7" t="n">
        <v>1785</v>
      </c>
      <c r="I178" s="7" t="n">
        <v>15212</v>
      </c>
      <c r="L178" s="7"/>
      <c r="S178" s="7" t="n">
        <v>6</v>
      </c>
      <c r="T178" s="7" t="n">
        <v>12</v>
      </c>
      <c r="U178" s="7" t="n">
        <v>12</v>
      </c>
      <c r="V178" s="9" t="n">
        <v>8.5221288515406162</v>
      </c>
    </row>
    <row r="179">
      <c r="A179" s="7" t="s">
        <v>72</v>
      </c>
      <c r="B179" s="7" t="s">
        <v>46</v>
      </c>
      <c r="C179" s="7" t="s">
        <v>151</v>
      </c>
      <c r="D179" s="7" t="s">
        <v>31</v>
      </c>
      <c r="E179" s="8" t="n">
        <v>46054</v>
      </c>
      <c r="F179" s="7" t="n">
        <v>15212</v>
      </c>
      <c r="H179" s="7" t="n">
        <v>1785</v>
      </c>
      <c r="I179" s="7" t="n">
        <v>13427</v>
      </c>
      <c r="L179" s="7"/>
      <c r="S179" s="7" t="n">
        <v>6</v>
      </c>
      <c r="T179" s="7" t="n">
        <v>12</v>
      </c>
      <c r="U179" s="7" t="n">
        <v>12</v>
      </c>
      <c r="V179" s="9" t="n">
        <v>7.5221288515406162</v>
      </c>
    </row>
    <row r="180">
      <c r="A180" s="7" t="s">
        <v>72</v>
      </c>
      <c r="B180" s="7" t="s">
        <v>46</v>
      </c>
      <c r="C180" s="7" t="s">
        <v>151</v>
      </c>
      <c r="D180" s="7" t="s">
        <v>31</v>
      </c>
      <c r="E180" s="8" t="n">
        <v>46082</v>
      </c>
      <c r="F180" s="7" t="n">
        <v>13427</v>
      </c>
      <c r="H180" s="7" t="n">
        <v>1785</v>
      </c>
      <c r="I180" s="7" t="n">
        <v>11642</v>
      </c>
      <c r="L180" s="7"/>
      <c r="S180" s="7" t="n">
        <v>6</v>
      </c>
      <c r="T180" s="7" t="n">
        <v>12</v>
      </c>
      <c r="U180" s="7" t="n">
        <v>12</v>
      </c>
      <c r="V180" s="9" t="n">
        <v>6.5221288515406162</v>
      </c>
    </row>
    <row r="181">
      <c r="A181" s="7" t="s">
        <v>72</v>
      </c>
      <c r="B181" s="7" t="s">
        <v>46</v>
      </c>
      <c r="C181" s="7" t="s">
        <v>151</v>
      </c>
      <c r="D181" s="7" t="s">
        <v>31</v>
      </c>
      <c r="E181" s="8" t="n">
        <v>46113</v>
      </c>
      <c r="F181" s="7" t="n">
        <v>11642</v>
      </c>
      <c r="H181" s="7" t="n">
        <v>1785</v>
      </c>
      <c r="I181" s="7" t="n">
        <v>9857</v>
      </c>
      <c r="L181" s="7"/>
      <c r="S181" s="7" t="n">
        <v>6</v>
      </c>
      <c r="T181" s="7" t="n">
        <v>12</v>
      </c>
      <c r="U181" s="7" t="n">
        <v>12</v>
      </c>
      <c r="V181" s="9" t="n">
        <v>5.5221288515406162</v>
      </c>
    </row>
    <row r="182">
      <c r="A182" s="7" t="s">
        <v>72</v>
      </c>
      <c r="B182" s="7" t="s">
        <v>46</v>
      </c>
      <c r="C182" s="7" t="s">
        <v>151</v>
      </c>
      <c r="D182" s="7" t="s">
        <v>31</v>
      </c>
      <c r="E182" s="8" t="n">
        <v>46143</v>
      </c>
      <c r="F182" s="7" t="n">
        <v>9857</v>
      </c>
      <c r="H182" s="7" t="n">
        <v>1785</v>
      </c>
      <c r="I182" s="7" t="n">
        <v>20420</v>
      </c>
      <c r="J182" s="7" t="s">
        <v>2</v>
      </c>
      <c r="K182" s="7" t="s">
        <v>2</v>
      </c>
      <c r="L182" s="7" t="s">
        <v>4</v>
      </c>
      <c r="M182" s="7" t="n">
        <v>12348</v>
      </c>
      <c r="O182" s="7" t="n">
        <v>8297.86</v>
      </c>
      <c r="P182" s="7" t="n">
        <v>46143</v>
      </c>
      <c r="S182" s="7" t="n">
        <v>6</v>
      </c>
      <c r="T182" s="7" t="n">
        <v>12</v>
      </c>
      <c r="U182" s="7" t="n">
        <v>12</v>
      </c>
      <c r="V182" s="9" t="n">
        <v>11.439775910364146</v>
      </c>
    </row>
    <row r="183">
      <c r="A183" s="7" t="s">
        <v>72</v>
      </c>
      <c r="B183" s="7" t="s">
        <v>46</v>
      </c>
      <c r="C183" s="7" t="s">
        <v>151</v>
      </c>
      <c r="D183" s="7" t="s">
        <v>31</v>
      </c>
      <c r="E183" s="8" t="n">
        <v>46174</v>
      </c>
      <c r="F183" s="7" t="n">
        <v>20420</v>
      </c>
      <c r="H183" s="7" t="n">
        <v>1785</v>
      </c>
      <c r="I183" s="7" t="n">
        <v>18635</v>
      </c>
      <c r="L183" s="7"/>
      <c r="S183" s="7" t="n">
        <v>6</v>
      </c>
      <c r="T183" s="7" t="n">
        <v>12</v>
      </c>
      <c r="U183" s="7" t="n">
        <v>12</v>
      </c>
      <c r="V183" s="9" t="n">
        <v>10.439775910364146</v>
      </c>
    </row>
    <row r="184">
      <c r="A184" s="7" t="s">
        <v>72</v>
      </c>
      <c r="B184" s="7" t="s">
        <v>46</v>
      </c>
      <c r="C184" s="7" t="s">
        <v>151</v>
      </c>
      <c r="D184" s="7" t="s">
        <v>31</v>
      </c>
      <c r="E184" s="8" t="n">
        <v>46204</v>
      </c>
      <c r="F184" s="7" t="n">
        <v>18635</v>
      </c>
      <c r="H184" s="7" t="n">
        <v>1785</v>
      </c>
      <c r="I184" s="7" t="n">
        <v>16850</v>
      </c>
      <c r="L184" s="7"/>
      <c r="S184" s="7" t="n">
        <v>6</v>
      </c>
      <c r="T184" s="7" t="n">
        <v>12</v>
      </c>
      <c r="U184" s="7" t="n">
        <v>12</v>
      </c>
      <c r="V184" s="9" t="n">
        <v>9.4397759103641459</v>
      </c>
    </row>
    <row r="185">
      <c r="A185" s="7" t="s">
        <v>72</v>
      </c>
      <c r="B185" s="7" t="s">
        <v>46</v>
      </c>
      <c r="C185" s="7" t="s">
        <v>151</v>
      </c>
      <c r="D185" s="7" t="s">
        <v>31</v>
      </c>
      <c r="E185" s="8" t="n">
        <v>46235</v>
      </c>
      <c r="F185" s="7" t="n">
        <v>16850</v>
      </c>
      <c r="H185" s="7" t="n">
        <v>1785</v>
      </c>
      <c r="I185" s="7" t="n">
        <v>15065</v>
      </c>
      <c r="L185" s="7"/>
      <c r="S185" s="7" t="n">
        <v>6</v>
      </c>
      <c r="T185" s="7" t="n">
        <v>12</v>
      </c>
      <c r="U185" s="7" t="n">
        <v>12</v>
      </c>
      <c r="V185" s="9" t="n">
        <v>8.4397759103641459</v>
      </c>
    </row>
    <row r="186">
      <c r="A186" s="7" t="s">
        <v>72</v>
      </c>
      <c r="B186" s="7" t="s">
        <v>46</v>
      </c>
      <c r="C186" s="7" t="s">
        <v>151</v>
      </c>
      <c r="D186" s="7" t="s">
        <v>31</v>
      </c>
      <c r="E186" s="8" t="n">
        <v>46266</v>
      </c>
      <c r="F186" s="7" t="n">
        <v>15065</v>
      </c>
      <c r="H186" s="7" t="n">
        <v>1785</v>
      </c>
      <c r="I186" s="7" t="n">
        <v>13280</v>
      </c>
      <c r="L186" s="7"/>
      <c r="S186" s="7" t="n">
        <v>6</v>
      </c>
      <c r="T186" s="7" t="n">
        <v>12</v>
      </c>
      <c r="U186" s="7" t="n">
        <v>12</v>
      </c>
      <c r="V186" s="9" t="n">
        <v>7.4397759103641459</v>
      </c>
    </row>
    <row r="187">
      <c r="A187" s="7" t="s">
        <v>72</v>
      </c>
      <c r="B187" s="7" t="s">
        <v>46</v>
      </c>
      <c r="C187" s="7" t="s">
        <v>151</v>
      </c>
      <c r="D187" s="7" t="s">
        <v>31</v>
      </c>
      <c r="E187" s="8" t="n">
        <v>46296</v>
      </c>
      <c r="F187" s="7" t="n">
        <v>13280</v>
      </c>
      <c r="H187" s="7" t="n">
        <v>1785</v>
      </c>
      <c r="I187" s="7" t="n">
        <v>11495</v>
      </c>
      <c r="L187" s="7"/>
      <c r="S187" s="7" t="n">
        <v>6</v>
      </c>
      <c r="T187" s="7" t="n">
        <v>12</v>
      </c>
      <c r="U187" s="7" t="n">
        <v>12</v>
      </c>
      <c r="V187" s="9" t="n">
        <v>6.4397759103641459</v>
      </c>
    </row>
    <row r="188">
      <c r="A188" s="7" t="s">
        <v>72</v>
      </c>
      <c r="B188" s="7" t="s">
        <v>46</v>
      </c>
      <c r="C188" s="7" t="s">
        <v>151</v>
      </c>
      <c r="D188" s="7" t="s">
        <v>31</v>
      </c>
      <c r="E188" s="8" t="n">
        <v>46327</v>
      </c>
      <c r="F188" s="7" t="n">
        <v>11495</v>
      </c>
      <c r="H188" s="7" t="n">
        <v>1785</v>
      </c>
      <c r="I188" s="7" t="n">
        <v>21840</v>
      </c>
      <c r="J188" s="7" t="s">
        <v>2</v>
      </c>
      <c r="K188" s="7" t="s">
        <v>2</v>
      </c>
      <c r="L188" s="7" t="s">
        <v>4</v>
      </c>
      <c r="M188" s="7" t="n">
        <v>12130</v>
      </c>
      <c r="O188" s="7" t="n">
        <v>8151.36</v>
      </c>
      <c r="P188" s="7" t="n">
        <v>46327</v>
      </c>
      <c r="S188" s="7" t="n">
        <v>6</v>
      </c>
      <c r="T188" s="7" t="n">
        <v>12</v>
      </c>
      <c r="U188" s="7" t="n">
        <v>12</v>
      </c>
      <c r="V188" s="9" t="n">
        <v>12.235294117647058</v>
      </c>
    </row>
    <row r="189">
      <c r="A189" s="7" t="s">
        <v>72</v>
      </c>
      <c r="B189" s="7" t="s">
        <v>46</v>
      </c>
      <c r="C189" s="7" t="s">
        <v>151</v>
      </c>
      <c r="D189" s="7" t="s">
        <v>31</v>
      </c>
      <c r="E189" s="8" t="n">
        <v>46357</v>
      </c>
      <c r="F189" s="7" t="n">
        <v>21840</v>
      </c>
      <c r="H189" s="7" t="n">
        <v>1785</v>
      </c>
      <c r="I189" s="7" t="n">
        <v>20055</v>
      </c>
      <c r="L189" s="7"/>
      <c r="S189" s="7" t="n">
        <v>6</v>
      </c>
      <c r="T189" s="7" t="n">
        <v>12</v>
      </c>
      <c r="U189" s="7" t="n">
        <v>12</v>
      </c>
      <c r="V189" s="9" t="n">
        <v>11.235294117647058</v>
      </c>
    </row>
    <row r="190">
      <c r="A190" s="7" t="s">
        <v>77</v>
      </c>
      <c r="B190" s="7" t="s">
        <v>46</v>
      </c>
      <c r="C190" s="7" t="s">
        <v>151</v>
      </c>
      <c r="D190" s="7" t="s">
        <v>31</v>
      </c>
      <c r="E190" s="8" t="n">
        <v>45839</v>
      </c>
      <c r="F190" s="7" t="n">
        <v>0</v>
      </c>
      <c r="H190" s="7" t="n">
        <v>41941</v>
      </c>
      <c r="I190" s="7" t="n">
        <v>0</v>
      </c>
      <c r="L190" s="7"/>
      <c r="S190" s="7" t="n">
        <v>6</v>
      </c>
      <c r="T190" s="7" t="n">
        <v>12</v>
      </c>
      <c r="U190" s="7" t="n">
        <v>12</v>
      </c>
      <c r="V190" s="9" t="n">
        <v>0</v>
      </c>
    </row>
    <row r="191">
      <c r="A191" s="7" t="s">
        <v>77</v>
      </c>
      <c r="B191" s="7" t="s">
        <v>46</v>
      </c>
      <c r="C191" s="7" t="s">
        <v>151</v>
      </c>
      <c r="D191" s="7" t="s">
        <v>31</v>
      </c>
      <c r="E191" s="8" t="n">
        <v>45870</v>
      </c>
      <c r="F191" s="7" t="n">
        <v>0</v>
      </c>
      <c r="H191" s="7" t="n">
        <v>41941</v>
      </c>
      <c r="I191" s="7" t="n">
        <v>0</v>
      </c>
      <c r="L191" s="7"/>
      <c r="S191" s="7" t="n">
        <v>6</v>
      </c>
      <c r="T191" s="7" t="n">
        <v>12</v>
      </c>
      <c r="U191" s="7" t="n">
        <v>12</v>
      </c>
      <c r="V191" s="9" t="n">
        <v>0</v>
      </c>
    </row>
    <row r="192">
      <c r="A192" s="7" t="s">
        <v>77</v>
      </c>
      <c r="B192" s="7" t="s">
        <v>46</v>
      </c>
      <c r="C192" s="7" t="s">
        <v>151</v>
      </c>
      <c r="D192" s="7" t="s">
        <v>31</v>
      </c>
      <c r="E192" s="8" t="n">
        <v>45901</v>
      </c>
      <c r="F192" s="7" t="n">
        <v>0</v>
      </c>
      <c r="H192" s="7" t="n">
        <v>41941</v>
      </c>
      <c r="I192" s="7" t="n">
        <v>0</v>
      </c>
      <c r="L192" s="7"/>
      <c r="S192" s="7" t="n">
        <v>6</v>
      </c>
      <c r="T192" s="7" t="n">
        <v>12</v>
      </c>
      <c r="U192" s="7" t="n">
        <v>12</v>
      </c>
      <c r="V192" s="9" t="n">
        <v>0</v>
      </c>
    </row>
    <row r="193">
      <c r="A193" s="7" t="s">
        <v>77</v>
      </c>
      <c r="B193" s="7" t="s">
        <v>46</v>
      </c>
      <c r="C193" s="7" t="s">
        <v>151</v>
      </c>
      <c r="D193" s="7" t="s">
        <v>31</v>
      </c>
      <c r="E193" s="8" t="n">
        <v>45931</v>
      </c>
      <c r="F193" s="7" t="n">
        <v>0</v>
      </c>
      <c r="H193" s="7" t="n">
        <v>41941</v>
      </c>
      <c r="I193" s="7" t="n">
        <v>0</v>
      </c>
      <c r="L193" s="7"/>
      <c r="S193" s="7" t="n">
        <v>6</v>
      </c>
      <c r="T193" s="7" t="n">
        <v>12</v>
      </c>
      <c r="U193" s="7" t="n">
        <v>12</v>
      </c>
      <c r="V193" s="9" t="n">
        <v>0</v>
      </c>
    </row>
    <row r="194">
      <c r="A194" s="7" t="s">
        <v>77</v>
      </c>
      <c r="B194" s="7" t="s">
        <v>46</v>
      </c>
      <c r="C194" s="7" t="s">
        <v>151</v>
      </c>
      <c r="D194" s="7" t="s">
        <v>31</v>
      </c>
      <c r="E194" s="8" t="n">
        <v>45962</v>
      </c>
      <c r="F194" s="7" t="n">
        <v>0</v>
      </c>
      <c r="H194" s="7" t="n">
        <v>41941</v>
      </c>
      <c r="I194" s="7" t="n">
        <v>297935</v>
      </c>
      <c r="J194" s="7" t="s">
        <v>168</v>
      </c>
      <c r="K194" s="7" t="s">
        <v>155</v>
      </c>
      <c r="L194" s="7" t="s">
        <v>147</v>
      </c>
      <c r="M194" s="7" t="n">
        <v>339876</v>
      </c>
      <c r="S194" s="7" t="n">
        <v>6</v>
      </c>
      <c r="T194" s="7" t="n">
        <v>12</v>
      </c>
      <c r="U194" s="7" t="n">
        <v>12</v>
      </c>
      <c r="V194" s="9" t="n">
        <v>7.1036694404043779</v>
      </c>
    </row>
    <row r="195">
      <c r="A195" s="7" t="s">
        <v>77</v>
      </c>
      <c r="B195" s="7" t="s">
        <v>46</v>
      </c>
      <c r="C195" s="7" t="s">
        <v>151</v>
      </c>
      <c r="D195" s="7" t="s">
        <v>31</v>
      </c>
      <c r="E195" s="8" t="n">
        <v>45992</v>
      </c>
      <c r="F195" s="7" t="n">
        <v>297935</v>
      </c>
      <c r="H195" s="7" t="n">
        <v>41941</v>
      </c>
      <c r="I195" s="7" t="n">
        <v>255994</v>
      </c>
      <c r="L195" s="7"/>
      <c r="S195" s="7" t="n">
        <v>6</v>
      </c>
      <c r="T195" s="7" t="n">
        <v>12</v>
      </c>
      <c r="U195" s="7" t="n">
        <v>12</v>
      </c>
      <c r="V195" s="9" t="n">
        <v>6.1036694404043779</v>
      </c>
    </row>
    <row r="196">
      <c r="A196" s="7" t="s">
        <v>77</v>
      </c>
      <c r="B196" s="7" t="s">
        <v>46</v>
      </c>
      <c r="C196" s="7" t="s">
        <v>151</v>
      </c>
      <c r="D196" s="7" t="s">
        <v>31</v>
      </c>
      <c r="E196" s="8" t="n">
        <v>46023</v>
      </c>
      <c r="F196" s="7" t="n">
        <v>255994</v>
      </c>
      <c r="H196" s="7" t="n">
        <v>41941</v>
      </c>
      <c r="I196" s="7" t="n">
        <v>214053</v>
      </c>
      <c r="L196" s="7"/>
      <c r="S196" s="7" t="n">
        <v>6</v>
      </c>
      <c r="T196" s="7" t="n">
        <v>12</v>
      </c>
      <c r="U196" s="7" t="n">
        <v>12</v>
      </c>
      <c r="V196" s="9" t="n">
        <v>5.1036694404043779</v>
      </c>
    </row>
    <row r="197">
      <c r="A197" s="7" t="s">
        <v>77</v>
      </c>
      <c r="B197" s="7" t="s">
        <v>46</v>
      </c>
      <c r="C197" s="7" t="s">
        <v>151</v>
      </c>
      <c r="D197" s="7" t="s">
        <v>31</v>
      </c>
      <c r="E197" s="8" t="n">
        <v>46054</v>
      </c>
      <c r="F197" s="7" t="n">
        <v>214053</v>
      </c>
      <c r="H197" s="7" t="n">
        <v>41941</v>
      </c>
      <c r="I197" s="7" t="n">
        <v>172112</v>
      </c>
      <c r="L197" s="7"/>
      <c r="S197" s="7" t="n">
        <v>6</v>
      </c>
      <c r="T197" s="7" t="n">
        <v>12</v>
      </c>
      <c r="U197" s="7" t="n">
        <v>12</v>
      </c>
      <c r="V197" s="9" t="n">
        <v>4.1036694404043779</v>
      </c>
    </row>
    <row r="198">
      <c r="A198" s="7" t="s">
        <v>77</v>
      </c>
      <c r="B198" s="7" t="s">
        <v>46</v>
      </c>
      <c r="C198" s="7" t="s">
        <v>151</v>
      </c>
      <c r="D198" s="7" t="s">
        <v>31</v>
      </c>
      <c r="E198" s="8" t="n">
        <v>46082</v>
      </c>
      <c r="F198" s="7" t="n">
        <v>172112</v>
      </c>
      <c r="H198" s="7" t="n">
        <v>41941</v>
      </c>
      <c r="I198" s="7" t="n">
        <v>130171</v>
      </c>
      <c r="L198" s="7"/>
      <c r="S198" s="7" t="n">
        <v>6</v>
      </c>
      <c r="T198" s="7" t="n">
        <v>12</v>
      </c>
      <c r="U198" s="7" t="n">
        <v>12</v>
      </c>
      <c r="V198" s="9" t="n">
        <v>3.1036694404043774</v>
      </c>
    </row>
    <row r="199">
      <c r="A199" s="7" t="s">
        <v>77</v>
      </c>
      <c r="B199" s="7" t="s">
        <v>46</v>
      </c>
      <c r="C199" s="7" t="s">
        <v>151</v>
      </c>
      <c r="D199" s="7" t="s">
        <v>31</v>
      </c>
      <c r="E199" s="8" t="n">
        <v>46113</v>
      </c>
      <c r="F199" s="7" t="n">
        <v>130171</v>
      </c>
      <c r="H199" s="7" t="n">
        <v>41941</v>
      </c>
      <c r="I199" s="7" t="n">
        <v>88230</v>
      </c>
      <c r="L199" s="7"/>
      <c r="S199" s="7" t="n">
        <v>6</v>
      </c>
      <c r="T199" s="7" t="n">
        <v>12</v>
      </c>
      <c r="U199" s="7" t="n">
        <v>12</v>
      </c>
      <c r="V199" s="9" t="n">
        <v>2.1036694404043774</v>
      </c>
    </row>
    <row r="200">
      <c r="A200" s="7" t="s">
        <v>77</v>
      </c>
      <c r="B200" s="7" t="s">
        <v>46</v>
      </c>
      <c r="C200" s="7" t="s">
        <v>151</v>
      </c>
      <c r="D200" s="7" t="s">
        <v>31</v>
      </c>
      <c r="E200" s="8" t="n">
        <v>46143</v>
      </c>
      <c r="F200" s="7" t="n">
        <v>88230</v>
      </c>
      <c r="H200" s="7" t="n">
        <v>41941</v>
      </c>
      <c r="I200" s="7" t="n">
        <v>46289</v>
      </c>
      <c r="L200" s="7"/>
      <c r="S200" s="7" t="n">
        <v>6</v>
      </c>
      <c r="T200" s="7" t="n">
        <v>12</v>
      </c>
      <c r="U200" s="7" t="n">
        <v>12</v>
      </c>
      <c r="V200" s="9" t="n">
        <v>1.1036694404043776</v>
      </c>
    </row>
    <row r="201">
      <c r="A201" s="7" t="s">
        <v>77</v>
      </c>
      <c r="B201" s="7" t="s">
        <v>46</v>
      </c>
      <c r="C201" s="7" t="s">
        <v>151</v>
      </c>
      <c r="D201" s="7" t="s">
        <v>31</v>
      </c>
      <c r="E201" s="8" t="n">
        <v>46174</v>
      </c>
      <c r="F201" s="7" t="n">
        <v>46289</v>
      </c>
      <c r="H201" s="7" t="n">
        <v>41941</v>
      </c>
      <c r="I201" s="7" t="n">
        <v>4348</v>
      </c>
      <c r="L201" s="7"/>
      <c r="S201" s="7" t="n">
        <v>6</v>
      </c>
      <c r="T201" s="7" t="n">
        <v>12</v>
      </c>
      <c r="U201" s="7" t="n">
        <v>12</v>
      </c>
      <c r="V201" s="9" t="n">
        <v>0.10366944040437757</v>
      </c>
    </row>
    <row r="202">
      <c r="A202" s="7" t="s">
        <v>77</v>
      </c>
      <c r="B202" s="7" t="s">
        <v>163</v>
      </c>
      <c r="C202" s="7" t="s">
        <v>164</v>
      </c>
      <c r="D202" s="7" t="s">
        <v>31</v>
      </c>
      <c r="E202" s="8" t="n">
        <v>45839</v>
      </c>
      <c r="F202" s="7" t="n">
        <v>68632</v>
      </c>
      <c r="H202" s="7" t="n">
        <v>5230</v>
      </c>
      <c r="I202" s="7" t="n">
        <v>63402</v>
      </c>
      <c r="L202" s="7"/>
      <c r="S202" s="7" t="n">
        <v>6</v>
      </c>
      <c r="T202" s="7" t="n">
        <v>12</v>
      </c>
      <c r="U202" s="7" t="n">
        <v>12</v>
      </c>
      <c r="V202" s="9" t="n">
        <v>12.122753346080305</v>
      </c>
    </row>
    <row r="203">
      <c r="A203" s="7" t="s">
        <v>77</v>
      </c>
      <c r="B203" s="7" t="s">
        <v>163</v>
      </c>
      <c r="C203" s="7" t="s">
        <v>164</v>
      </c>
      <c r="D203" s="7" t="s">
        <v>31</v>
      </c>
      <c r="E203" s="8" t="n">
        <v>45870</v>
      </c>
      <c r="F203" s="7" t="n">
        <v>63402</v>
      </c>
      <c r="H203" s="7" t="n">
        <v>5230</v>
      </c>
      <c r="I203" s="7" t="n">
        <v>58172</v>
      </c>
      <c r="L203" s="7"/>
      <c r="S203" s="7" t="n">
        <v>6</v>
      </c>
      <c r="T203" s="7" t="n">
        <v>12</v>
      </c>
      <c r="U203" s="7" t="n">
        <v>12</v>
      </c>
      <c r="V203" s="9" t="n">
        <v>11.122753346080305</v>
      </c>
    </row>
    <row r="204">
      <c r="A204" s="7" t="s">
        <v>77</v>
      </c>
      <c r="B204" s="7" t="s">
        <v>163</v>
      </c>
      <c r="C204" s="7" t="s">
        <v>164</v>
      </c>
      <c r="D204" s="7" t="s">
        <v>31</v>
      </c>
      <c r="E204" s="8" t="n">
        <v>45901</v>
      </c>
      <c r="F204" s="7" t="n">
        <v>58172</v>
      </c>
      <c r="H204" s="7" t="n">
        <v>5230</v>
      </c>
      <c r="I204" s="7" t="n">
        <v>52942</v>
      </c>
      <c r="L204" s="7"/>
      <c r="S204" s="7" t="n">
        <v>6</v>
      </c>
      <c r="T204" s="7" t="n">
        <v>12</v>
      </c>
      <c r="U204" s="7" t="n">
        <v>12</v>
      </c>
      <c r="V204" s="9" t="n">
        <v>10.122753346080305</v>
      </c>
    </row>
    <row r="205">
      <c r="A205" s="7" t="s">
        <v>77</v>
      </c>
      <c r="B205" s="7" t="s">
        <v>163</v>
      </c>
      <c r="C205" s="7" t="s">
        <v>164</v>
      </c>
      <c r="D205" s="7" t="s">
        <v>31</v>
      </c>
      <c r="E205" s="8" t="n">
        <v>45931</v>
      </c>
      <c r="F205" s="7" t="n">
        <v>52942</v>
      </c>
      <c r="H205" s="7" t="n">
        <v>5230</v>
      </c>
      <c r="I205" s="7" t="n">
        <v>47712</v>
      </c>
      <c r="L205" s="7"/>
      <c r="S205" s="7" t="n">
        <v>6</v>
      </c>
      <c r="T205" s="7" t="n">
        <v>12</v>
      </c>
      <c r="U205" s="7" t="n">
        <v>12</v>
      </c>
      <c r="V205" s="9" t="n">
        <v>9.1227533460803052</v>
      </c>
    </row>
    <row r="206">
      <c r="A206" s="7" t="s">
        <v>77</v>
      </c>
      <c r="B206" s="7" t="s">
        <v>163</v>
      </c>
      <c r="C206" s="7" t="s">
        <v>164</v>
      </c>
      <c r="D206" s="7" t="s">
        <v>31</v>
      </c>
      <c r="E206" s="8" t="n">
        <v>45962</v>
      </c>
      <c r="F206" s="7" t="n">
        <v>47712</v>
      </c>
      <c r="H206" s="7" t="n">
        <v>5230</v>
      </c>
      <c r="I206" s="7" t="n">
        <v>42482</v>
      </c>
      <c r="L206" s="7"/>
      <c r="S206" s="7" t="n">
        <v>6</v>
      </c>
      <c r="T206" s="7" t="n">
        <v>12</v>
      </c>
      <c r="U206" s="7" t="n">
        <v>12</v>
      </c>
      <c r="V206" s="9" t="n">
        <v>8.1227533460803052</v>
      </c>
    </row>
    <row r="207">
      <c r="A207" s="7" t="s">
        <v>77</v>
      </c>
      <c r="B207" s="7" t="s">
        <v>163</v>
      </c>
      <c r="C207" s="7" t="s">
        <v>164</v>
      </c>
      <c r="D207" s="7" t="s">
        <v>31</v>
      </c>
      <c r="E207" s="8" t="n">
        <v>45992</v>
      </c>
      <c r="F207" s="7" t="n">
        <v>42482</v>
      </c>
      <c r="H207" s="7" t="n">
        <v>5230</v>
      </c>
      <c r="I207" s="7" t="n">
        <v>37252</v>
      </c>
      <c r="L207" s="7"/>
      <c r="S207" s="7" t="n">
        <v>6</v>
      </c>
      <c r="T207" s="7" t="n">
        <v>12</v>
      </c>
      <c r="U207" s="7" t="n">
        <v>12</v>
      </c>
      <c r="V207" s="9" t="n">
        <v>7.1227533460803061</v>
      </c>
    </row>
    <row r="208">
      <c r="A208" s="7" t="s">
        <v>77</v>
      </c>
      <c r="B208" s="7" t="s">
        <v>163</v>
      </c>
      <c r="C208" s="7" t="s">
        <v>164</v>
      </c>
      <c r="D208" s="7" t="s">
        <v>31</v>
      </c>
      <c r="E208" s="8" t="n">
        <v>46023</v>
      </c>
      <c r="F208" s="7" t="n">
        <v>37252</v>
      </c>
      <c r="H208" s="7" t="n">
        <v>5230</v>
      </c>
      <c r="I208" s="7" t="n">
        <v>32022</v>
      </c>
      <c r="L208" s="7"/>
      <c r="S208" s="7" t="n">
        <v>6</v>
      </c>
      <c r="T208" s="7" t="n">
        <v>12</v>
      </c>
      <c r="U208" s="7" t="n">
        <v>12</v>
      </c>
      <c r="V208" s="9" t="n">
        <v>6.1227533460803061</v>
      </c>
    </row>
    <row r="209">
      <c r="A209" s="7" t="s">
        <v>77</v>
      </c>
      <c r="B209" s="7" t="s">
        <v>163</v>
      </c>
      <c r="C209" s="7" t="s">
        <v>164</v>
      </c>
      <c r="D209" s="7" t="s">
        <v>31</v>
      </c>
      <c r="E209" s="8" t="n">
        <v>46054</v>
      </c>
      <c r="F209" s="7" t="n">
        <v>32022</v>
      </c>
      <c r="H209" s="7" t="n">
        <v>5230</v>
      </c>
      <c r="I209" s="7" t="n">
        <v>26792</v>
      </c>
      <c r="L209" s="7"/>
      <c r="S209" s="7" t="n">
        <v>6</v>
      </c>
      <c r="T209" s="7" t="n">
        <v>12</v>
      </c>
      <c r="U209" s="7" t="n">
        <v>12</v>
      </c>
      <c r="V209" s="9" t="n">
        <v>5.1227533460803061</v>
      </c>
    </row>
    <row r="210">
      <c r="A210" s="7" t="s">
        <v>77</v>
      </c>
      <c r="B210" s="7" t="s">
        <v>163</v>
      </c>
      <c r="C210" s="7" t="s">
        <v>164</v>
      </c>
      <c r="D210" s="7" t="s">
        <v>31</v>
      </c>
      <c r="E210" s="8" t="n">
        <v>46082</v>
      </c>
      <c r="F210" s="7" t="n">
        <v>26792</v>
      </c>
      <c r="H210" s="7" t="n">
        <v>5230</v>
      </c>
      <c r="I210" s="7" t="n">
        <v>21562</v>
      </c>
      <c r="L210" s="7"/>
      <c r="S210" s="7" t="n">
        <v>6</v>
      </c>
      <c r="T210" s="7" t="n">
        <v>12</v>
      </c>
      <c r="U210" s="7" t="n">
        <v>12</v>
      </c>
      <c r="V210" s="9" t="n">
        <v>4.1227533460803061</v>
      </c>
    </row>
    <row r="211">
      <c r="A211" s="7" t="s">
        <v>77</v>
      </c>
      <c r="B211" s="7" t="s">
        <v>163</v>
      </c>
      <c r="C211" s="7" t="s">
        <v>164</v>
      </c>
      <c r="D211" s="7" t="s">
        <v>31</v>
      </c>
      <c r="E211" s="8" t="n">
        <v>46113</v>
      </c>
      <c r="F211" s="7" t="n">
        <v>21562</v>
      </c>
      <c r="H211" s="7" t="n">
        <v>5230</v>
      </c>
      <c r="I211" s="7" t="n">
        <v>16332</v>
      </c>
      <c r="L211" s="7"/>
      <c r="S211" s="7" t="n">
        <v>6</v>
      </c>
      <c r="T211" s="7" t="n">
        <v>12</v>
      </c>
      <c r="U211" s="7" t="n">
        <v>12</v>
      </c>
      <c r="V211" s="9" t="n">
        <v>3.1227533460803061</v>
      </c>
    </row>
    <row r="212">
      <c r="A212" s="7" t="s">
        <v>77</v>
      </c>
      <c r="B212" s="7" t="s">
        <v>163</v>
      </c>
      <c r="C212" s="7" t="s">
        <v>164</v>
      </c>
      <c r="D212" s="7" t="s">
        <v>31</v>
      </c>
      <c r="E212" s="8" t="n">
        <v>46143</v>
      </c>
      <c r="F212" s="7" t="n">
        <v>16332</v>
      </c>
      <c r="H212" s="7" t="n">
        <v>5230</v>
      </c>
      <c r="I212" s="7" t="n">
        <v>11102</v>
      </c>
      <c r="L212" s="7"/>
      <c r="S212" s="7" t="n">
        <v>6</v>
      </c>
      <c r="T212" s="7" t="n">
        <v>12</v>
      </c>
      <c r="U212" s="7" t="n">
        <v>12</v>
      </c>
      <c r="V212" s="9" t="n">
        <v>2.1227533460803061</v>
      </c>
    </row>
    <row r="213">
      <c r="A213" s="7" t="s">
        <v>77</v>
      </c>
      <c r="B213" s="7" t="s">
        <v>163</v>
      </c>
      <c r="C213" s="7" t="s">
        <v>164</v>
      </c>
      <c r="D213" s="7" t="s">
        <v>31</v>
      </c>
      <c r="E213" s="8" t="n">
        <v>46174</v>
      </c>
      <c r="F213" s="7" t="n">
        <v>11102</v>
      </c>
      <c r="H213" s="7" t="n">
        <v>5230</v>
      </c>
      <c r="I213" s="7" t="n">
        <v>5872</v>
      </c>
      <c r="L213" s="7"/>
      <c r="S213" s="7" t="n">
        <v>6</v>
      </c>
      <c r="T213" s="7" t="n">
        <v>12</v>
      </c>
      <c r="U213" s="7" t="n">
        <v>12</v>
      </c>
      <c r="V213" s="9" t="n">
        <v>1.1227533460803059</v>
      </c>
    </row>
    <row r="214">
      <c r="A214" s="7" t="s">
        <v>166</v>
      </c>
      <c r="B214" s="7" t="s">
        <v>46</v>
      </c>
      <c r="C214" s="7" t="s">
        <v>164</v>
      </c>
      <c r="D214" s="7" t="s">
        <v>31</v>
      </c>
      <c r="E214" s="8" t="n">
        <v>45748</v>
      </c>
      <c r="F214" s="7" t="n">
        <v>7000</v>
      </c>
      <c r="H214" s="7" t="n">
        <v>2253</v>
      </c>
      <c r="I214" s="7" t="n">
        <v>4747</v>
      </c>
      <c r="L214" s="7"/>
      <c r="V214" s="9" t="n">
        <v>2.1069684864624945</v>
      </c>
    </row>
    <row r="215">
      <c r="A215" s="7" t="s">
        <v>166</v>
      </c>
      <c r="B215" s="7" t="s">
        <v>46</v>
      </c>
      <c r="C215" s="7" t="s">
        <v>164</v>
      </c>
      <c r="D215" s="7" t="s">
        <v>31</v>
      </c>
      <c r="E215" s="8" t="n">
        <v>45778</v>
      </c>
      <c r="F215" s="7" t="n">
        <v>4747</v>
      </c>
      <c r="H215" s="7" t="n">
        <v>2253</v>
      </c>
      <c r="I215" s="7" t="n">
        <v>2494</v>
      </c>
      <c r="L215" s="7"/>
      <c r="V215" s="9" t="n">
        <v>1.1069684864624945</v>
      </c>
    </row>
    <row r="216">
      <c r="A216" s="7" t="s">
        <v>166</v>
      </c>
      <c r="B216" s="7" t="s">
        <v>46</v>
      </c>
      <c r="C216" s="7" t="s">
        <v>164</v>
      </c>
      <c r="D216" s="7" t="s">
        <v>31</v>
      </c>
      <c r="E216" s="8" t="n">
        <v>45809</v>
      </c>
      <c r="F216" s="7" t="n">
        <v>2494</v>
      </c>
      <c r="H216" s="7" t="n">
        <v>2253</v>
      </c>
      <c r="I216" s="7" t="n">
        <v>33691</v>
      </c>
      <c r="L216" s="7"/>
      <c r="M216" s="7" t="n">
        <v>33450</v>
      </c>
      <c r="N216" s="7" t="n">
        <v>45809</v>
      </c>
      <c r="V216" s="9" t="n">
        <v>14.953839325343985</v>
      </c>
    </row>
    <row r="217">
      <c r="A217" s="7" t="s">
        <v>166</v>
      </c>
      <c r="B217" s="7" t="s">
        <v>46</v>
      </c>
      <c r="C217" s="7" t="s">
        <v>164</v>
      </c>
      <c r="D217" s="7" t="s">
        <v>31</v>
      </c>
      <c r="E217" s="8" t="n">
        <v>45839</v>
      </c>
      <c r="F217" s="7" t="n">
        <v>33691</v>
      </c>
      <c r="H217" s="7" t="n">
        <v>2253</v>
      </c>
      <c r="I217" s="7" t="n">
        <v>31438</v>
      </c>
      <c r="L217" s="7"/>
      <c r="V217" s="9" t="n">
        <v>13.953839325343985</v>
      </c>
    </row>
    <row r="218">
      <c r="A218" s="7" t="s">
        <v>166</v>
      </c>
      <c r="B218" s="7" t="s">
        <v>46</v>
      </c>
      <c r="C218" s="7" t="s">
        <v>164</v>
      </c>
      <c r="D218" s="7" t="s">
        <v>31</v>
      </c>
      <c r="E218" s="8" t="n">
        <v>45870</v>
      </c>
      <c r="F218" s="7" t="n">
        <v>31438</v>
      </c>
      <c r="H218" s="7" t="n">
        <v>2253</v>
      </c>
      <c r="I218" s="7" t="n">
        <v>29185</v>
      </c>
      <c r="L218" s="7"/>
      <c r="V218" s="9" t="n">
        <v>12.953839325343985</v>
      </c>
    </row>
    <row r="219">
      <c r="A219" s="7" t="s">
        <v>166</v>
      </c>
      <c r="B219" s="7" t="s">
        <v>46</v>
      </c>
      <c r="C219" s="7" t="s">
        <v>164</v>
      </c>
      <c r="D219" s="7" t="s">
        <v>31</v>
      </c>
      <c r="E219" s="8" t="n">
        <v>45901</v>
      </c>
      <c r="F219" s="7" t="n">
        <v>29185</v>
      </c>
      <c r="H219" s="7" t="n">
        <v>2253</v>
      </c>
      <c r="I219" s="7" t="n">
        <v>26932</v>
      </c>
      <c r="L219" s="7"/>
      <c r="V219" s="9" t="n">
        <v>11.953839325343985</v>
      </c>
    </row>
    <row r="220">
      <c r="A220" s="7" t="s">
        <v>166</v>
      </c>
      <c r="B220" s="7" t="s">
        <v>46</v>
      </c>
      <c r="C220" s="7" t="s">
        <v>164</v>
      </c>
      <c r="D220" s="7" t="s">
        <v>31</v>
      </c>
      <c r="E220" s="8" t="n">
        <v>45931</v>
      </c>
      <c r="F220" s="7" t="n">
        <v>26932</v>
      </c>
      <c r="H220" s="7" t="n">
        <v>2253</v>
      </c>
      <c r="I220" s="7" t="n">
        <v>24679</v>
      </c>
      <c r="L220" s="7"/>
      <c r="V220" s="9" t="n">
        <v>10.953839325343985</v>
      </c>
    </row>
    <row r="221">
      <c r="A221" s="7" t="s">
        <v>166</v>
      </c>
      <c r="B221" s="7" t="s">
        <v>46</v>
      </c>
      <c r="C221" s="7" t="s">
        <v>164</v>
      </c>
      <c r="D221" s="7" t="s">
        <v>31</v>
      </c>
      <c r="E221" s="8" t="n">
        <v>45962</v>
      </c>
      <c r="F221" s="7" t="n">
        <v>24679</v>
      </c>
      <c r="H221" s="7" t="n">
        <v>2253</v>
      </c>
      <c r="I221" s="7" t="n">
        <v>22426</v>
      </c>
      <c r="L221" s="7"/>
      <c r="V221" s="9" t="n">
        <v>9.953839325343985</v>
      </c>
    </row>
    <row r="222">
      <c r="A222" s="7" t="s">
        <v>28</v>
      </c>
      <c r="B222" s="7" t="s">
        <v>36</v>
      </c>
      <c r="C222" s="7" t="s">
        <v>37</v>
      </c>
      <c r="D222" s="7" t="s">
        <v>31</v>
      </c>
      <c r="E222" s="8" t="n">
        <v>45839</v>
      </c>
      <c r="F222" s="7" t="n">
        <v>2833</v>
      </c>
      <c r="H222" s="7" t="n">
        <v>59</v>
      </c>
      <c r="I222" s="7" t="n">
        <v>2774</v>
      </c>
      <c r="L222" s="7"/>
      <c r="S222" s="7" t="n">
        <v>9</v>
      </c>
      <c r="T222" s="7" t="n">
        <v>14</v>
      </c>
      <c r="U222" s="7" t="n">
        <v>13</v>
      </c>
      <c r="V222" s="9" t="n">
        <v>47.016949152542374</v>
      </c>
    </row>
    <row r="223">
      <c r="A223" s="7" t="s">
        <v>28</v>
      </c>
      <c r="B223" s="7" t="s">
        <v>36</v>
      </c>
      <c r="C223" s="7" t="s">
        <v>37</v>
      </c>
      <c r="D223" s="7" t="s">
        <v>31</v>
      </c>
      <c r="E223" s="8" t="n">
        <v>45870</v>
      </c>
      <c r="F223" s="7" t="n">
        <v>2774</v>
      </c>
      <c r="H223" s="7" t="n">
        <v>59</v>
      </c>
      <c r="I223" s="7" t="n">
        <v>2715</v>
      </c>
      <c r="L223" s="7"/>
      <c r="S223" s="7" t="n">
        <v>9</v>
      </c>
      <c r="T223" s="7" t="n">
        <v>14</v>
      </c>
      <c r="U223" s="7" t="n">
        <v>13</v>
      </c>
      <c r="V223" s="9" t="n">
        <v>46.016949152542374</v>
      </c>
    </row>
    <row r="224">
      <c r="A224" s="7" t="s">
        <v>28</v>
      </c>
      <c r="B224" s="7" t="s">
        <v>36</v>
      </c>
      <c r="C224" s="7" t="s">
        <v>37</v>
      </c>
      <c r="D224" s="7" t="s">
        <v>31</v>
      </c>
      <c r="E224" s="8" t="n">
        <v>45901</v>
      </c>
      <c r="F224" s="7" t="n">
        <v>2715</v>
      </c>
      <c r="H224" s="7" t="n">
        <v>59</v>
      </c>
      <c r="I224" s="7" t="n">
        <v>2656</v>
      </c>
      <c r="L224" s="7"/>
      <c r="S224" s="7" t="n">
        <v>9</v>
      </c>
      <c r="T224" s="7" t="n">
        <v>14</v>
      </c>
      <c r="U224" s="7" t="n">
        <v>13</v>
      </c>
      <c r="V224" s="9" t="n">
        <v>45.016949152542374</v>
      </c>
    </row>
    <row r="225">
      <c r="A225" s="7" t="s">
        <v>28</v>
      </c>
      <c r="B225" s="7" t="s">
        <v>36</v>
      </c>
      <c r="C225" s="7" t="s">
        <v>37</v>
      </c>
      <c r="D225" s="7" t="s">
        <v>31</v>
      </c>
      <c r="E225" s="8" t="n">
        <v>45931</v>
      </c>
      <c r="F225" s="7" t="n">
        <v>2656</v>
      </c>
      <c r="H225" s="7" t="n">
        <v>59</v>
      </c>
      <c r="I225" s="7" t="n">
        <v>2597</v>
      </c>
      <c r="L225" s="7"/>
      <c r="S225" s="7" t="n">
        <v>9</v>
      </c>
      <c r="T225" s="7" t="n">
        <v>14</v>
      </c>
      <c r="U225" s="7" t="n">
        <v>13</v>
      </c>
      <c r="V225" s="9" t="n">
        <v>44.016949152542374</v>
      </c>
    </row>
    <row r="226">
      <c r="A226" s="7" t="s">
        <v>28</v>
      </c>
      <c r="B226" s="7" t="s">
        <v>36</v>
      </c>
      <c r="C226" s="7" t="s">
        <v>37</v>
      </c>
      <c r="D226" s="7" t="s">
        <v>31</v>
      </c>
      <c r="E226" s="8" t="n">
        <v>45962</v>
      </c>
      <c r="F226" s="7" t="n">
        <v>2597</v>
      </c>
      <c r="H226" s="7" t="n">
        <v>59</v>
      </c>
      <c r="I226" s="7" t="n">
        <v>2538</v>
      </c>
      <c r="L226" s="7"/>
      <c r="S226" s="7" t="n">
        <v>9</v>
      </c>
      <c r="T226" s="7" t="n">
        <v>14</v>
      </c>
      <c r="U226" s="7" t="n">
        <v>13</v>
      </c>
      <c r="V226" s="9" t="n">
        <v>43.016949152542374</v>
      </c>
    </row>
    <row r="227">
      <c r="A227" s="7" t="s">
        <v>28</v>
      </c>
      <c r="B227" s="7" t="s">
        <v>36</v>
      </c>
      <c r="C227" s="7" t="s">
        <v>37</v>
      </c>
      <c r="D227" s="7" t="s">
        <v>31</v>
      </c>
      <c r="E227" s="8" t="n">
        <v>45992</v>
      </c>
      <c r="F227" s="7" t="n">
        <v>2538</v>
      </c>
      <c r="H227" s="7" t="n">
        <v>59</v>
      </c>
      <c r="I227" s="7" t="n">
        <v>2479</v>
      </c>
      <c r="L227" s="7"/>
      <c r="S227" s="7" t="n">
        <v>9</v>
      </c>
      <c r="T227" s="7" t="n">
        <v>14</v>
      </c>
      <c r="U227" s="7" t="n">
        <v>13</v>
      </c>
      <c r="V227" s="9" t="n">
        <v>42.016949152542374</v>
      </c>
    </row>
    <row r="228">
      <c r="A228" s="7" t="s">
        <v>28</v>
      </c>
      <c r="B228" s="7" t="s">
        <v>36</v>
      </c>
      <c r="C228" s="7" t="s">
        <v>37</v>
      </c>
      <c r="D228" s="7" t="s">
        <v>31</v>
      </c>
      <c r="E228" s="8" t="n">
        <v>46023</v>
      </c>
      <c r="F228" s="7" t="n">
        <v>2479</v>
      </c>
      <c r="H228" s="7" t="n">
        <v>59</v>
      </c>
      <c r="I228" s="7" t="n">
        <v>2420</v>
      </c>
      <c r="L228" s="7"/>
      <c r="S228" s="7" t="n">
        <v>9</v>
      </c>
      <c r="T228" s="7" t="n">
        <v>14</v>
      </c>
      <c r="U228" s="7" t="n">
        <v>13</v>
      </c>
      <c r="V228" s="9" t="n">
        <v>41.016949152542374</v>
      </c>
    </row>
    <row r="229">
      <c r="A229" s="7" t="s">
        <v>28</v>
      </c>
      <c r="B229" s="7" t="s">
        <v>36</v>
      </c>
      <c r="C229" s="7" t="s">
        <v>37</v>
      </c>
      <c r="D229" s="7" t="s">
        <v>31</v>
      </c>
      <c r="E229" s="8" t="n">
        <v>46054</v>
      </c>
      <c r="F229" s="7" t="n">
        <v>2420</v>
      </c>
      <c r="H229" s="7" t="n">
        <v>59</v>
      </c>
      <c r="I229" s="7" t="n">
        <v>2361</v>
      </c>
      <c r="L229" s="7"/>
      <c r="S229" s="7" t="n">
        <v>9</v>
      </c>
      <c r="T229" s="7" t="n">
        <v>14</v>
      </c>
      <c r="U229" s="7" t="n">
        <v>13</v>
      </c>
      <c r="V229" s="9" t="n">
        <v>40.016949152542374</v>
      </c>
    </row>
    <row r="230">
      <c r="A230" s="7" t="s">
        <v>28</v>
      </c>
      <c r="B230" s="7" t="s">
        <v>36</v>
      </c>
      <c r="C230" s="7" t="s">
        <v>37</v>
      </c>
      <c r="D230" s="7" t="s">
        <v>31</v>
      </c>
      <c r="E230" s="8" t="n">
        <v>46082</v>
      </c>
      <c r="F230" s="7" t="n">
        <v>2361</v>
      </c>
      <c r="H230" s="7" t="n">
        <v>59</v>
      </c>
      <c r="I230" s="7" t="n">
        <v>2302</v>
      </c>
      <c r="L230" s="7"/>
      <c r="S230" s="7" t="n">
        <v>9</v>
      </c>
      <c r="T230" s="7" t="n">
        <v>14</v>
      </c>
      <c r="U230" s="7" t="n">
        <v>13</v>
      </c>
      <c r="V230" s="9" t="n">
        <v>39.016949152542374</v>
      </c>
    </row>
    <row r="231">
      <c r="A231" s="7" t="s">
        <v>28</v>
      </c>
      <c r="B231" s="7" t="s">
        <v>36</v>
      </c>
      <c r="C231" s="7" t="s">
        <v>37</v>
      </c>
      <c r="D231" s="7" t="s">
        <v>31</v>
      </c>
      <c r="E231" s="8" t="n">
        <v>46113</v>
      </c>
      <c r="F231" s="7" t="n">
        <v>2302</v>
      </c>
      <c r="H231" s="7" t="n">
        <v>59</v>
      </c>
      <c r="I231" s="7" t="n">
        <v>2243</v>
      </c>
      <c r="L231" s="7"/>
      <c r="S231" s="7" t="n">
        <v>9</v>
      </c>
      <c r="T231" s="7" t="n">
        <v>14</v>
      </c>
      <c r="U231" s="7" t="n">
        <v>13</v>
      </c>
      <c r="V231" s="9" t="n">
        <v>38.016949152542374</v>
      </c>
    </row>
    <row r="232">
      <c r="A232" s="7" t="s">
        <v>28</v>
      </c>
      <c r="B232" s="7" t="s">
        <v>36</v>
      </c>
      <c r="C232" s="7" t="s">
        <v>37</v>
      </c>
      <c r="D232" s="7" t="s">
        <v>31</v>
      </c>
      <c r="E232" s="8" t="n">
        <v>46143</v>
      </c>
      <c r="F232" s="7" t="n">
        <v>2243</v>
      </c>
      <c r="H232" s="7" t="n">
        <v>59</v>
      </c>
      <c r="I232" s="7" t="n">
        <v>2184</v>
      </c>
      <c r="L232" s="7"/>
      <c r="S232" s="7" t="n">
        <v>9</v>
      </c>
      <c r="T232" s="7" t="n">
        <v>14</v>
      </c>
      <c r="U232" s="7" t="n">
        <v>13</v>
      </c>
      <c r="V232" s="9" t="n">
        <v>37.016949152542374</v>
      </c>
    </row>
    <row r="233">
      <c r="A233" s="7" t="s">
        <v>28</v>
      </c>
      <c r="B233" s="7" t="s">
        <v>36</v>
      </c>
      <c r="C233" s="7" t="s">
        <v>37</v>
      </c>
      <c r="D233" s="7" t="s">
        <v>31</v>
      </c>
      <c r="E233" s="8" t="n">
        <v>46174</v>
      </c>
      <c r="F233" s="7" t="n">
        <v>2184</v>
      </c>
      <c r="H233" s="7" t="n">
        <v>59</v>
      </c>
      <c r="I233" s="7" t="n">
        <v>2125</v>
      </c>
      <c r="L233" s="7"/>
      <c r="S233" s="7" t="n">
        <v>9</v>
      </c>
      <c r="T233" s="7" t="n">
        <v>14</v>
      </c>
      <c r="U233" s="7" t="n">
        <v>13</v>
      </c>
      <c r="V233" s="9" t="n">
        <v>36.016949152542374</v>
      </c>
    </row>
    <row r="234">
      <c r="A234" s="7" t="s">
        <v>72</v>
      </c>
      <c r="B234" s="7" t="s">
        <v>36</v>
      </c>
      <c r="C234" s="7"/>
      <c r="D234" s="7" t="s">
        <v>31</v>
      </c>
      <c r="E234" s="8" t="n">
        <v>45689</v>
      </c>
      <c r="F234" s="7" t="n">
        <v>1538</v>
      </c>
      <c r="H234" s="7" t="n">
        <v>293</v>
      </c>
      <c r="I234" s="7" t="n">
        <v>1245</v>
      </c>
      <c r="L234" s="7"/>
      <c r="S234" s="7" t="n">
        <v>6</v>
      </c>
      <c r="T234" s="7" t="n">
        <v>12</v>
      </c>
      <c r="U234" s="7" t="n">
        <v>12</v>
      </c>
      <c r="V234" s="9" t="n">
        <v>4.2491467576791813</v>
      </c>
    </row>
    <row r="235">
      <c r="A235" s="7" t="s">
        <v>72</v>
      </c>
      <c r="B235" s="7" t="s">
        <v>36</v>
      </c>
      <c r="C235" s="7"/>
      <c r="D235" s="7" t="s">
        <v>31</v>
      </c>
      <c r="E235" s="8" t="n">
        <v>45717</v>
      </c>
      <c r="F235" s="7" t="n">
        <v>1245</v>
      </c>
      <c r="H235" s="7" t="n">
        <v>293</v>
      </c>
      <c r="I235" s="7" t="n">
        <v>952</v>
      </c>
      <c r="L235" s="7"/>
      <c r="S235" s="7" t="n">
        <v>6</v>
      </c>
      <c r="T235" s="7" t="n">
        <v>12</v>
      </c>
      <c r="U235" s="7" t="n">
        <v>12</v>
      </c>
      <c r="V235" s="9" t="n">
        <v>3.2491467576791808</v>
      </c>
    </row>
    <row r="236">
      <c r="A236" s="7" t="s">
        <v>72</v>
      </c>
      <c r="B236" s="7" t="s">
        <v>36</v>
      </c>
      <c r="C236" s="7"/>
      <c r="D236" s="7" t="s">
        <v>31</v>
      </c>
      <c r="E236" s="8" t="n">
        <v>45748</v>
      </c>
      <c r="F236" s="7" t="n">
        <v>952</v>
      </c>
      <c r="H236" s="7" t="n">
        <v>293</v>
      </c>
      <c r="I236" s="7" t="n">
        <v>659</v>
      </c>
      <c r="L236" s="7"/>
      <c r="S236" s="7" t="n">
        <v>6</v>
      </c>
      <c r="T236" s="7" t="n">
        <v>12</v>
      </c>
      <c r="U236" s="7" t="n">
        <v>12</v>
      </c>
      <c r="V236" s="9" t="n">
        <v>2.2491467576791808</v>
      </c>
    </row>
    <row r="237">
      <c r="A237" s="7" t="s">
        <v>72</v>
      </c>
      <c r="B237" s="7" t="s">
        <v>36</v>
      </c>
      <c r="C237" s="7"/>
      <c r="D237" s="7" t="s">
        <v>31</v>
      </c>
      <c r="E237" s="8" t="n">
        <v>45778</v>
      </c>
      <c r="F237" s="7" t="n">
        <v>659</v>
      </c>
      <c r="H237" s="7" t="n">
        <v>293</v>
      </c>
      <c r="I237" s="7" t="n">
        <v>366</v>
      </c>
      <c r="L237" s="7"/>
      <c r="S237" s="7" t="n">
        <v>6</v>
      </c>
      <c r="T237" s="7" t="n">
        <v>12</v>
      </c>
      <c r="U237" s="7" t="n">
        <v>12</v>
      </c>
      <c r="V237" s="9" t="n">
        <v>1.2491467576791808</v>
      </c>
    </row>
    <row r="238">
      <c r="A238" s="7" t="s">
        <v>72</v>
      </c>
      <c r="B238" s="7" t="s">
        <v>36</v>
      </c>
      <c r="C238" s="7"/>
      <c r="D238" s="7" t="s">
        <v>31</v>
      </c>
      <c r="E238" s="8" t="n">
        <v>45809</v>
      </c>
      <c r="F238" s="7" t="n">
        <v>366</v>
      </c>
      <c r="H238" s="7" t="n">
        <v>293</v>
      </c>
      <c r="I238" s="7" t="n">
        <v>73</v>
      </c>
      <c r="L238" s="7"/>
      <c r="S238" s="7" t="n">
        <v>6</v>
      </c>
      <c r="T238" s="7" t="n">
        <v>12</v>
      </c>
      <c r="U238" s="7" t="n">
        <v>12</v>
      </c>
      <c r="V238" s="9" t="n">
        <v>0.24914675767918087</v>
      </c>
    </row>
    <row r="239">
      <c r="A239" s="7" t="s">
        <v>72</v>
      </c>
      <c r="B239" s="7" t="s">
        <v>36</v>
      </c>
      <c r="C239" s="7"/>
      <c r="D239" s="7" t="s">
        <v>31</v>
      </c>
      <c r="E239" s="8" t="n">
        <v>45839</v>
      </c>
      <c r="F239" s="7" t="n">
        <v>73</v>
      </c>
      <c r="H239" s="7" t="n">
        <v>293</v>
      </c>
      <c r="I239" s="7" t="n">
        <v>0</v>
      </c>
      <c r="L239" s="7"/>
      <c r="S239" s="7" t="n">
        <v>6</v>
      </c>
      <c r="T239" s="7" t="n">
        <v>12</v>
      </c>
      <c r="U239" s="7" t="n">
        <v>12</v>
      </c>
      <c r="V239" s="9" t="n">
        <v>0</v>
      </c>
    </row>
    <row r="240">
      <c r="A240" s="7" t="s">
        <v>72</v>
      </c>
      <c r="B240" s="7" t="s">
        <v>36</v>
      </c>
      <c r="C240" s="7"/>
      <c r="D240" s="7" t="s">
        <v>31</v>
      </c>
      <c r="E240" s="8" t="n">
        <v>45870</v>
      </c>
      <c r="F240" s="7" t="n">
        <v>0</v>
      </c>
      <c r="H240" s="7" t="n">
        <v>293</v>
      </c>
      <c r="I240" s="7" t="n">
        <v>0</v>
      </c>
      <c r="L240" s="7"/>
      <c r="S240" s="7" t="n">
        <v>6</v>
      </c>
      <c r="T240" s="7" t="n">
        <v>12</v>
      </c>
      <c r="U240" s="7" t="n">
        <v>12</v>
      </c>
      <c r="V240" s="9" t="n">
        <v>0</v>
      </c>
    </row>
    <row r="241">
      <c r="A241" s="7" t="s">
        <v>72</v>
      </c>
      <c r="B241" s="7" t="s">
        <v>36</v>
      </c>
      <c r="C241" s="7"/>
      <c r="D241" s="7" t="s">
        <v>31</v>
      </c>
      <c r="E241" s="8" t="n">
        <v>45901</v>
      </c>
      <c r="F241" s="7" t="n">
        <v>0</v>
      </c>
      <c r="H241" s="7" t="n">
        <v>293</v>
      </c>
      <c r="I241" s="7" t="n">
        <v>0</v>
      </c>
      <c r="L241" s="7"/>
      <c r="S241" s="7" t="n">
        <v>6</v>
      </c>
      <c r="T241" s="7" t="n">
        <v>12</v>
      </c>
      <c r="U241" s="7" t="n">
        <v>12</v>
      </c>
      <c r="V241" s="9" t="n">
        <v>0</v>
      </c>
    </row>
    <row r="242">
      <c r="A242" s="7" t="s">
        <v>72</v>
      </c>
      <c r="B242" s="7" t="s">
        <v>36</v>
      </c>
      <c r="C242" s="7"/>
      <c r="D242" s="7" t="s">
        <v>31</v>
      </c>
      <c r="E242" s="8" t="n">
        <v>45931</v>
      </c>
      <c r="F242" s="7" t="n">
        <v>0</v>
      </c>
      <c r="H242" s="7" t="n">
        <v>293</v>
      </c>
      <c r="I242" s="7" t="n">
        <v>0</v>
      </c>
      <c r="L242" s="7"/>
      <c r="S242" s="7" t="n">
        <v>6</v>
      </c>
      <c r="T242" s="7" t="n">
        <v>12</v>
      </c>
      <c r="U242" s="7" t="n">
        <v>12</v>
      </c>
      <c r="V242" s="9" t="n">
        <v>0</v>
      </c>
    </row>
    <row r="243">
      <c r="A243" s="7" t="s">
        <v>72</v>
      </c>
      <c r="B243" s="7" t="s">
        <v>36</v>
      </c>
      <c r="C243" s="7"/>
      <c r="D243" s="7" t="s">
        <v>31</v>
      </c>
      <c r="E243" s="8" t="n">
        <v>45962</v>
      </c>
      <c r="F243" s="7" t="n">
        <v>0</v>
      </c>
      <c r="H243" s="7" t="n">
        <v>293</v>
      </c>
      <c r="I243" s="7" t="n">
        <v>0</v>
      </c>
      <c r="L243" s="7"/>
      <c r="S243" s="7" t="n">
        <v>6</v>
      </c>
      <c r="T243" s="7" t="n">
        <v>12</v>
      </c>
      <c r="U243" s="7" t="n">
        <v>12</v>
      </c>
      <c r="V243" s="9" t="n">
        <v>0</v>
      </c>
    </row>
    <row r="244">
      <c r="A244" s="7" t="s">
        <v>72</v>
      </c>
      <c r="B244" s="7" t="s">
        <v>36</v>
      </c>
      <c r="C244" s="7"/>
      <c r="D244" s="7" t="s">
        <v>31</v>
      </c>
      <c r="E244" s="8" t="n">
        <v>45992</v>
      </c>
      <c r="F244" s="7" t="n">
        <v>0</v>
      </c>
      <c r="H244" s="7" t="n">
        <v>293</v>
      </c>
      <c r="I244" s="7" t="n">
        <v>0</v>
      </c>
      <c r="L244" s="7"/>
      <c r="S244" s="7" t="n">
        <v>6</v>
      </c>
      <c r="T244" s="7" t="n">
        <v>12</v>
      </c>
      <c r="U244" s="7" t="n">
        <v>12</v>
      </c>
      <c r="V244" s="9" t="n">
        <v>0</v>
      </c>
    </row>
    <row r="245">
      <c r="A245" s="7" t="s">
        <v>72</v>
      </c>
      <c r="B245" s="7" t="s">
        <v>36</v>
      </c>
      <c r="C245" s="7"/>
      <c r="D245" s="7" t="s">
        <v>31</v>
      </c>
      <c r="E245" s="8" t="n">
        <v>46023</v>
      </c>
      <c r="F245" s="7" t="n">
        <v>0</v>
      </c>
      <c r="H245" s="7" t="n">
        <v>293</v>
      </c>
      <c r="I245" s="7" t="n">
        <v>0</v>
      </c>
      <c r="L245" s="7"/>
      <c r="S245" s="7" t="n">
        <v>6</v>
      </c>
      <c r="T245" s="7" t="n">
        <v>12</v>
      </c>
      <c r="U245" s="7" t="n">
        <v>12</v>
      </c>
      <c r="V245" s="9" t="n">
        <v>0</v>
      </c>
    </row>
    <row r="246">
      <c r="A246" s="7" t="s">
        <v>72</v>
      </c>
      <c r="B246" s="7" t="s">
        <v>36</v>
      </c>
      <c r="C246" s="7"/>
      <c r="D246" s="7" t="s">
        <v>31</v>
      </c>
      <c r="E246" s="8" t="n">
        <v>46054</v>
      </c>
      <c r="F246" s="7" t="n">
        <v>0</v>
      </c>
      <c r="H246" s="7" t="n">
        <v>293</v>
      </c>
      <c r="I246" s="7" t="n">
        <v>0</v>
      </c>
      <c r="L246" s="7"/>
      <c r="S246" s="7" t="n">
        <v>6</v>
      </c>
      <c r="T246" s="7" t="n">
        <v>12</v>
      </c>
      <c r="U246" s="7" t="n">
        <v>12</v>
      </c>
      <c r="V246" s="9" t="n">
        <v>0</v>
      </c>
    </row>
    <row r="247">
      <c r="A247" s="7" t="s">
        <v>72</v>
      </c>
      <c r="B247" s="7" t="s">
        <v>36</v>
      </c>
      <c r="C247" s="7"/>
      <c r="D247" s="7" t="s">
        <v>31</v>
      </c>
      <c r="E247" s="8" t="n">
        <v>46082</v>
      </c>
      <c r="F247" s="7" t="n">
        <v>0</v>
      </c>
      <c r="H247" s="7" t="n">
        <v>293</v>
      </c>
      <c r="I247" s="7" t="n">
        <v>0</v>
      </c>
      <c r="L247" s="7"/>
      <c r="S247" s="7" t="n">
        <v>6</v>
      </c>
      <c r="T247" s="7" t="n">
        <v>12</v>
      </c>
      <c r="U247" s="7" t="n">
        <v>12</v>
      </c>
      <c r="V247" s="9" t="n">
        <v>0</v>
      </c>
    </row>
    <row r="248">
      <c r="A248" s="7" t="s">
        <v>72</v>
      </c>
      <c r="B248" s="7" t="s">
        <v>36</v>
      </c>
      <c r="C248" s="7"/>
      <c r="D248" s="7" t="s">
        <v>31</v>
      </c>
      <c r="E248" s="8" t="n">
        <v>46113</v>
      </c>
      <c r="F248" s="7" t="n">
        <v>0</v>
      </c>
      <c r="H248" s="7" t="n">
        <v>293</v>
      </c>
      <c r="I248" s="7" t="n">
        <v>0</v>
      </c>
      <c r="L248" s="7"/>
      <c r="S248" s="7" t="n">
        <v>6</v>
      </c>
      <c r="T248" s="7" t="n">
        <v>12</v>
      </c>
      <c r="U248" s="7" t="n">
        <v>12</v>
      </c>
      <c r="V248" s="9" t="n">
        <v>0</v>
      </c>
    </row>
    <row r="249">
      <c r="A249" s="7" t="s">
        <v>72</v>
      </c>
      <c r="B249" s="7" t="s">
        <v>36</v>
      </c>
      <c r="C249" s="7"/>
      <c r="D249" s="7" t="s">
        <v>31</v>
      </c>
      <c r="E249" s="8" t="n">
        <v>46143</v>
      </c>
      <c r="F249" s="7" t="n">
        <v>0</v>
      </c>
      <c r="H249" s="7" t="n">
        <v>293</v>
      </c>
      <c r="I249" s="7" t="n">
        <v>0</v>
      </c>
      <c r="L249" s="7"/>
      <c r="S249" s="7" t="n">
        <v>6</v>
      </c>
      <c r="T249" s="7" t="n">
        <v>12</v>
      </c>
      <c r="U249" s="7" t="n">
        <v>12</v>
      </c>
      <c r="V249" s="9" t="n">
        <v>0</v>
      </c>
    </row>
    <row r="250">
      <c r="A250" s="7" t="s">
        <v>72</v>
      </c>
      <c r="B250" s="7" t="s">
        <v>36</v>
      </c>
      <c r="C250" s="7"/>
      <c r="D250" s="7" t="s">
        <v>31</v>
      </c>
      <c r="E250" s="8" t="n">
        <v>46174</v>
      </c>
      <c r="F250" s="7" t="n">
        <v>0</v>
      </c>
      <c r="H250" s="7" t="n">
        <v>293</v>
      </c>
      <c r="I250" s="7" t="n">
        <v>1906</v>
      </c>
      <c r="J250" s="7" t="s">
        <v>2</v>
      </c>
      <c r="K250" s="7" t="s">
        <v>2</v>
      </c>
      <c r="L250" s="7" t="s">
        <v>4</v>
      </c>
      <c r="M250" s="7" t="n">
        <v>2199</v>
      </c>
      <c r="O250" s="7" t="n">
        <v>3695</v>
      </c>
      <c r="P250" s="7" t="n">
        <v>46174</v>
      </c>
      <c r="S250" s="7" t="n">
        <v>6</v>
      </c>
      <c r="T250" s="7" t="n">
        <v>12</v>
      </c>
      <c r="U250" s="7" t="n">
        <v>12</v>
      </c>
      <c r="V250" s="9" t="n">
        <v>6.5051194539249151</v>
      </c>
    </row>
    <row r="251">
      <c r="A251" s="7" t="s">
        <v>72</v>
      </c>
      <c r="B251" s="7" t="s">
        <v>36</v>
      </c>
      <c r="C251" s="7"/>
      <c r="D251" s="7" t="s">
        <v>31</v>
      </c>
      <c r="E251" s="8" t="n">
        <v>46204</v>
      </c>
      <c r="F251" s="7" t="n">
        <v>1906</v>
      </c>
      <c r="H251" s="7" t="n">
        <v>293</v>
      </c>
      <c r="I251" s="7" t="n">
        <v>1613</v>
      </c>
      <c r="L251" s="7"/>
      <c r="S251" s="7" t="n">
        <v>6</v>
      </c>
      <c r="T251" s="7" t="n">
        <v>12</v>
      </c>
      <c r="U251" s="7" t="n">
        <v>12</v>
      </c>
      <c r="V251" s="9" t="n">
        <v>5.5051194539249151</v>
      </c>
    </row>
    <row r="252">
      <c r="A252" s="7" t="s">
        <v>72</v>
      </c>
      <c r="B252" s="7" t="s">
        <v>36</v>
      </c>
      <c r="C252" s="7"/>
      <c r="D252" s="7" t="s">
        <v>31</v>
      </c>
      <c r="E252" s="8" t="n">
        <v>46235</v>
      </c>
      <c r="F252" s="7" t="n">
        <v>1613</v>
      </c>
      <c r="H252" s="7" t="n">
        <v>293</v>
      </c>
      <c r="I252" s="7" t="n">
        <v>1320</v>
      </c>
      <c r="L252" s="7"/>
      <c r="S252" s="7" t="n">
        <v>6</v>
      </c>
      <c r="T252" s="7" t="n">
        <v>12</v>
      </c>
      <c r="U252" s="7" t="n">
        <v>12</v>
      </c>
      <c r="V252" s="9" t="n">
        <v>4.5051194539249151</v>
      </c>
    </row>
    <row r="253">
      <c r="A253" s="7" t="s">
        <v>72</v>
      </c>
      <c r="B253" s="7" t="s">
        <v>36</v>
      </c>
      <c r="C253" s="7"/>
      <c r="D253" s="7" t="s">
        <v>31</v>
      </c>
      <c r="E253" s="8" t="n">
        <v>46266</v>
      </c>
      <c r="F253" s="7" t="n">
        <v>1320</v>
      </c>
      <c r="H253" s="7" t="n">
        <v>293</v>
      </c>
      <c r="I253" s="7" t="n">
        <v>1027</v>
      </c>
      <c r="L253" s="7"/>
      <c r="S253" s="7" t="n">
        <v>6</v>
      </c>
      <c r="T253" s="7" t="n">
        <v>12</v>
      </c>
      <c r="U253" s="7" t="n">
        <v>12</v>
      </c>
      <c r="V253" s="9" t="n">
        <v>3.5051194539249146</v>
      </c>
    </row>
    <row r="254">
      <c r="A254" s="7" t="s">
        <v>72</v>
      </c>
      <c r="B254" s="7" t="s">
        <v>36</v>
      </c>
      <c r="C254" s="7"/>
      <c r="D254" s="7" t="s">
        <v>31</v>
      </c>
      <c r="E254" s="8" t="n">
        <v>46296</v>
      </c>
      <c r="F254" s="7" t="n">
        <v>1027</v>
      </c>
      <c r="H254" s="7" t="n">
        <v>293</v>
      </c>
      <c r="I254" s="7" t="n">
        <v>734</v>
      </c>
      <c r="L254" s="7"/>
      <c r="S254" s="7" t="n">
        <v>6</v>
      </c>
      <c r="T254" s="7" t="n">
        <v>12</v>
      </c>
      <c r="U254" s="7" t="n">
        <v>12</v>
      </c>
      <c r="V254" s="9" t="n">
        <v>2.5051194539249146</v>
      </c>
    </row>
    <row r="255">
      <c r="A255" s="7" t="s">
        <v>72</v>
      </c>
      <c r="B255" s="7" t="s">
        <v>36</v>
      </c>
      <c r="C255" s="7"/>
      <c r="D255" s="7" t="s">
        <v>31</v>
      </c>
      <c r="E255" s="8" t="n">
        <v>46327</v>
      </c>
      <c r="F255" s="7" t="n">
        <v>734</v>
      </c>
      <c r="H255" s="7" t="n">
        <v>293</v>
      </c>
      <c r="I255" s="7" t="n">
        <v>441</v>
      </c>
      <c r="L255" s="7"/>
      <c r="S255" s="7" t="n">
        <v>6</v>
      </c>
      <c r="T255" s="7" t="n">
        <v>12</v>
      </c>
      <c r="U255" s="7" t="n">
        <v>12</v>
      </c>
      <c r="V255" s="9" t="n">
        <v>1.5051194539249146</v>
      </c>
    </row>
    <row r="256">
      <c r="A256" s="7" t="s">
        <v>72</v>
      </c>
      <c r="B256" s="7" t="s">
        <v>36</v>
      </c>
      <c r="C256" s="7"/>
      <c r="D256" s="7" t="s">
        <v>31</v>
      </c>
      <c r="E256" s="8" t="n">
        <v>46357</v>
      </c>
      <c r="F256" s="7" t="n">
        <v>441</v>
      </c>
      <c r="H256" s="7" t="n">
        <v>293</v>
      </c>
      <c r="I256" s="7" t="n">
        <v>2209</v>
      </c>
      <c r="J256" s="7" t="s">
        <v>2</v>
      </c>
      <c r="K256" s="7" t="s">
        <v>2</v>
      </c>
      <c r="L256" s="7" t="s">
        <v>4</v>
      </c>
      <c r="M256" s="7" t="n">
        <v>2061</v>
      </c>
      <c r="O256" s="7" t="n">
        <v>3462</v>
      </c>
      <c r="P256" s="7" t="n">
        <v>46357</v>
      </c>
      <c r="S256" s="7" t="n">
        <v>6</v>
      </c>
      <c r="T256" s="7" t="n">
        <v>12</v>
      </c>
      <c r="U256" s="7" t="n">
        <v>12</v>
      </c>
      <c r="V256" s="9" t="n">
        <v>7.5392491467576788</v>
      </c>
    </row>
    <row r="257">
      <c r="A257" s="7" t="s">
        <v>28</v>
      </c>
      <c r="B257" s="7" t="s">
        <v>44</v>
      </c>
      <c r="C257" s="7" t="s">
        <v>45</v>
      </c>
      <c r="D257" s="7" t="s">
        <v>31</v>
      </c>
      <c r="E257" s="8" t="n">
        <v>45839</v>
      </c>
      <c r="F257" s="7" t="n">
        <v>238677</v>
      </c>
      <c r="H257" s="7" t="n">
        <v>78968</v>
      </c>
      <c r="I257" s="7" t="n">
        <v>159709</v>
      </c>
      <c r="L257" s="7"/>
      <c r="S257" s="7" t="n">
        <v>9</v>
      </c>
      <c r="T257" s="7" t="n">
        <v>14</v>
      </c>
      <c r="U257" s="7" t="n">
        <v>13</v>
      </c>
      <c r="V257" s="9" t="n">
        <v>2.0224521325093709</v>
      </c>
    </row>
    <row r="258">
      <c r="A258" s="7" t="s">
        <v>28</v>
      </c>
      <c r="B258" s="7" t="s">
        <v>44</v>
      </c>
      <c r="C258" s="7" t="s">
        <v>45</v>
      </c>
      <c r="D258" s="7" t="s">
        <v>31</v>
      </c>
      <c r="E258" s="8" t="n">
        <v>45870</v>
      </c>
      <c r="F258" s="7" t="n">
        <v>159709</v>
      </c>
      <c r="H258" s="7" t="n">
        <v>78968</v>
      </c>
      <c r="I258" s="7" t="n">
        <v>80741</v>
      </c>
      <c r="L258" s="7"/>
      <c r="S258" s="7" t="n">
        <v>9</v>
      </c>
      <c r="T258" s="7" t="n">
        <v>14</v>
      </c>
      <c r="U258" s="7" t="n">
        <v>13</v>
      </c>
      <c r="V258" s="9" t="n">
        <v>1.0224521325093709</v>
      </c>
    </row>
    <row r="259">
      <c r="A259" s="7" t="s">
        <v>28</v>
      </c>
      <c r="B259" s="7" t="s">
        <v>44</v>
      </c>
      <c r="C259" s="7" t="s">
        <v>45</v>
      </c>
      <c r="D259" s="7" t="s">
        <v>31</v>
      </c>
      <c r="E259" s="8" t="n">
        <v>45901</v>
      </c>
      <c r="F259" s="7" t="n">
        <v>80741</v>
      </c>
      <c r="H259" s="7" t="n">
        <v>78968</v>
      </c>
      <c r="I259" s="7" t="n">
        <v>402646</v>
      </c>
      <c r="J259" s="7" t="s">
        <v>2</v>
      </c>
      <c r="K259" s="7" t="s">
        <v>2</v>
      </c>
      <c r="L259" s="7" t="s">
        <v>4</v>
      </c>
      <c r="M259" s="7" t="n">
        <v>400873</v>
      </c>
      <c r="O259" s="7" t="n">
        <v>365596</v>
      </c>
      <c r="P259" s="7" t="n">
        <v>45901</v>
      </c>
      <c r="S259" s="7" t="n">
        <v>9</v>
      </c>
      <c r="T259" s="7" t="n">
        <v>14</v>
      </c>
      <c r="U259" s="7" t="n">
        <v>13</v>
      </c>
      <c r="V259" s="9" t="n">
        <v>5.0988501671563169</v>
      </c>
    </row>
    <row r="260">
      <c r="A260" s="7" t="s">
        <v>28</v>
      </c>
      <c r="B260" s="7" t="s">
        <v>44</v>
      </c>
      <c r="C260" s="7" t="s">
        <v>45</v>
      </c>
      <c r="D260" s="7" t="s">
        <v>31</v>
      </c>
      <c r="E260" s="8" t="n">
        <v>45931</v>
      </c>
      <c r="F260" s="7" t="n">
        <v>402646</v>
      </c>
      <c r="H260" s="7" t="n">
        <v>78968</v>
      </c>
      <c r="I260" s="7" t="n">
        <v>323678</v>
      </c>
      <c r="L260" s="7"/>
      <c r="S260" s="7" t="n">
        <v>9</v>
      </c>
      <c r="T260" s="7" t="n">
        <v>14</v>
      </c>
      <c r="U260" s="7" t="n">
        <v>13</v>
      </c>
      <c r="V260" s="9" t="n">
        <v>4.0988501671563169</v>
      </c>
    </row>
    <row r="261">
      <c r="A261" s="7" t="s">
        <v>28</v>
      </c>
      <c r="B261" s="7" t="s">
        <v>44</v>
      </c>
      <c r="C261" s="7" t="s">
        <v>45</v>
      </c>
      <c r="D261" s="7" t="s">
        <v>31</v>
      </c>
      <c r="E261" s="8" t="n">
        <v>45962</v>
      </c>
      <c r="F261" s="7" t="n">
        <v>323678</v>
      </c>
      <c r="H261" s="7" t="n">
        <v>78968</v>
      </c>
      <c r="I261" s="7" t="n">
        <v>244710</v>
      </c>
      <c r="L261" s="7"/>
      <c r="S261" s="7" t="n">
        <v>9</v>
      </c>
      <c r="T261" s="7" t="n">
        <v>14</v>
      </c>
      <c r="U261" s="7" t="n">
        <v>13</v>
      </c>
      <c r="V261" s="9" t="n">
        <v>3.0988501671563164</v>
      </c>
    </row>
    <row r="262">
      <c r="A262" s="7" t="s">
        <v>28</v>
      </c>
      <c r="B262" s="7" t="s">
        <v>44</v>
      </c>
      <c r="C262" s="7" t="s">
        <v>45</v>
      </c>
      <c r="D262" s="7" t="s">
        <v>31</v>
      </c>
      <c r="E262" s="8" t="n">
        <v>45992</v>
      </c>
      <c r="F262" s="7" t="n">
        <v>244710</v>
      </c>
      <c r="H262" s="7" t="n">
        <v>78968</v>
      </c>
      <c r="I262" s="7" t="n">
        <v>165742</v>
      </c>
      <c r="L262" s="7"/>
      <c r="S262" s="7" t="n">
        <v>9</v>
      </c>
      <c r="T262" s="7" t="n">
        <v>14</v>
      </c>
      <c r="U262" s="7" t="n">
        <v>13</v>
      </c>
      <c r="V262" s="9" t="n">
        <v>2.0988501671563164</v>
      </c>
    </row>
    <row r="263">
      <c r="A263" s="7" t="s">
        <v>28</v>
      </c>
      <c r="B263" s="7" t="s">
        <v>44</v>
      </c>
      <c r="C263" s="7" t="s">
        <v>45</v>
      </c>
      <c r="D263" s="7" t="s">
        <v>31</v>
      </c>
      <c r="E263" s="8" t="n">
        <v>46023</v>
      </c>
      <c r="F263" s="7" t="n">
        <v>165742</v>
      </c>
      <c r="H263" s="7" t="n">
        <v>78968</v>
      </c>
      <c r="I263" s="7" t="n">
        <v>86774</v>
      </c>
      <c r="L263" s="7"/>
      <c r="S263" s="7" t="n">
        <v>9</v>
      </c>
      <c r="T263" s="7" t="n">
        <v>14</v>
      </c>
      <c r="U263" s="7" t="n">
        <v>13</v>
      </c>
      <c r="V263" s="9" t="n">
        <v>1.0988501671563164</v>
      </c>
    </row>
    <row r="264">
      <c r="A264" s="7" t="s">
        <v>28</v>
      </c>
      <c r="B264" s="7" t="s">
        <v>44</v>
      </c>
      <c r="C264" s="7" t="s">
        <v>45</v>
      </c>
      <c r="D264" s="7" t="s">
        <v>31</v>
      </c>
      <c r="E264" s="8" t="n">
        <v>46054</v>
      </c>
      <c r="F264" s="7" t="n">
        <v>86774</v>
      </c>
      <c r="H264" s="7" t="n">
        <v>78968</v>
      </c>
      <c r="I264" s="7" t="n">
        <v>412374</v>
      </c>
      <c r="J264" s="7" t="s">
        <v>2</v>
      </c>
      <c r="K264" s="7" t="s">
        <v>2</v>
      </c>
      <c r="L264" s="7" t="s">
        <v>4</v>
      </c>
      <c r="M264" s="7" t="n">
        <v>404568</v>
      </c>
      <c r="O264" s="7" t="n">
        <v>368966</v>
      </c>
      <c r="P264" s="7" t="n">
        <v>46054</v>
      </c>
      <c r="S264" s="7" t="n">
        <v>9</v>
      </c>
      <c r="T264" s="7" t="n">
        <v>14</v>
      </c>
      <c r="U264" s="7" t="n">
        <v>13</v>
      </c>
      <c r="V264" s="9" t="n">
        <v>5.2220393070610882</v>
      </c>
    </row>
    <row r="265">
      <c r="A265" s="7" t="s">
        <v>28</v>
      </c>
      <c r="B265" s="7" t="s">
        <v>44</v>
      </c>
      <c r="C265" s="7" t="s">
        <v>45</v>
      </c>
      <c r="D265" s="7" t="s">
        <v>31</v>
      </c>
      <c r="E265" s="8" t="n">
        <v>46082</v>
      </c>
      <c r="F265" s="7" t="n">
        <v>412374</v>
      </c>
      <c r="H265" s="7" t="n">
        <v>78968</v>
      </c>
      <c r="I265" s="7" t="n">
        <v>333406</v>
      </c>
      <c r="L265" s="7"/>
      <c r="S265" s="7" t="n">
        <v>9</v>
      </c>
      <c r="T265" s="7" t="n">
        <v>14</v>
      </c>
      <c r="U265" s="7" t="n">
        <v>13</v>
      </c>
      <c r="V265" s="9" t="n">
        <v>4.2220393070610882</v>
      </c>
    </row>
    <row r="266">
      <c r="A266" s="7" t="s">
        <v>28</v>
      </c>
      <c r="B266" s="7" t="s">
        <v>44</v>
      </c>
      <c r="C266" s="7" t="s">
        <v>45</v>
      </c>
      <c r="D266" s="7" t="s">
        <v>31</v>
      </c>
      <c r="E266" s="8" t="n">
        <v>46113</v>
      </c>
      <c r="F266" s="7" t="n">
        <v>333406</v>
      </c>
      <c r="H266" s="7" t="n">
        <v>78968</v>
      </c>
      <c r="I266" s="7" t="n">
        <v>254438</v>
      </c>
      <c r="L266" s="7"/>
      <c r="S266" s="7" t="n">
        <v>9</v>
      </c>
      <c r="T266" s="7" t="n">
        <v>14</v>
      </c>
      <c r="U266" s="7" t="n">
        <v>13</v>
      </c>
      <c r="V266" s="9" t="n">
        <v>3.2220393070610882</v>
      </c>
    </row>
    <row r="267">
      <c r="A267" s="7" t="s">
        <v>28</v>
      </c>
      <c r="B267" s="7" t="s">
        <v>44</v>
      </c>
      <c r="C267" s="7" t="s">
        <v>45</v>
      </c>
      <c r="D267" s="7" t="s">
        <v>31</v>
      </c>
      <c r="E267" s="8" t="n">
        <v>46143</v>
      </c>
      <c r="F267" s="7" t="n">
        <v>254438</v>
      </c>
      <c r="H267" s="7" t="n">
        <v>78968</v>
      </c>
      <c r="I267" s="7" t="n">
        <v>175470</v>
      </c>
      <c r="L267" s="7"/>
      <c r="S267" s="7" t="n">
        <v>9</v>
      </c>
      <c r="T267" s="7" t="n">
        <v>14</v>
      </c>
      <c r="U267" s="7" t="n">
        <v>13</v>
      </c>
      <c r="V267" s="9" t="n">
        <v>2.2220393070610882</v>
      </c>
    </row>
    <row r="268">
      <c r="A268" s="7" t="s">
        <v>28</v>
      </c>
      <c r="B268" s="7" t="s">
        <v>44</v>
      </c>
      <c r="C268" s="7" t="s">
        <v>45</v>
      </c>
      <c r="D268" s="7" t="s">
        <v>31</v>
      </c>
      <c r="E268" s="8" t="n">
        <v>46174</v>
      </c>
      <c r="F268" s="7" t="n">
        <v>175470</v>
      </c>
      <c r="H268" s="7" t="n">
        <v>78968</v>
      </c>
      <c r="I268" s="7" t="n">
        <v>96502</v>
      </c>
      <c r="L268" s="7"/>
      <c r="S268" s="7" t="n">
        <v>9</v>
      </c>
      <c r="T268" s="7" t="n">
        <v>14</v>
      </c>
      <c r="U268" s="7" t="n">
        <v>13</v>
      </c>
      <c r="V268" s="9" t="n">
        <v>1.222039307061088</v>
      </c>
    </row>
    <row r="269">
      <c r="A269" s="7" t="s">
        <v>75</v>
      </c>
      <c r="B269" s="7" t="s">
        <v>44</v>
      </c>
      <c r="C269" s="7" t="s">
        <v>45</v>
      </c>
      <c r="D269" s="7" t="s">
        <v>31</v>
      </c>
      <c r="E269" s="8" t="n">
        <v>45748</v>
      </c>
      <c r="F269" s="7" t="n">
        <v>2388682</v>
      </c>
      <c r="H269" s="7" t="n">
        <v>308825</v>
      </c>
      <c r="I269" s="7" t="n">
        <v>2079857</v>
      </c>
      <c r="L269" s="7"/>
      <c r="S269" s="7" t="n">
        <v>6</v>
      </c>
      <c r="T269" s="7" t="n">
        <v>12</v>
      </c>
      <c r="U269" s="7" t="n">
        <v>12</v>
      </c>
      <c r="V269" s="9" t="n">
        <v>6.7347429774143936</v>
      </c>
    </row>
    <row r="270">
      <c r="A270" s="7" t="s">
        <v>75</v>
      </c>
      <c r="B270" s="7" t="s">
        <v>44</v>
      </c>
      <c r="C270" s="7" t="s">
        <v>45</v>
      </c>
      <c r="D270" s="7" t="s">
        <v>31</v>
      </c>
      <c r="E270" s="8" t="n">
        <v>45778</v>
      </c>
      <c r="F270" s="7" t="n">
        <v>2079857</v>
      </c>
      <c r="H270" s="7" t="n">
        <v>312846</v>
      </c>
      <c r="I270" s="7" t="n">
        <v>2267011</v>
      </c>
      <c r="L270" s="7" t="s">
        <v>153</v>
      </c>
      <c r="M270" s="7" t="n">
        <v>500000</v>
      </c>
      <c r="S270" s="7" t="n">
        <v>6</v>
      </c>
      <c r="T270" s="7" t="n">
        <v>12</v>
      </c>
      <c r="U270" s="7" t="n">
        <v>12</v>
      </c>
      <c r="V270" s="9" t="n">
        <v>7.2464119726638669</v>
      </c>
    </row>
    <row r="271">
      <c r="A271" s="7" t="s">
        <v>75</v>
      </c>
      <c r="B271" s="7" t="s">
        <v>44</v>
      </c>
      <c r="C271" s="7" t="s">
        <v>45</v>
      </c>
      <c r="D271" s="7" t="s">
        <v>31</v>
      </c>
      <c r="E271" s="8" t="n">
        <v>45809</v>
      </c>
      <c r="F271" s="7" t="n">
        <v>2267011</v>
      </c>
      <c r="H271" s="7" t="n">
        <v>316867</v>
      </c>
      <c r="I271" s="7" t="n">
        <v>1950144</v>
      </c>
      <c r="L271" s="7"/>
      <c r="S271" s="7" t="n">
        <v>6</v>
      </c>
      <c r="T271" s="7" t="n">
        <v>12</v>
      </c>
      <c r="U271" s="7" t="n">
        <v>12</v>
      </c>
      <c r="V271" s="9" t="n">
        <v>6.1544559704860395</v>
      </c>
    </row>
    <row r="272">
      <c r="A272" s="7" t="s">
        <v>75</v>
      </c>
      <c r="B272" s="7" t="s">
        <v>44</v>
      </c>
      <c r="C272" s="7" t="s">
        <v>45</v>
      </c>
      <c r="D272" s="7" t="s">
        <v>31</v>
      </c>
      <c r="E272" s="8" t="n">
        <v>45839</v>
      </c>
      <c r="F272" s="7" t="n">
        <v>1950144</v>
      </c>
      <c r="H272" s="7" t="n">
        <v>320888</v>
      </c>
      <c r="I272" s="7" t="n">
        <v>1629256</v>
      </c>
      <c r="L272" s="7"/>
      <c r="S272" s="7" t="n">
        <v>6</v>
      </c>
      <c r="T272" s="7" t="n">
        <v>12</v>
      </c>
      <c r="U272" s="7" t="n">
        <v>12</v>
      </c>
      <c r="V272" s="9" t="n">
        <v>5.0773353942808708</v>
      </c>
    </row>
    <row r="273">
      <c r="A273" s="7" t="s">
        <v>75</v>
      </c>
      <c r="B273" s="7" t="s">
        <v>44</v>
      </c>
      <c r="C273" s="7" t="s">
        <v>45</v>
      </c>
      <c r="D273" s="7" t="s">
        <v>31</v>
      </c>
      <c r="E273" s="8" t="n">
        <v>45870</v>
      </c>
      <c r="F273" s="7" t="n">
        <v>1629256</v>
      </c>
      <c r="H273" s="7" t="n">
        <v>324910</v>
      </c>
      <c r="I273" s="7" t="n">
        <v>1304346</v>
      </c>
      <c r="L273" s="7"/>
      <c r="S273" s="7" t="n">
        <v>6</v>
      </c>
      <c r="T273" s="7" t="n">
        <v>12</v>
      </c>
      <c r="U273" s="7" t="n">
        <v>12</v>
      </c>
      <c r="V273" s="9" t="n">
        <v>4.0144840109568802</v>
      </c>
    </row>
    <row r="274">
      <c r="A274" s="7" t="s">
        <v>75</v>
      </c>
      <c r="B274" s="7" t="s">
        <v>44</v>
      </c>
      <c r="C274" s="7" t="s">
        <v>45</v>
      </c>
      <c r="D274" s="7" t="s">
        <v>31</v>
      </c>
      <c r="E274" s="8" t="n">
        <v>45901</v>
      </c>
      <c r="F274" s="7" t="n">
        <v>1304346</v>
      </c>
      <c r="H274" s="7" t="n">
        <v>328931</v>
      </c>
      <c r="I274" s="7" t="n">
        <v>1875415</v>
      </c>
      <c r="L274" s="7" t="s">
        <v>152</v>
      </c>
      <c r="M274" s="7" t="n">
        <v>900000</v>
      </c>
      <c r="S274" s="7" t="n">
        <v>6</v>
      </c>
      <c r="T274" s="7" t="n">
        <v>12</v>
      </c>
      <c r="U274" s="7" t="n">
        <v>12</v>
      </c>
      <c r="V274" s="9" t="n">
        <v>5.7015453088945707</v>
      </c>
    </row>
    <row r="275">
      <c r="A275" s="7" t="s">
        <v>75</v>
      </c>
      <c r="B275" s="7" t="s">
        <v>44</v>
      </c>
      <c r="C275" s="7" t="s">
        <v>45</v>
      </c>
      <c r="D275" s="7" t="s">
        <v>31</v>
      </c>
      <c r="E275" s="8" t="n">
        <v>45931</v>
      </c>
      <c r="F275" s="7" t="n">
        <v>1875415</v>
      </c>
      <c r="H275" s="7" t="n">
        <v>332952</v>
      </c>
      <c r="I275" s="7" t="n">
        <v>3923043</v>
      </c>
      <c r="L275" s="7" t="s">
        <v>4</v>
      </c>
      <c r="M275" s="7" t="n">
        <v>2380580</v>
      </c>
      <c r="S275" s="7" t="n">
        <v>6</v>
      </c>
      <c r="T275" s="7" t="n">
        <v>12</v>
      </c>
      <c r="U275" s="7" t="n">
        <v>12</v>
      </c>
      <c r="V275" s="9" t="n">
        <v>11.782608303899661</v>
      </c>
    </row>
    <row r="276">
      <c r="A276" s="7" t="s">
        <v>75</v>
      </c>
      <c r="B276" s="7" t="s">
        <v>44</v>
      </c>
      <c r="C276" s="7" t="s">
        <v>45</v>
      </c>
      <c r="D276" s="7" t="s">
        <v>31</v>
      </c>
      <c r="E276" s="8" t="n">
        <v>45962</v>
      </c>
      <c r="F276" s="7" t="n">
        <v>3923043</v>
      </c>
      <c r="H276" s="7" t="n">
        <v>336973</v>
      </c>
      <c r="I276" s="7" t="n">
        <v>3586070</v>
      </c>
      <c r="L276" s="7"/>
      <c r="S276" s="7" t="n">
        <v>6</v>
      </c>
      <c r="T276" s="7" t="n">
        <v>12</v>
      </c>
      <c r="U276" s="7" t="n">
        <v>12</v>
      </c>
      <c r="V276" s="9" t="n">
        <v>10.642009893967765</v>
      </c>
    </row>
    <row r="277">
      <c r="A277" s="7" t="s">
        <v>75</v>
      </c>
      <c r="B277" s="7" t="s">
        <v>44</v>
      </c>
      <c r="C277" s="7" t="s">
        <v>45</v>
      </c>
      <c r="D277" s="7" t="s">
        <v>31</v>
      </c>
      <c r="E277" s="8" t="n">
        <v>45992</v>
      </c>
      <c r="F277" s="7" t="n">
        <v>3586070</v>
      </c>
      <c r="H277" s="7" t="n">
        <v>340994</v>
      </c>
      <c r="I277" s="7" t="n">
        <v>3245076</v>
      </c>
      <c r="L277" s="7"/>
      <c r="S277" s="7" t="n">
        <v>6</v>
      </c>
      <c r="T277" s="7" t="n">
        <v>12</v>
      </c>
      <c r="U277" s="7" t="n">
        <v>12</v>
      </c>
      <c r="V277" s="9" t="n">
        <v>9.5165193522466662</v>
      </c>
    </row>
    <row r="278">
      <c r="A278" s="7" t="s">
        <v>75</v>
      </c>
      <c r="B278" s="7" t="s">
        <v>44</v>
      </c>
      <c r="C278" s="7" t="s">
        <v>45</v>
      </c>
      <c r="D278" s="7" t="s">
        <v>31</v>
      </c>
      <c r="E278" s="8" t="n">
        <v>46023</v>
      </c>
      <c r="F278" s="7" t="n">
        <v>3245076</v>
      </c>
      <c r="H278" s="7" t="n">
        <v>345016</v>
      </c>
      <c r="I278" s="7" t="n">
        <v>2900060</v>
      </c>
      <c r="L278" s="7"/>
      <c r="S278" s="7" t="n">
        <v>6</v>
      </c>
      <c r="T278" s="7" t="n">
        <v>12</v>
      </c>
      <c r="U278" s="7" t="n">
        <v>12</v>
      </c>
      <c r="V278" s="9" t="n">
        <v>8.4055811904375446</v>
      </c>
    </row>
    <row r="279">
      <c r="A279" s="7" t="s">
        <v>75</v>
      </c>
      <c r="B279" s="7" t="s">
        <v>44</v>
      </c>
      <c r="C279" s="7" t="s">
        <v>45</v>
      </c>
      <c r="D279" s="7" t="s">
        <v>31</v>
      </c>
      <c r="E279" s="8" t="n">
        <v>46054</v>
      </c>
      <c r="F279" s="7" t="n">
        <v>2900060</v>
      </c>
      <c r="H279" s="7" t="n">
        <v>349037</v>
      </c>
      <c r="I279" s="7" t="n">
        <v>2551023</v>
      </c>
      <c r="L279" s="7"/>
      <c r="S279" s="7" t="n">
        <v>6</v>
      </c>
      <c r="T279" s="7" t="n">
        <v>12</v>
      </c>
      <c r="U279" s="7" t="n">
        <v>12</v>
      </c>
      <c r="V279" s="9" t="n">
        <v>7.308746637176001</v>
      </c>
    </row>
    <row r="280">
      <c r="A280" s="7" t="s">
        <v>75</v>
      </c>
      <c r="B280" s="7" t="s">
        <v>44</v>
      </c>
      <c r="C280" s="7" t="s">
        <v>45</v>
      </c>
      <c r="D280" s="7" t="s">
        <v>31</v>
      </c>
      <c r="E280" s="8" t="n">
        <v>46082</v>
      </c>
      <c r="F280" s="7" t="n">
        <v>2551023</v>
      </c>
      <c r="H280" s="7" t="n">
        <v>353058</v>
      </c>
      <c r="I280" s="7" t="n">
        <v>2197965</v>
      </c>
      <c r="L280" s="7"/>
      <c r="S280" s="7" t="n">
        <v>6</v>
      </c>
      <c r="T280" s="7" t="n">
        <v>12</v>
      </c>
      <c r="U280" s="7" t="n">
        <v>12</v>
      </c>
      <c r="V280" s="9" t="n">
        <v>6.2255068572302568</v>
      </c>
    </row>
    <row r="281">
      <c r="A281" s="7" t="s">
        <v>75</v>
      </c>
      <c r="B281" s="7" t="s">
        <v>44</v>
      </c>
      <c r="C281" s="7" t="s">
        <v>45</v>
      </c>
      <c r="D281" s="7" t="s">
        <v>31</v>
      </c>
      <c r="E281" s="8" t="n">
        <v>46113</v>
      </c>
      <c r="F281" s="7" t="n">
        <v>2197965</v>
      </c>
      <c r="H281" s="7" t="n">
        <v>357079</v>
      </c>
      <c r="I281" s="7" t="n">
        <v>4212570</v>
      </c>
      <c r="L281" s="7" t="s">
        <v>4</v>
      </c>
      <c r="M281" s="7" t="n">
        <v>2371684</v>
      </c>
      <c r="S281" s="7" t="n">
        <v>6</v>
      </c>
      <c r="T281" s="7" t="n">
        <v>12</v>
      </c>
      <c r="U281" s="7" t="n">
        <v>12</v>
      </c>
      <c r="V281" s="9" t="n">
        <v>11.797305358198045</v>
      </c>
    </row>
    <row r="282">
      <c r="A282" s="7" t="s">
        <v>75</v>
      </c>
      <c r="B282" s="7" t="s">
        <v>44</v>
      </c>
      <c r="C282" s="7" t="s">
        <v>45</v>
      </c>
      <c r="D282" s="7" t="s">
        <v>31</v>
      </c>
      <c r="E282" s="8" t="n">
        <v>46143</v>
      </c>
      <c r="F282" s="7" t="n">
        <v>4212570</v>
      </c>
      <c r="H282" s="7" t="n">
        <v>361100</v>
      </c>
      <c r="I282" s="7" t="n">
        <v>3851470</v>
      </c>
      <c r="L282" s="7"/>
      <c r="S282" s="7" t="n">
        <v>6</v>
      </c>
      <c r="T282" s="7" t="n">
        <v>12</v>
      </c>
      <c r="U282" s="7" t="n">
        <v>12</v>
      </c>
      <c r="V282" s="9" t="n">
        <v>10.665937413458876</v>
      </c>
    </row>
    <row r="283">
      <c r="A283" s="7" t="s">
        <v>75</v>
      </c>
      <c r="B283" s="7" t="s">
        <v>44</v>
      </c>
      <c r="C283" s="7" t="s">
        <v>45</v>
      </c>
      <c r="D283" s="7" t="s">
        <v>31</v>
      </c>
      <c r="E283" s="8" t="n">
        <v>46174</v>
      </c>
      <c r="F283" s="7" t="n">
        <v>3851470</v>
      </c>
      <c r="H283" s="7" t="n">
        <v>365121</v>
      </c>
      <c r="I283" s="7" t="n">
        <v>3486349</v>
      </c>
      <c r="L283" s="7"/>
      <c r="S283" s="7" t="n">
        <v>6</v>
      </c>
      <c r="T283" s="7" t="n">
        <v>12</v>
      </c>
      <c r="U283" s="7" t="n">
        <v>12</v>
      </c>
      <c r="V283" s="9" t="n">
        <v>9.5484757107917648</v>
      </c>
    </row>
    <row r="284">
      <c r="A284" s="7" t="s">
        <v>75</v>
      </c>
      <c r="B284" s="7" t="s">
        <v>44</v>
      </c>
      <c r="C284" s="7" t="s">
        <v>45</v>
      </c>
      <c r="D284" s="7" t="s">
        <v>31</v>
      </c>
      <c r="E284" s="8" t="n">
        <v>46204</v>
      </c>
      <c r="F284" s="7" t="n">
        <v>3486349</v>
      </c>
      <c r="H284" s="7" t="n">
        <v>369143</v>
      </c>
      <c r="I284" s="7" t="n">
        <v>3117206</v>
      </c>
      <c r="L284" s="7"/>
      <c r="S284" s="7" t="n">
        <v>6</v>
      </c>
      <c r="T284" s="7" t="n">
        <v>12</v>
      </c>
      <c r="U284" s="7" t="n">
        <v>12</v>
      </c>
      <c r="V284" s="9" t="n">
        <v>8.4444402304797865</v>
      </c>
    </row>
    <row r="285">
      <c r="A285" s="7" t="s">
        <v>75</v>
      </c>
      <c r="B285" s="7" t="s">
        <v>44</v>
      </c>
      <c r="C285" s="7" t="s">
        <v>45</v>
      </c>
      <c r="D285" s="7" t="s">
        <v>31</v>
      </c>
      <c r="E285" s="8" t="n">
        <v>46235</v>
      </c>
      <c r="F285" s="7" t="n">
        <v>3117206</v>
      </c>
      <c r="H285" s="7" t="n">
        <v>373164</v>
      </c>
      <c r="I285" s="7" t="n">
        <v>2744042</v>
      </c>
      <c r="L285" s="7"/>
      <c r="S285" s="7" t="n">
        <v>6</v>
      </c>
      <c r="T285" s="7" t="n">
        <v>12</v>
      </c>
      <c r="U285" s="7" t="n">
        <v>12</v>
      </c>
      <c r="V285" s="9" t="n">
        <v>7.3534478138298445</v>
      </c>
    </row>
    <row r="286">
      <c r="A286" s="7" t="s">
        <v>75</v>
      </c>
      <c r="B286" s="7" t="s">
        <v>44</v>
      </c>
      <c r="C286" s="7" t="s">
        <v>45</v>
      </c>
      <c r="D286" s="7" t="s">
        <v>31</v>
      </c>
      <c r="E286" s="8" t="n">
        <v>46266</v>
      </c>
      <c r="F286" s="7" t="n">
        <v>2744042</v>
      </c>
      <c r="H286" s="7" t="n">
        <v>377185</v>
      </c>
      <c r="I286" s="7" t="n">
        <v>2366857</v>
      </c>
      <c r="L286" s="7"/>
      <c r="S286" s="7" t="n">
        <v>6</v>
      </c>
      <c r="T286" s="7" t="n">
        <v>12</v>
      </c>
      <c r="U286" s="7" t="n">
        <v>12</v>
      </c>
      <c r="V286" s="9" t="n">
        <v>6.2750560069992183</v>
      </c>
    </row>
    <row r="287">
      <c r="A287" s="7" t="s">
        <v>76</v>
      </c>
      <c r="B287" s="7" t="s">
        <v>44</v>
      </c>
      <c r="C287" s="7" t="s">
        <v>45</v>
      </c>
      <c r="D287" s="7" t="s">
        <v>31</v>
      </c>
      <c r="E287" s="8" t="n">
        <v>45748</v>
      </c>
      <c r="F287" s="7" t="n">
        <v>1248680</v>
      </c>
      <c r="H287" s="7" t="n">
        <v>131615</v>
      </c>
      <c r="I287" s="7" t="n">
        <v>1117065</v>
      </c>
      <c r="L287" s="7"/>
      <c r="S287" s="7" t="n">
        <v>3</v>
      </c>
      <c r="T287" s="7" t="n">
        <v>6</v>
      </c>
      <c r="U287" s="7" t="n">
        <v>6</v>
      </c>
      <c r="V287" s="9" t="n">
        <v>8.4873684610416742</v>
      </c>
    </row>
    <row r="288">
      <c r="A288" s="7" t="s">
        <v>76</v>
      </c>
      <c r="B288" s="7" t="s">
        <v>44</v>
      </c>
      <c r="C288" s="7" t="s">
        <v>45</v>
      </c>
      <c r="D288" s="7" t="s">
        <v>31</v>
      </c>
      <c r="E288" s="8" t="n">
        <v>45778</v>
      </c>
      <c r="F288" s="7" t="n">
        <v>1117065</v>
      </c>
      <c r="H288" s="7" t="n">
        <v>131615</v>
      </c>
      <c r="I288" s="7" t="n">
        <v>985450</v>
      </c>
      <c r="L288" s="7"/>
      <c r="S288" s="7" t="n">
        <v>3</v>
      </c>
      <c r="T288" s="7" t="n">
        <v>6</v>
      </c>
      <c r="U288" s="7" t="n">
        <v>6</v>
      </c>
      <c r="V288" s="9" t="n">
        <v>7.4873684610416742</v>
      </c>
    </row>
    <row r="289">
      <c r="A289" s="7" t="s">
        <v>76</v>
      </c>
      <c r="B289" s="7" t="s">
        <v>44</v>
      </c>
      <c r="C289" s="7" t="s">
        <v>45</v>
      </c>
      <c r="D289" s="7" t="s">
        <v>31</v>
      </c>
      <c r="E289" s="8" t="n">
        <v>45809</v>
      </c>
      <c r="F289" s="7" t="n">
        <v>985450</v>
      </c>
      <c r="H289" s="7" t="n">
        <v>131615</v>
      </c>
      <c r="I289" s="7" t="n">
        <v>853835</v>
      </c>
      <c r="L289" s="7"/>
      <c r="S289" s="7" t="n">
        <v>3</v>
      </c>
      <c r="T289" s="7" t="n">
        <v>6</v>
      </c>
      <c r="U289" s="7" t="n">
        <v>6</v>
      </c>
      <c r="V289" s="9" t="n">
        <v>6.4873684610416742</v>
      </c>
    </row>
    <row r="290">
      <c r="A290" s="7" t="s">
        <v>76</v>
      </c>
      <c r="B290" s="7" t="s">
        <v>44</v>
      </c>
      <c r="C290" s="7" t="s">
        <v>45</v>
      </c>
      <c r="D290" s="7" t="s">
        <v>31</v>
      </c>
      <c r="E290" s="8" t="n">
        <v>45839</v>
      </c>
      <c r="F290" s="7" t="n">
        <v>853835</v>
      </c>
      <c r="H290" s="7" t="n">
        <v>131615</v>
      </c>
      <c r="I290" s="7" t="n">
        <v>722220</v>
      </c>
      <c r="L290" s="7"/>
      <c r="S290" s="7" t="n">
        <v>3</v>
      </c>
      <c r="T290" s="7" t="n">
        <v>6</v>
      </c>
      <c r="U290" s="7" t="n">
        <v>6</v>
      </c>
      <c r="V290" s="9" t="n">
        <v>5.4873684610416742</v>
      </c>
    </row>
    <row r="291">
      <c r="A291" s="7" t="s">
        <v>76</v>
      </c>
      <c r="B291" s="7" t="s">
        <v>44</v>
      </c>
      <c r="C291" s="7" t="s">
        <v>45</v>
      </c>
      <c r="D291" s="7" t="s">
        <v>31</v>
      </c>
      <c r="E291" s="8" t="n">
        <v>45870</v>
      </c>
      <c r="F291" s="7" t="n">
        <v>722220</v>
      </c>
      <c r="H291" s="7" t="n">
        <v>131615</v>
      </c>
      <c r="I291" s="7" t="n">
        <v>590605</v>
      </c>
      <c r="L291" s="7"/>
      <c r="S291" s="7" t="n">
        <v>3</v>
      </c>
      <c r="T291" s="7" t="n">
        <v>6</v>
      </c>
      <c r="U291" s="7" t="n">
        <v>6</v>
      </c>
      <c r="V291" s="9" t="n">
        <v>4.4873684610416742</v>
      </c>
    </row>
    <row r="292">
      <c r="A292" s="7" t="s">
        <v>76</v>
      </c>
      <c r="B292" s="7" t="s">
        <v>44</v>
      </c>
      <c r="C292" s="7" t="s">
        <v>45</v>
      </c>
      <c r="D292" s="7" t="s">
        <v>31</v>
      </c>
      <c r="E292" s="8" t="n">
        <v>45901</v>
      </c>
      <c r="F292" s="7" t="n">
        <v>590605</v>
      </c>
      <c r="H292" s="7" t="n">
        <v>131615</v>
      </c>
      <c r="I292" s="7" t="n">
        <v>458990</v>
      </c>
      <c r="L292" s="7"/>
      <c r="S292" s="7" t="n">
        <v>3</v>
      </c>
      <c r="T292" s="7" t="n">
        <v>6</v>
      </c>
      <c r="U292" s="7" t="n">
        <v>6</v>
      </c>
      <c r="V292" s="9" t="n">
        <v>3.4873684610416746</v>
      </c>
    </row>
    <row r="293">
      <c r="A293" s="7" t="s">
        <v>76</v>
      </c>
      <c r="B293" s="7" t="s">
        <v>44</v>
      </c>
      <c r="C293" s="7" t="s">
        <v>45</v>
      </c>
      <c r="D293" s="7" t="s">
        <v>31</v>
      </c>
      <c r="E293" s="8" t="n">
        <v>45931</v>
      </c>
      <c r="F293" s="7" t="n">
        <v>458990</v>
      </c>
      <c r="H293" s="7" t="n">
        <v>131615</v>
      </c>
      <c r="I293" s="7" t="n">
        <v>327375</v>
      </c>
      <c r="L293" s="7"/>
      <c r="S293" s="7" t="n">
        <v>3</v>
      </c>
      <c r="T293" s="7" t="n">
        <v>6</v>
      </c>
      <c r="U293" s="7" t="n">
        <v>6</v>
      </c>
      <c r="V293" s="9" t="n">
        <v>2.4873684610416746</v>
      </c>
    </row>
    <row r="294">
      <c r="A294" s="7" t="s">
        <v>76</v>
      </c>
      <c r="B294" s="7" t="s">
        <v>44</v>
      </c>
      <c r="C294" s="7" t="s">
        <v>45</v>
      </c>
      <c r="D294" s="7" t="s">
        <v>31</v>
      </c>
      <c r="E294" s="8" t="n">
        <v>45962</v>
      </c>
      <c r="F294" s="7" t="n">
        <v>327375</v>
      </c>
      <c r="H294" s="7" t="n">
        <v>131615</v>
      </c>
      <c r="I294" s="7" t="n">
        <v>195760</v>
      </c>
      <c r="L294" s="7"/>
      <c r="S294" s="7" t="n">
        <v>3</v>
      </c>
      <c r="T294" s="7" t="n">
        <v>6</v>
      </c>
      <c r="U294" s="7" t="n">
        <v>6</v>
      </c>
      <c r="V294" s="9" t="n">
        <v>1.4873684610416746</v>
      </c>
    </row>
    <row r="295">
      <c r="A295" s="7" t="s">
        <v>76</v>
      </c>
      <c r="B295" s="7" t="s">
        <v>44</v>
      </c>
      <c r="C295" s="7" t="s">
        <v>45</v>
      </c>
      <c r="D295" s="7" t="s">
        <v>31</v>
      </c>
      <c r="E295" s="8" t="n">
        <v>45992</v>
      </c>
      <c r="F295" s="7" t="n">
        <v>195760</v>
      </c>
      <c r="H295" s="7" t="n">
        <v>131615</v>
      </c>
      <c r="I295" s="7" t="n">
        <v>64145</v>
      </c>
      <c r="L295" s="7"/>
      <c r="S295" s="7" t="n">
        <v>3</v>
      </c>
      <c r="T295" s="7" t="n">
        <v>6</v>
      </c>
      <c r="U295" s="7" t="n">
        <v>6</v>
      </c>
      <c r="V295" s="9" t="n">
        <v>0.48736846104167458</v>
      </c>
    </row>
    <row r="296">
      <c r="A296" s="7" t="s">
        <v>76</v>
      </c>
      <c r="B296" s="7" t="s">
        <v>44</v>
      </c>
      <c r="C296" s="7" t="s">
        <v>45</v>
      </c>
      <c r="D296" s="7" t="s">
        <v>31</v>
      </c>
      <c r="E296" s="8" t="n">
        <v>46023</v>
      </c>
      <c r="F296" s="7" t="n">
        <v>64145</v>
      </c>
      <c r="H296" s="7" t="n">
        <v>140803</v>
      </c>
      <c r="I296" s="7" t="n">
        <v>0</v>
      </c>
      <c r="L296" s="7"/>
      <c r="S296" s="7" t="n">
        <v>3</v>
      </c>
      <c r="T296" s="7" t="n">
        <v>6</v>
      </c>
      <c r="U296" s="7" t="n">
        <v>6</v>
      </c>
      <c r="V296" s="9" t="n">
        <v>0</v>
      </c>
    </row>
    <row r="297">
      <c r="A297" s="7" t="s">
        <v>76</v>
      </c>
      <c r="B297" s="7" t="s">
        <v>44</v>
      </c>
      <c r="C297" s="7" t="s">
        <v>45</v>
      </c>
      <c r="D297" s="7" t="s">
        <v>31</v>
      </c>
      <c r="E297" s="8" t="n">
        <v>46054</v>
      </c>
      <c r="F297" s="7" t="n">
        <v>0</v>
      </c>
      <c r="H297" s="7" t="n">
        <v>140803</v>
      </c>
      <c r="I297" s="7" t="n">
        <v>0</v>
      </c>
      <c r="L297" s="7"/>
      <c r="S297" s="7" t="n">
        <v>3</v>
      </c>
      <c r="T297" s="7" t="n">
        <v>6</v>
      </c>
      <c r="U297" s="7" t="n">
        <v>6</v>
      </c>
      <c r="V297" s="9" t="n">
        <v>0</v>
      </c>
    </row>
    <row r="298">
      <c r="A298" s="7" t="s">
        <v>76</v>
      </c>
      <c r="B298" s="7" t="s">
        <v>44</v>
      </c>
      <c r="C298" s="7" t="s">
        <v>45</v>
      </c>
      <c r="D298" s="7" t="s">
        <v>31</v>
      </c>
      <c r="E298" s="8" t="n">
        <v>46082</v>
      </c>
      <c r="F298" s="7" t="n">
        <v>0</v>
      </c>
      <c r="H298" s="7" t="n">
        <v>140803</v>
      </c>
      <c r="I298" s="7" t="n">
        <v>0</v>
      </c>
      <c r="L298" s="7"/>
      <c r="S298" s="7" t="n">
        <v>3</v>
      </c>
      <c r="T298" s="7" t="n">
        <v>6</v>
      </c>
      <c r="U298" s="7" t="n">
        <v>6</v>
      </c>
      <c r="V298" s="9" t="n">
        <v>0</v>
      </c>
    </row>
    <row r="299">
      <c r="A299" s="7" t="s">
        <v>76</v>
      </c>
      <c r="B299" s="7" t="s">
        <v>44</v>
      </c>
      <c r="C299" s="7" t="s">
        <v>45</v>
      </c>
      <c r="D299" s="7" t="s">
        <v>31</v>
      </c>
      <c r="E299" s="8" t="n">
        <v>46113</v>
      </c>
      <c r="F299" s="7" t="n">
        <v>0</v>
      </c>
      <c r="H299" s="7" t="n">
        <v>140803</v>
      </c>
      <c r="I299" s="7" t="n">
        <v>0</v>
      </c>
      <c r="L299" s="7"/>
      <c r="S299" s="7" t="n">
        <v>3</v>
      </c>
      <c r="T299" s="7" t="n">
        <v>6</v>
      </c>
      <c r="U299" s="7" t="n">
        <v>6</v>
      </c>
      <c r="V299" s="9" t="n">
        <v>0</v>
      </c>
    </row>
    <row r="300">
      <c r="A300" s="7" t="s">
        <v>76</v>
      </c>
      <c r="B300" s="7" t="s">
        <v>44</v>
      </c>
      <c r="C300" s="7" t="s">
        <v>45</v>
      </c>
      <c r="D300" s="7" t="s">
        <v>31</v>
      </c>
      <c r="E300" s="8" t="n">
        <v>46143</v>
      </c>
      <c r="F300" s="7" t="n">
        <v>0</v>
      </c>
      <c r="H300" s="7" t="n">
        <v>140803</v>
      </c>
      <c r="I300" s="7" t="n">
        <v>0</v>
      </c>
      <c r="L300" s="7"/>
      <c r="S300" s="7" t="n">
        <v>3</v>
      </c>
      <c r="T300" s="7" t="n">
        <v>6</v>
      </c>
      <c r="U300" s="7" t="n">
        <v>6</v>
      </c>
      <c r="V300" s="9" t="n">
        <v>0</v>
      </c>
    </row>
    <row r="301">
      <c r="A301" s="7" t="s">
        <v>76</v>
      </c>
      <c r="B301" s="7" t="s">
        <v>44</v>
      </c>
      <c r="C301" s="7" t="s">
        <v>45</v>
      </c>
      <c r="D301" s="7" t="s">
        <v>31</v>
      </c>
      <c r="E301" s="8" t="n">
        <v>46174</v>
      </c>
      <c r="F301" s="7" t="n">
        <v>0</v>
      </c>
      <c r="H301" s="7" t="n">
        <v>140803</v>
      </c>
      <c r="I301" s="7" t="n">
        <v>0</v>
      </c>
      <c r="L301" s="7"/>
      <c r="S301" s="7" t="n">
        <v>3</v>
      </c>
      <c r="T301" s="7" t="n">
        <v>6</v>
      </c>
      <c r="U301" s="7" t="n">
        <v>6</v>
      </c>
      <c r="V301" s="9" t="n">
        <v>0</v>
      </c>
    </row>
    <row r="302">
      <c r="A302" s="7" t="s">
        <v>76</v>
      </c>
      <c r="B302" s="7" t="s">
        <v>44</v>
      </c>
      <c r="C302" s="7" t="s">
        <v>45</v>
      </c>
      <c r="D302" s="7" t="s">
        <v>31</v>
      </c>
      <c r="E302" s="8" t="n">
        <v>46204</v>
      </c>
      <c r="F302" s="7" t="n">
        <v>0</v>
      </c>
      <c r="H302" s="7" t="n">
        <v>140803</v>
      </c>
      <c r="I302" s="7" t="n">
        <v>0</v>
      </c>
      <c r="L302" s="7"/>
      <c r="S302" s="7" t="n">
        <v>3</v>
      </c>
      <c r="T302" s="7" t="n">
        <v>6</v>
      </c>
      <c r="U302" s="7" t="n">
        <v>6</v>
      </c>
      <c r="V302" s="9" t="n">
        <v>0</v>
      </c>
    </row>
    <row r="303">
      <c r="A303" s="7" t="s">
        <v>76</v>
      </c>
      <c r="B303" s="7" t="s">
        <v>44</v>
      </c>
      <c r="C303" s="7" t="s">
        <v>45</v>
      </c>
      <c r="D303" s="7" t="s">
        <v>31</v>
      </c>
      <c r="E303" s="8" t="n">
        <v>46235</v>
      </c>
      <c r="F303" s="7" t="n">
        <v>0</v>
      </c>
      <c r="H303" s="7" t="n">
        <v>140803</v>
      </c>
      <c r="I303" s="7" t="n">
        <v>0</v>
      </c>
      <c r="L303" s="7"/>
      <c r="S303" s="7" t="n">
        <v>3</v>
      </c>
      <c r="T303" s="7" t="n">
        <v>6</v>
      </c>
      <c r="U303" s="7" t="n">
        <v>6</v>
      </c>
      <c r="V303" s="9" t="n">
        <v>0</v>
      </c>
    </row>
    <row r="304">
      <c r="A304" s="7" t="s">
        <v>76</v>
      </c>
      <c r="B304" s="7" t="s">
        <v>44</v>
      </c>
      <c r="C304" s="7" t="s">
        <v>45</v>
      </c>
      <c r="D304" s="7" t="s">
        <v>31</v>
      </c>
      <c r="E304" s="8" t="n">
        <v>46266</v>
      </c>
      <c r="F304" s="7" t="n">
        <v>0</v>
      </c>
      <c r="H304" s="7" t="n">
        <v>140803</v>
      </c>
      <c r="I304" s="7" t="n">
        <v>0</v>
      </c>
      <c r="L304" s="7"/>
      <c r="S304" s="7" t="n">
        <v>3</v>
      </c>
      <c r="T304" s="7" t="n">
        <v>6</v>
      </c>
      <c r="U304" s="7" t="n">
        <v>6</v>
      </c>
      <c r="V304" s="9" t="n">
        <v>0</v>
      </c>
    </row>
    <row r="305">
      <c r="A305" s="7" t="s">
        <v>76</v>
      </c>
      <c r="B305" s="7" t="s">
        <v>44</v>
      </c>
      <c r="C305" s="7" t="s">
        <v>45</v>
      </c>
      <c r="D305" s="7" t="s">
        <v>31</v>
      </c>
      <c r="E305" s="8" t="n">
        <v>46296</v>
      </c>
      <c r="F305" s="7" t="n">
        <v>0</v>
      </c>
      <c r="H305" s="7" t="n">
        <v>140803</v>
      </c>
      <c r="I305" s="7" t="n">
        <v>0</v>
      </c>
      <c r="L305" s="7"/>
      <c r="S305" s="7" t="n">
        <v>3</v>
      </c>
      <c r="T305" s="7" t="n">
        <v>6</v>
      </c>
      <c r="U305" s="7" t="n">
        <v>6</v>
      </c>
      <c r="V305" s="9" t="n">
        <v>0</v>
      </c>
    </row>
    <row r="306">
      <c r="A306" s="7" t="s">
        <v>76</v>
      </c>
      <c r="B306" s="7" t="s">
        <v>44</v>
      </c>
      <c r="C306" s="7" t="s">
        <v>45</v>
      </c>
      <c r="D306" s="7" t="s">
        <v>31</v>
      </c>
      <c r="E306" s="8" t="n">
        <v>46327</v>
      </c>
      <c r="F306" s="7" t="n">
        <v>0</v>
      </c>
      <c r="H306" s="7" t="n">
        <v>140803</v>
      </c>
      <c r="I306" s="7" t="n">
        <v>0</v>
      </c>
      <c r="L306" s="7"/>
      <c r="S306" s="7" t="n">
        <v>3</v>
      </c>
      <c r="T306" s="7" t="n">
        <v>6</v>
      </c>
      <c r="U306" s="7" t="n">
        <v>6</v>
      </c>
      <c r="V306" s="9" t="n">
        <v>0</v>
      </c>
    </row>
    <row r="307">
      <c r="A307" s="7" t="s">
        <v>76</v>
      </c>
      <c r="B307" s="7" t="s">
        <v>44</v>
      </c>
      <c r="C307" s="7" t="s">
        <v>45</v>
      </c>
      <c r="D307" s="7" t="s">
        <v>31</v>
      </c>
      <c r="E307" s="8" t="n">
        <v>46357</v>
      </c>
      <c r="F307" s="7" t="n">
        <v>0</v>
      </c>
      <c r="H307" s="7" t="n">
        <v>140803</v>
      </c>
      <c r="I307" s="7" t="n">
        <v>0</v>
      </c>
      <c r="L307" s="7"/>
      <c r="S307" s="7" t="n">
        <v>3</v>
      </c>
      <c r="T307" s="7" t="n">
        <v>6</v>
      </c>
      <c r="U307" s="7" t="n">
        <v>6</v>
      </c>
      <c r="V307" s="9" t="n">
        <v>0</v>
      </c>
    </row>
    <row r="308">
      <c r="A308" s="7" t="s">
        <v>72</v>
      </c>
      <c r="B308" s="7" t="s">
        <v>44</v>
      </c>
      <c r="C308" s="7" t="s">
        <v>45</v>
      </c>
      <c r="D308" s="7" t="s">
        <v>31</v>
      </c>
      <c r="E308" s="8" t="n">
        <v>45689</v>
      </c>
      <c r="F308" s="7" t="n">
        <v>515585</v>
      </c>
      <c r="H308" s="7" t="n">
        <v>110429</v>
      </c>
      <c r="I308" s="7" t="n">
        <v>920156</v>
      </c>
      <c r="J308" s="7" t="s">
        <v>157</v>
      </c>
      <c r="K308" s="7" t="s">
        <v>3</v>
      </c>
      <c r="L308" s="7" t="s">
        <v>153</v>
      </c>
      <c r="M308" s="7" t="n">
        <v>515000</v>
      </c>
      <c r="O308" s="7" t="n">
        <v>351848</v>
      </c>
      <c r="P308" s="7" t="n">
        <v>45689</v>
      </c>
      <c r="S308" s="7" t="n">
        <v>6</v>
      </c>
      <c r="T308" s="7" t="n">
        <v>12</v>
      </c>
      <c r="U308" s="7" t="n">
        <v>12</v>
      </c>
      <c r="V308" s="9" t="n">
        <v>8.3325575709279267</v>
      </c>
    </row>
    <row r="309">
      <c r="A309" s="7" t="s">
        <v>72</v>
      </c>
      <c r="B309" s="7" t="s">
        <v>44</v>
      </c>
      <c r="C309" s="7" t="s">
        <v>45</v>
      </c>
      <c r="D309" s="7" t="s">
        <v>31</v>
      </c>
      <c r="E309" s="8" t="n">
        <v>45717</v>
      </c>
      <c r="F309" s="7" t="n">
        <v>920156</v>
      </c>
      <c r="H309" s="7" t="n">
        <v>110429</v>
      </c>
      <c r="I309" s="7" t="n">
        <v>916527</v>
      </c>
      <c r="J309" s="7" t="s">
        <v>51</v>
      </c>
      <c r="K309" s="7" t="s">
        <v>51</v>
      </c>
      <c r="L309" s="7" t="s">
        <v>153</v>
      </c>
      <c r="M309" s="7" t="n">
        <v>106800</v>
      </c>
      <c r="O309" s="7" t="n">
        <v>101674</v>
      </c>
      <c r="P309" s="7" t="n">
        <v>45717</v>
      </c>
      <c r="S309" s="7" t="n">
        <v>6</v>
      </c>
      <c r="T309" s="7" t="n">
        <v>12</v>
      </c>
      <c r="U309" s="7" t="n">
        <v>12</v>
      </c>
      <c r="V309" s="9" t="n">
        <v>8.2996948265401294</v>
      </c>
    </row>
    <row r="310">
      <c r="A310" s="7" t="s">
        <v>72</v>
      </c>
      <c r="B310" s="7" t="s">
        <v>44</v>
      </c>
      <c r="C310" s="7" t="s">
        <v>45</v>
      </c>
      <c r="D310" s="7" t="s">
        <v>31</v>
      </c>
      <c r="E310" s="8" t="n">
        <v>45748</v>
      </c>
      <c r="F310" s="7" t="n">
        <v>916527</v>
      </c>
      <c r="H310" s="7" t="n">
        <v>110429</v>
      </c>
      <c r="I310" s="7" t="n">
        <v>1106098</v>
      </c>
      <c r="J310" s="7" t="s">
        <v>51</v>
      </c>
      <c r="K310" s="7" t="s">
        <v>158</v>
      </c>
      <c r="L310" s="7" t="s">
        <v>153</v>
      </c>
      <c r="M310" s="7" t="n">
        <v>300000</v>
      </c>
      <c r="O310" s="7" t="n">
        <v>258720</v>
      </c>
      <c r="P310" s="7" t="n">
        <v>45748</v>
      </c>
      <c r="S310" s="7" t="n">
        <v>6</v>
      </c>
      <c r="T310" s="7" t="n">
        <v>12</v>
      </c>
      <c r="U310" s="7" t="n">
        <v>12</v>
      </c>
      <c r="V310" s="9" t="n">
        <v>10.016372510844072</v>
      </c>
    </row>
    <row r="311">
      <c r="A311" s="7" t="s">
        <v>72</v>
      </c>
      <c r="B311" s="7" t="s">
        <v>44</v>
      </c>
      <c r="C311" s="7" t="s">
        <v>45</v>
      </c>
      <c r="D311" s="7" t="s">
        <v>31</v>
      </c>
      <c r="E311" s="8" t="n">
        <v>45778</v>
      </c>
      <c r="F311" s="7" t="n">
        <v>1106098</v>
      </c>
      <c r="H311" s="7" t="n">
        <v>110429</v>
      </c>
      <c r="I311" s="7" t="n">
        <v>1495669</v>
      </c>
      <c r="J311" s="7" t="s">
        <v>157</v>
      </c>
      <c r="K311" s="7" t="s">
        <v>3</v>
      </c>
      <c r="L311" s="7" t="s">
        <v>153</v>
      </c>
      <c r="M311" s="7" t="n">
        <v>500000</v>
      </c>
      <c r="O311" s="7" t="n">
        <v>341600</v>
      </c>
      <c r="P311" s="7" t="n">
        <v>45778</v>
      </c>
      <c r="S311" s="7" t="n">
        <v>6</v>
      </c>
      <c r="T311" s="7" t="n">
        <v>12</v>
      </c>
      <c r="U311" s="7" t="n">
        <v>12</v>
      </c>
      <c r="V311" s="9" t="n">
        <v>13.544168651350642</v>
      </c>
    </row>
    <row r="312">
      <c r="A312" s="7" t="s">
        <v>72</v>
      </c>
      <c r="B312" s="7" t="s">
        <v>44</v>
      </c>
      <c r="C312" s="7" t="s">
        <v>45</v>
      </c>
      <c r="D312" s="7" t="s">
        <v>31</v>
      </c>
      <c r="E312" s="8" t="n">
        <v>45809</v>
      </c>
      <c r="F312" s="7" t="n">
        <v>1495669</v>
      </c>
      <c r="H312" s="7" t="n">
        <v>110429</v>
      </c>
      <c r="I312" s="7" t="n">
        <v>1385240</v>
      </c>
      <c r="L312" s="7"/>
      <c r="S312" s="7" t="n">
        <v>6</v>
      </c>
      <c r="T312" s="7" t="n">
        <v>12</v>
      </c>
      <c r="U312" s="7" t="n">
        <v>12</v>
      </c>
      <c r="V312" s="9" t="n">
        <v>12.544168651350642</v>
      </c>
    </row>
    <row r="313">
      <c r="A313" s="7" t="s">
        <v>72</v>
      </c>
      <c r="B313" s="7" t="s">
        <v>44</v>
      </c>
      <c r="C313" s="7" t="s">
        <v>45</v>
      </c>
      <c r="D313" s="7" t="s">
        <v>31</v>
      </c>
      <c r="E313" s="8" t="n">
        <v>45839</v>
      </c>
      <c r="F313" s="7" t="n">
        <v>1385240</v>
      </c>
      <c r="H313" s="7" t="n">
        <v>110429</v>
      </c>
      <c r="I313" s="7" t="n">
        <v>1274811</v>
      </c>
      <c r="L313" s="7"/>
      <c r="S313" s="7" t="n">
        <v>6</v>
      </c>
      <c r="T313" s="7" t="n">
        <v>12</v>
      </c>
      <c r="U313" s="7" t="n">
        <v>12</v>
      </c>
      <c r="V313" s="9" t="n">
        <v>11.544168651350642</v>
      </c>
    </row>
    <row r="314">
      <c r="A314" s="7" t="s">
        <v>72</v>
      </c>
      <c r="B314" s="7" t="s">
        <v>44</v>
      </c>
      <c r="C314" s="7" t="s">
        <v>45</v>
      </c>
      <c r="D314" s="7" t="s">
        <v>31</v>
      </c>
      <c r="E314" s="8" t="n">
        <v>45870</v>
      </c>
      <c r="F314" s="7" t="n">
        <v>1274811</v>
      </c>
      <c r="H314" s="7" t="n">
        <v>110429</v>
      </c>
      <c r="I314" s="7" t="n">
        <v>1264382</v>
      </c>
      <c r="J314" s="7" t="s">
        <v>51</v>
      </c>
      <c r="K314" s="7" t="s">
        <v>51</v>
      </c>
      <c r="L314" s="7" t="s">
        <v>154</v>
      </c>
      <c r="M314" s="7" t="n">
        <v>100000</v>
      </c>
      <c r="O314" s="7" t="n">
        <v>95200</v>
      </c>
      <c r="P314" s="7" t="n">
        <v>45870</v>
      </c>
      <c r="S314" s="7" t="n">
        <v>6</v>
      </c>
      <c r="T314" s="7" t="n">
        <v>12</v>
      </c>
      <c r="U314" s="7" t="n">
        <v>12</v>
      </c>
      <c r="V314" s="9" t="n">
        <v>11.449727879451956</v>
      </c>
    </row>
    <row r="315">
      <c r="A315" s="7" t="s">
        <v>72</v>
      </c>
      <c r="B315" s="7" t="s">
        <v>44</v>
      </c>
      <c r="C315" s="7" t="s">
        <v>45</v>
      </c>
      <c r="D315" s="7" t="s">
        <v>31</v>
      </c>
      <c r="E315" s="8" t="n">
        <v>45901</v>
      </c>
      <c r="F315" s="7" t="n">
        <v>1264382</v>
      </c>
      <c r="H315" s="7" t="n">
        <v>110429</v>
      </c>
      <c r="I315" s="7" t="n">
        <v>1153953</v>
      </c>
      <c r="L315" s="7"/>
      <c r="S315" s="7" t="n">
        <v>6</v>
      </c>
      <c r="T315" s="7" t="n">
        <v>12</v>
      </c>
      <c r="U315" s="7" t="n">
        <v>12</v>
      </c>
      <c r="V315" s="9" t="n">
        <v>10.449727879451956</v>
      </c>
    </row>
    <row r="316">
      <c r="A316" s="7" t="s">
        <v>72</v>
      </c>
      <c r="B316" s="7" t="s">
        <v>44</v>
      </c>
      <c r="C316" s="7" t="s">
        <v>45</v>
      </c>
      <c r="D316" s="7" t="s">
        <v>31</v>
      </c>
      <c r="E316" s="8" t="n">
        <v>45931</v>
      </c>
      <c r="F316" s="7" t="n">
        <v>1153953</v>
      </c>
      <c r="H316" s="7" t="n">
        <v>110429</v>
      </c>
      <c r="I316" s="7" t="n">
        <v>1262124</v>
      </c>
      <c r="J316" s="7" t="s">
        <v>51</v>
      </c>
      <c r="K316" s="7" t="s">
        <v>51</v>
      </c>
      <c r="L316" s="7" t="s">
        <v>147</v>
      </c>
      <c r="M316" s="7" t="n">
        <v>218600</v>
      </c>
      <c r="O316" s="7" t="n">
        <v>195913</v>
      </c>
      <c r="P316" s="7" t="n">
        <v>45931</v>
      </c>
      <c r="S316" s="7" t="n">
        <v>6</v>
      </c>
      <c r="T316" s="7" t="n">
        <v>12</v>
      </c>
      <c r="U316" s="7" t="n">
        <v>12</v>
      </c>
      <c r="V316" s="9" t="n">
        <v>11.429280352081427</v>
      </c>
    </row>
    <row r="317">
      <c r="A317" s="7" t="s">
        <v>72</v>
      </c>
      <c r="B317" s="7" t="s">
        <v>44</v>
      </c>
      <c r="C317" s="7" t="s">
        <v>45</v>
      </c>
      <c r="D317" s="7" t="s">
        <v>31</v>
      </c>
      <c r="E317" s="8" t="n">
        <v>45962</v>
      </c>
      <c r="F317" s="7" t="n">
        <v>1262124</v>
      </c>
      <c r="H317" s="7" t="n">
        <v>110429</v>
      </c>
      <c r="I317" s="7" t="n">
        <v>1175695</v>
      </c>
      <c r="J317" s="7" t="s">
        <v>51</v>
      </c>
      <c r="K317" s="7" t="s">
        <v>51</v>
      </c>
      <c r="L317" s="7" t="s">
        <v>147</v>
      </c>
      <c r="M317" s="7" t="n">
        <v>24000</v>
      </c>
      <c r="O317" s="7" t="n">
        <v>20697</v>
      </c>
      <c r="P317" s="7" t="n">
        <v>45962</v>
      </c>
      <c r="S317" s="7" t="n">
        <v>6</v>
      </c>
      <c r="T317" s="7" t="n">
        <v>12</v>
      </c>
      <c r="U317" s="7" t="n">
        <v>12</v>
      </c>
      <c r="V317" s="9" t="n">
        <v>10.646614566825743</v>
      </c>
    </row>
    <row r="318">
      <c r="A318" s="7" t="s">
        <v>72</v>
      </c>
      <c r="B318" s="7" t="s">
        <v>44</v>
      </c>
      <c r="C318" s="7" t="s">
        <v>45</v>
      </c>
      <c r="D318" s="7" t="s">
        <v>31</v>
      </c>
      <c r="E318" s="8" t="n">
        <v>45992</v>
      </c>
      <c r="F318" s="7" t="n">
        <v>1175695</v>
      </c>
      <c r="H318" s="7" t="n">
        <v>110429</v>
      </c>
      <c r="I318" s="7" t="n">
        <v>1065266</v>
      </c>
      <c r="L318" s="7"/>
      <c r="S318" s="7" t="n">
        <v>6</v>
      </c>
      <c r="T318" s="7" t="n">
        <v>12</v>
      </c>
      <c r="U318" s="7" t="n">
        <v>12</v>
      </c>
      <c r="V318" s="9" t="n">
        <v>9.6466145668257433</v>
      </c>
    </row>
    <row r="319">
      <c r="A319" s="7" t="s">
        <v>72</v>
      </c>
      <c r="B319" s="7" t="s">
        <v>44</v>
      </c>
      <c r="C319" s="7" t="s">
        <v>45</v>
      </c>
      <c r="D319" s="7" t="s">
        <v>31</v>
      </c>
      <c r="E319" s="8" t="n">
        <v>46023</v>
      </c>
      <c r="F319" s="7" t="n">
        <v>1065266</v>
      </c>
      <c r="H319" s="7" t="n">
        <v>110429</v>
      </c>
      <c r="I319" s="7" t="n">
        <v>954837</v>
      </c>
      <c r="L319" s="7"/>
      <c r="S319" s="7" t="n">
        <v>6</v>
      </c>
      <c r="T319" s="7" t="n">
        <v>12</v>
      </c>
      <c r="U319" s="7" t="n">
        <v>12</v>
      </c>
      <c r="V319" s="9" t="n">
        <v>8.6466145668257433</v>
      </c>
    </row>
    <row r="320">
      <c r="A320" s="7" t="s">
        <v>72</v>
      </c>
      <c r="B320" s="7" t="s">
        <v>44</v>
      </c>
      <c r="C320" s="7" t="s">
        <v>45</v>
      </c>
      <c r="D320" s="7" t="s">
        <v>31</v>
      </c>
      <c r="E320" s="8" t="n">
        <v>46054</v>
      </c>
      <c r="F320" s="7" t="n">
        <v>954837</v>
      </c>
      <c r="H320" s="7" t="n">
        <v>110429</v>
      </c>
      <c r="I320" s="7" t="n">
        <v>844408</v>
      </c>
      <c r="L320" s="7"/>
      <c r="S320" s="7" t="n">
        <v>6</v>
      </c>
      <c r="T320" s="7" t="n">
        <v>12</v>
      </c>
      <c r="U320" s="7" t="n">
        <v>12</v>
      </c>
      <c r="V320" s="9" t="n">
        <v>7.6466145668257433</v>
      </c>
    </row>
    <row r="321">
      <c r="A321" s="7" t="s">
        <v>72</v>
      </c>
      <c r="B321" s="7" t="s">
        <v>44</v>
      </c>
      <c r="C321" s="7" t="s">
        <v>45</v>
      </c>
      <c r="D321" s="7" t="s">
        <v>31</v>
      </c>
      <c r="E321" s="8" t="n">
        <v>46082</v>
      </c>
      <c r="F321" s="7" t="n">
        <v>844408</v>
      </c>
      <c r="H321" s="7" t="n">
        <v>110429</v>
      </c>
      <c r="I321" s="7" t="n">
        <v>1365995</v>
      </c>
      <c r="J321" s="7" t="s">
        <v>2</v>
      </c>
      <c r="K321" s="7" t="s">
        <v>2</v>
      </c>
      <c r="L321" s="7" t="s">
        <v>4</v>
      </c>
      <c r="M321" s="7" t="n">
        <v>632016</v>
      </c>
      <c r="O321" s="7" t="n">
        <v>545051</v>
      </c>
      <c r="P321" s="7" t="n">
        <v>46082</v>
      </c>
      <c r="S321" s="7" t="n">
        <v>6</v>
      </c>
      <c r="T321" s="7" t="n">
        <v>12</v>
      </c>
      <c r="U321" s="7" t="n">
        <v>12</v>
      </c>
      <c r="V321" s="9" t="n">
        <v>12.369893777902544</v>
      </c>
    </row>
    <row r="322">
      <c r="A322" s="7" t="s">
        <v>72</v>
      </c>
      <c r="B322" s="7" t="s">
        <v>44</v>
      </c>
      <c r="C322" s="7" t="s">
        <v>45</v>
      </c>
      <c r="D322" s="7" t="s">
        <v>31</v>
      </c>
      <c r="E322" s="8" t="n">
        <v>46113</v>
      </c>
      <c r="F322" s="7" t="n">
        <v>1365995</v>
      </c>
      <c r="H322" s="7" t="n">
        <v>110429</v>
      </c>
      <c r="I322" s="7" t="n">
        <v>1255566</v>
      </c>
      <c r="L322" s="7"/>
      <c r="S322" s="7" t="n">
        <v>6</v>
      </c>
      <c r="T322" s="7" t="n">
        <v>12</v>
      </c>
      <c r="U322" s="7" t="n">
        <v>12</v>
      </c>
      <c r="V322" s="9" t="n">
        <v>11.369893777902544</v>
      </c>
    </row>
    <row r="323">
      <c r="A323" s="7" t="s">
        <v>72</v>
      </c>
      <c r="B323" s="7" t="s">
        <v>44</v>
      </c>
      <c r="C323" s="7" t="s">
        <v>45</v>
      </c>
      <c r="D323" s="7" t="s">
        <v>31</v>
      </c>
      <c r="E323" s="8" t="n">
        <v>46143</v>
      </c>
      <c r="F323" s="7" t="n">
        <v>1255566</v>
      </c>
      <c r="H323" s="7" t="n">
        <v>110429</v>
      </c>
      <c r="I323" s="7" t="n">
        <v>1145137</v>
      </c>
      <c r="L323" s="7"/>
      <c r="S323" s="7" t="n">
        <v>6</v>
      </c>
      <c r="T323" s="7" t="n">
        <v>12</v>
      </c>
      <c r="U323" s="7" t="n">
        <v>12</v>
      </c>
      <c r="V323" s="9" t="n">
        <v>10.369893777902544</v>
      </c>
    </row>
    <row r="324">
      <c r="A324" s="7" t="s">
        <v>72</v>
      </c>
      <c r="B324" s="7" t="s">
        <v>44</v>
      </c>
      <c r="C324" s="7" t="s">
        <v>45</v>
      </c>
      <c r="D324" s="7" t="s">
        <v>31</v>
      </c>
      <c r="E324" s="8" t="n">
        <v>46174</v>
      </c>
      <c r="F324" s="7" t="n">
        <v>1145137</v>
      </c>
      <c r="H324" s="7" t="n">
        <v>110429</v>
      </c>
      <c r="I324" s="7" t="n">
        <v>1034708</v>
      </c>
      <c r="L324" s="7"/>
      <c r="S324" s="7" t="n">
        <v>6</v>
      </c>
      <c r="T324" s="7" t="n">
        <v>12</v>
      </c>
      <c r="U324" s="7" t="n">
        <v>12</v>
      </c>
      <c r="V324" s="9" t="n">
        <v>9.3698937779025435</v>
      </c>
    </row>
    <row r="325">
      <c r="A325" s="7" t="s">
        <v>72</v>
      </c>
      <c r="B325" s="7" t="s">
        <v>44</v>
      </c>
      <c r="C325" s="7" t="s">
        <v>45</v>
      </c>
      <c r="D325" s="7" t="s">
        <v>31</v>
      </c>
      <c r="E325" s="8" t="n">
        <v>46204</v>
      </c>
      <c r="F325" s="7" t="n">
        <v>1034708</v>
      </c>
      <c r="H325" s="7" t="n">
        <v>110429</v>
      </c>
      <c r="I325" s="7" t="n">
        <v>924279</v>
      </c>
      <c r="L325" s="7"/>
      <c r="S325" s="7" t="n">
        <v>6</v>
      </c>
      <c r="T325" s="7" t="n">
        <v>12</v>
      </c>
      <c r="U325" s="7" t="n">
        <v>12</v>
      </c>
      <c r="V325" s="9" t="n">
        <v>8.3698937779025435</v>
      </c>
    </row>
    <row r="326">
      <c r="A326" s="7" t="s">
        <v>72</v>
      </c>
      <c r="B326" s="7" t="s">
        <v>44</v>
      </c>
      <c r="C326" s="7" t="s">
        <v>45</v>
      </c>
      <c r="D326" s="7" t="s">
        <v>31</v>
      </c>
      <c r="E326" s="8" t="n">
        <v>46235</v>
      </c>
      <c r="F326" s="7" t="n">
        <v>924279</v>
      </c>
      <c r="H326" s="7" t="n">
        <v>110429</v>
      </c>
      <c r="I326" s="7" t="n">
        <v>813850</v>
      </c>
      <c r="L326" s="7"/>
      <c r="S326" s="7" t="n">
        <v>6</v>
      </c>
      <c r="T326" s="7" t="n">
        <v>12</v>
      </c>
      <c r="U326" s="7" t="n">
        <v>12</v>
      </c>
      <c r="V326" s="9" t="n">
        <v>7.3698937779025435</v>
      </c>
    </row>
    <row r="327">
      <c r="A327" s="7" t="s">
        <v>72</v>
      </c>
      <c r="B327" s="7" t="s">
        <v>44</v>
      </c>
      <c r="C327" s="7" t="s">
        <v>45</v>
      </c>
      <c r="D327" s="7" t="s">
        <v>31</v>
      </c>
      <c r="E327" s="8" t="n">
        <v>46266</v>
      </c>
      <c r="F327" s="7" t="n">
        <v>813850</v>
      </c>
      <c r="H327" s="7" t="n">
        <v>110429</v>
      </c>
      <c r="I327" s="7" t="n">
        <v>703421</v>
      </c>
      <c r="L327" s="7"/>
      <c r="S327" s="7" t="n">
        <v>6</v>
      </c>
      <c r="T327" s="7" t="n">
        <v>12</v>
      </c>
      <c r="U327" s="7" t="n">
        <v>12</v>
      </c>
      <c r="V327" s="9" t="n">
        <v>6.3698937779025435</v>
      </c>
    </row>
    <row r="328">
      <c r="A328" s="7" t="s">
        <v>72</v>
      </c>
      <c r="B328" s="7" t="s">
        <v>44</v>
      </c>
      <c r="C328" s="7" t="s">
        <v>45</v>
      </c>
      <c r="D328" s="7" t="s">
        <v>31</v>
      </c>
      <c r="E328" s="8" t="n">
        <v>46296</v>
      </c>
      <c r="F328" s="7" t="n">
        <v>703421</v>
      </c>
      <c r="H328" s="7" t="n">
        <v>110429</v>
      </c>
      <c r="I328" s="7" t="n">
        <v>1290024</v>
      </c>
      <c r="J328" s="7" t="s">
        <v>2</v>
      </c>
      <c r="K328" s="7" t="s">
        <v>2</v>
      </c>
      <c r="L328" s="7" t="s">
        <v>4</v>
      </c>
      <c r="M328" s="7" t="n">
        <v>697032</v>
      </c>
      <c r="O328" s="7" t="n">
        <v>601120</v>
      </c>
      <c r="P328" s="7" t="n">
        <v>46296</v>
      </c>
      <c r="S328" s="7" t="n">
        <v>6</v>
      </c>
      <c r="T328" s="7" t="n">
        <v>12</v>
      </c>
      <c r="U328" s="7" t="n">
        <v>12</v>
      </c>
      <c r="V328" s="9" t="n">
        <v>11.681931376721694</v>
      </c>
    </row>
    <row r="329">
      <c r="A329" s="7" t="s">
        <v>72</v>
      </c>
      <c r="B329" s="7" t="s">
        <v>44</v>
      </c>
      <c r="C329" s="7" t="s">
        <v>45</v>
      </c>
      <c r="D329" s="7" t="s">
        <v>31</v>
      </c>
      <c r="E329" s="8" t="n">
        <v>46327</v>
      </c>
      <c r="F329" s="7" t="n">
        <v>1290024</v>
      </c>
      <c r="H329" s="7" t="n">
        <v>110429</v>
      </c>
      <c r="I329" s="7" t="n">
        <v>1179595</v>
      </c>
      <c r="L329" s="7"/>
      <c r="S329" s="7" t="n">
        <v>6</v>
      </c>
      <c r="T329" s="7" t="n">
        <v>12</v>
      </c>
      <c r="U329" s="7" t="n">
        <v>12</v>
      </c>
      <c r="V329" s="9" t="n">
        <v>10.681931376721694</v>
      </c>
    </row>
    <row r="330">
      <c r="A330" s="7" t="s">
        <v>72</v>
      </c>
      <c r="B330" s="7" t="s">
        <v>44</v>
      </c>
      <c r="C330" s="7" t="s">
        <v>45</v>
      </c>
      <c r="D330" s="7" t="s">
        <v>31</v>
      </c>
      <c r="E330" s="8" t="n">
        <v>46357</v>
      </c>
      <c r="F330" s="7" t="n">
        <v>1179595</v>
      </c>
      <c r="H330" s="7" t="n">
        <v>110429</v>
      </c>
      <c r="I330" s="7" t="n">
        <v>1069166</v>
      </c>
      <c r="L330" s="7"/>
      <c r="S330" s="7" t="n">
        <v>6</v>
      </c>
      <c r="T330" s="7" t="n">
        <v>12</v>
      </c>
      <c r="U330" s="7" t="n">
        <v>12</v>
      </c>
      <c r="V330" s="9" t="n">
        <v>9.6819313767216943</v>
      </c>
    </row>
    <row r="331">
      <c r="A331" s="7" t="s">
        <v>77</v>
      </c>
      <c r="B331" s="7" t="s">
        <v>44</v>
      </c>
      <c r="C331" s="7" t="s">
        <v>45</v>
      </c>
      <c r="D331" s="7" t="s">
        <v>31</v>
      </c>
      <c r="E331" s="8" t="n">
        <v>45839</v>
      </c>
      <c r="F331" s="7" t="n">
        <v>2250291</v>
      </c>
      <c r="H331" s="7" t="n">
        <v>1332535</v>
      </c>
      <c r="I331" s="7" t="n">
        <v>917756</v>
      </c>
      <c r="L331" s="7"/>
      <c r="S331" s="7" t="n">
        <v>6</v>
      </c>
      <c r="T331" s="7" t="n">
        <v>12</v>
      </c>
      <c r="U331" s="7" t="n">
        <v>12</v>
      </c>
      <c r="V331" s="9" t="n">
        <v>0.68872937671430767</v>
      </c>
    </row>
    <row r="332">
      <c r="A332" s="7" t="s">
        <v>77</v>
      </c>
      <c r="B332" s="7" t="s">
        <v>44</v>
      </c>
      <c r="C332" s="7" t="s">
        <v>45</v>
      </c>
      <c r="D332" s="7" t="s">
        <v>31</v>
      </c>
      <c r="E332" s="8" t="n">
        <v>45870</v>
      </c>
      <c r="F332" s="7" t="n">
        <v>917756</v>
      </c>
      <c r="H332" s="7" t="n">
        <v>1332535</v>
      </c>
      <c r="I332" s="7" t="n">
        <v>1355221</v>
      </c>
      <c r="J332" s="7" t="s">
        <v>51</v>
      </c>
      <c r="K332" s="7" t="s">
        <v>51</v>
      </c>
      <c r="L332" s="7" t="s">
        <v>154</v>
      </c>
      <c r="M332" s="7" t="n">
        <v>1770000</v>
      </c>
      <c r="S332" s="7" t="n">
        <v>6</v>
      </c>
      <c r="T332" s="7" t="n">
        <v>12</v>
      </c>
      <c r="U332" s="7" t="n">
        <v>12</v>
      </c>
      <c r="V332" s="9" t="n">
        <v>1.0170246935352543</v>
      </c>
    </row>
    <row r="333">
      <c r="A333" s="7" t="s">
        <v>77</v>
      </c>
      <c r="B333" s="7" t="s">
        <v>44</v>
      </c>
      <c r="C333" s="7" t="s">
        <v>45</v>
      </c>
      <c r="D333" s="7" t="s">
        <v>31</v>
      </c>
      <c r="E333" s="8" t="n">
        <v>45901</v>
      </c>
      <c r="F333" s="7" t="n">
        <v>1355221</v>
      </c>
      <c r="H333" s="7" t="n">
        <v>1332535</v>
      </c>
      <c r="I333" s="7" t="n">
        <v>5019157</v>
      </c>
      <c r="J333" s="7" t="s">
        <v>168</v>
      </c>
      <c r="K333" s="7" t="s">
        <v>168</v>
      </c>
      <c r="L333" s="7" t="s">
        <v>154</v>
      </c>
      <c r="M333" s="7" t="n">
        <v>4996471</v>
      </c>
      <c r="S333" s="7" t="n">
        <v>6</v>
      </c>
      <c r="T333" s="7" t="n">
        <v>12</v>
      </c>
      <c r="U333" s="7" t="n">
        <v>12</v>
      </c>
      <c r="V333" s="9" t="n">
        <v>3.7666230155305489</v>
      </c>
    </row>
    <row r="334">
      <c r="A334" s="7" t="s">
        <v>77</v>
      </c>
      <c r="B334" s="7" t="s">
        <v>44</v>
      </c>
      <c r="C334" s="7" t="s">
        <v>45</v>
      </c>
      <c r="D334" s="7" t="s">
        <v>31</v>
      </c>
      <c r="E334" s="8" t="n">
        <v>45931</v>
      </c>
      <c r="F334" s="7" t="n">
        <v>5019157</v>
      </c>
      <c r="H334" s="7" t="n">
        <v>1332535</v>
      </c>
      <c r="I334" s="7" t="n">
        <v>3686622</v>
      </c>
      <c r="L334" s="7"/>
      <c r="S334" s="7" t="n">
        <v>6</v>
      </c>
      <c r="T334" s="7" t="n">
        <v>12</v>
      </c>
      <c r="U334" s="7" t="n">
        <v>12</v>
      </c>
      <c r="V334" s="9" t="n">
        <v>2.7666230155305489</v>
      </c>
    </row>
    <row r="335">
      <c r="A335" s="7" t="s">
        <v>77</v>
      </c>
      <c r="B335" s="7" t="s">
        <v>44</v>
      </c>
      <c r="C335" s="7" t="s">
        <v>45</v>
      </c>
      <c r="D335" s="7" t="s">
        <v>31</v>
      </c>
      <c r="E335" s="8" t="n">
        <v>45962</v>
      </c>
      <c r="F335" s="7" t="n">
        <v>3686622</v>
      </c>
      <c r="H335" s="7" t="n">
        <v>1332535</v>
      </c>
      <c r="I335" s="7" t="n">
        <v>2354087</v>
      </c>
      <c r="L335" s="7"/>
      <c r="S335" s="7" t="n">
        <v>6</v>
      </c>
      <c r="T335" s="7" t="n">
        <v>12</v>
      </c>
      <c r="U335" s="7" t="n">
        <v>12</v>
      </c>
      <c r="V335" s="9" t="n">
        <v>1.7666230155305489</v>
      </c>
    </row>
    <row r="336">
      <c r="A336" s="7" t="s">
        <v>77</v>
      </c>
      <c r="B336" s="7" t="s">
        <v>44</v>
      </c>
      <c r="C336" s="7" t="s">
        <v>45</v>
      </c>
      <c r="D336" s="7" t="s">
        <v>31</v>
      </c>
      <c r="E336" s="8" t="n">
        <v>45992</v>
      </c>
      <c r="F336" s="7" t="n">
        <v>2354087</v>
      </c>
      <c r="H336" s="7" t="n">
        <v>1332535</v>
      </c>
      <c r="I336" s="7" t="n">
        <v>6151620</v>
      </c>
      <c r="J336" s="7" t="s">
        <v>168</v>
      </c>
      <c r="K336" s="7" t="s">
        <v>168</v>
      </c>
      <c r="L336" s="7" t="s">
        <v>147</v>
      </c>
      <c r="M336" s="7" t="n">
        <v>5130068</v>
      </c>
      <c r="S336" s="7" t="n">
        <v>6</v>
      </c>
      <c r="T336" s="7" t="n">
        <v>12</v>
      </c>
      <c r="U336" s="7" t="n">
        <v>12</v>
      </c>
      <c r="V336" s="9" t="n">
        <v>4.6164791168712265</v>
      </c>
    </row>
    <row r="337">
      <c r="A337" s="7" t="s">
        <v>77</v>
      </c>
      <c r="B337" s="7" t="s">
        <v>44</v>
      </c>
      <c r="C337" s="7" t="s">
        <v>45</v>
      </c>
      <c r="D337" s="7" t="s">
        <v>31</v>
      </c>
      <c r="E337" s="8" t="n">
        <v>46023</v>
      </c>
      <c r="F337" s="7" t="n">
        <v>6151620</v>
      </c>
      <c r="H337" s="7" t="n">
        <v>1332535</v>
      </c>
      <c r="I337" s="7" t="n">
        <v>4819085</v>
      </c>
      <c r="L337" s="7"/>
      <c r="S337" s="7" t="n">
        <v>6</v>
      </c>
      <c r="T337" s="7" t="n">
        <v>12</v>
      </c>
      <c r="U337" s="7" t="n">
        <v>12</v>
      </c>
      <c r="V337" s="9" t="n">
        <v>3.6164791168712265</v>
      </c>
    </row>
    <row r="338">
      <c r="A338" s="7" t="s">
        <v>77</v>
      </c>
      <c r="B338" s="7" t="s">
        <v>44</v>
      </c>
      <c r="C338" s="7" t="s">
        <v>45</v>
      </c>
      <c r="D338" s="7" t="s">
        <v>31</v>
      </c>
      <c r="E338" s="8" t="n">
        <v>46054</v>
      </c>
      <c r="F338" s="7" t="n">
        <v>4819085</v>
      </c>
      <c r="H338" s="7" t="n">
        <v>1332535</v>
      </c>
      <c r="I338" s="7" t="n">
        <v>3486550</v>
      </c>
      <c r="L338" s="7"/>
      <c r="S338" s="7" t="n">
        <v>6</v>
      </c>
      <c r="T338" s="7" t="n">
        <v>12</v>
      </c>
      <c r="U338" s="7" t="n">
        <v>12</v>
      </c>
      <c r="V338" s="9" t="n">
        <v>2.6164791168712265</v>
      </c>
    </row>
    <row r="339">
      <c r="A339" s="7" t="s">
        <v>77</v>
      </c>
      <c r="B339" s="7" t="s">
        <v>44</v>
      </c>
      <c r="C339" s="7" t="s">
        <v>45</v>
      </c>
      <c r="D339" s="7" t="s">
        <v>31</v>
      </c>
      <c r="E339" s="8" t="n">
        <v>46082</v>
      </c>
      <c r="F339" s="7" t="n">
        <v>3486550</v>
      </c>
      <c r="H339" s="7" t="n">
        <v>1332535</v>
      </c>
      <c r="I339" s="7" t="n">
        <v>2154015</v>
      </c>
      <c r="L339" s="7"/>
      <c r="S339" s="7" t="n">
        <v>6</v>
      </c>
      <c r="T339" s="7" t="n">
        <v>12</v>
      </c>
      <c r="U339" s="7" t="n">
        <v>12</v>
      </c>
      <c r="V339" s="9" t="n">
        <v>1.6164791168712267</v>
      </c>
    </row>
    <row r="340">
      <c r="A340" s="7" t="s">
        <v>77</v>
      </c>
      <c r="B340" s="7" t="s">
        <v>44</v>
      </c>
      <c r="C340" s="7" t="s">
        <v>45</v>
      </c>
      <c r="D340" s="7" t="s">
        <v>31</v>
      </c>
      <c r="E340" s="8" t="n">
        <v>46113</v>
      </c>
      <c r="F340" s="7" t="n">
        <v>2154015</v>
      </c>
      <c r="H340" s="7" t="n">
        <v>1332535</v>
      </c>
      <c r="I340" s="7" t="n">
        <v>821480</v>
      </c>
      <c r="L340" s="7"/>
      <c r="S340" s="7" t="n">
        <v>6</v>
      </c>
      <c r="T340" s="7" t="n">
        <v>12</v>
      </c>
      <c r="U340" s="7" t="n">
        <v>12</v>
      </c>
      <c r="V340" s="9" t="n">
        <v>0.6164791168712267</v>
      </c>
    </row>
    <row r="341">
      <c r="A341" s="7" t="s">
        <v>74</v>
      </c>
      <c r="B341" s="7" t="s">
        <v>44</v>
      </c>
      <c r="C341" s="7" t="s">
        <v>45</v>
      </c>
      <c r="D341" s="7" t="s">
        <v>31</v>
      </c>
      <c r="E341" s="8" t="n">
        <v>45870</v>
      </c>
      <c r="F341" s="7" t="n">
        <v>1624145</v>
      </c>
      <c r="H341" s="7" t="n">
        <v>130000</v>
      </c>
      <c r="I341" s="7" t="n">
        <v>1694145</v>
      </c>
      <c r="J341" s="7" t="s">
        <v>51</v>
      </c>
      <c r="K341" s="7" t="s">
        <v>51</v>
      </c>
      <c r="L341" s="7" t="s">
        <v>154</v>
      </c>
      <c r="M341" s="7" t="n">
        <v>200000</v>
      </c>
      <c r="S341" s="7" t="n">
        <v>3</v>
      </c>
      <c r="T341" s="7" t="n">
        <v>6</v>
      </c>
      <c r="U341" s="7" t="n">
        <v>6</v>
      </c>
      <c r="V341" s="9" t="n">
        <v>13.031884615384616</v>
      </c>
    </row>
    <row r="342">
      <c r="A342" s="7" t="s">
        <v>74</v>
      </c>
      <c r="B342" s="7" t="s">
        <v>44</v>
      </c>
      <c r="C342" s="7" t="s">
        <v>45</v>
      </c>
      <c r="D342" s="7" t="s">
        <v>31</v>
      </c>
      <c r="E342" s="8" t="n">
        <v>45901</v>
      </c>
      <c r="F342" s="7" t="n">
        <v>1694145</v>
      </c>
      <c r="H342" s="7" t="n">
        <v>130000</v>
      </c>
      <c r="I342" s="7" t="n">
        <v>1564145</v>
      </c>
      <c r="L342" s="7"/>
      <c r="S342" s="7" t="n">
        <v>3</v>
      </c>
      <c r="T342" s="7" t="n">
        <v>6</v>
      </c>
      <c r="U342" s="7" t="n">
        <v>6</v>
      </c>
      <c r="V342" s="9" t="n">
        <v>12.031884615384616</v>
      </c>
    </row>
    <row r="343">
      <c r="A343" s="7" t="s">
        <v>74</v>
      </c>
      <c r="B343" s="7" t="s">
        <v>44</v>
      </c>
      <c r="C343" s="7" t="s">
        <v>45</v>
      </c>
      <c r="D343" s="7" t="s">
        <v>31</v>
      </c>
      <c r="E343" s="8" t="n">
        <v>45931</v>
      </c>
      <c r="F343" s="7" t="n">
        <v>1564145</v>
      </c>
      <c r="H343" s="7" t="n">
        <v>130000</v>
      </c>
      <c r="I343" s="7" t="n">
        <v>1434145</v>
      </c>
      <c r="L343" s="7"/>
      <c r="S343" s="7" t="n">
        <v>3</v>
      </c>
      <c r="T343" s="7" t="n">
        <v>6</v>
      </c>
      <c r="U343" s="7" t="n">
        <v>6</v>
      </c>
      <c r="V343" s="9" t="n">
        <v>11.031884615384616</v>
      </c>
    </row>
    <row r="344">
      <c r="A344" s="7" t="s">
        <v>74</v>
      </c>
      <c r="B344" s="7" t="s">
        <v>44</v>
      </c>
      <c r="C344" s="7" t="s">
        <v>45</v>
      </c>
      <c r="D344" s="7" t="s">
        <v>31</v>
      </c>
      <c r="E344" s="8" t="n">
        <v>45962</v>
      </c>
      <c r="F344" s="7" t="n">
        <v>1434145</v>
      </c>
      <c r="H344" s="7" t="n">
        <v>130000</v>
      </c>
      <c r="I344" s="7" t="n">
        <v>1304145</v>
      </c>
      <c r="L344" s="7"/>
      <c r="S344" s="7" t="n">
        <v>3</v>
      </c>
      <c r="T344" s="7" t="n">
        <v>6</v>
      </c>
      <c r="U344" s="7" t="n">
        <v>6</v>
      </c>
      <c r="V344" s="9" t="n">
        <v>10.031884615384616</v>
      </c>
    </row>
    <row r="345">
      <c r="A345" s="7" t="s">
        <v>74</v>
      </c>
      <c r="B345" s="7" t="s">
        <v>44</v>
      </c>
      <c r="C345" s="7" t="s">
        <v>45</v>
      </c>
      <c r="D345" s="7" t="s">
        <v>31</v>
      </c>
      <c r="E345" s="8" t="n">
        <v>45992</v>
      </c>
      <c r="F345" s="7" t="n">
        <v>1304145</v>
      </c>
      <c r="H345" s="7" t="n">
        <v>130000</v>
      </c>
      <c r="I345" s="7" t="n">
        <v>1174145</v>
      </c>
      <c r="L345" s="7"/>
      <c r="S345" s="7" t="n">
        <v>3</v>
      </c>
      <c r="T345" s="7" t="n">
        <v>6</v>
      </c>
      <c r="U345" s="7" t="n">
        <v>6</v>
      </c>
      <c r="V345" s="9" t="n">
        <v>9.031884615384616</v>
      </c>
    </row>
    <row r="346">
      <c r="A346" s="7" t="s">
        <v>74</v>
      </c>
      <c r="B346" s="7" t="s">
        <v>44</v>
      </c>
      <c r="C346" s="7" t="s">
        <v>45</v>
      </c>
      <c r="D346" s="7" t="s">
        <v>31</v>
      </c>
      <c r="E346" s="8" t="n">
        <v>46023</v>
      </c>
      <c r="F346" s="7" t="n">
        <v>1174145</v>
      </c>
      <c r="H346" s="7" t="n">
        <v>130000</v>
      </c>
      <c r="I346" s="7" t="n">
        <v>1044145</v>
      </c>
      <c r="L346" s="7"/>
      <c r="S346" s="7" t="n">
        <v>3</v>
      </c>
      <c r="T346" s="7" t="n">
        <v>6</v>
      </c>
      <c r="U346" s="7" t="n">
        <v>6</v>
      </c>
      <c r="V346" s="9" t="n">
        <v>8.031884615384616</v>
      </c>
    </row>
    <row r="347">
      <c r="A347" s="7" t="s">
        <v>74</v>
      </c>
      <c r="B347" s="7" t="s">
        <v>44</v>
      </c>
      <c r="C347" s="7" t="s">
        <v>45</v>
      </c>
      <c r="D347" s="7" t="s">
        <v>31</v>
      </c>
      <c r="E347" s="8" t="n">
        <v>46054</v>
      </c>
      <c r="F347" s="7" t="n">
        <v>1044145</v>
      </c>
      <c r="H347" s="7" t="n">
        <v>130000</v>
      </c>
      <c r="I347" s="7" t="n">
        <v>914145</v>
      </c>
      <c r="L347" s="7"/>
      <c r="S347" s="7" t="n">
        <v>3</v>
      </c>
      <c r="T347" s="7" t="n">
        <v>6</v>
      </c>
      <c r="U347" s="7" t="n">
        <v>6</v>
      </c>
      <c r="V347" s="9" t="n">
        <v>7.0318846153846151</v>
      </c>
    </row>
    <row r="348">
      <c r="A348" s="7" t="s">
        <v>74</v>
      </c>
      <c r="B348" s="7" t="s">
        <v>44</v>
      </c>
      <c r="C348" s="7" t="s">
        <v>45</v>
      </c>
      <c r="D348" s="7" t="s">
        <v>31</v>
      </c>
      <c r="E348" s="8" t="n">
        <v>46082</v>
      </c>
      <c r="F348" s="7" t="n">
        <v>914145</v>
      </c>
      <c r="H348" s="7" t="n">
        <v>130000</v>
      </c>
      <c r="I348" s="7" t="n">
        <v>784145</v>
      </c>
      <c r="L348" s="7"/>
      <c r="S348" s="7" t="n">
        <v>3</v>
      </c>
      <c r="T348" s="7" t="n">
        <v>6</v>
      </c>
      <c r="U348" s="7" t="n">
        <v>6</v>
      </c>
      <c r="V348" s="9" t="n">
        <v>6.0318846153846151</v>
      </c>
    </row>
    <row r="349">
      <c r="A349" s="7" t="s">
        <v>74</v>
      </c>
      <c r="B349" s="7" t="s">
        <v>44</v>
      </c>
      <c r="C349" s="7" t="s">
        <v>45</v>
      </c>
      <c r="D349" s="7" t="s">
        <v>31</v>
      </c>
      <c r="E349" s="8" t="n">
        <v>46113</v>
      </c>
      <c r="F349" s="7" t="n">
        <v>784145</v>
      </c>
      <c r="H349" s="7" t="n">
        <v>130000</v>
      </c>
      <c r="I349" s="7" t="n">
        <v>755020</v>
      </c>
      <c r="J349" s="7" t="s">
        <v>2</v>
      </c>
      <c r="K349" s="7" t="s">
        <v>2</v>
      </c>
      <c r="L349" s="7" t="s">
        <v>4</v>
      </c>
      <c r="M349" s="7" t="n">
        <v>100875</v>
      </c>
      <c r="S349" s="7" t="n">
        <v>3</v>
      </c>
      <c r="T349" s="7" t="n">
        <v>6</v>
      </c>
      <c r="U349" s="7" t="n">
        <v>6</v>
      </c>
      <c r="V349" s="9" t="n">
        <v>5.8078461538461541</v>
      </c>
    </row>
    <row r="350">
      <c r="A350" s="7" t="s">
        <v>74</v>
      </c>
      <c r="B350" s="7" t="s">
        <v>44</v>
      </c>
      <c r="C350" s="7" t="s">
        <v>45</v>
      </c>
      <c r="D350" s="7" t="s">
        <v>31</v>
      </c>
      <c r="E350" s="8" t="n">
        <v>46143</v>
      </c>
      <c r="F350" s="7" t="n">
        <v>755020</v>
      </c>
      <c r="H350" s="7" t="n">
        <v>130000</v>
      </c>
      <c r="I350" s="7" t="n">
        <v>1061595</v>
      </c>
      <c r="J350" s="7" t="s">
        <v>2</v>
      </c>
      <c r="K350" s="7" t="s">
        <v>2</v>
      </c>
      <c r="L350" s="7" t="s">
        <v>4</v>
      </c>
      <c r="M350" s="7" t="n">
        <v>436575</v>
      </c>
      <c r="S350" s="7" t="n">
        <v>3</v>
      </c>
      <c r="T350" s="7" t="n">
        <v>6</v>
      </c>
      <c r="U350" s="7" t="n">
        <v>6</v>
      </c>
      <c r="V350" s="9" t="n">
        <v>8.1661153846153844</v>
      </c>
    </row>
    <row r="351">
      <c r="A351" s="7" t="s">
        <v>74</v>
      </c>
      <c r="B351" s="7" t="s">
        <v>44</v>
      </c>
      <c r="C351" s="7" t="s">
        <v>45</v>
      </c>
      <c r="D351" s="7" t="s">
        <v>31</v>
      </c>
      <c r="E351" s="8" t="n">
        <v>46174</v>
      </c>
      <c r="F351" s="7" t="n">
        <v>1061595</v>
      </c>
      <c r="H351" s="7" t="n">
        <v>130000</v>
      </c>
      <c r="I351" s="7" t="n">
        <v>931595</v>
      </c>
      <c r="L351" s="7"/>
      <c r="S351" s="7" t="n">
        <v>3</v>
      </c>
      <c r="T351" s="7" t="n">
        <v>6</v>
      </c>
      <c r="U351" s="7" t="n">
        <v>6</v>
      </c>
      <c r="V351" s="9" t="n">
        <v>7.1661153846153844</v>
      </c>
    </row>
    <row r="352">
      <c r="A352" s="7" t="s">
        <v>74</v>
      </c>
      <c r="B352" s="7" t="s">
        <v>44</v>
      </c>
      <c r="C352" s="7" t="s">
        <v>45</v>
      </c>
      <c r="D352" s="7" t="s">
        <v>31</v>
      </c>
      <c r="E352" s="8" t="n">
        <v>46204</v>
      </c>
      <c r="F352" s="7" t="n">
        <v>931595</v>
      </c>
      <c r="H352" s="7" t="n">
        <v>130000</v>
      </c>
      <c r="I352" s="7" t="n">
        <v>801595</v>
      </c>
      <c r="L352" s="7"/>
      <c r="S352" s="7" t="n">
        <v>3</v>
      </c>
      <c r="T352" s="7" t="n">
        <v>6</v>
      </c>
      <c r="U352" s="7" t="n">
        <v>6</v>
      </c>
      <c r="V352" s="9" t="n">
        <v>6.1661153846153844</v>
      </c>
    </row>
    <row r="353">
      <c r="A353" s="7" t="s">
        <v>74</v>
      </c>
      <c r="B353" s="7" t="s">
        <v>44</v>
      </c>
      <c r="C353" s="7" t="s">
        <v>45</v>
      </c>
      <c r="D353" s="7" t="s">
        <v>31</v>
      </c>
      <c r="E353" s="8" t="n">
        <v>46235</v>
      </c>
      <c r="F353" s="7" t="n">
        <v>801595</v>
      </c>
      <c r="H353" s="7" t="n">
        <v>130000</v>
      </c>
      <c r="I353" s="7" t="n">
        <v>1321667</v>
      </c>
      <c r="J353" s="7" t="s">
        <v>2</v>
      </c>
      <c r="K353" s="7" t="s">
        <v>2</v>
      </c>
      <c r="L353" s="7" t="s">
        <v>4</v>
      </c>
      <c r="M353" s="7" t="n">
        <v>650072</v>
      </c>
      <c r="S353" s="7" t="n">
        <v>3</v>
      </c>
      <c r="T353" s="7" t="n">
        <v>6</v>
      </c>
      <c r="U353" s="7" t="n">
        <v>6</v>
      </c>
      <c r="V353" s="9" t="n">
        <v>10.16666923076923</v>
      </c>
    </row>
    <row r="354">
      <c r="A354" s="7" t="s">
        <v>166</v>
      </c>
      <c r="B354" s="7" t="s">
        <v>44</v>
      </c>
      <c r="C354" s="7" t="s">
        <v>45</v>
      </c>
      <c r="D354" s="7" t="s">
        <v>31</v>
      </c>
      <c r="E354" s="8" t="n">
        <v>45748</v>
      </c>
      <c r="F354" s="7" t="n">
        <v>214450</v>
      </c>
      <c r="H354" s="7" t="n">
        <v>33220</v>
      </c>
      <c r="I354" s="7" t="n">
        <v>181230</v>
      </c>
      <c r="L354" s="7"/>
      <c r="V354" s="9" t="n">
        <v>5.4554485249849485</v>
      </c>
    </row>
    <row r="355">
      <c r="A355" s="7" t="s">
        <v>166</v>
      </c>
      <c r="B355" s="7" t="s">
        <v>44</v>
      </c>
      <c r="C355" s="7" t="s">
        <v>45</v>
      </c>
      <c r="D355" s="7" t="s">
        <v>31</v>
      </c>
      <c r="E355" s="8" t="n">
        <v>45778</v>
      </c>
      <c r="F355" s="7" t="n">
        <v>181230</v>
      </c>
      <c r="H355" s="7" t="n">
        <v>33220</v>
      </c>
      <c r="I355" s="7" t="n">
        <v>148010</v>
      </c>
      <c r="L355" s="7"/>
      <c r="V355" s="9" t="n">
        <v>4.4554485249849485</v>
      </c>
    </row>
    <row r="356">
      <c r="A356" s="7" t="s">
        <v>166</v>
      </c>
      <c r="B356" s="7" t="s">
        <v>44</v>
      </c>
      <c r="C356" s="7" t="s">
        <v>45</v>
      </c>
      <c r="D356" s="7" t="s">
        <v>31</v>
      </c>
      <c r="E356" s="8" t="n">
        <v>45809</v>
      </c>
      <c r="F356" s="7" t="n">
        <v>148010</v>
      </c>
      <c r="H356" s="7" t="n">
        <v>33220</v>
      </c>
      <c r="I356" s="7" t="n">
        <v>264790</v>
      </c>
      <c r="L356" s="7"/>
      <c r="M356" s="7" t="n">
        <v>150000</v>
      </c>
      <c r="V356" s="9" t="n">
        <v>7.9708007224563513</v>
      </c>
    </row>
    <row r="357">
      <c r="A357" s="7" t="s">
        <v>166</v>
      </c>
      <c r="B357" s="7" t="s">
        <v>44</v>
      </c>
      <c r="C357" s="7" t="s">
        <v>45</v>
      </c>
      <c r="D357" s="7" t="s">
        <v>31</v>
      </c>
      <c r="E357" s="8" t="n">
        <v>45839</v>
      </c>
      <c r="F357" s="7" t="n">
        <v>264790</v>
      </c>
      <c r="H357" s="7" t="n">
        <v>33220</v>
      </c>
      <c r="I357" s="7" t="n">
        <v>231570</v>
      </c>
      <c r="L357" s="7"/>
      <c r="V357" s="9" t="n">
        <v>6.9708007224563513</v>
      </c>
    </row>
    <row r="358">
      <c r="A358" s="7" t="s">
        <v>166</v>
      </c>
      <c r="B358" s="7" t="s">
        <v>44</v>
      </c>
      <c r="C358" s="7" t="s">
        <v>45</v>
      </c>
      <c r="D358" s="7" t="s">
        <v>31</v>
      </c>
      <c r="E358" s="8" t="n">
        <v>45870</v>
      </c>
      <c r="F358" s="7" t="n">
        <v>231570</v>
      </c>
      <c r="H358" s="7" t="n">
        <v>33220</v>
      </c>
      <c r="I358" s="7" t="n">
        <v>198350</v>
      </c>
      <c r="L358" s="7"/>
      <c r="V358" s="9" t="n">
        <v>5.9708007224563513</v>
      </c>
    </row>
    <row r="359">
      <c r="A359" s="7" t="s">
        <v>166</v>
      </c>
      <c r="B359" s="7" t="s">
        <v>44</v>
      </c>
      <c r="C359" s="7" t="s">
        <v>45</v>
      </c>
      <c r="D359" s="7" t="s">
        <v>31</v>
      </c>
      <c r="E359" s="8" t="n">
        <v>45901</v>
      </c>
      <c r="F359" s="7" t="n">
        <v>198350</v>
      </c>
      <c r="H359" s="7" t="n">
        <v>33220</v>
      </c>
      <c r="I359" s="7" t="n">
        <v>165130</v>
      </c>
      <c r="L359" s="7"/>
      <c r="V359" s="9" t="n">
        <v>4.9708007224563513</v>
      </c>
    </row>
    <row r="360">
      <c r="A360" s="7" t="s">
        <v>166</v>
      </c>
      <c r="B360" s="7" t="s">
        <v>44</v>
      </c>
      <c r="C360" s="7" t="s">
        <v>45</v>
      </c>
      <c r="D360" s="7" t="s">
        <v>31</v>
      </c>
      <c r="E360" s="8" t="n">
        <v>45931</v>
      </c>
      <c r="F360" s="7" t="n">
        <v>165130</v>
      </c>
      <c r="H360" s="7" t="n">
        <v>33220</v>
      </c>
      <c r="I360" s="7" t="n">
        <v>131910</v>
      </c>
      <c r="L360" s="7"/>
      <c r="V360" s="9" t="n">
        <v>3.9708007224563517</v>
      </c>
    </row>
    <row r="361">
      <c r="A361" s="7" t="s">
        <v>166</v>
      </c>
      <c r="B361" s="7" t="s">
        <v>44</v>
      </c>
      <c r="C361" s="7" t="s">
        <v>45</v>
      </c>
      <c r="D361" s="7" t="s">
        <v>31</v>
      </c>
      <c r="E361" s="8" t="n">
        <v>45962</v>
      </c>
      <c r="F361" s="7" t="n">
        <v>131910</v>
      </c>
      <c r="H361" s="7" t="n">
        <v>33220</v>
      </c>
      <c r="I361" s="7" t="n">
        <v>98690</v>
      </c>
      <c r="L361" s="7"/>
      <c r="V361" s="9" t="n">
        <v>2.9708007224563517</v>
      </c>
    </row>
    <row r="362">
      <c r="A362" s="7" t="s">
        <v>166</v>
      </c>
      <c r="B362" s="7" t="s">
        <v>44</v>
      </c>
      <c r="C362" s="7" t="s">
        <v>45</v>
      </c>
      <c r="D362" s="7" t="s">
        <v>31</v>
      </c>
      <c r="E362" s="8" t="n">
        <v>45992</v>
      </c>
      <c r="F362" s="7" t="n">
        <v>98690</v>
      </c>
      <c r="H362" s="7" t="n">
        <v>33220</v>
      </c>
      <c r="I362" s="7" t="n">
        <v>65470</v>
      </c>
      <c r="L362" s="7"/>
      <c r="V362" s="9" t="n">
        <v>1.9708007224563515</v>
      </c>
    </row>
    <row r="363">
      <c r="A363" s="7" t="s">
        <v>28</v>
      </c>
      <c r="B363" s="7" t="s">
        <v>42</v>
      </c>
      <c r="C363" s="7" t="s">
        <v>43</v>
      </c>
      <c r="D363" s="7" t="s">
        <v>31</v>
      </c>
      <c r="E363" s="8" t="n">
        <v>45839</v>
      </c>
      <c r="F363" s="7" t="n">
        <v>368535</v>
      </c>
      <c r="H363" s="7" t="n">
        <v>25415</v>
      </c>
      <c r="I363" s="7" t="n">
        <v>343120</v>
      </c>
      <c r="L363" s="7"/>
      <c r="S363" s="7" t="n">
        <v>9</v>
      </c>
      <c r="T363" s="7" t="n">
        <v>14</v>
      </c>
      <c r="U363" s="7" t="n">
        <v>13</v>
      </c>
      <c r="V363" s="9" t="n">
        <v>13.500688569742278</v>
      </c>
    </row>
    <row r="364">
      <c r="A364" s="7" t="s">
        <v>28</v>
      </c>
      <c r="B364" s="7" t="s">
        <v>42</v>
      </c>
      <c r="C364" s="7" t="s">
        <v>43</v>
      </c>
      <c r="D364" s="7" t="s">
        <v>31</v>
      </c>
      <c r="E364" s="8" t="n">
        <v>45870</v>
      </c>
      <c r="F364" s="7" t="n">
        <v>343120</v>
      </c>
      <c r="H364" s="7" t="n">
        <v>25415</v>
      </c>
      <c r="I364" s="7" t="n">
        <v>317705</v>
      </c>
      <c r="L364" s="7"/>
      <c r="S364" s="7" t="n">
        <v>9</v>
      </c>
      <c r="T364" s="7" t="n">
        <v>14</v>
      </c>
      <c r="U364" s="7" t="n">
        <v>13</v>
      </c>
      <c r="V364" s="9" t="n">
        <v>12.500688569742278</v>
      </c>
    </row>
    <row r="365">
      <c r="A365" s="7" t="s">
        <v>28</v>
      </c>
      <c r="B365" s="7" t="s">
        <v>42</v>
      </c>
      <c r="C365" s="7" t="s">
        <v>43</v>
      </c>
      <c r="D365" s="7" t="s">
        <v>31</v>
      </c>
      <c r="E365" s="8" t="n">
        <v>45901</v>
      </c>
      <c r="F365" s="7" t="n">
        <v>317705</v>
      </c>
      <c r="H365" s="7" t="n">
        <v>25415</v>
      </c>
      <c r="I365" s="7" t="n">
        <v>292290</v>
      </c>
      <c r="L365" s="7"/>
      <c r="S365" s="7" t="n">
        <v>9</v>
      </c>
      <c r="T365" s="7" t="n">
        <v>14</v>
      </c>
      <c r="U365" s="7" t="n">
        <v>13</v>
      </c>
      <c r="V365" s="9" t="n">
        <v>11.500688569742278</v>
      </c>
    </row>
    <row r="366">
      <c r="A366" s="7" t="s">
        <v>28</v>
      </c>
      <c r="B366" s="7" t="s">
        <v>42</v>
      </c>
      <c r="C366" s="7" t="s">
        <v>43</v>
      </c>
      <c r="D366" s="7" t="s">
        <v>31</v>
      </c>
      <c r="E366" s="8" t="n">
        <v>45931</v>
      </c>
      <c r="F366" s="7" t="n">
        <v>292290</v>
      </c>
      <c r="H366" s="7" t="n">
        <v>25415</v>
      </c>
      <c r="I366" s="7" t="n">
        <v>266875</v>
      </c>
      <c r="L366" s="7"/>
      <c r="S366" s="7" t="n">
        <v>9</v>
      </c>
      <c r="T366" s="7" t="n">
        <v>14</v>
      </c>
      <c r="U366" s="7" t="n">
        <v>13</v>
      </c>
      <c r="V366" s="9" t="n">
        <v>10.500688569742278</v>
      </c>
    </row>
    <row r="367">
      <c r="A367" s="7" t="s">
        <v>28</v>
      </c>
      <c r="B367" s="7" t="s">
        <v>42</v>
      </c>
      <c r="C367" s="7" t="s">
        <v>43</v>
      </c>
      <c r="D367" s="7" t="s">
        <v>31</v>
      </c>
      <c r="E367" s="8" t="n">
        <v>45962</v>
      </c>
      <c r="F367" s="7" t="n">
        <v>266875</v>
      </c>
      <c r="H367" s="7" t="n">
        <v>25415</v>
      </c>
      <c r="I367" s="7" t="n">
        <v>241460</v>
      </c>
      <c r="L367" s="7"/>
      <c r="S367" s="7" t="n">
        <v>9</v>
      </c>
      <c r="T367" s="7" t="n">
        <v>14</v>
      </c>
      <c r="U367" s="7" t="n">
        <v>13</v>
      </c>
      <c r="V367" s="9" t="n">
        <v>9.5006885697422785</v>
      </c>
    </row>
    <row r="368">
      <c r="A368" s="7" t="s">
        <v>28</v>
      </c>
      <c r="B368" s="7" t="s">
        <v>42</v>
      </c>
      <c r="C368" s="7" t="s">
        <v>43</v>
      </c>
      <c r="D368" s="7" t="s">
        <v>31</v>
      </c>
      <c r="E368" s="8" t="n">
        <v>45992</v>
      </c>
      <c r="F368" s="7" t="n">
        <v>241460</v>
      </c>
      <c r="H368" s="7" t="n">
        <v>25415</v>
      </c>
      <c r="I368" s="7" t="n">
        <v>216045</v>
      </c>
      <c r="L368" s="7"/>
      <c r="S368" s="7" t="n">
        <v>9</v>
      </c>
      <c r="T368" s="7" t="n">
        <v>14</v>
      </c>
      <c r="U368" s="7" t="n">
        <v>13</v>
      </c>
      <c r="V368" s="9" t="n">
        <v>8.5006885697422785</v>
      </c>
    </row>
    <row r="369">
      <c r="A369" s="7" t="s">
        <v>28</v>
      </c>
      <c r="B369" s="7" t="s">
        <v>42</v>
      </c>
      <c r="C369" s="7" t="s">
        <v>43</v>
      </c>
      <c r="D369" s="7" t="s">
        <v>31</v>
      </c>
      <c r="E369" s="8" t="n">
        <v>46023</v>
      </c>
      <c r="F369" s="7" t="n">
        <v>216045</v>
      </c>
      <c r="H369" s="7" t="n">
        <v>25415</v>
      </c>
      <c r="I369" s="7" t="n">
        <v>190630</v>
      </c>
      <c r="L369" s="7"/>
      <c r="S369" s="7" t="n">
        <v>9</v>
      </c>
      <c r="T369" s="7" t="n">
        <v>14</v>
      </c>
      <c r="U369" s="7" t="n">
        <v>13</v>
      </c>
      <c r="V369" s="9" t="n">
        <v>7.5006885697422785</v>
      </c>
    </row>
    <row r="370">
      <c r="A370" s="7" t="s">
        <v>28</v>
      </c>
      <c r="B370" s="7" t="s">
        <v>42</v>
      </c>
      <c r="C370" s="7" t="s">
        <v>43</v>
      </c>
      <c r="D370" s="7" t="s">
        <v>31</v>
      </c>
      <c r="E370" s="8" t="n">
        <v>46054</v>
      </c>
      <c r="F370" s="7" t="n">
        <v>190630</v>
      </c>
      <c r="H370" s="7" t="n">
        <v>25415</v>
      </c>
      <c r="I370" s="7" t="n">
        <v>312920</v>
      </c>
      <c r="J370" s="7" t="s">
        <v>2</v>
      </c>
      <c r="K370" s="7" t="s">
        <v>2</v>
      </c>
      <c r="L370" s="7" t="s">
        <v>4</v>
      </c>
      <c r="M370" s="7" t="n">
        <v>147705</v>
      </c>
      <c r="O370" s="7" t="n">
        <v>150659</v>
      </c>
      <c r="P370" s="7" t="n">
        <v>46054</v>
      </c>
      <c r="S370" s="7" t="n">
        <v>9</v>
      </c>
      <c r="T370" s="7" t="n">
        <v>14</v>
      </c>
      <c r="U370" s="7" t="n">
        <v>13</v>
      </c>
      <c r="V370" s="9" t="n">
        <v>12.312413928782215</v>
      </c>
    </row>
    <row r="371">
      <c r="A371" s="7" t="s">
        <v>28</v>
      </c>
      <c r="B371" s="7" t="s">
        <v>42</v>
      </c>
      <c r="C371" s="7" t="s">
        <v>43</v>
      </c>
      <c r="D371" s="7" t="s">
        <v>31</v>
      </c>
      <c r="E371" s="8" t="n">
        <v>46082</v>
      </c>
      <c r="F371" s="7" t="n">
        <v>312920</v>
      </c>
      <c r="H371" s="7" t="n">
        <v>25415</v>
      </c>
      <c r="I371" s="7" t="n">
        <v>287505</v>
      </c>
      <c r="L371" s="7"/>
      <c r="S371" s="7" t="n">
        <v>9</v>
      </c>
      <c r="T371" s="7" t="n">
        <v>14</v>
      </c>
      <c r="U371" s="7" t="n">
        <v>13</v>
      </c>
      <c r="V371" s="9" t="n">
        <v>11.312413928782215</v>
      </c>
    </row>
    <row r="372">
      <c r="A372" s="7" t="s">
        <v>28</v>
      </c>
      <c r="B372" s="7" t="s">
        <v>42</v>
      </c>
      <c r="C372" s="7" t="s">
        <v>43</v>
      </c>
      <c r="D372" s="7" t="s">
        <v>31</v>
      </c>
      <c r="E372" s="8" t="n">
        <v>46113</v>
      </c>
      <c r="F372" s="7" t="n">
        <v>287505</v>
      </c>
      <c r="H372" s="7" t="n">
        <v>25415</v>
      </c>
      <c r="I372" s="7" t="n">
        <v>262090</v>
      </c>
      <c r="L372" s="7"/>
      <c r="S372" s="7" t="n">
        <v>9</v>
      </c>
      <c r="T372" s="7" t="n">
        <v>14</v>
      </c>
      <c r="U372" s="7" t="n">
        <v>13</v>
      </c>
      <c r="V372" s="9" t="n">
        <v>10.312413928782215</v>
      </c>
    </row>
    <row r="373">
      <c r="A373" s="7" t="s">
        <v>28</v>
      </c>
      <c r="B373" s="7" t="s">
        <v>42</v>
      </c>
      <c r="C373" s="7" t="s">
        <v>43</v>
      </c>
      <c r="D373" s="7" t="s">
        <v>31</v>
      </c>
      <c r="E373" s="8" t="n">
        <v>46143</v>
      </c>
      <c r="F373" s="7" t="n">
        <v>262090</v>
      </c>
      <c r="H373" s="7" t="n">
        <v>25415</v>
      </c>
      <c r="I373" s="7" t="n">
        <v>236675</v>
      </c>
      <c r="L373" s="7"/>
      <c r="S373" s="7" t="n">
        <v>9</v>
      </c>
      <c r="T373" s="7" t="n">
        <v>14</v>
      </c>
      <c r="U373" s="7" t="n">
        <v>13</v>
      </c>
      <c r="V373" s="9" t="n">
        <v>9.312413928782215</v>
      </c>
    </row>
    <row r="374">
      <c r="A374" s="7" t="s">
        <v>28</v>
      </c>
      <c r="B374" s="7" t="s">
        <v>42</v>
      </c>
      <c r="C374" s="7" t="s">
        <v>43</v>
      </c>
      <c r="D374" s="7" t="s">
        <v>31</v>
      </c>
      <c r="E374" s="8" t="n">
        <v>46174</v>
      </c>
      <c r="F374" s="7" t="n">
        <v>236675</v>
      </c>
      <c r="H374" s="7" t="n">
        <v>25415</v>
      </c>
      <c r="I374" s="7" t="n">
        <v>211260</v>
      </c>
      <c r="L374" s="7"/>
      <c r="S374" s="7" t="n">
        <v>9</v>
      </c>
      <c r="T374" s="7" t="n">
        <v>14</v>
      </c>
      <c r="U374" s="7" t="n">
        <v>13</v>
      </c>
      <c r="V374" s="9" t="n">
        <v>8.312413928782215</v>
      </c>
    </row>
    <row r="375">
      <c r="A375" s="7" t="s">
        <v>75</v>
      </c>
      <c r="B375" s="7" t="s">
        <v>42</v>
      </c>
      <c r="C375" s="7" t="s">
        <v>43</v>
      </c>
      <c r="D375" s="7" t="s">
        <v>31</v>
      </c>
      <c r="E375" s="8" t="n">
        <v>45748</v>
      </c>
      <c r="F375" s="7" t="n">
        <v>2388682</v>
      </c>
      <c r="H375" s="7" t="n">
        <v>308825</v>
      </c>
      <c r="I375" s="7" t="n">
        <v>2079857</v>
      </c>
      <c r="L375" s="7"/>
      <c r="S375" s="7" t="n">
        <v>6</v>
      </c>
      <c r="T375" s="7" t="n">
        <v>12</v>
      </c>
      <c r="U375" s="7" t="n">
        <v>12</v>
      </c>
      <c r="V375" s="9" t="n">
        <v>6.7347429774143936</v>
      </c>
    </row>
    <row r="376">
      <c r="A376" s="7" t="s">
        <v>75</v>
      </c>
      <c r="B376" s="7" t="s">
        <v>42</v>
      </c>
      <c r="C376" s="7" t="s">
        <v>43</v>
      </c>
      <c r="D376" s="7" t="s">
        <v>31</v>
      </c>
      <c r="E376" s="8" t="n">
        <v>45778</v>
      </c>
      <c r="F376" s="7" t="n">
        <v>2079857</v>
      </c>
      <c r="H376" s="7" t="n">
        <v>312846</v>
      </c>
      <c r="I376" s="7" t="n">
        <v>2267011</v>
      </c>
      <c r="L376" s="7" t="s">
        <v>153</v>
      </c>
      <c r="M376" s="7" t="n">
        <v>500000</v>
      </c>
      <c r="S376" s="7" t="n">
        <v>6</v>
      </c>
      <c r="T376" s="7" t="n">
        <v>12</v>
      </c>
      <c r="U376" s="7" t="n">
        <v>12</v>
      </c>
      <c r="V376" s="9" t="n">
        <v>7.2464119726638669</v>
      </c>
    </row>
    <row r="377">
      <c r="A377" s="7" t="s">
        <v>75</v>
      </c>
      <c r="B377" s="7" t="s">
        <v>42</v>
      </c>
      <c r="C377" s="7" t="s">
        <v>43</v>
      </c>
      <c r="D377" s="7" t="s">
        <v>31</v>
      </c>
      <c r="E377" s="8" t="n">
        <v>45809</v>
      </c>
      <c r="F377" s="7" t="n">
        <v>2267011</v>
      </c>
      <c r="H377" s="7" t="n">
        <v>316867</v>
      </c>
      <c r="I377" s="7" t="n">
        <v>1950144</v>
      </c>
      <c r="L377" s="7"/>
      <c r="S377" s="7" t="n">
        <v>6</v>
      </c>
      <c r="T377" s="7" t="n">
        <v>12</v>
      </c>
      <c r="U377" s="7" t="n">
        <v>12</v>
      </c>
      <c r="V377" s="9" t="n">
        <v>6.1544559704860395</v>
      </c>
    </row>
    <row r="378">
      <c r="A378" s="7" t="s">
        <v>75</v>
      </c>
      <c r="B378" s="7" t="s">
        <v>42</v>
      </c>
      <c r="C378" s="7" t="s">
        <v>43</v>
      </c>
      <c r="D378" s="7" t="s">
        <v>31</v>
      </c>
      <c r="E378" s="8" t="n">
        <v>45839</v>
      </c>
      <c r="F378" s="7" t="n">
        <v>1950144</v>
      </c>
      <c r="H378" s="7" t="n">
        <v>320888</v>
      </c>
      <c r="I378" s="7" t="n">
        <v>1629256</v>
      </c>
      <c r="L378" s="7"/>
      <c r="S378" s="7" t="n">
        <v>6</v>
      </c>
      <c r="T378" s="7" t="n">
        <v>12</v>
      </c>
      <c r="U378" s="7" t="n">
        <v>12</v>
      </c>
      <c r="V378" s="9" t="n">
        <v>5.0773353942808708</v>
      </c>
    </row>
    <row r="379">
      <c r="A379" s="7" t="s">
        <v>75</v>
      </c>
      <c r="B379" s="7" t="s">
        <v>42</v>
      </c>
      <c r="C379" s="7" t="s">
        <v>43</v>
      </c>
      <c r="D379" s="7" t="s">
        <v>31</v>
      </c>
      <c r="E379" s="8" t="n">
        <v>45870</v>
      </c>
      <c r="F379" s="7" t="n">
        <v>1629256</v>
      </c>
      <c r="H379" s="7" t="n">
        <v>324910</v>
      </c>
      <c r="I379" s="7" t="n">
        <v>1304346</v>
      </c>
      <c r="L379" s="7"/>
      <c r="S379" s="7" t="n">
        <v>6</v>
      </c>
      <c r="T379" s="7" t="n">
        <v>12</v>
      </c>
      <c r="U379" s="7" t="n">
        <v>12</v>
      </c>
      <c r="V379" s="9" t="n">
        <v>4.0144840109568802</v>
      </c>
    </row>
    <row r="380">
      <c r="A380" s="7" t="s">
        <v>75</v>
      </c>
      <c r="B380" s="7" t="s">
        <v>42</v>
      </c>
      <c r="C380" s="7" t="s">
        <v>43</v>
      </c>
      <c r="D380" s="7" t="s">
        <v>31</v>
      </c>
      <c r="E380" s="8" t="n">
        <v>45901</v>
      </c>
      <c r="F380" s="7" t="n">
        <v>1304346</v>
      </c>
      <c r="H380" s="7" t="n">
        <v>328931</v>
      </c>
      <c r="I380" s="7" t="n">
        <v>1875415</v>
      </c>
      <c r="L380" s="7" t="s">
        <v>147</v>
      </c>
      <c r="M380" s="7" t="n">
        <v>900000</v>
      </c>
      <c r="S380" s="7" t="n">
        <v>6</v>
      </c>
      <c r="T380" s="7" t="n">
        <v>12</v>
      </c>
      <c r="U380" s="7" t="n">
        <v>12</v>
      </c>
      <c r="V380" s="9" t="n">
        <v>5.7015453088945707</v>
      </c>
    </row>
    <row r="381">
      <c r="A381" s="7" t="s">
        <v>75</v>
      </c>
      <c r="B381" s="7" t="s">
        <v>42</v>
      </c>
      <c r="C381" s="7" t="s">
        <v>43</v>
      </c>
      <c r="D381" s="7" t="s">
        <v>31</v>
      </c>
      <c r="E381" s="8" t="n">
        <v>45931</v>
      </c>
      <c r="F381" s="7" t="n">
        <v>1875415</v>
      </c>
      <c r="H381" s="7" t="n">
        <v>332952</v>
      </c>
      <c r="I381" s="7" t="n">
        <v>3923043</v>
      </c>
      <c r="L381" s="7" t="s">
        <v>4</v>
      </c>
      <c r="M381" s="7" t="n">
        <v>2380580</v>
      </c>
      <c r="S381" s="7" t="n">
        <v>6</v>
      </c>
      <c r="T381" s="7" t="n">
        <v>12</v>
      </c>
      <c r="U381" s="7" t="n">
        <v>12</v>
      </c>
      <c r="V381" s="9" t="n">
        <v>11.782608303899661</v>
      </c>
    </row>
    <row r="382">
      <c r="A382" s="7" t="s">
        <v>75</v>
      </c>
      <c r="B382" s="7" t="s">
        <v>42</v>
      </c>
      <c r="C382" s="7" t="s">
        <v>43</v>
      </c>
      <c r="D382" s="7" t="s">
        <v>31</v>
      </c>
      <c r="E382" s="8" t="n">
        <v>45962</v>
      </c>
      <c r="F382" s="7" t="n">
        <v>3923043</v>
      </c>
      <c r="H382" s="7" t="n">
        <v>336973</v>
      </c>
      <c r="I382" s="7" t="n">
        <v>3586070</v>
      </c>
      <c r="L382" s="7"/>
      <c r="S382" s="7" t="n">
        <v>6</v>
      </c>
      <c r="T382" s="7" t="n">
        <v>12</v>
      </c>
      <c r="U382" s="7" t="n">
        <v>12</v>
      </c>
      <c r="V382" s="9" t="n">
        <v>10.642009893967765</v>
      </c>
    </row>
    <row r="383">
      <c r="A383" s="7" t="s">
        <v>75</v>
      </c>
      <c r="B383" s="7" t="s">
        <v>42</v>
      </c>
      <c r="C383" s="7" t="s">
        <v>43</v>
      </c>
      <c r="D383" s="7" t="s">
        <v>31</v>
      </c>
      <c r="E383" s="8" t="n">
        <v>45992</v>
      </c>
      <c r="F383" s="7" t="n">
        <v>3586070</v>
      </c>
      <c r="H383" s="7" t="n">
        <v>340994</v>
      </c>
      <c r="I383" s="7" t="n">
        <v>3245076</v>
      </c>
      <c r="L383" s="7"/>
      <c r="S383" s="7" t="n">
        <v>6</v>
      </c>
      <c r="T383" s="7" t="n">
        <v>12</v>
      </c>
      <c r="U383" s="7" t="n">
        <v>12</v>
      </c>
      <c r="V383" s="9" t="n">
        <v>9.5165193522466662</v>
      </c>
    </row>
    <row r="384">
      <c r="A384" s="7" t="s">
        <v>75</v>
      </c>
      <c r="B384" s="7" t="s">
        <v>42</v>
      </c>
      <c r="C384" s="7" t="s">
        <v>43</v>
      </c>
      <c r="D384" s="7" t="s">
        <v>31</v>
      </c>
      <c r="E384" s="8" t="n">
        <v>46023</v>
      </c>
      <c r="F384" s="7" t="n">
        <v>3245076</v>
      </c>
      <c r="H384" s="7" t="n">
        <v>345016</v>
      </c>
      <c r="I384" s="7" t="n">
        <v>2900060</v>
      </c>
      <c r="L384" s="7"/>
      <c r="S384" s="7" t="n">
        <v>6</v>
      </c>
      <c r="T384" s="7" t="n">
        <v>12</v>
      </c>
      <c r="U384" s="7" t="n">
        <v>12</v>
      </c>
      <c r="V384" s="9" t="n">
        <v>8.4055811904375446</v>
      </c>
    </row>
    <row r="385">
      <c r="A385" s="7" t="s">
        <v>75</v>
      </c>
      <c r="B385" s="7" t="s">
        <v>42</v>
      </c>
      <c r="C385" s="7" t="s">
        <v>43</v>
      </c>
      <c r="D385" s="7" t="s">
        <v>31</v>
      </c>
      <c r="E385" s="8" t="n">
        <v>46054</v>
      </c>
      <c r="F385" s="7" t="n">
        <v>2900060</v>
      </c>
      <c r="H385" s="7" t="n">
        <v>349037</v>
      </c>
      <c r="I385" s="7" t="n">
        <v>2551023</v>
      </c>
      <c r="L385" s="7"/>
      <c r="S385" s="7" t="n">
        <v>6</v>
      </c>
      <c r="T385" s="7" t="n">
        <v>12</v>
      </c>
      <c r="U385" s="7" t="n">
        <v>12</v>
      </c>
      <c r="V385" s="9" t="n">
        <v>7.308746637176001</v>
      </c>
    </row>
    <row r="386">
      <c r="A386" s="7" t="s">
        <v>75</v>
      </c>
      <c r="B386" s="7" t="s">
        <v>42</v>
      </c>
      <c r="C386" s="7" t="s">
        <v>43</v>
      </c>
      <c r="D386" s="7" t="s">
        <v>31</v>
      </c>
      <c r="E386" s="8" t="n">
        <v>46082</v>
      </c>
      <c r="F386" s="7" t="n">
        <v>2551023</v>
      </c>
      <c r="H386" s="7" t="n">
        <v>353058</v>
      </c>
      <c r="I386" s="7" t="n">
        <v>2197965</v>
      </c>
      <c r="L386" s="7"/>
      <c r="S386" s="7" t="n">
        <v>6</v>
      </c>
      <c r="T386" s="7" t="n">
        <v>12</v>
      </c>
      <c r="U386" s="7" t="n">
        <v>12</v>
      </c>
      <c r="V386" s="9" t="n">
        <v>6.2255068572302568</v>
      </c>
    </row>
    <row r="387">
      <c r="A387" s="7" t="s">
        <v>75</v>
      </c>
      <c r="B387" s="7" t="s">
        <v>42</v>
      </c>
      <c r="C387" s="7" t="s">
        <v>43</v>
      </c>
      <c r="D387" s="7" t="s">
        <v>31</v>
      </c>
      <c r="E387" s="8" t="n">
        <v>46113</v>
      </c>
      <c r="F387" s="7" t="n">
        <v>2197965</v>
      </c>
      <c r="H387" s="7" t="n">
        <v>357079</v>
      </c>
      <c r="I387" s="7" t="n">
        <v>4212570</v>
      </c>
      <c r="L387" s="7" t="s">
        <v>4</v>
      </c>
      <c r="M387" s="7" t="n">
        <v>2371684</v>
      </c>
      <c r="S387" s="7" t="n">
        <v>6</v>
      </c>
      <c r="T387" s="7" t="n">
        <v>12</v>
      </c>
      <c r="U387" s="7" t="n">
        <v>12</v>
      </c>
      <c r="V387" s="9" t="n">
        <v>11.797305358198045</v>
      </c>
    </row>
    <row r="388">
      <c r="A388" s="7" t="s">
        <v>75</v>
      </c>
      <c r="B388" s="7" t="s">
        <v>42</v>
      </c>
      <c r="C388" s="7" t="s">
        <v>43</v>
      </c>
      <c r="D388" s="7" t="s">
        <v>31</v>
      </c>
      <c r="E388" s="8" t="n">
        <v>46143</v>
      </c>
      <c r="F388" s="7" t="n">
        <v>4212570</v>
      </c>
      <c r="H388" s="7" t="n">
        <v>361100</v>
      </c>
      <c r="I388" s="7" t="n">
        <v>3851470</v>
      </c>
      <c r="L388" s="7"/>
      <c r="S388" s="7" t="n">
        <v>6</v>
      </c>
      <c r="T388" s="7" t="n">
        <v>12</v>
      </c>
      <c r="U388" s="7" t="n">
        <v>12</v>
      </c>
      <c r="V388" s="9" t="n">
        <v>10.665937413458876</v>
      </c>
    </row>
    <row r="389">
      <c r="A389" s="7" t="s">
        <v>75</v>
      </c>
      <c r="B389" s="7" t="s">
        <v>42</v>
      </c>
      <c r="C389" s="7" t="s">
        <v>43</v>
      </c>
      <c r="D389" s="7" t="s">
        <v>31</v>
      </c>
      <c r="E389" s="8" t="n">
        <v>46174</v>
      </c>
      <c r="F389" s="7" t="n">
        <v>3851470</v>
      </c>
      <c r="H389" s="7" t="n">
        <v>365121</v>
      </c>
      <c r="I389" s="7" t="n">
        <v>3486349</v>
      </c>
      <c r="L389" s="7"/>
      <c r="S389" s="7" t="n">
        <v>6</v>
      </c>
      <c r="T389" s="7" t="n">
        <v>12</v>
      </c>
      <c r="U389" s="7" t="n">
        <v>12</v>
      </c>
      <c r="V389" s="9" t="n">
        <v>9.5484757107917648</v>
      </c>
    </row>
    <row r="390">
      <c r="A390" s="7" t="s">
        <v>75</v>
      </c>
      <c r="B390" s="7" t="s">
        <v>42</v>
      </c>
      <c r="C390" s="7" t="s">
        <v>43</v>
      </c>
      <c r="D390" s="7" t="s">
        <v>31</v>
      </c>
      <c r="E390" s="8" t="n">
        <v>46204</v>
      </c>
      <c r="F390" s="7" t="n">
        <v>3486349</v>
      </c>
      <c r="H390" s="7" t="n">
        <v>369143</v>
      </c>
      <c r="I390" s="7" t="n">
        <v>3117206</v>
      </c>
      <c r="L390" s="7"/>
      <c r="S390" s="7" t="n">
        <v>6</v>
      </c>
      <c r="T390" s="7" t="n">
        <v>12</v>
      </c>
      <c r="U390" s="7" t="n">
        <v>12</v>
      </c>
      <c r="V390" s="9" t="n">
        <v>8.4444402304797865</v>
      </c>
    </row>
    <row r="391">
      <c r="A391" s="7" t="s">
        <v>75</v>
      </c>
      <c r="B391" s="7" t="s">
        <v>42</v>
      </c>
      <c r="C391" s="7" t="s">
        <v>43</v>
      </c>
      <c r="D391" s="7" t="s">
        <v>31</v>
      </c>
      <c r="E391" s="8" t="n">
        <v>46235</v>
      </c>
      <c r="F391" s="7" t="n">
        <v>3117206</v>
      </c>
      <c r="H391" s="7" t="n">
        <v>373164</v>
      </c>
      <c r="I391" s="7" t="n">
        <v>2744042</v>
      </c>
      <c r="L391" s="7"/>
      <c r="S391" s="7" t="n">
        <v>6</v>
      </c>
      <c r="T391" s="7" t="n">
        <v>12</v>
      </c>
      <c r="U391" s="7" t="n">
        <v>12</v>
      </c>
      <c r="V391" s="9" t="n">
        <v>7.3534478138298445</v>
      </c>
    </row>
    <row r="392">
      <c r="A392" s="7" t="s">
        <v>75</v>
      </c>
      <c r="B392" s="7" t="s">
        <v>42</v>
      </c>
      <c r="C392" s="7" t="s">
        <v>43</v>
      </c>
      <c r="D392" s="7" t="s">
        <v>31</v>
      </c>
      <c r="E392" s="8" t="n">
        <v>46266</v>
      </c>
      <c r="F392" s="7" t="n">
        <v>2744042</v>
      </c>
      <c r="H392" s="7" t="n">
        <v>377185</v>
      </c>
      <c r="I392" s="7" t="n">
        <v>2366857</v>
      </c>
      <c r="L392" s="7"/>
      <c r="S392" s="7" t="n">
        <v>6</v>
      </c>
      <c r="T392" s="7" t="n">
        <v>12</v>
      </c>
      <c r="U392" s="7" t="n">
        <v>12</v>
      </c>
      <c r="V392" s="9" t="n">
        <v>6.2750560069992183</v>
      </c>
    </row>
    <row r="393">
      <c r="A393" s="7" t="s">
        <v>76</v>
      </c>
      <c r="B393" s="7" t="s">
        <v>42</v>
      </c>
      <c r="C393" s="7" t="s">
        <v>43</v>
      </c>
      <c r="D393" s="7" t="s">
        <v>31</v>
      </c>
      <c r="E393" s="8" t="n">
        <v>45748</v>
      </c>
      <c r="F393" s="7" t="n">
        <v>11876</v>
      </c>
      <c r="H393" s="7" t="n">
        <v>197423</v>
      </c>
      <c r="I393" s="7" t="n">
        <v>0</v>
      </c>
      <c r="L393" s="7"/>
      <c r="S393" s="7" t="n">
        <v>3</v>
      </c>
      <c r="T393" s="7" t="n">
        <v>6</v>
      </c>
      <c r="U393" s="7" t="n">
        <v>6</v>
      </c>
      <c r="V393" s="9" t="n">
        <v>0</v>
      </c>
    </row>
    <row r="394">
      <c r="A394" s="7" t="s">
        <v>76</v>
      </c>
      <c r="B394" s="7" t="s">
        <v>42</v>
      </c>
      <c r="C394" s="7" t="s">
        <v>43</v>
      </c>
      <c r="D394" s="7" t="s">
        <v>31</v>
      </c>
      <c r="E394" s="8" t="n">
        <v>45778</v>
      </c>
      <c r="F394" s="7" t="n">
        <v>197423</v>
      </c>
      <c r="H394" s="7" t="n">
        <v>197423</v>
      </c>
      <c r="I394" s="7" t="n">
        <v>0</v>
      </c>
      <c r="L394" s="7"/>
      <c r="S394" s="7" t="n">
        <v>3</v>
      </c>
      <c r="T394" s="7" t="n">
        <v>6</v>
      </c>
      <c r="U394" s="7" t="n">
        <v>6</v>
      </c>
      <c r="V394" s="9" t="n">
        <v>0</v>
      </c>
    </row>
    <row r="395">
      <c r="A395" s="7" t="s">
        <v>76</v>
      </c>
      <c r="B395" s="7" t="s">
        <v>42</v>
      </c>
      <c r="C395" s="7" t="s">
        <v>43</v>
      </c>
      <c r="D395" s="7" t="s">
        <v>31</v>
      </c>
      <c r="E395" s="8" t="n">
        <v>45809</v>
      </c>
      <c r="F395" s="7" t="n">
        <v>197423</v>
      </c>
      <c r="H395" s="7" t="n">
        <v>197423</v>
      </c>
      <c r="I395" s="7" t="n">
        <v>0</v>
      </c>
      <c r="L395" s="7"/>
      <c r="S395" s="7" t="n">
        <v>3</v>
      </c>
      <c r="T395" s="7" t="n">
        <v>6</v>
      </c>
      <c r="U395" s="7" t="n">
        <v>6</v>
      </c>
      <c r="V395" s="9" t="n">
        <v>0</v>
      </c>
    </row>
    <row r="396">
      <c r="A396" s="7" t="s">
        <v>76</v>
      </c>
      <c r="B396" s="7" t="s">
        <v>42</v>
      </c>
      <c r="C396" s="7" t="s">
        <v>43</v>
      </c>
      <c r="D396" s="7" t="s">
        <v>31</v>
      </c>
      <c r="E396" s="8" t="n">
        <v>45839</v>
      </c>
      <c r="F396" s="7" t="n">
        <v>197423</v>
      </c>
      <c r="H396" s="7" t="n">
        <v>197423</v>
      </c>
      <c r="I396" s="7" t="n">
        <v>0</v>
      </c>
      <c r="L396" s="7"/>
      <c r="S396" s="7" t="n">
        <v>3</v>
      </c>
      <c r="T396" s="7" t="n">
        <v>6</v>
      </c>
      <c r="U396" s="7" t="n">
        <v>6</v>
      </c>
      <c r="V396" s="9" t="n">
        <v>0</v>
      </c>
    </row>
    <row r="397">
      <c r="A397" s="7" t="s">
        <v>76</v>
      </c>
      <c r="B397" s="7" t="s">
        <v>42</v>
      </c>
      <c r="C397" s="7" t="s">
        <v>43</v>
      </c>
      <c r="D397" s="7" t="s">
        <v>31</v>
      </c>
      <c r="E397" s="8" t="n">
        <v>45870</v>
      </c>
      <c r="F397" s="7" t="n">
        <v>197423</v>
      </c>
      <c r="H397" s="7" t="n">
        <v>197423</v>
      </c>
      <c r="I397" s="7" t="n">
        <v>0</v>
      </c>
      <c r="L397" s="7"/>
      <c r="S397" s="7" t="n">
        <v>3</v>
      </c>
      <c r="T397" s="7" t="n">
        <v>6</v>
      </c>
      <c r="U397" s="7" t="n">
        <v>6</v>
      </c>
      <c r="V397" s="9" t="n">
        <v>0</v>
      </c>
    </row>
    <row r="398">
      <c r="A398" s="7" t="s">
        <v>76</v>
      </c>
      <c r="B398" s="7" t="s">
        <v>42</v>
      </c>
      <c r="C398" s="7" t="s">
        <v>43</v>
      </c>
      <c r="D398" s="7" t="s">
        <v>31</v>
      </c>
      <c r="E398" s="8" t="n">
        <v>45901</v>
      </c>
      <c r="F398" s="7" t="n">
        <v>197423</v>
      </c>
      <c r="H398" s="7" t="n">
        <v>197423</v>
      </c>
      <c r="I398" s="7" t="n">
        <v>0</v>
      </c>
      <c r="L398" s="7"/>
      <c r="S398" s="7" t="n">
        <v>3</v>
      </c>
      <c r="T398" s="7" t="n">
        <v>6</v>
      </c>
      <c r="U398" s="7" t="n">
        <v>6</v>
      </c>
      <c r="V398" s="9" t="n">
        <v>0</v>
      </c>
    </row>
    <row r="399">
      <c r="A399" s="7" t="s">
        <v>76</v>
      </c>
      <c r="B399" s="7" t="s">
        <v>42</v>
      </c>
      <c r="C399" s="7" t="s">
        <v>43</v>
      </c>
      <c r="D399" s="7" t="s">
        <v>31</v>
      </c>
      <c r="E399" s="8" t="n">
        <v>45931</v>
      </c>
      <c r="F399" s="7" t="n">
        <v>197423</v>
      </c>
      <c r="H399" s="7" t="n">
        <v>197423</v>
      </c>
      <c r="I399" s="7" t="n">
        <v>0</v>
      </c>
      <c r="L399" s="7"/>
      <c r="S399" s="7" t="n">
        <v>3</v>
      </c>
      <c r="T399" s="7" t="n">
        <v>6</v>
      </c>
      <c r="U399" s="7" t="n">
        <v>6</v>
      </c>
      <c r="V399" s="9" t="n">
        <v>0</v>
      </c>
    </row>
    <row r="400">
      <c r="A400" s="7" t="s">
        <v>76</v>
      </c>
      <c r="B400" s="7" t="s">
        <v>42</v>
      </c>
      <c r="C400" s="7" t="s">
        <v>43</v>
      </c>
      <c r="D400" s="7" t="s">
        <v>31</v>
      </c>
      <c r="E400" s="8" t="n">
        <v>45962</v>
      </c>
      <c r="F400" s="7" t="n">
        <v>197423</v>
      </c>
      <c r="H400" s="7" t="n">
        <v>197423</v>
      </c>
      <c r="I400" s="7" t="n">
        <v>0</v>
      </c>
      <c r="L400" s="7"/>
      <c r="S400" s="7" t="n">
        <v>3</v>
      </c>
      <c r="T400" s="7" t="n">
        <v>6</v>
      </c>
      <c r="U400" s="7" t="n">
        <v>6</v>
      </c>
      <c r="V400" s="9" t="n">
        <v>0</v>
      </c>
    </row>
    <row r="401">
      <c r="A401" s="7" t="s">
        <v>76</v>
      </c>
      <c r="B401" s="7" t="s">
        <v>42</v>
      </c>
      <c r="C401" s="7" t="s">
        <v>43</v>
      </c>
      <c r="D401" s="7" t="s">
        <v>31</v>
      </c>
      <c r="E401" s="8" t="n">
        <v>45992</v>
      </c>
      <c r="F401" s="7" t="n">
        <v>197423</v>
      </c>
      <c r="H401" s="7" t="n">
        <v>258958</v>
      </c>
      <c r="I401" s="7" t="n">
        <v>0</v>
      </c>
      <c r="L401" s="7"/>
      <c r="S401" s="7" t="n">
        <v>3</v>
      </c>
      <c r="T401" s="7" t="n">
        <v>6</v>
      </c>
      <c r="U401" s="7" t="n">
        <v>6</v>
      </c>
      <c r="V401" s="9" t="n">
        <v>0</v>
      </c>
    </row>
    <row r="402">
      <c r="A402" s="7" t="s">
        <v>76</v>
      </c>
      <c r="B402" s="7" t="s">
        <v>42</v>
      </c>
      <c r="C402" s="7" t="s">
        <v>43</v>
      </c>
      <c r="D402" s="7" t="s">
        <v>31</v>
      </c>
      <c r="E402" s="8" t="n">
        <v>46023</v>
      </c>
      <c r="F402" s="7" t="n">
        <v>258958</v>
      </c>
      <c r="H402" s="7" t="n">
        <v>258958</v>
      </c>
      <c r="I402" s="7" t="n">
        <v>0</v>
      </c>
      <c r="L402" s="7"/>
      <c r="S402" s="7" t="n">
        <v>3</v>
      </c>
      <c r="T402" s="7" t="n">
        <v>6</v>
      </c>
      <c r="U402" s="7" t="n">
        <v>6</v>
      </c>
      <c r="V402" s="9" t="n">
        <v>0</v>
      </c>
    </row>
    <row r="403">
      <c r="A403" s="7" t="s">
        <v>76</v>
      </c>
      <c r="B403" s="7" t="s">
        <v>42</v>
      </c>
      <c r="C403" s="7" t="s">
        <v>43</v>
      </c>
      <c r="D403" s="7" t="s">
        <v>31</v>
      </c>
      <c r="E403" s="8" t="n">
        <v>46054</v>
      </c>
      <c r="F403" s="7" t="n">
        <v>258958</v>
      </c>
      <c r="H403" s="7" t="n">
        <v>258958</v>
      </c>
      <c r="I403" s="7" t="n">
        <v>0</v>
      </c>
      <c r="L403" s="7"/>
      <c r="S403" s="7" t="n">
        <v>3</v>
      </c>
      <c r="T403" s="7" t="n">
        <v>6</v>
      </c>
      <c r="U403" s="7" t="n">
        <v>6</v>
      </c>
      <c r="V403" s="9" t="n">
        <v>0</v>
      </c>
    </row>
    <row r="404">
      <c r="A404" s="7" t="s">
        <v>76</v>
      </c>
      <c r="B404" s="7" t="s">
        <v>42</v>
      </c>
      <c r="C404" s="7" t="s">
        <v>43</v>
      </c>
      <c r="D404" s="7" t="s">
        <v>31</v>
      </c>
      <c r="E404" s="8" t="n">
        <v>46082</v>
      </c>
      <c r="F404" s="7" t="n">
        <v>258958</v>
      </c>
      <c r="H404" s="7" t="n">
        <v>258958</v>
      </c>
      <c r="I404" s="7" t="n">
        <v>0</v>
      </c>
      <c r="L404" s="7"/>
      <c r="S404" s="7" t="n">
        <v>3</v>
      </c>
      <c r="T404" s="7" t="n">
        <v>6</v>
      </c>
      <c r="U404" s="7" t="n">
        <v>6</v>
      </c>
      <c r="V404" s="9" t="n">
        <v>0</v>
      </c>
    </row>
    <row r="405">
      <c r="A405" s="7" t="s">
        <v>76</v>
      </c>
      <c r="B405" s="7" t="s">
        <v>42</v>
      </c>
      <c r="C405" s="7" t="s">
        <v>43</v>
      </c>
      <c r="D405" s="7" t="s">
        <v>31</v>
      </c>
      <c r="E405" s="8" t="n">
        <v>46113</v>
      </c>
      <c r="F405" s="7" t="n">
        <v>258958</v>
      </c>
      <c r="H405" s="7" t="n">
        <v>258958</v>
      </c>
      <c r="I405" s="7" t="n">
        <v>0</v>
      </c>
      <c r="L405" s="7"/>
      <c r="S405" s="7" t="n">
        <v>3</v>
      </c>
      <c r="T405" s="7" t="n">
        <v>6</v>
      </c>
      <c r="U405" s="7" t="n">
        <v>6</v>
      </c>
      <c r="V405" s="9" t="n">
        <v>0</v>
      </c>
    </row>
    <row r="406">
      <c r="A406" s="7" t="s">
        <v>76</v>
      </c>
      <c r="B406" s="7" t="s">
        <v>42</v>
      </c>
      <c r="C406" s="7" t="s">
        <v>43</v>
      </c>
      <c r="D406" s="7" t="s">
        <v>31</v>
      </c>
      <c r="E406" s="8" t="n">
        <v>46143</v>
      </c>
      <c r="F406" s="7" t="n">
        <v>258958</v>
      </c>
      <c r="H406" s="7" t="n">
        <v>258958</v>
      </c>
      <c r="I406" s="7" t="n">
        <v>0</v>
      </c>
      <c r="L406" s="7"/>
      <c r="S406" s="7" t="n">
        <v>3</v>
      </c>
      <c r="T406" s="7" t="n">
        <v>6</v>
      </c>
      <c r="U406" s="7" t="n">
        <v>6</v>
      </c>
      <c r="V406" s="9" t="n">
        <v>0</v>
      </c>
    </row>
    <row r="407">
      <c r="A407" s="7" t="s">
        <v>76</v>
      </c>
      <c r="B407" s="7" t="s">
        <v>42</v>
      </c>
      <c r="C407" s="7" t="s">
        <v>43</v>
      </c>
      <c r="D407" s="7" t="s">
        <v>31</v>
      </c>
      <c r="E407" s="8" t="n">
        <v>46174</v>
      </c>
      <c r="F407" s="7" t="n">
        <v>258958</v>
      </c>
      <c r="H407" s="7" t="n">
        <v>258958</v>
      </c>
      <c r="I407" s="7" t="n">
        <v>0</v>
      </c>
      <c r="L407" s="7"/>
      <c r="S407" s="7" t="n">
        <v>3</v>
      </c>
      <c r="T407" s="7" t="n">
        <v>6</v>
      </c>
      <c r="U407" s="7" t="n">
        <v>6</v>
      </c>
      <c r="V407" s="9" t="n">
        <v>0</v>
      </c>
    </row>
    <row r="408">
      <c r="A408" s="7" t="s">
        <v>76</v>
      </c>
      <c r="B408" s="7" t="s">
        <v>42</v>
      </c>
      <c r="C408" s="7" t="s">
        <v>43</v>
      </c>
      <c r="D408" s="7" t="s">
        <v>31</v>
      </c>
      <c r="E408" s="8" t="n">
        <v>46204</v>
      </c>
      <c r="F408" s="7" t="n">
        <v>258958</v>
      </c>
      <c r="H408" s="7" t="n">
        <v>258958</v>
      </c>
      <c r="I408" s="7" t="n">
        <v>0</v>
      </c>
      <c r="L408" s="7"/>
      <c r="S408" s="7" t="n">
        <v>3</v>
      </c>
      <c r="T408" s="7" t="n">
        <v>6</v>
      </c>
      <c r="U408" s="7" t="n">
        <v>6</v>
      </c>
      <c r="V408" s="9" t="n">
        <v>0</v>
      </c>
    </row>
    <row r="409">
      <c r="A409" s="7" t="s">
        <v>76</v>
      </c>
      <c r="B409" s="7" t="s">
        <v>42</v>
      </c>
      <c r="C409" s="7" t="s">
        <v>43</v>
      </c>
      <c r="D409" s="7" t="s">
        <v>31</v>
      </c>
      <c r="E409" s="8" t="n">
        <v>46235</v>
      </c>
      <c r="F409" s="7" t="n">
        <v>258958</v>
      </c>
      <c r="H409" s="7" t="n">
        <v>258958</v>
      </c>
      <c r="I409" s="7" t="n">
        <v>0</v>
      </c>
      <c r="L409" s="7"/>
      <c r="S409" s="7" t="n">
        <v>3</v>
      </c>
      <c r="T409" s="7" t="n">
        <v>6</v>
      </c>
      <c r="U409" s="7" t="n">
        <v>6</v>
      </c>
      <c r="V409" s="9" t="n">
        <v>0</v>
      </c>
    </row>
    <row r="410">
      <c r="A410" s="7" t="s">
        <v>76</v>
      </c>
      <c r="B410" s="7" t="s">
        <v>42</v>
      </c>
      <c r="C410" s="7" t="s">
        <v>43</v>
      </c>
      <c r="D410" s="7" t="s">
        <v>31</v>
      </c>
      <c r="E410" s="8" t="n">
        <v>46266</v>
      </c>
      <c r="F410" s="7" t="n">
        <v>258958</v>
      </c>
      <c r="H410" s="7" t="n">
        <v>258958</v>
      </c>
      <c r="I410" s="7" t="n">
        <v>0</v>
      </c>
      <c r="L410" s="7"/>
      <c r="S410" s="7" t="n">
        <v>3</v>
      </c>
      <c r="T410" s="7" t="n">
        <v>6</v>
      </c>
      <c r="U410" s="7" t="n">
        <v>6</v>
      </c>
      <c r="V410" s="9" t="n">
        <v>0</v>
      </c>
    </row>
    <row r="411">
      <c r="A411" s="7" t="s">
        <v>76</v>
      </c>
      <c r="B411" s="7" t="s">
        <v>42</v>
      </c>
      <c r="C411" s="7" t="s">
        <v>43</v>
      </c>
      <c r="D411" s="7" t="s">
        <v>31</v>
      </c>
      <c r="E411" s="8" t="n">
        <v>46296</v>
      </c>
      <c r="F411" s="7" t="n">
        <v>258958</v>
      </c>
      <c r="H411" s="7" t="n">
        <v>258958</v>
      </c>
      <c r="I411" s="7" t="n">
        <v>0</v>
      </c>
      <c r="L411" s="7"/>
      <c r="S411" s="7" t="n">
        <v>3</v>
      </c>
      <c r="T411" s="7" t="n">
        <v>6</v>
      </c>
      <c r="U411" s="7" t="n">
        <v>6</v>
      </c>
      <c r="V411" s="9" t="n">
        <v>0</v>
      </c>
    </row>
    <row r="412">
      <c r="A412" s="7" t="s">
        <v>76</v>
      </c>
      <c r="B412" s="7" t="s">
        <v>42</v>
      </c>
      <c r="C412" s="7" t="s">
        <v>43</v>
      </c>
      <c r="D412" s="7" t="s">
        <v>31</v>
      </c>
      <c r="E412" s="8" t="n">
        <v>46327</v>
      </c>
      <c r="F412" s="7" t="n">
        <v>258958</v>
      </c>
      <c r="H412" s="7" t="n">
        <v>258958</v>
      </c>
      <c r="I412" s="7" t="n">
        <v>0</v>
      </c>
      <c r="L412" s="7"/>
      <c r="S412" s="7" t="n">
        <v>3</v>
      </c>
      <c r="T412" s="7" t="n">
        <v>6</v>
      </c>
      <c r="U412" s="7" t="n">
        <v>6</v>
      </c>
      <c r="V412" s="9" t="n">
        <v>0</v>
      </c>
    </row>
    <row r="413">
      <c r="A413" s="7" t="s">
        <v>76</v>
      </c>
      <c r="B413" s="7" t="s">
        <v>42</v>
      </c>
      <c r="C413" s="7" t="s">
        <v>43</v>
      </c>
      <c r="D413" s="7" t="s">
        <v>31</v>
      </c>
      <c r="E413" s="8" t="n">
        <v>46357</v>
      </c>
      <c r="F413" s="7" t="n">
        <v>258958</v>
      </c>
      <c r="H413" s="7" t="n">
        <v>258958</v>
      </c>
      <c r="I413" s="7" t="n">
        <v>0</v>
      </c>
      <c r="L413" s="7"/>
      <c r="S413" s="7" t="n">
        <v>3</v>
      </c>
      <c r="T413" s="7" t="n">
        <v>6</v>
      </c>
      <c r="U413" s="7" t="n">
        <v>6</v>
      </c>
      <c r="V413" s="9" t="n">
        <v>0</v>
      </c>
    </row>
    <row r="414">
      <c r="A414" s="7" t="s">
        <v>72</v>
      </c>
      <c r="B414" s="7" t="s">
        <v>42</v>
      </c>
      <c r="C414" s="7" t="s">
        <v>43</v>
      </c>
      <c r="D414" s="7" t="s">
        <v>31</v>
      </c>
      <c r="E414" s="8" t="n">
        <v>45689</v>
      </c>
      <c r="F414" s="7" t="n">
        <v>113300</v>
      </c>
      <c r="H414" s="7" t="n">
        <v>34618</v>
      </c>
      <c r="I414" s="7" t="n">
        <v>378682</v>
      </c>
      <c r="J414" s="7" t="s">
        <v>51</v>
      </c>
      <c r="K414" s="7" t="s">
        <v>51</v>
      </c>
      <c r="L414" s="7" t="s">
        <v>153</v>
      </c>
      <c r="M414" s="7" t="n">
        <v>300000</v>
      </c>
      <c r="O414" s="7" t="n">
        <v>285600</v>
      </c>
      <c r="P414" s="7" t="n">
        <v>45689</v>
      </c>
      <c r="S414" s="7" t="n">
        <v>6</v>
      </c>
      <c r="T414" s="7" t="n">
        <v>12</v>
      </c>
      <c r="U414" s="7" t="n">
        <v>12</v>
      </c>
      <c r="V414" s="9" t="n">
        <v>10.938875729389334</v>
      </c>
    </row>
    <row r="415">
      <c r="A415" s="7" t="s">
        <v>72</v>
      </c>
      <c r="B415" s="7" t="s">
        <v>42</v>
      </c>
      <c r="C415" s="7" t="s">
        <v>43</v>
      </c>
      <c r="D415" s="7" t="s">
        <v>31</v>
      </c>
      <c r="E415" s="8" t="n">
        <v>45717</v>
      </c>
      <c r="F415" s="7" t="n">
        <v>378682</v>
      </c>
      <c r="H415" s="7" t="n">
        <v>34618</v>
      </c>
      <c r="I415" s="7" t="n">
        <v>450864</v>
      </c>
      <c r="J415" s="7" t="s">
        <v>51</v>
      </c>
      <c r="K415" s="7" t="s">
        <v>51</v>
      </c>
      <c r="L415" s="7" t="s">
        <v>153</v>
      </c>
      <c r="M415" s="7" t="n">
        <v>106800</v>
      </c>
      <c r="O415" s="7" t="n">
        <v>90780</v>
      </c>
      <c r="P415" s="7" t="n">
        <v>45717</v>
      </c>
      <c r="S415" s="7" t="n">
        <v>6</v>
      </c>
      <c r="T415" s="7" t="n">
        <v>12</v>
      </c>
      <c r="U415" s="7" t="n">
        <v>12</v>
      </c>
      <c r="V415" s="9" t="n">
        <v>13.023975966260327</v>
      </c>
    </row>
    <row r="416">
      <c r="A416" s="7" t="s">
        <v>72</v>
      </c>
      <c r="B416" s="7" t="s">
        <v>42</v>
      </c>
      <c r="C416" s="7" t="s">
        <v>43</v>
      </c>
      <c r="D416" s="7" t="s">
        <v>31</v>
      </c>
      <c r="E416" s="8" t="n">
        <v>45748</v>
      </c>
      <c r="F416" s="7" t="n">
        <v>450864</v>
      </c>
      <c r="H416" s="7" t="n">
        <v>34618</v>
      </c>
      <c r="I416" s="7" t="n">
        <v>416246</v>
      </c>
      <c r="L416" s="7"/>
      <c r="S416" s="7" t="n">
        <v>6</v>
      </c>
      <c r="T416" s="7" t="n">
        <v>12</v>
      </c>
      <c r="U416" s="7" t="n">
        <v>12</v>
      </c>
      <c r="V416" s="9" t="n">
        <v>12.023975966260327</v>
      </c>
    </row>
    <row r="417">
      <c r="A417" s="7" t="s">
        <v>72</v>
      </c>
      <c r="B417" s="7" t="s">
        <v>42</v>
      </c>
      <c r="C417" s="7" t="s">
        <v>43</v>
      </c>
      <c r="D417" s="7" t="s">
        <v>31</v>
      </c>
      <c r="E417" s="8" t="n">
        <v>45778</v>
      </c>
      <c r="F417" s="7" t="n">
        <v>416246</v>
      </c>
      <c r="H417" s="7" t="n">
        <v>34618</v>
      </c>
      <c r="I417" s="7" t="n">
        <v>381628</v>
      </c>
      <c r="L417" s="7"/>
      <c r="S417" s="7" t="n">
        <v>6</v>
      </c>
      <c r="T417" s="7" t="n">
        <v>12</v>
      </c>
      <c r="U417" s="7" t="n">
        <v>12</v>
      </c>
      <c r="V417" s="9" t="n">
        <v>11.023975966260327</v>
      </c>
    </row>
    <row r="418">
      <c r="A418" s="7" t="s">
        <v>72</v>
      </c>
      <c r="B418" s="7" t="s">
        <v>42</v>
      </c>
      <c r="C418" s="7" t="s">
        <v>43</v>
      </c>
      <c r="D418" s="7" t="s">
        <v>31</v>
      </c>
      <c r="E418" s="8" t="n">
        <v>45809</v>
      </c>
      <c r="F418" s="7" t="n">
        <v>381628</v>
      </c>
      <c r="H418" s="7" t="n">
        <v>34618</v>
      </c>
      <c r="I418" s="7" t="n">
        <v>347010</v>
      </c>
      <c r="L418" s="7"/>
      <c r="S418" s="7" t="n">
        <v>6</v>
      </c>
      <c r="T418" s="7" t="n">
        <v>12</v>
      </c>
      <c r="U418" s="7" t="n">
        <v>12</v>
      </c>
      <c r="V418" s="9" t="n">
        <v>10.023975966260327</v>
      </c>
    </row>
    <row r="419">
      <c r="A419" s="7" t="s">
        <v>72</v>
      </c>
      <c r="B419" s="7" t="s">
        <v>42</v>
      </c>
      <c r="C419" s="7" t="s">
        <v>43</v>
      </c>
      <c r="D419" s="7" t="s">
        <v>31</v>
      </c>
      <c r="E419" s="8" t="n">
        <v>45839</v>
      </c>
      <c r="F419" s="7" t="n">
        <v>347010</v>
      </c>
      <c r="H419" s="7" t="n">
        <v>34618</v>
      </c>
      <c r="I419" s="7" t="n">
        <v>312392</v>
      </c>
      <c r="L419" s="7"/>
      <c r="S419" s="7" t="n">
        <v>6</v>
      </c>
      <c r="T419" s="7" t="n">
        <v>12</v>
      </c>
      <c r="U419" s="7" t="n">
        <v>12</v>
      </c>
      <c r="V419" s="9" t="n">
        <v>9.0239759662603269</v>
      </c>
    </row>
    <row r="420">
      <c r="A420" s="7" t="s">
        <v>72</v>
      </c>
      <c r="B420" s="7" t="s">
        <v>42</v>
      </c>
      <c r="C420" s="7" t="s">
        <v>43</v>
      </c>
      <c r="D420" s="7" t="s">
        <v>31</v>
      </c>
      <c r="E420" s="8" t="n">
        <v>45870</v>
      </c>
      <c r="F420" s="7" t="n">
        <v>312392</v>
      </c>
      <c r="H420" s="7" t="n">
        <v>34618</v>
      </c>
      <c r="I420" s="7" t="n">
        <v>277774</v>
      </c>
      <c r="L420" s="7"/>
      <c r="S420" s="7" t="n">
        <v>6</v>
      </c>
      <c r="T420" s="7" t="n">
        <v>12</v>
      </c>
      <c r="U420" s="7" t="n">
        <v>12</v>
      </c>
      <c r="V420" s="9" t="n">
        <v>8.0239759662603269</v>
      </c>
    </row>
    <row r="421">
      <c r="A421" s="7" t="s">
        <v>72</v>
      </c>
      <c r="B421" s="7" t="s">
        <v>42</v>
      </c>
      <c r="C421" s="7" t="s">
        <v>43</v>
      </c>
      <c r="D421" s="7" t="s">
        <v>31</v>
      </c>
      <c r="E421" s="8" t="n">
        <v>45901</v>
      </c>
      <c r="F421" s="7" t="n">
        <v>277774</v>
      </c>
      <c r="H421" s="7" t="n">
        <v>34618</v>
      </c>
      <c r="I421" s="7" t="n">
        <v>990556</v>
      </c>
      <c r="J421" s="7" t="s">
        <v>51</v>
      </c>
      <c r="K421" s="7" t="s">
        <v>51</v>
      </c>
      <c r="L421" s="7" t="s">
        <v>147</v>
      </c>
      <c r="M421" s="7" t="n">
        <v>747400</v>
      </c>
      <c r="O421" s="7" t="n">
        <v>711525</v>
      </c>
      <c r="P421" s="7" t="n">
        <v>45901</v>
      </c>
      <c r="S421" s="7" t="n">
        <v>6</v>
      </c>
      <c r="T421" s="7" t="n">
        <v>12</v>
      </c>
      <c r="U421" s="7" t="n">
        <v>12</v>
      </c>
      <c r="V421" s="9" t="n">
        <v>28.613900283089723</v>
      </c>
    </row>
    <row r="422">
      <c r="A422" s="7" t="s">
        <v>72</v>
      </c>
      <c r="B422" s="7" t="s">
        <v>42</v>
      </c>
      <c r="C422" s="7" t="s">
        <v>43</v>
      </c>
      <c r="D422" s="7" t="s">
        <v>31</v>
      </c>
      <c r="E422" s="8" t="n">
        <v>45931</v>
      </c>
      <c r="F422" s="7" t="n">
        <v>990556</v>
      </c>
      <c r="H422" s="7" t="n">
        <v>34618</v>
      </c>
      <c r="I422" s="7" t="n">
        <v>955938</v>
      </c>
      <c r="L422" s="7"/>
      <c r="S422" s="7" t="n">
        <v>6</v>
      </c>
      <c r="T422" s="7" t="n">
        <v>12</v>
      </c>
      <c r="U422" s="7" t="n">
        <v>12</v>
      </c>
      <c r="V422" s="9" t="n">
        <v>27.613900283089723</v>
      </c>
    </row>
    <row r="423">
      <c r="A423" s="7" t="s">
        <v>72</v>
      </c>
      <c r="B423" s="7" t="s">
        <v>42</v>
      </c>
      <c r="C423" s="7" t="s">
        <v>43</v>
      </c>
      <c r="D423" s="7" t="s">
        <v>31</v>
      </c>
      <c r="E423" s="8" t="n">
        <v>45962</v>
      </c>
      <c r="F423" s="7" t="n">
        <v>955938</v>
      </c>
      <c r="H423" s="7" t="n">
        <v>34618</v>
      </c>
      <c r="I423" s="7" t="n">
        <v>921320</v>
      </c>
      <c r="L423" s="7"/>
      <c r="S423" s="7" t="n">
        <v>6</v>
      </c>
      <c r="T423" s="7" t="n">
        <v>12</v>
      </c>
      <c r="U423" s="7" t="n">
        <v>12</v>
      </c>
      <c r="V423" s="9" t="n">
        <v>26.613900283089723</v>
      </c>
    </row>
    <row r="424">
      <c r="A424" s="7" t="s">
        <v>72</v>
      </c>
      <c r="B424" s="7" t="s">
        <v>42</v>
      </c>
      <c r="C424" s="7" t="s">
        <v>43</v>
      </c>
      <c r="D424" s="7" t="s">
        <v>31</v>
      </c>
      <c r="E424" s="8" t="n">
        <v>45992</v>
      </c>
      <c r="F424" s="7" t="n">
        <v>921320</v>
      </c>
      <c r="H424" s="7" t="n">
        <v>34618</v>
      </c>
      <c r="I424" s="7" t="n">
        <v>886702</v>
      </c>
      <c r="L424" s="7"/>
      <c r="S424" s="7" t="n">
        <v>6</v>
      </c>
      <c r="T424" s="7" t="n">
        <v>12</v>
      </c>
      <c r="U424" s="7" t="n">
        <v>12</v>
      </c>
      <c r="V424" s="9" t="n">
        <v>25.613900283089723</v>
      </c>
    </row>
    <row r="425">
      <c r="A425" s="7" t="s">
        <v>72</v>
      </c>
      <c r="B425" s="7" t="s">
        <v>42</v>
      </c>
      <c r="C425" s="7" t="s">
        <v>43</v>
      </c>
      <c r="D425" s="7" t="s">
        <v>31</v>
      </c>
      <c r="E425" s="8" t="n">
        <v>46023</v>
      </c>
      <c r="F425" s="7" t="n">
        <v>886702</v>
      </c>
      <c r="H425" s="7" t="n">
        <v>34618</v>
      </c>
      <c r="I425" s="7" t="n">
        <v>852084</v>
      </c>
      <c r="L425" s="7"/>
      <c r="S425" s="7" t="n">
        <v>6</v>
      </c>
      <c r="T425" s="7" t="n">
        <v>12</v>
      </c>
      <c r="U425" s="7" t="n">
        <v>12</v>
      </c>
      <c r="V425" s="9" t="n">
        <v>24.613900283089723</v>
      </c>
    </row>
    <row r="426">
      <c r="A426" s="7" t="s">
        <v>72</v>
      </c>
      <c r="B426" s="7" t="s">
        <v>42</v>
      </c>
      <c r="C426" s="7" t="s">
        <v>43</v>
      </c>
      <c r="D426" s="7" t="s">
        <v>31</v>
      </c>
      <c r="E426" s="8" t="n">
        <v>46054</v>
      </c>
      <c r="F426" s="7" t="n">
        <v>852084</v>
      </c>
      <c r="H426" s="7" t="n">
        <v>34618</v>
      </c>
      <c r="I426" s="7" t="n">
        <v>817466</v>
      </c>
      <c r="L426" s="7"/>
      <c r="S426" s="7" t="n">
        <v>6</v>
      </c>
      <c r="T426" s="7" t="n">
        <v>12</v>
      </c>
      <c r="U426" s="7" t="n">
        <v>12</v>
      </c>
      <c r="V426" s="9" t="n">
        <v>23.613900283089723</v>
      </c>
    </row>
    <row r="427">
      <c r="A427" s="7" t="s">
        <v>72</v>
      </c>
      <c r="B427" s="7" t="s">
        <v>42</v>
      </c>
      <c r="C427" s="7" t="s">
        <v>43</v>
      </c>
      <c r="D427" s="7" t="s">
        <v>31</v>
      </c>
      <c r="E427" s="8" t="n">
        <v>46082</v>
      </c>
      <c r="F427" s="7" t="n">
        <v>817466</v>
      </c>
      <c r="H427" s="7" t="n">
        <v>34618</v>
      </c>
      <c r="I427" s="7" t="n">
        <v>782848</v>
      </c>
      <c r="L427" s="7"/>
      <c r="S427" s="7" t="n">
        <v>6</v>
      </c>
      <c r="T427" s="7" t="n">
        <v>12</v>
      </c>
      <c r="U427" s="7" t="n">
        <v>12</v>
      </c>
      <c r="V427" s="9" t="n">
        <v>22.613900283089723</v>
      </c>
    </row>
    <row r="428">
      <c r="A428" s="7" t="s">
        <v>72</v>
      </c>
      <c r="B428" s="7" t="s">
        <v>42</v>
      </c>
      <c r="C428" s="7" t="s">
        <v>43</v>
      </c>
      <c r="D428" s="7" t="s">
        <v>31</v>
      </c>
      <c r="E428" s="8" t="n">
        <v>46113</v>
      </c>
      <c r="F428" s="7" t="n">
        <v>782848</v>
      </c>
      <c r="H428" s="7" t="n">
        <v>34618</v>
      </c>
      <c r="I428" s="7" t="n">
        <v>748230</v>
      </c>
      <c r="L428" s="7"/>
      <c r="S428" s="7" t="n">
        <v>6</v>
      </c>
      <c r="T428" s="7" t="n">
        <v>12</v>
      </c>
      <c r="U428" s="7" t="n">
        <v>12</v>
      </c>
      <c r="V428" s="9" t="n">
        <v>21.613900283089723</v>
      </c>
    </row>
    <row r="429">
      <c r="A429" s="7" t="s">
        <v>72</v>
      </c>
      <c r="B429" s="7" t="s">
        <v>42</v>
      </c>
      <c r="C429" s="7" t="s">
        <v>43</v>
      </c>
      <c r="D429" s="7" t="s">
        <v>31</v>
      </c>
      <c r="E429" s="8" t="n">
        <v>46143</v>
      </c>
      <c r="F429" s="7" t="n">
        <v>748230</v>
      </c>
      <c r="H429" s="7" t="n">
        <v>34618</v>
      </c>
      <c r="I429" s="7" t="n">
        <v>713612</v>
      </c>
      <c r="L429" s="7"/>
      <c r="S429" s="7" t="n">
        <v>6</v>
      </c>
      <c r="T429" s="7" t="n">
        <v>12</v>
      </c>
      <c r="U429" s="7" t="n">
        <v>12</v>
      </c>
      <c r="V429" s="9" t="n">
        <v>20.613900283089723</v>
      </c>
    </row>
    <row r="430">
      <c r="A430" s="7" t="s">
        <v>72</v>
      </c>
      <c r="B430" s="7" t="s">
        <v>42</v>
      </c>
      <c r="C430" s="7" t="s">
        <v>43</v>
      </c>
      <c r="D430" s="7" t="s">
        <v>31</v>
      </c>
      <c r="E430" s="8" t="n">
        <v>46174</v>
      </c>
      <c r="F430" s="7" t="n">
        <v>713612</v>
      </c>
      <c r="H430" s="7" t="n">
        <v>34618</v>
      </c>
      <c r="I430" s="7" t="n">
        <v>678994</v>
      </c>
      <c r="L430" s="7"/>
      <c r="S430" s="7" t="n">
        <v>6</v>
      </c>
      <c r="T430" s="7" t="n">
        <v>12</v>
      </c>
      <c r="U430" s="7" t="n">
        <v>12</v>
      </c>
      <c r="V430" s="9" t="n">
        <v>19.613900283089723</v>
      </c>
    </row>
    <row r="431">
      <c r="A431" s="7" t="s">
        <v>72</v>
      </c>
      <c r="B431" s="7" t="s">
        <v>42</v>
      </c>
      <c r="C431" s="7" t="s">
        <v>43</v>
      </c>
      <c r="D431" s="7" t="s">
        <v>31</v>
      </c>
      <c r="E431" s="8" t="n">
        <v>46204</v>
      </c>
      <c r="F431" s="7" t="n">
        <v>678994</v>
      </c>
      <c r="H431" s="7" t="n">
        <v>34618</v>
      </c>
      <c r="I431" s="7" t="n">
        <v>644376</v>
      </c>
      <c r="L431" s="7"/>
      <c r="S431" s="7" t="n">
        <v>6</v>
      </c>
      <c r="T431" s="7" t="n">
        <v>12</v>
      </c>
      <c r="U431" s="7" t="n">
        <v>12</v>
      </c>
      <c r="V431" s="9" t="n">
        <v>18.613900283089723</v>
      </c>
    </row>
    <row r="432">
      <c r="A432" s="7" t="s">
        <v>72</v>
      </c>
      <c r="B432" s="7" t="s">
        <v>42</v>
      </c>
      <c r="C432" s="7" t="s">
        <v>43</v>
      </c>
      <c r="D432" s="7" t="s">
        <v>31</v>
      </c>
      <c r="E432" s="8" t="n">
        <v>46235</v>
      </c>
      <c r="F432" s="7" t="n">
        <v>644376</v>
      </c>
      <c r="H432" s="7" t="n">
        <v>34618</v>
      </c>
      <c r="I432" s="7" t="n">
        <v>609758</v>
      </c>
      <c r="L432" s="7"/>
      <c r="S432" s="7" t="n">
        <v>6</v>
      </c>
      <c r="T432" s="7" t="n">
        <v>12</v>
      </c>
      <c r="U432" s="7" t="n">
        <v>12</v>
      </c>
      <c r="V432" s="9" t="n">
        <v>17.613900283089723</v>
      </c>
    </row>
    <row r="433">
      <c r="A433" s="7" t="s">
        <v>72</v>
      </c>
      <c r="B433" s="7" t="s">
        <v>42</v>
      </c>
      <c r="C433" s="7" t="s">
        <v>43</v>
      </c>
      <c r="D433" s="7" t="s">
        <v>31</v>
      </c>
      <c r="E433" s="8" t="n">
        <v>46266</v>
      </c>
      <c r="F433" s="7" t="n">
        <v>609758</v>
      </c>
      <c r="H433" s="7" t="n">
        <v>34618</v>
      </c>
      <c r="I433" s="7" t="n">
        <v>575140</v>
      </c>
      <c r="L433" s="7"/>
      <c r="S433" s="7" t="n">
        <v>6</v>
      </c>
      <c r="T433" s="7" t="n">
        <v>12</v>
      </c>
      <c r="U433" s="7" t="n">
        <v>12</v>
      </c>
      <c r="V433" s="9" t="n">
        <v>16.613900283089723</v>
      </c>
    </row>
    <row r="434">
      <c r="A434" s="7" t="s">
        <v>72</v>
      </c>
      <c r="B434" s="7" t="s">
        <v>42</v>
      </c>
      <c r="C434" s="7" t="s">
        <v>43</v>
      </c>
      <c r="D434" s="7" t="s">
        <v>31</v>
      </c>
      <c r="E434" s="8" t="n">
        <v>46296</v>
      </c>
      <c r="F434" s="7" t="n">
        <v>575140</v>
      </c>
      <c r="H434" s="7" t="n">
        <v>34618</v>
      </c>
      <c r="I434" s="7" t="n">
        <v>540522</v>
      </c>
      <c r="L434" s="7"/>
      <c r="S434" s="7" t="n">
        <v>6</v>
      </c>
      <c r="T434" s="7" t="n">
        <v>12</v>
      </c>
      <c r="U434" s="7" t="n">
        <v>12</v>
      </c>
      <c r="V434" s="9" t="n">
        <v>15.613900283089722</v>
      </c>
    </row>
    <row r="435">
      <c r="A435" s="7" t="s">
        <v>72</v>
      </c>
      <c r="B435" s="7" t="s">
        <v>42</v>
      </c>
      <c r="C435" s="7" t="s">
        <v>43</v>
      </c>
      <c r="D435" s="7" t="s">
        <v>31</v>
      </c>
      <c r="E435" s="8" t="n">
        <v>46327</v>
      </c>
      <c r="F435" s="7" t="n">
        <v>540522</v>
      </c>
      <c r="H435" s="7" t="n">
        <v>34618</v>
      </c>
      <c r="I435" s="7" t="n">
        <v>505904</v>
      </c>
      <c r="L435" s="7"/>
      <c r="S435" s="7" t="n">
        <v>6</v>
      </c>
      <c r="T435" s="7" t="n">
        <v>12</v>
      </c>
      <c r="U435" s="7" t="n">
        <v>12</v>
      </c>
      <c r="V435" s="9" t="n">
        <v>14.613900283089722</v>
      </c>
    </row>
    <row r="436">
      <c r="A436" s="7" t="s">
        <v>72</v>
      </c>
      <c r="B436" s="7" t="s">
        <v>42</v>
      </c>
      <c r="C436" s="7" t="s">
        <v>43</v>
      </c>
      <c r="D436" s="7" t="s">
        <v>31</v>
      </c>
      <c r="E436" s="8" t="n">
        <v>46357</v>
      </c>
      <c r="F436" s="7" t="n">
        <v>505904</v>
      </c>
      <c r="H436" s="7" t="n">
        <v>34618</v>
      </c>
      <c r="I436" s="7" t="n">
        <v>471286</v>
      </c>
      <c r="L436" s="7"/>
      <c r="S436" s="7" t="n">
        <v>6</v>
      </c>
      <c r="T436" s="7" t="n">
        <v>12</v>
      </c>
      <c r="U436" s="7" t="n">
        <v>12</v>
      </c>
      <c r="V436" s="9" t="n">
        <v>13.613900283089722</v>
      </c>
    </row>
    <row r="437">
      <c r="A437" s="7" t="s">
        <v>77</v>
      </c>
      <c r="B437" s="7" t="s">
        <v>42</v>
      </c>
      <c r="C437" s="7" t="s">
        <v>43</v>
      </c>
      <c r="D437" s="7" t="s">
        <v>31</v>
      </c>
      <c r="E437" s="8" t="n">
        <v>45839</v>
      </c>
      <c r="F437" s="7" t="n">
        <v>501800</v>
      </c>
      <c r="H437" s="7" t="n">
        <v>66627</v>
      </c>
      <c r="I437" s="7" t="n">
        <v>435173</v>
      </c>
      <c r="L437" s="7"/>
      <c r="S437" s="7" t="n">
        <v>6</v>
      </c>
      <c r="T437" s="7" t="n">
        <v>12</v>
      </c>
      <c r="U437" s="7" t="n">
        <v>12</v>
      </c>
      <c r="V437" s="9" t="n">
        <v>6.5314812313326431</v>
      </c>
    </row>
    <row r="438">
      <c r="A438" s="7" t="s">
        <v>77</v>
      </c>
      <c r="B438" s="7" t="s">
        <v>42</v>
      </c>
      <c r="C438" s="7" t="s">
        <v>43</v>
      </c>
      <c r="D438" s="7" t="s">
        <v>31</v>
      </c>
      <c r="E438" s="8" t="n">
        <v>45870</v>
      </c>
      <c r="F438" s="7" t="n">
        <v>435173</v>
      </c>
      <c r="H438" s="7" t="n">
        <v>66627</v>
      </c>
      <c r="I438" s="7" t="n">
        <v>368546</v>
      </c>
      <c r="L438" s="7"/>
      <c r="S438" s="7" t="n">
        <v>6</v>
      </c>
      <c r="T438" s="7" t="n">
        <v>12</v>
      </c>
      <c r="U438" s="7" t="n">
        <v>12</v>
      </c>
      <c r="V438" s="9" t="n">
        <v>5.5314812313326431</v>
      </c>
    </row>
    <row r="439">
      <c r="A439" s="7" t="s">
        <v>77</v>
      </c>
      <c r="B439" s="7" t="s">
        <v>42</v>
      </c>
      <c r="C439" s="7" t="s">
        <v>43</v>
      </c>
      <c r="D439" s="7" t="s">
        <v>31</v>
      </c>
      <c r="E439" s="8" t="n">
        <v>45901</v>
      </c>
      <c r="F439" s="7" t="n">
        <v>368546</v>
      </c>
      <c r="H439" s="7" t="n">
        <v>66627</v>
      </c>
      <c r="I439" s="7" t="n">
        <v>301919</v>
      </c>
      <c r="L439" s="7"/>
      <c r="S439" s="7" t="n">
        <v>6</v>
      </c>
      <c r="T439" s="7" t="n">
        <v>12</v>
      </c>
      <c r="U439" s="7" t="n">
        <v>12</v>
      </c>
      <c r="V439" s="9" t="n">
        <v>4.5314812313326431</v>
      </c>
    </row>
    <row r="440">
      <c r="A440" s="7" t="s">
        <v>77</v>
      </c>
      <c r="B440" s="7" t="s">
        <v>42</v>
      </c>
      <c r="C440" s="7" t="s">
        <v>43</v>
      </c>
      <c r="D440" s="7" t="s">
        <v>31</v>
      </c>
      <c r="E440" s="8" t="n">
        <v>45931</v>
      </c>
      <c r="F440" s="7" t="n">
        <v>301919</v>
      </c>
      <c r="H440" s="7" t="n">
        <v>66627</v>
      </c>
      <c r="I440" s="7" t="n">
        <v>235292</v>
      </c>
      <c r="L440" s="7"/>
      <c r="S440" s="7" t="n">
        <v>6</v>
      </c>
      <c r="T440" s="7" t="n">
        <v>12</v>
      </c>
      <c r="U440" s="7" t="n">
        <v>12</v>
      </c>
      <c r="V440" s="9" t="n">
        <v>3.5314812313326431</v>
      </c>
    </row>
    <row r="441">
      <c r="A441" s="7" t="s">
        <v>77</v>
      </c>
      <c r="B441" s="7" t="s">
        <v>42</v>
      </c>
      <c r="C441" s="7" t="s">
        <v>43</v>
      </c>
      <c r="D441" s="7" t="s">
        <v>31</v>
      </c>
      <c r="E441" s="8" t="n">
        <v>45962</v>
      </c>
      <c r="F441" s="7" t="n">
        <v>235292</v>
      </c>
      <c r="H441" s="7" t="n">
        <v>66627</v>
      </c>
      <c r="I441" s="7" t="n">
        <v>168665</v>
      </c>
      <c r="L441" s="7"/>
      <c r="S441" s="7" t="n">
        <v>6</v>
      </c>
      <c r="T441" s="7" t="n">
        <v>12</v>
      </c>
      <c r="U441" s="7" t="n">
        <v>12</v>
      </c>
      <c r="V441" s="9" t="n">
        <v>2.5314812313326431</v>
      </c>
    </row>
    <row r="442">
      <c r="A442" s="7" t="s">
        <v>77</v>
      </c>
      <c r="B442" s="7" t="s">
        <v>42</v>
      </c>
      <c r="C442" s="7" t="s">
        <v>43</v>
      </c>
      <c r="D442" s="7" t="s">
        <v>31</v>
      </c>
      <c r="E442" s="8" t="n">
        <v>45992</v>
      </c>
      <c r="F442" s="7" t="n">
        <v>168665</v>
      </c>
      <c r="H442" s="7" t="n">
        <v>66627</v>
      </c>
      <c r="I442" s="7" t="n">
        <v>102038</v>
      </c>
      <c r="L442" s="7"/>
      <c r="S442" s="7" t="n">
        <v>6</v>
      </c>
      <c r="T442" s="7" t="n">
        <v>12</v>
      </c>
      <c r="U442" s="7" t="n">
        <v>12</v>
      </c>
      <c r="V442" s="9" t="n">
        <v>1.5314812313326429</v>
      </c>
    </row>
    <row r="443">
      <c r="A443" s="7" t="s">
        <v>77</v>
      </c>
      <c r="B443" s="7" t="s">
        <v>42</v>
      </c>
      <c r="C443" s="7" t="s">
        <v>43</v>
      </c>
      <c r="D443" s="7" t="s">
        <v>31</v>
      </c>
      <c r="E443" s="8" t="n">
        <v>46023</v>
      </c>
      <c r="F443" s="7" t="n">
        <v>102038</v>
      </c>
      <c r="H443" s="7" t="n">
        <v>66627</v>
      </c>
      <c r="I443" s="7" t="n">
        <v>35411</v>
      </c>
      <c r="L443" s="7"/>
      <c r="S443" s="7" t="n">
        <v>6</v>
      </c>
      <c r="T443" s="7" t="n">
        <v>12</v>
      </c>
      <c r="U443" s="7" t="n">
        <v>12</v>
      </c>
      <c r="V443" s="9" t="n">
        <v>0.53148123133264291</v>
      </c>
    </row>
    <row r="444">
      <c r="A444" s="7" t="s">
        <v>77</v>
      </c>
      <c r="B444" s="7" t="s">
        <v>42</v>
      </c>
      <c r="C444" s="7" t="s">
        <v>43</v>
      </c>
      <c r="D444" s="7" t="s">
        <v>31</v>
      </c>
      <c r="E444" s="8" t="n">
        <v>46054</v>
      </c>
      <c r="F444" s="7" t="n">
        <v>35411</v>
      </c>
      <c r="H444" s="7" t="n">
        <v>66627</v>
      </c>
      <c r="I444" s="7" t="n">
        <v>0</v>
      </c>
      <c r="L444" s="7"/>
      <c r="S444" s="7" t="n">
        <v>6</v>
      </c>
      <c r="T444" s="7" t="n">
        <v>12</v>
      </c>
      <c r="U444" s="7" t="n">
        <v>12</v>
      </c>
      <c r="V444" s="9" t="n">
        <v>0</v>
      </c>
    </row>
    <row r="445">
      <c r="A445" s="7" t="s">
        <v>77</v>
      </c>
      <c r="B445" s="7" t="s">
        <v>42</v>
      </c>
      <c r="C445" s="7" t="s">
        <v>43</v>
      </c>
      <c r="D445" s="7" t="s">
        <v>31</v>
      </c>
      <c r="E445" s="8" t="n">
        <v>46082</v>
      </c>
      <c r="F445" s="7" t="n">
        <v>0</v>
      </c>
      <c r="H445" s="7" t="n">
        <v>66627</v>
      </c>
      <c r="I445" s="7" t="n">
        <v>0</v>
      </c>
      <c r="L445" s="7"/>
      <c r="S445" s="7" t="n">
        <v>6</v>
      </c>
      <c r="T445" s="7" t="n">
        <v>12</v>
      </c>
      <c r="U445" s="7" t="n">
        <v>12</v>
      </c>
      <c r="V445" s="9" t="n">
        <v>0</v>
      </c>
    </row>
    <row r="446">
      <c r="A446" s="7" t="s">
        <v>77</v>
      </c>
      <c r="B446" s="7" t="s">
        <v>42</v>
      </c>
      <c r="C446" s="7" t="s">
        <v>43</v>
      </c>
      <c r="D446" s="7" t="s">
        <v>31</v>
      </c>
      <c r="E446" s="8" t="n">
        <v>46113</v>
      </c>
      <c r="F446" s="7" t="n">
        <v>0</v>
      </c>
      <c r="H446" s="7" t="n">
        <v>66627</v>
      </c>
      <c r="I446" s="7" t="n">
        <v>0</v>
      </c>
      <c r="L446" s="7"/>
      <c r="S446" s="7" t="n">
        <v>6</v>
      </c>
      <c r="T446" s="7" t="n">
        <v>12</v>
      </c>
      <c r="U446" s="7" t="n">
        <v>12</v>
      </c>
      <c r="V446" s="9" t="n">
        <v>0</v>
      </c>
    </row>
    <row r="447">
      <c r="A447" s="7" t="s">
        <v>77</v>
      </c>
      <c r="B447" s="7" t="s">
        <v>42</v>
      </c>
      <c r="C447" s="7" t="s">
        <v>43</v>
      </c>
      <c r="D447" s="7" t="s">
        <v>31</v>
      </c>
      <c r="E447" s="8" t="n">
        <v>46143</v>
      </c>
      <c r="F447" s="7" t="n">
        <v>0</v>
      </c>
      <c r="H447" s="7" t="n">
        <v>66627</v>
      </c>
      <c r="I447" s="7" t="n">
        <v>0</v>
      </c>
      <c r="L447" s="7"/>
      <c r="S447" s="7" t="n">
        <v>6</v>
      </c>
      <c r="T447" s="7" t="n">
        <v>12</v>
      </c>
      <c r="U447" s="7" t="n">
        <v>12</v>
      </c>
      <c r="V447" s="9" t="n">
        <v>0</v>
      </c>
    </row>
    <row r="448">
      <c r="A448" s="7" t="s">
        <v>77</v>
      </c>
      <c r="B448" s="7" t="s">
        <v>42</v>
      </c>
      <c r="C448" s="7" t="s">
        <v>43</v>
      </c>
      <c r="D448" s="7" t="s">
        <v>31</v>
      </c>
      <c r="E448" s="8" t="n">
        <v>46174</v>
      </c>
      <c r="F448" s="7" t="n">
        <v>0</v>
      </c>
      <c r="H448" s="7" t="n">
        <v>66627</v>
      </c>
      <c r="I448" s="7" t="n">
        <v>0</v>
      </c>
      <c r="L448" s="7"/>
      <c r="S448" s="7" t="n">
        <v>6</v>
      </c>
      <c r="T448" s="7" t="n">
        <v>12</v>
      </c>
      <c r="U448" s="7" t="n">
        <v>12</v>
      </c>
      <c r="V448" s="9" t="n">
        <v>0</v>
      </c>
    </row>
    <row r="449">
      <c r="A449" s="7" t="s">
        <v>74</v>
      </c>
      <c r="B449" s="7" t="s">
        <v>42</v>
      </c>
      <c r="C449" s="7" t="s">
        <v>43</v>
      </c>
      <c r="D449" s="7" t="s">
        <v>31</v>
      </c>
      <c r="E449" s="8" t="n">
        <v>45870</v>
      </c>
      <c r="F449" s="7" t="n">
        <v>2530800</v>
      </c>
      <c r="H449" s="7" t="n">
        <v>210000</v>
      </c>
      <c r="I449" s="7" t="n">
        <v>3870800</v>
      </c>
      <c r="J449" s="7" t="s">
        <v>51</v>
      </c>
      <c r="K449" s="7" t="s">
        <v>51</v>
      </c>
      <c r="L449" s="7" t="s">
        <v>154</v>
      </c>
      <c r="M449" s="7" t="n">
        <v>1550000</v>
      </c>
      <c r="S449" s="7" t="n">
        <v>3</v>
      </c>
      <c r="T449" s="7" t="n">
        <v>6</v>
      </c>
      <c r="U449" s="7" t="n">
        <v>6</v>
      </c>
      <c r="V449" s="9" t="n">
        <v>18.432380952380953</v>
      </c>
    </row>
    <row r="450">
      <c r="A450" s="7" t="s">
        <v>74</v>
      </c>
      <c r="B450" s="7" t="s">
        <v>42</v>
      </c>
      <c r="C450" s="7" t="s">
        <v>43</v>
      </c>
      <c r="D450" s="7" t="s">
        <v>31</v>
      </c>
      <c r="E450" s="8" t="n">
        <v>45901</v>
      </c>
      <c r="F450" s="7" t="n">
        <v>3870800</v>
      </c>
      <c r="H450" s="7" t="n">
        <v>210000</v>
      </c>
      <c r="I450" s="7" t="n">
        <v>3706400</v>
      </c>
      <c r="J450" s="7" t="s">
        <v>51</v>
      </c>
      <c r="K450" s="7" t="s">
        <v>51</v>
      </c>
      <c r="L450" s="7" t="s">
        <v>147</v>
      </c>
      <c r="M450" s="7" t="n">
        <v>45600</v>
      </c>
      <c r="S450" s="7" t="n">
        <v>3</v>
      </c>
      <c r="T450" s="7" t="n">
        <v>6</v>
      </c>
      <c r="U450" s="7" t="n">
        <v>6</v>
      </c>
      <c r="V450" s="9" t="n">
        <v>17.64952380952381</v>
      </c>
    </row>
    <row r="451">
      <c r="A451" s="7" t="s">
        <v>74</v>
      </c>
      <c r="B451" s="7" t="s">
        <v>42</v>
      </c>
      <c r="C451" s="7" t="s">
        <v>43</v>
      </c>
      <c r="D451" s="7" t="s">
        <v>31</v>
      </c>
      <c r="E451" s="8" t="n">
        <v>45931</v>
      </c>
      <c r="F451" s="7" t="n">
        <v>3706400</v>
      </c>
      <c r="H451" s="7" t="n">
        <v>210000</v>
      </c>
      <c r="I451" s="7" t="n">
        <v>3496400</v>
      </c>
      <c r="L451" s="7"/>
      <c r="S451" s="7" t="n">
        <v>3</v>
      </c>
      <c r="T451" s="7" t="n">
        <v>6</v>
      </c>
      <c r="U451" s="7" t="n">
        <v>6</v>
      </c>
      <c r="V451" s="9" t="n">
        <v>16.64952380952381</v>
      </c>
    </row>
    <row r="452">
      <c r="A452" s="7" t="s">
        <v>74</v>
      </c>
      <c r="B452" s="7" t="s">
        <v>42</v>
      </c>
      <c r="C452" s="7" t="s">
        <v>43</v>
      </c>
      <c r="D452" s="7" t="s">
        <v>31</v>
      </c>
      <c r="E452" s="8" t="n">
        <v>45962</v>
      </c>
      <c r="F452" s="7" t="n">
        <v>3496400</v>
      </c>
      <c r="H452" s="7" t="n">
        <v>210000</v>
      </c>
      <c r="I452" s="7" t="n">
        <v>3286400</v>
      </c>
      <c r="L452" s="7"/>
      <c r="S452" s="7" t="n">
        <v>3</v>
      </c>
      <c r="T452" s="7" t="n">
        <v>6</v>
      </c>
      <c r="U452" s="7" t="n">
        <v>6</v>
      </c>
      <c r="V452" s="9" t="n">
        <v>15.64952380952381</v>
      </c>
    </row>
    <row r="453">
      <c r="A453" s="7" t="s">
        <v>74</v>
      </c>
      <c r="B453" s="7" t="s">
        <v>42</v>
      </c>
      <c r="C453" s="7" t="s">
        <v>43</v>
      </c>
      <c r="D453" s="7" t="s">
        <v>31</v>
      </c>
      <c r="E453" s="8" t="n">
        <v>45992</v>
      </c>
      <c r="F453" s="7" t="n">
        <v>3286400</v>
      </c>
      <c r="H453" s="7" t="n">
        <v>210000</v>
      </c>
      <c r="I453" s="7" t="n">
        <v>3076400</v>
      </c>
      <c r="L453" s="7"/>
      <c r="S453" s="7" t="n">
        <v>3</v>
      </c>
      <c r="T453" s="7" t="n">
        <v>6</v>
      </c>
      <c r="U453" s="7" t="n">
        <v>6</v>
      </c>
      <c r="V453" s="9" t="n">
        <v>14.64952380952381</v>
      </c>
    </row>
    <row r="454">
      <c r="A454" s="7" t="s">
        <v>74</v>
      </c>
      <c r="B454" s="7" t="s">
        <v>42</v>
      </c>
      <c r="C454" s="7" t="s">
        <v>43</v>
      </c>
      <c r="D454" s="7" t="s">
        <v>31</v>
      </c>
      <c r="E454" s="8" t="n">
        <v>46023</v>
      </c>
      <c r="F454" s="7" t="n">
        <v>3076400</v>
      </c>
      <c r="H454" s="7" t="n">
        <v>210000</v>
      </c>
      <c r="I454" s="7" t="n">
        <v>2866400</v>
      </c>
      <c r="L454" s="7"/>
      <c r="S454" s="7" t="n">
        <v>3</v>
      </c>
      <c r="T454" s="7" t="n">
        <v>6</v>
      </c>
      <c r="U454" s="7" t="n">
        <v>6</v>
      </c>
      <c r="V454" s="9" t="n">
        <v>13.64952380952381</v>
      </c>
    </row>
    <row r="455">
      <c r="A455" s="7" t="s">
        <v>74</v>
      </c>
      <c r="B455" s="7" t="s">
        <v>42</v>
      </c>
      <c r="C455" s="7" t="s">
        <v>43</v>
      </c>
      <c r="D455" s="7" t="s">
        <v>31</v>
      </c>
      <c r="E455" s="8" t="n">
        <v>46054</v>
      </c>
      <c r="F455" s="7" t="n">
        <v>2866400</v>
      </c>
      <c r="H455" s="7" t="n">
        <v>210000</v>
      </c>
      <c r="I455" s="7" t="n">
        <v>2656400</v>
      </c>
      <c r="L455" s="7"/>
      <c r="S455" s="7" t="n">
        <v>3</v>
      </c>
      <c r="T455" s="7" t="n">
        <v>6</v>
      </c>
      <c r="U455" s="7" t="n">
        <v>6</v>
      </c>
      <c r="V455" s="9" t="n">
        <v>12.64952380952381</v>
      </c>
    </row>
    <row r="456">
      <c r="A456" s="7" t="s">
        <v>74</v>
      </c>
      <c r="B456" s="7" t="s">
        <v>42</v>
      </c>
      <c r="C456" s="7" t="s">
        <v>43</v>
      </c>
      <c r="D456" s="7" t="s">
        <v>31</v>
      </c>
      <c r="E456" s="8" t="n">
        <v>46082</v>
      </c>
      <c r="F456" s="7" t="n">
        <v>2656400</v>
      </c>
      <c r="H456" s="7" t="n">
        <v>210000</v>
      </c>
      <c r="I456" s="7" t="n">
        <v>2446400</v>
      </c>
      <c r="L456" s="7"/>
      <c r="S456" s="7" t="n">
        <v>3</v>
      </c>
      <c r="T456" s="7" t="n">
        <v>6</v>
      </c>
      <c r="U456" s="7" t="n">
        <v>6</v>
      </c>
      <c r="V456" s="9" t="n">
        <v>11.64952380952381</v>
      </c>
    </row>
    <row r="457">
      <c r="A457" s="7" t="s">
        <v>74</v>
      </c>
      <c r="B457" s="7" t="s">
        <v>42</v>
      </c>
      <c r="C457" s="7" t="s">
        <v>43</v>
      </c>
      <c r="D457" s="7" t="s">
        <v>31</v>
      </c>
      <c r="E457" s="8" t="n">
        <v>46113</v>
      </c>
      <c r="F457" s="7" t="n">
        <v>2446400</v>
      </c>
      <c r="H457" s="7" t="n">
        <v>210000</v>
      </c>
      <c r="I457" s="7" t="n">
        <v>2236400</v>
      </c>
      <c r="L457" s="7"/>
      <c r="S457" s="7" t="n">
        <v>3</v>
      </c>
      <c r="T457" s="7" t="n">
        <v>6</v>
      </c>
      <c r="U457" s="7" t="n">
        <v>6</v>
      </c>
      <c r="V457" s="9" t="n">
        <v>10.64952380952381</v>
      </c>
    </row>
    <row r="458">
      <c r="A458" s="7" t="s">
        <v>74</v>
      </c>
      <c r="B458" s="7" t="s">
        <v>42</v>
      </c>
      <c r="C458" s="7" t="s">
        <v>43</v>
      </c>
      <c r="D458" s="7" t="s">
        <v>31</v>
      </c>
      <c r="E458" s="8" t="n">
        <v>46143</v>
      </c>
      <c r="F458" s="7" t="n">
        <v>2236400</v>
      </c>
      <c r="H458" s="7" t="n">
        <v>210000</v>
      </c>
      <c r="I458" s="7" t="n">
        <v>2811000</v>
      </c>
      <c r="J458" s="7" t="s">
        <v>2</v>
      </c>
      <c r="K458" s="7" t="s">
        <v>2</v>
      </c>
      <c r="L458" s="7" t="s">
        <v>4</v>
      </c>
      <c r="M458" s="7" t="n">
        <v>784600</v>
      </c>
      <c r="S458" s="7" t="n">
        <v>3</v>
      </c>
      <c r="T458" s="7" t="n">
        <v>6</v>
      </c>
      <c r="U458" s="7" t="n">
        <v>6</v>
      </c>
      <c r="V458" s="9" t="n">
        <v>13.385714285714286</v>
      </c>
    </row>
    <row r="459">
      <c r="A459" s="7" t="s">
        <v>74</v>
      </c>
      <c r="B459" s="7" t="s">
        <v>42</v>
      </c>
      <c r="C459" s="7" t="s">
        <v>43</v>
      </c>
      <c r="D459" s="7" t="s">
        <v>31</v>
      </c>
      <c r="E459" s="8" t="n">
        <v>46174</v>
      </c>
      <c r="F459" s="7" t="n">
        <v>2811000</v>
      </c>
      <c r="H459" s="7" t="n">
        <v>210000</v>
      </c>
      <c r="I459" s="7" t="n">
        <v>2601000</v>
      </c>
      <c r="L459" s="7"/>
      <c r="S459" s="7" t="n">
        <v>3</v>
      </c>
      <c r="T459" s="7" t="n">
        <v>6</v>
      </c>
      <c r="U459" s="7" t="n">
        <v>6</v>
      </c>
      <c r="V459" s="9" t="n">
        <v>12.385714285714286</v>
      </c>
    </row>
    <row r="460">
      <c r="A460" s="7" t="s">
        <v>74</v>
      </c>
      <c r="B460" s="7" t="s">
        <v>42</v>
      </c>
      <c r="C460" s="7" t="s">
        <v>43</v>
      </c>
      <c r="D460" s="7" t="s">
        <v>31</v>
      </c>
      <c r="E460" s="8" t="n">
        <v>46204</v>
      </c>
      <c r="F460" s="7" t="n">
        <v>2601000</v>
      </c>
      <c r="H460" s="7" t="n">
        <v>210000</v>
      </c>
      <c r="I460" s="7" t="n">
        <v>2633800</v>
      </c>
      <c r="J460" s="7" t="s">
        <v>2</v>
      </c>
      <c r="K460" s="7" t="s">
        <v>2</v>
      </c>
      <c r="L460" s="7" t="s">
        <v>4</v>
      </c>
      <c r="M460" s="7" t="n">
        <v>242800</v>
      </c>
      <c r="S460" s="7" t="n">
        <v>3</v>
      </c>
      <c r="T460" s="7" t="n">
        <v>6</v>
      </c>
      <c r="U460" s="7" t="n">
        <v>6</v>
      </c>
      <c r="V460" s="9" t="n">
        <v>12.541904761904762</v>
      </c>
    </row>
    <row r="461">
      <c r="A461" s="7" t="s">
        <v>74</v>
      </c>
      <c r="B461" s="7" t="s">
        <v>42</v>
      </c>
      <c r="C461" s="7" t="s">
        <v>43</v>
      </c>
      <c r="D461" s="7" t="s">
        <v>31</v>
      </c>
      <c r="E461" s="8" t="n">
        <v>46235</v>
      </c>
      <c r="F461" s="7" t="n">
        <v>2633800</v>
      </c>
      <c r="H461" s="7" t="n">
        <v>210000</v>
      </c>
      <c r="I461" s="7" t="n">
        <v>2823800</v>
      </c>
      <c r="J461" s="7" t="s">
        <v>2</v>
      </c>
      <c r="K461" s="7" t="s">
        <v>2</v>
      </c>
      <c r="L461" s="7" t="s">
        <v>4</v>
      </c>
      <c r="M461" s="7" t="n">
        <v>400000</v>
      </c>
      <c r="S461" s="7" t="n">
        <v>3</v>
      </c>
      <c r="T461" s="7" t="n">
        <v>6</v>
      </c>
      <c r="U461" s="7" t="n">
        <v>6</v>
      </c>
      <c r="V461" s="9" t="n">
        <v>13.446666666666667</v>
      </c>
    </row>
    <row r="462">
      <c r="A462" s="7" t="s">
        <v>166</v>
      </c>
      <c r="B462" s="7" t="s">
        <v>42</v>
      </c>
      <c r="C462" s="7" t="s">
        <v>43</v>
      </c>
      <c r="D462" s="7" t="s">
        <v>31</v>
      </c>
      <c r="E462" s="8" t="n">
        <v>45748</v>
      </c>
      <c r="F462" s="7" t="n">
        <v>31200</v>
      </c>
      <c r="H462" s="7" t="n">
        <v>6178</v>
      </c>
      <c r="I462" s="7" t="n">
        <v>25022</v>
      </c>
      <c r="L462" s="7"/>
      <c r="V462" s="9" t="n">
        <v>4.0501780511492393</v>
      </c>
    </row>
    <row r="463">
      <c r="A463" s="7" t="s">
        <v>166</v>
      </c>
      <c r="B463" s="7" t="s">
        <v>42</v>
      </c>
      <c r="C463" s="7" t="s">
        <v>43</v>
      </c>
      <c r="D463" s="7" t="s">
        <v>31</v>
      </c>
      <c r="E463" s="8" t="n">
        <v>45778</v>
      </c>
      <c r="F463" s="7" t="n">
        <v>25022</v>
      </c>
      <c r="H463" s="7" t="n">
        <v>6178</v>
      </c>
      <c r="I463" s="7" t="n">
        <v>18844</v>
      </c>
      <c r="L463" s="7"/>
      <c r="V463" s="9" t="n">
        <v>3.0501780511492393</v>
      </c>
    </row>
    <row r="464">
      <c r="A464" s="7" t="s">
        <v>166</v>
      </c>
      <c r="B464" s="7" t="s">
        <v>42</v>
      </c>
      <c r="C464" s="7" t="s">
        <v>43</v>
      </c>
      <c r="D464" s="7" t="s">
        <v>31</v>
      </c>
      <c r="E464" s="8" t="n">
        <v>45809</v>
      </c>
      <c r="F464" s="7" t="n">
        <v>18844</v>
      </c>
      <c r="H464" s="7" t="n">
        <v>6178</v>
      </c>
      <c r="I464" s="7" t="n">
        <v>32666</v>
      </c>
      <c r="L464" s="7"/>
      <c r="M464" s="7" t="n">
        <v>20000</v>
      </c>
      <c r="V464" s="9" t="n">
        <v>5.2874716736808027</v>
      </c>
    </row>
    <row r="465">
      <c r="A465" s="7" t="s">
        <v>166</v>
      </c>
      <c r="B465" s="7" t="s">
        <v>42</v>
      </c>
      <c r="C465" s="7" t="s">
        <v>43</v>
      </c>
      <c r="D465" s="7" t="s">
        <v>31</v>
      </c>
      <c r="E465" s="8" t="n">
        <v>45839</v>
      </c>
      <c r="F465" s="7" t="n">
        <v>32666</v>
      </c>
      <c r="H465" s="7" t="n">
        <v>6178</v>
      </c>
      <c r="I465" s="7" t="n">
        <v>26488</v>
      </c>
      <c r="L465" s="7"/>
      <c r="V465" s="9" t="n">
        <v>4.2874716736808027</v>
      </c>
    </row>
    <row r="466">
      <c r="A466" s="7" t="s">
        <v>166</v>
      </c>
      <c r="B466" s="7" t="s">
        <v>42</v>
      </c>
      <c r="C466" s="7" t="s">
        <v>43</v>
      </c>
      <c r="D466" s="7" t="s">
        <v>31</v>
      </c>
      <c r="E466" s="8" t="n">
        <v>45870</v>
      </c>
      <c r="F466" s="7" t="n">
        <v>26488</v>
      </c>
      <c r="H466" s="7" t="n">
        <v>6178</v>
      </c>
      <c r="I466" s="7" t="n">
        <v>20310</v>
      </c>
      <c r="L466" s="7"/>
      <c r="V466" s="9" t="n">
        <v>3.2874716736808027</v>
      </c>
    </row>
    <row r="467">
      <c r="A467" s="7" t="s">
        <v>166</v>
      </c>
      <c r="B467" s="7" t="s">
        <v>42</v>
      </c>
      <c r="C467" s="7" t="s">
        <v>43</v>
      </c>
      <c r="D467" s="7" t="s">
        <v>31</v>
      </c>
      <c r="E467" s="8" t="n">
        <v>45901</v>
      </c>
      <c r="F467" s="7" t="n">
        <v>20310</v>
      </c>
      <c r="H467" s="7" t="n">
        <v>6178</v>
      </c>
      <c r="I467" s="7" t="n">
        <v>14132</v>
      </c>
      <c r="L467" s="7"/>
      <c r="V467" s="9" t="n">
        <v>2.2874716736808027</v>
      </c>
    </row>
    <row r="468">
      <c r="A468" s="7" t="s">
        <v>166</v>
      </c>
      <c r="B468" s="7" t="s">
        <v>42</v>
      </c>
      <c r="C468" s="7" t="s">
        <v>43</v>
      </c>
      <c r="D468" s="7" t="s">
        <v>31</v>
      </c>
      <c r="E468" s="8" t="n">
        <v>45931</v>
      </c>
      <c r="F468" s="7" t="n">
        <v>14132</v>
      </c>
      <c r="H468" s="7" t="n">
        <v>6178</v>
      </c>
      <c r="I468" s="7" t="n">
        <v>7954</v>
      </c>
      <c r="L468" s="7"/>
      <c r="V468" s="9" t="n">
        <v>1.287471673680803</v>
      </c>
    </row>
    <row r="469">
      <c r="A469" s="7" t="s">
        <v>166</v>
      </c>
      <c r="B469" s="7" t="s">
        <v>42</v>
      </c>
      <c r="C469" s="7" t="s">
        <v>43</v>
      </c>
      <c r="D469" s="7" t="s">
        <v>31</v>
      </c>
      <c r="E469" s="8" t="n">
        <v>45962</v>
      </c>
      <c r="F469" s="7" t="n">
        <v>7954</v>
      </c>
      <c r="H469" s="7" t="n">
        <v>6178</v>
      </c>
      <c r="I469" s="7" t="n">
        <v>1776</v>
      </c>
      <c r="L469" s="7"/>
      <c r="V469" s="9" t="n">
        <v>0.28747167368080284</v>
      </c>
    </row>
    <row r="470">
      <c r="A470" s="7" t="s">
        <v>166</v>
      </c>
      <c r="B470" s="7" t="s">
        <v>42</v>
      </c>
      <c r="C470" s="7" t="s">
        <v>43</v>
      </c>
      <c r="D470" s="7" t="s">
        <v>31</v>
      </c>
      <c r="E470" s="8" t="n">
        <v>45992</v>
      </c>
      <c r="F470" s="7" t="n">
        <v>1776</v>
      </c>
      <c r="H470" s="7" t="n">
        <v>6178</v>
      </c>
      <c r="I470" s="7" t="n">
        <v>0</v>
      </c>
      <c r="L470" s="7"/>
      <c r="V470" s="9" t="n">
        <v>0</v>
      </c>
    </row>
    <row r="471">
      <c r="A471" s="7" t="s">
        <v>28</v>
      </c>
      <c r="B471" s="7" t="s">
        <v>52</v>
      </c>
      <c r="C471" s="7" t="s">
        <v>53</v>
      </c>
      <c r="D471" s="7"/>
      <c r="E471" s="8" t="n">
        <v>45839</v>
      </c>
      <c r="F471" s="7" t="n">
        <v>68360</v>
      </c>
      <c r="H471" s="7" t="n">
        <v>7996</v>
      </c>
      <c r="I471" s="7" t="n">
        <v>60364</v>
      </c>
      <c r="L471" s="7"/>
      <c r="S471" s="7" t="n">
        <v>9</v>
      </c>
      <c r="T471" s="7" t="n">
        <v>14</v>
      </c>
      <c r="U471" s="7" t="n">
        <v>13</v>
      </c>
      <c r="V471" s="9" t="n">
        <v>7.5492746373186597</v>
      </c>
    </row>
    <row r="472">
      <c r="A472" s="7" t="s">
        <v>28</v>
      </c>
      <c r="B472" s="7" t="s">
        <v>52</v>
      </c>
      <c r="C472" s="7" t="s">
        <v>53</v>
      </c>
      <c r="D472" s="7"/>
      <c r="E472" s="8" t="n">
        <v>45870</v>
      </c>
      <c r="F472" s="7" t="n">
        <v>60364</v>
      </c>
      <c r="H472" s="7" t="n">
        <v>7996</v>
      </c>
      <c r="I472" s="7" t="n">
        <v>52368</v>
      </c>
      <c r="L472" s="7"/>
      <c r="S472" s="7" t="n">
        <v>9</v>
      </c>
      <c r="T472" s="7" t="n">
        <v>14</v>
      </c>
      <c r="U472" s="7" t="n">
        <v>13</v>
      </c>
      <c r="V472" s="9" t="n">
        <v>6.5492746373186597</v>
      </c>
    </row>
    <row r="473">
      <c r="A473" s="7" t="s">
        <v>28</v>
      </c>
      <c r="B473" s="7" t="s">
        <v>52</v>
      </c>
      <c r="C473" s="7" t="s">
        <v>53</v>
      </c>
      <c r="D473" s="7"/>
      <c r="E473" s="8" t="n">
        <v>45901</v>
      </c>
      <c r="F473" s="7" t="n">
        <v>52368</v>
      </c>
      <c r="H473" s="7" t="n">
        <v>7996</v>
      </c>
      <c r="I473" s="7" t="n">
        <v>89224</v>
      </c>
      <c r="J473" s="7" t="s">
        <v>2</v>
      </c>
      <c r="K473" s="7" t="s">
        <v>2</v>
      </c>
      <c r="L473" s="7" t="s">
        <v>4</v>
      </c>
      <c r="M473" s="7" t="n">
        <v>44852</v>
      </c>
      <c r="O473" s="7" t="n">
        <v>11841</v>
      </c>
      <c r="S473" s="7" t="n">
        <v>9</v>
      </c>
      <c r="T473" s="7" t="n">
        <v>14</v>
      </c>
      <c r="U473" s="7" t="n">
        <v>13</v>
      </c>
      <c r="V473" s="9" t="n">
        <v>11.158579289644823</v>
      </c>
    </row>
    <row r="474">
      <c r="A474" s="7" t="s">
        <v>28</v>
      </c>
      <c r="B474" s="7" t="s">
        <v>52</v>
      </c>
      <c r="C474" s="7" t="s">
        <v>53</v>
      </c>
      <c r="D474" s="7"/>
      <c r="E474" s="8" t="n">
        <v>45931</v>
      </c>
      <c r="F474" s="7" t="n">
        <v>89224</v>
      </c>
      <c r="H474" s="7" t="n">
        <v>7996</v>
      </c>
      <c r="I474" s="7" t="n">
        <v>81228</v>
      </c>
      <c r="L474" s="7"/>
      <c r="S474" s="7" t="n">
        <v>9</v>
      </c>
      <c r="T474" s="7" t="n">
        <v>14</v>
      </c>
      <c r="U474" s="7" t="n">
        <v>13</v>
      </c>
      <c r="V474" s="9" t="n">
        <v>10.158579289644823</v>
      </c>
    </row>
    <row r="475">
      <c r="A475" s="7" t="s">
        <v>28</v>
      </c>
      <c r="B475" s="7" t="s">
        <v>52</v>
      </c>
      <c r="C475" s="7" t="s">
        <v>53</v>
      </c>
      <c r="D475" s="7"/>
      <c r="E475" s="8" t="n">
        <v>45962</v>
      </c>
      <c r="F475" s="7" t="n">
        <v>81228</v>
      </c>
      <c r="H475" s="7" t="n">
        <v>7996</v>
      </c>
      <c r="I475" s="7" t="n">
        <v>73232</v>
      </c>
      <c r="L475" s="7"/>
      <c r="S475" s="7" t="n">
        <v>9</v>
      </c>
      <c r="T475" s="7" t="n">
        <v>14</v>
      </c>
      <c r="U475" s="7" t="n">
        <v>13</v>
      </c>
      <c r="V475" s="9" t="n">
        <v>9.1585792896448233</v>
      </c>
    </row>
    <row r="476">
      <c r="A476" s="7" t="s">
        <v>28</v>
      </c>
      <c r="B476" s="7" t="s">
        <v>52</v>
      </c>
      <c r="C476" s="7" t="s">
        <v>53</v>
      </c>
      <c r="D476" s="7"/>
      <c r="E476" s="8" t="n">
        <v>45992</v>
      </c>
      <c r="F476" s="7" t="n">
        <v>73232</v>
      </c>
      <c r="H476" s="7" t="n">
        <v>7996</v>
      </c>
      <c r="I476" s="7" t="n">
        <v>65236</v>
      </c>
      <c r="L476" s="7"/>
      <c r="S476" s="7" t="n">
        <v>9</v>
      </c>
      <c r="T476" s="7" t="n">
        <v>14</v>
      </c>
      <c r="U476" s="7" t="n">
        <v>13</v>
      </c>
      <c r="V476" s="9" t="n">
        <v>8.1585792896448233</v>
      </c>
    </row>
    <row r="477">
      <c r="A477" s="7" t="s">
        <v>28</v>
      </c>
      <c r="B477" s="7" t="s">
        <v>52</v>
      </c>
      <c r="C477" s="7" t="s">
        <v>53</v>
      </c>
      <c r="D477" s="7"/>
      <c r="E477" s="8" t="n">
        <v>46023</v>
      </c>
      <c r="F477" s="7" t="n">
        <v>65236</v>
      </c>
      <c r="H477" s="7" t="n">
        <v>7996</v>
      </c>
      <c r="I477" s="7" t="n">
        <v>57240</v>
      </c>
      <c r="L477" s="7"/>
      <c r="S477" s="7" t="n">
        <v>9</v>
      </c>
      <c r="T477" s="7" t="n">
        <v>14</v>
      </c>
      <c r="U477" s="7" t="n">
        <v>13</v>
      </c>
      <c r="V477" s="9" t="n">
        <v>7.1585792896448224</v>
      </c>
    </row>
    <row r="478">
      <c r="A478" s="7" t="s">
        <v>28</v>
      </c>
      <c r="B478" s="7" t="s">
        <v>52</v>
      </c>
      <c r="C478" s="7" t="s">
        <v>53</v>
      </c>
      <c r="D478" s="7"/>
      <c r="E478" s="8" t="n">
        <v>46054</v>
      </c>
      <c r="F478" s="7" t="n">
        <v>57240</v>
      </c>
      <c r="H478" s="7" t="n">
        <v>7996</v>
      </c>
      <c r="I478" s="7" t="n">
        <v>90206</v>
      </c>
      <c r="J478" s="7" t="s">
        <v>2</v>
      </c>
      <c r="K478" s="7" t="s">
        <v>2</v>
      </c>
      <c r="L478" s="7" t="s">
        <v>4</v>
      </c>
      <c r="M478" s="7" t="n">
        <v>40962</v>
      </c>
      <c r="O478" s="7" t="n">
        <v>10814</v>
      </c>
      <c r="S478" s="7" t="n">
        <v>9</v>
      </c>
      <c r="T478" s="7" t="n">
        <v>14</v>
      </c>
      <c r="U478" s="7" t="n">
        <v>13</v>
      </c>
      <c r="V478" s="9" t="n">
        <v>11.281390695347675</v>
      </c>
    </row>
    <row r="479">
      <c r="A479" s="7" t="s">
        <v>28</v>
      </c>
      <c r="B479" s="7" t="s">
        <v>52</v>
      </c>
      <c r="C479" s="7" t="s">
        <v>53</v>
      </c>
      <c r="D479" s="7"/>
      <c r="E479" s="8" t="n">
        <v>46082</v>
      </c>
      <c r="F479" s="7" t="n">
        <v>90206</v>
      </c>
      <c r="H479" s="7" t="n">
        <v>7996</v>
      </c>
      <c r="I479" s="7" t="n">
        <v>82210</v>
      </c>
      <c r="L479" s="7"/>
      <c r="S479" s="7" t="n">
        <v>9</v>
      </c>
      <c r="T479" s="7" t="n">
        <v>14</v>
      </c>
      <c r="U479" s="7" t="n">
        <v>13</v>
      </c>
      <c r="V479" s="9" t="n">
        <v>10.281390695347675</v>
      </c>
    </row>
    <row r="480">
      <c r="A480" s="7" t="s">
        <v>28</v>
      </c>
      <c r="B480" s="7" t="s">
        <v>52</v>
      </c>
      <c r="C480" s="7" t="s">
        <v>53</v>
      </c>
      <c r="D480" s="7"/>
      <c r="E480" s="8" t="n">
        <v>46113</v>
      </c>
      <c r="F480" s="7" t="n">
        <v>82210</v>
      </c>
      <c r="H480" s="7" t="n">
        <v>7996</v>
      </c>
      <c r="I480" s="7" t="n">
        <v>74214</v>
      </c>
      <c r="L480" s="7"/>
      <c r="S480" s="7" t="n">
        <v>9</v>
      </c>
      <c r="T480" s="7" t="n">
        <v>14</v>
      </c>
      <c r="U480" s="7" t="n">
        <v>13</v>
      </c>
      <c r="V480" s="9" t="n">
        <v>9.2813906953476746</v>
      </c>
    </row>
    <row r="481">
      <c r="A481" s="7" t="s">
        <v>28</v>
      </c>
      <c r="B481" s="7" t="s">
        <v>52</v>
      </c>
      <c r="C481" s="7" t="s">
        <v>53</v>
      </c>
      <c r="D481" s="7"/>
      <c r="E481" s="8" t="n">
        <v>46143</v>
      </c>
      <c r="F481" s="7" t="n">
        <v>74214</v>
      </c>
      <c r="H481" s="7" t="n">
        <v>7996</v>
      </c>
      <c r="I481" s="7" t="n">
        <v>66218</v>
      </c>
      <c r="L481" s="7"/>
      <c r="S481" s="7" t="n">
        <v>9</v>
      </c>
      <c r="T481" s="7" t="n">
        <v>14</v>
      </c>
      <c r="U481" s="7" t="n">
        <v>13</v>
      </c>
      <c r="V481" s="9" t="n">
        <v>8.2813906953476746</v>
      </c>
    </row>
    <row r="482">
      <c r="A482" s="7" t="s">
        <v>28</v>
      </c>
      <c r="B482" s="7" t="s">
        <v>52</v>
      </c>
      <c r="C482" s="7" t="s">
        <v>53</v>
      </c>
      <c r="D482" s="7"/>
      <c r="E482" s="8" t="n">
        <v>46174</v>
      </c>
      <c r="F482" s="7" t="n">
        <v>66218</v>
      </c>
      <c r="H482" s="7" t="n">
        <v>7996</v>
      </c>
      <c r="I482" s="7" t="n">
        <v>58222</v>
      </c>
      <c r="L482" s="7"/>
      <c r="S482" s="7" t="n">
        <v>9</v>
      </c>
      <c r="T482" s="7" t="n">
        <v>14</v>
      </c>
      <c r="U482" s="7" t="n">
        <v>13</v>
      </c>
      <c r="V482" s="9" t="n">
        <v>7.2813906953476737</v>
      </c>
    </row>
    <row r="483">
      <c r="A483" s="7" t="s">
        <v>75</v>
      </c>
      <c r="B483" s="7" t="s">
        <v>52</v>
      </c>
      <c r="C483" s="7" t="s">
        <v>53</v>
      </c>
      <c r="D483" s="7" t="s">
        <v>31</v>
      </c>
      <c r="E483" s="8" t="n">
        <v>45748</v>
      </c>
      <c r="F483" s="7" t="n">
        <v>105984</v>
      </c>
      <c r="H483" s="7" t="n">
        <v>23248</v>
      </c>
      <c r="I483" s="7" t="n">
        <v>202736</v>
      </c>
      <c r="L483" s="7" t="s">
        <v>154</v>
      </c>
      <c r="M483" s="7" t="n">
        <v>120000</v>
      </c>
      <c r="S483" s="7" t="n">
        <v>7</v>
      </c>
      <c r="T483" s="7" t="n">
        <v>15</v>
      </c>
      <c r="U483" s="7" t="n">
        <v>15</v>
      </c>
      <c r="V483" s="9" t="n">
        <v>8.7205781142463863</v>
      </c>
    </row>
    <row r="484">
      <c r="A484" s="7" t="s">
        <v>75</v>
      </c>
      <c r="B484" s="7" t="s">
        <v>52</v>
      </c>
      <c r="C484" s="7" t="s">
        <v>53</v>
      </c>
      <c r="D484" s="7" t="s">
        <v>31</v>
      </c>
      <c r="E484" s="8" t="n">
        <v>45778</v>
      </c>
      <c r="F484" s="7" t="n">
        <v>202736</v>
      </c>
      <c r="H484" s="7" t="n">
        <v>23999</v>
      </c>
      <c r="I484" s="7" t="n">
        <v>178737</v>
      </c>
      <c r="L484" s="7"/>
      <c r="S484" s="7" t="n">
        <v>7</v>
      </c>
      <c r="T484" s="7" t="n">
        <v>15</v>
      </c>
      <c r="U484" s="7" t="n">
        <v>15</v>
      </c>
      <c r="V484" s="9" t="n">
        <v>7.4476853202216757</v>
      </c>
    </row>
    <row r="485">
      <c r="A485" s="7" t="s">
        <v>75</v>
      </c>
      <c r="B485" s="7" t="s">
        <v>52</v>
      </c>
      <c r="C485" s="7" t="s">
        <v>53</v>
      </c>
      <c r="D485" s="7" t="s">
        <v>31</v>
      </c>
      <c r="E485" s="8" t="n">
        <v>45809</v>
      </c>
      <c r="F485" s="7" t="n">
        <v>178737</v>
      </c>
      <c r="H485" s="7" t="n">
        <v>23817</v>
      </c>
      <c r="I485" s="7" t="n">
        <v>437520</v>
      </c>
      <c r="L485" s="7" t="s">
        <v>147</v>
      </c>
      <c r="M485" s="7" t="n">
        <v>282600</v>
      </c>
      <c r="S485" s="7" t="n">
        <v>7</v>
      </c>
      <c r="T485" s="7" t="n">
        <v>15</v>
      </c>
      <c r="U485" s="7" t="n">
        <v>15</v>
      </c>
      <c r="V485" s="9" t="n">
        <v>18.370071797455598</v>
      </c>
    </row>
    <row r="486">
      <c r="A486" s="7" t="s">
        <v>75</v>
      </c>
      <c r="B486" s="7" t="s">
        <v>52</v>
      </c>
      <c r="C486" s="7" t="s">
        <v>53</v>
      </c>
      <c r="D486" s="7" t="s">
        <v>31</v>
      </c>
      <c r="E486" s="8" t="n">
        <v>45839</v>
      </c>
      <c r="F486" s="7" t="n">
        <v>437520</v>
      </c>
      <c r="H486" s="7" t="n">
        <v>23697</v>
      </c>
      <c r="I486" s="7" t="n">
        <v>413823</v>
      </c>
      <c r="L486" s="7"/>
      <c r="S486" s="7" t="n">
        <v>7</v>
      </c>
      <c r="T486" s="7" t="n">
        <v>15</v>
      </c>
      <c r="U486" s="7" t="n">
        <v>15</v>
      </c>
      <c r="V486" s="9" t="n">
        <v>17.463096594505632</v>
      </c>
    </row>
    <row r="487">
      <c r="A487" s="7" t="s">
        <v>75</v>
      </c>
      <c r="B487" s="7" t="s">
        <v>52</v>
      </c>
      <c r="C487" s="7" t="s">
        <v>53</v>
      </c>
      <c r="D487" s="7" t="s">
        <v>31</v>
      </c>
      <c r="E487" s="8" t="n">
        <v>45870</v>
      </c>
      <c r="F487" s="7" t="n">
        <v>413823</v>
      </c>
      <c r="H487" s="7" t="n">
        <v>23562</v>
      </c>
      <c r="I487" s="7" t="n">
        <v>390261</v>
      </c>
      <c r="L487" s="7"/>
      <c r="S487" s="7" t="n">
        <v>7</v>
      </c>
      <c r="T487" s="7" t="n">
        <v>15</v>
      </c>
      <c r="U487" s="7" t="n">
        <v>15</v>
      </c>
      <c r="V487" s="9" t="n">
        <v>16.563152533740769</v>
      </c>
    </row>
    <row r="488">
      <c r="A488" s="7" t="s">
        <v>75</v>
      </c>
      <c r="B488" s="7" t="s">
        <v>52</v>
      </c>
      <c r="C488" s="7" t="s">
        <v>53</v>
      </c>
      <c r="D488" s="7" t="s">
        <v>31</v>
      </c>
      <c r="E488" s="8" t="n">
        <v>45901</v>
      </c>
      <c r="F488" s="7" t="n">
        <v>390261</v>
      </c>
      <c r="H488" s="7" t="n">
        <v>23623</v>
      </c>
      <c r="I488" s="7" t="n">
        <v>1249538</v>
      </c>
      <c r="L488" s="7" t="s">
        <v>147</v>
      </c>
      <c r="M488" s="7" t="n">
        <v>882900</v>
      </c>
      <c r="S488" s="7" t="n">
        <v>7</v>
      </c>
      <c r="T488" s="7" t="n">
        <v>15</v>
      </c>
      <c r="U488" s="7" t="n">
        <v>15</v>
      </c>
      <c r="V488" s="9" t="n">
        <v>52.894975235998814</v>
      </c>
    </row>
    <row r="489">
      <c r="A489" s="7" t="s">
        <v>75</v>
      </c>
      <c r="B489" s="7" t="s">
        <v>52</v>
      </c>
      <c r="C489" s="7" t="s">
        <v>53</v>
      </c>
      <c r="D489" s="7" t="s">
        <v>31</v>
      </c>
      <c r="E489" s="8" t="n">
        <v>45931</v>
      </c>
      <c r="F489" s="7" t="n">
        <v>1249538</v>
      </c>
      <c r="H489" s="7" t="n">
        <v>23658</v>
      </c>
      <c r="I489" s="7" t="n">
        <v>1225880</v>
      </c>
      <c r="L489" s="7"/>
      <c r="S489" s="7" t="n">
        <v>7</v>
      </c>
      <c r="T489" s="7" t="n">
        <v>15</v>
      </c>
      <c r="U489" s="7" t="n">
        <v>15</v>
      </c>
      <c r="V489" s="9" t="n">
        <v>51.816721616366557</v>
      </c>
    </row>
    <row r="490">
      <c r="A490" s="7" t="s">
        <v>75</v>
      </c>
      <c r="B490" s="7" t="s">
        <v>52</v>
      </c>
      <c r="C490" s="7" t="s">
        <v>53</v>
      </c>
      <c r="D490" s="7" t="s">
        <v>31</v>
      </c>
      <c r="E490" s="8" t="n">
        <v>45962</v>
      </c>
      <c r="F490" s="7" t="n">
        <v>1225880</v>
      </c>
      <c r="H490" s="7" t="n">
        <v>23726</v>
      </c>
      <c r="I490" s="7" t="n">
        <v>1202154</v>
      </c>
      <c r="L490" s="7"/>
      <c r="S490" s="7" t="n">
        <v>7</v>
      </c>
      <c r="T490" s="7" t="n">
        <v>15</v>
      </c>
      <c r="U490" s="7" t="n">
        <v>15</v>
      </c>
      <c r="V490" s="9" t="n">
        <v>50.668212088004722</v>
      </c>
    </row>
    <row r="491">
      <c r="A491" s="7" t="s">
        <v>75</v>
      </c>
      <c r="B491" s="7" t="s">
        <v>52</v>
      </c>
      <c r="C491" s="7" t="s">
        <v>53</v>
      </c>
      <c r="D491" s="7" t="s">
        <v>31</v>
      </c>
      <c r="E491" s="8" t="n">
        <v>45992</v>
      </c>
      <c r="F491" s="7" t="n">
        <v>1202154</v>
      </c>
      <c r="H491" s="7" t="n">
        <v>23680</v>
      </c>
      <c r="I491" s="7" t="n">
        <v>1178474</v>
      </c>
      <c r="L491" s="7"/>
      <c r="S491" s="7" t="n">
        <v>7</v>
      </c>
      <c r="T491" s="7" t="n">
        <v>15</v>
      </c>
      <c r="U491" s="7" t="n">
        <v>15</v>
      </c>
      <c r="V491" s="9" t="n">
        <v>49.766638513513513</v>
      </c>
    </row>
    <row r="492">
      <c r="A492" s="7" t="s">
        <v>75</v>
      </c>
      <c r="B492" s="7" t="s">
        <v>52</v>
      </c>
      <c r="C492" s="7" t="s">
        <v>53</v>
      </c>
      <c r="D492" s="7" t="s">
        <v>31</v>
      </c>
      <c r="E492" s="8" t="n">
        <v>46023</v>
      </c>
      <c r="F492" s="7" t="n">
        <v>1178474</v>
      </c>
      <c r="H492" s="7" t="n">
        <v>23658</v>
      </c>
      <c r="I492" s="7" t="n">
        <v>1154816</v>
      </c>
      <c r="L492" s="7"/>
      <c r="S492" s="7" t="n">
        <v>7</v>
      </c>
      <c r="T492" s="7" t="n">
        <v>15</v>
      </c>
      <c r="U492" s="7" t="n">
        <v>15</v>
      </c>
      <c r="V492" s="9" t="n">
        <v>48.812917406374169</v>
      </c>
    </row>
    <row r="493">
      <c r="A493" s="7" t="s">
        <v>75</v>
      </c>
      <c r="B493" s="7" t="s">
        <v>52</v>
      </c>
      <c r="C493" s="7" t="s">
        <v>53</v>
      </c>
      <c r="D493" s="7" t="s">
        <v>31</v>
      </c>
      <c r="E493" s="8" t="n">
        <v>46054</v>
      </c>
      <c r="F493" s="7" t="n">
        <v>1154816</v>
      </c>
      <c r="H493" s="7" t="n">
        <v>23651</v>
      </c>
      <c r="I493" s="7" t="n">
        <v>1131165</v>
      </c>
      <c r="L493" s="7"/>
      <c r="S493" s="7" t="n">
        <v>7</v>
      </c>
      <c r="T493" s="7" t="n">
        <v>15</v>
      </c>
      <c r="U493" s="7" t="n">
        <v>15</v>
      </c>
      <c r="V493" s="9" t="n">
        <v>47.82736459346328</v>
      </c>
    </row>
    <row r="494">
      <c r="A494" s="7" t="s">
        <v>75</v>
      </c>
      <c r="B494" s="7" t="s">
        <v>52</v>
      </c>
      <c r="C494" s="7" t="s">
        <v>53</v>
      </c>
      <c r="D494" s="7" t="s">
        <v>31</v>
      </c>
      <c r="E494" s="8" t="n">
        <v>46082</v>
      </c>
      <c r="F494" s="7" t="n">
        <v>1131165</v>
      </c>
      <c r="H494" s="7" t="n">
        <v>23666</v>
      </c>
      <c r="I494" s="7" t="n">
        <v>1107499</v>
      </c>
      <c r="L494" s="7"/>
      <c r="S494" s="7" t="n">
        <v>7</v>
      </c>
      <c r="T494" s="7" t="n">
        <v>15</v>
      </c>
      <c r="U494" s="7" t="n">
        <v>15</v>
      </c>
      <c r="V494" s="9" t="n">
        <v>46.797050621144258</v>
      </c>
    </row>
    <row r="495">
      <c r="A495" s="7" t="s">
        <v>75</v>
      </c>
      <c r="B495" s="7" t="s">
        <v>52</v>
      </c>
      <c r="C495" s="7" t="s">
        <v>53</v>
      </c>
      <c r="D495" s="7" t="s">
        <v>31</v>
      </c>
      <c r="E495" s="8" t="n">
        <v>46113</v>
      </c>
      <c r="F495" s="7" t="n">
        <v>1107499</v>
      </c>
      <c r="H495" s="7" t="n">
        <v>23673</v>
      </c>
      <c r="I495" s="7" t="n">
        <v>1083826</v>
      </c>
      <c r="L495" s="7"/>
      <c r="S495" s="7" t="n">
        <v>7</v>
      </c>
      <c r="T495" s="7" t="n">
        <v>15</v>
      </c>
      <c r="U495" s="7" t="n">
        <v>15</v>
      </c>
      <c r="V495" s="9" t="n">
        <v>45.783212943015251</v>
      </c>
    </row>
    <row r="496">
      <c r="A496" s="7" t="s">
        <v>75</v>
      </c>
      <c r="B496" s="7" t="s">
        <v>52</v>
      </c>
      <c r="C496" s="7" t="s">
        <v>53</v>
      </c>
      <c r="D496" s="7" t="s">
        <v>31</v>
      </c>
      <c r="E496" s="8" t="n">
        <v>46143</v>
      </c>
      <c r="F496" s="7" t="n">
        <v>1083826</v>
      </c>
      <c r="H496" s="7" t="n">
        <v>23676</v>
      </c>
      <c r="I496" s="7" t="n">
        <v>1060150</v>
      </c>
      <c r="L496" s="7"/>
      <c r="S496" s="7" t="n">
        <v>7</v>
      </c>
      <c r="T496" s="7" t="n">
        <v>15</v>
      </c>
      <c r="U496" s="7" t="n">
        <v>15</v>
      </c>
      <c r="V496" s="9" t="n">
        <v>44.777411724953538</v>
      </c>
    </row>
    <row r="497">
      <c r="A497" s="7" t="s">
        <v>75</v>
      </c>
      <c r="B497" s="7" t="s">
        <v>52</v>
      </c>
      <c r="C497" s="7" t="s">
        <v>53</v>
      </c>
      <c r="D497" s="7" t="s">
        <v>31</v>
      </c>
      <c r="E497" s="8" t="n">
        <v>46174</v>
      </c>
      <c r="F497" s="7" t="n">
        <v>1060150</v>
      </c>
      <c r="H497" s="7" t="n">
        <v>23667</v>
      </c>
      <c r="I497" s="7" t="n">
        <v>1036483</v>
      </c>
      <c r="L497" s="7"/>
      <c r="S497" s="7" t="n">
        <v>7</v>
      </c>
      <c r="T497" s="7" t="n">
        <v>15</v>
      </c>
      <c r="U497" s="7" t="n">
        <v>15</v>
      </c>
      <c r="V497" s="9" t="n">
        <v>43.794439514936407</v>
      </c>
    </row>
    <row r="498">
      <c r="A498" s="7" t="s">
        <v>75</v>
      </c>
      <c r="B498" s="7" t="s">
        <v>52</v>
      </c>
      <c r="C498" s="7" t="s">
        <v>53</v>
      </c>
      <c r="D498" s="7" t="s">
        <v>31</v>
      </c>
      <c r="E498" s="8" t="n">
        <v>46204</v>
      </c>
      <c r="F498" s="7" t="n">
        <v>1036483</v>
      </c>
      <c r="H498" s="7" t="n">
        <v>23665</v>
      </c>
      <c r="I498" s="7" t="n">
        <v>1012818</v>
      </c>
      <c r="L498" s="7"/>
      <c r="S498" s="7" t="n">
        <v>7</v>
      </c>
      <c r="T498" s="7" t="n">
        <v>15</v>
      </c>
      <c r="U498" s="7" t="n">
        <v>15</v>
      </c>
      <c r="V498" s="9" t="n">
        <v>42.798140714134796</v>
      </c>
    </row>
    <row r="499">
      <c r="A499" s="7" t="s">
        <v>75</v>
      </c>
      <c r="B499" s="7" t="s">
        <v>52</v>
      </c>
      <c r="C499" s="7" t="s">
        <v>53</v>
      </c>
      <c r="D499" s="7" t="s">
        <v>31</v>
      </c>
      <c r="E499" s="8" t="n">
        <v>46235</v>
      </c>
      <c r="F499" s="7" t="n">
        <v>1012818</v>
      </c>
      <c r="H499" s="7" t="n">
        <v>23666</v>
      </c>
      <c r="I499" s="7" t="n">
        <v>989152</v>
      </c>
      <c r="L499" s="7"/>
      <c r="S499" s="7" t="n">
        <v>7</v>
      </c>
      <c r="T499" s="7" t="n">
        <v>15</v>
      </c>
      <c r="U499" s="7" t="n">
        <v>15</v>
      </c>
      <c r="V499" s="9" t="n">
        <v>41.796332291050454</v>
      </c>
    </row>
    <row r="500">
      <c r="A500" s="7" t="s">
        <v>75</v>
      </c>
      <c r="B500" s="7" t="s">
        <v>52</v>
      </c>
      <c r="C500" s="7" t="s">
        <v>53</v>
      </c>
      <c r="D500" s="7" t="s">
        <v>31</v>
      </c>
      <c r="E500" s="8" t="n">
        <v>46266</v>
      </c>
      <c r="F500" s="7" t="n">
        <v>989152</v>
      </c>
      <c r="H500" s="7" t="n">
        <v>23669</v>
      </c>
      <c r="I500" s="7" t="n">
        <v>965483</v>
      </c>
      <c r="L500" s="7"/>
      <c r="S500" s="7" t="n">
        <v>7</v>
      </c>
      <c r="T500" s="7" t="n">
        <v>15</v>
      </c>
      <c r="U500" s="7" t="n">
        <v>15</v>
      </c>
      <c r="V500" s="9" t="n">
        <v>40.791034686721027</v>
      </c>
    </row>
    <row r="501">
      <c r="A501" s="7" t="s">
        <v>76</v>
      </c>
      <c r="B501" s="7" t="s">
        <v>52</v>
      </c>
      <c r="C501" s="7" t="s">
        <v>53</v>
      </c>
      <c r="D501" s="7" t="s">
        <v>31</v>
      </c>
      <c r="E501" s="8" t="n">
        <v>45748</v>
      </c>
      <c r="F501" s="7" t="n">
        <v>307052</v>
      </c>
      <c r="H501" s="7" t="n">
        <v>13864</v>
      </c>
      <c r="I501" s="7" t="n">
        <v>293188</v>
      </c>
      <c r="L501" s="7"/>
      <c r="S501" s="7" t="n">
        <v>3</v>
      </c>
      <c r="T501" s="7" t="n">
        <v>6</v>
      </c>
      <c r="U501" s="7" t="n">
        <v>6</v>
      </c>
      <c r="V501" s="9" t="n">
        <v>21.147432198499711</v>
      </c>
    </row>
    <row r="502">
      <c r="A502" s="7" t="s">
        <v>76</v>
      </c>
      <c r="B502" s="7" t="s">
        <v>52</v>
      </c>
      <c r="C502" s="7" t="s">
        <v>53</v>
      </c>
      <c r="D502" s="7" t="s">
        <v>31</v>
      </c>
      <c r="E502" s="8" t="n">
        <v>45778</v>
      </c>
      <c r="F502" s="7" t="n">
        <v>293188</v>
      </c>
      <c r="H502" s="7" t="n">
        <v>13864</v>
      </c>
      <c r="I502" s="7" t="n">
        <v>279324</v>
      </c>
      <c r="L502" s="7"/>
      <c r="S502" s="7" t="n">
        <v>3</v>
      </c>
      <c r="T502" s="7" t="n">
        <v>6</v>
      </c>
      <c r="U502" s="7" t="n">
        <v>6</v>
      </c>
      <c r="V502" s="9" t="n">
        <v>20.147432198499711</v>
      </c>
    </row>
    <row r="503">
      <c r="A503" s="7" t="s">
        <v>76</v>
      </c>
      <c r="B503" s="7" t="s">
        <v>52</v>
      </c>
      <c r="C503" s="7" t="s">
        <v>53</v>
      </c>
      <c r="D503" s="7" t="s">
        <v>31</v>
      </c>
      <c r="E503" s="8" t="n">
        <v>45809</v>
      </c>
      <c r="F503" s="7" t="n">
        <v>279324</v>
      </c>
      <c r="H503" s="7" t="n">
        <v>13864</v>
      </c>
      <c r="I503" s="7" t="n">
        <v>265460</v>
      </c>
      <c r="L503" s="7"/>
      <c r="S503" s="7" t="n">
        <v>3</v>
      </c>
      <c r="T503" s="7" t="n">
        <v>6</v>
      </c>
      <c r="U503" s="7" t="n">
        <v>6</v>
      </c>
      <c r="V503" s="9" t="n">
        <v>19.147432198499711</v>
      </c>
    </row>
    <row r="504">
      <c r="A504" s="7" t="s">
        <v>76</v>
      </c>
      <c r="B504" s="7" t="s">
        <v>52</v>
      </c>
      <c r="C504" s="7" t="s">
        <v>53</v>
      </c>
      <c r="D504" s="7" t="s">
        <v>31</v>
      </c>
      <c r="E504" s="8" t="n">
        <v>45839</v>
      </c>
      <c r="F504" s="7" t="n">
        <v>265460</v>
      </c>
      <c r="H504" s="7" t="n">
        <v>13864</v>
      </c>
      <c r="I504" s="7" t="n">
        <v>251596</v>
      </c>
      <c r="L504" s="7"/>
      <c r="S504" s="7" t="n">
        <v>3</v>
      </c>
      <c r="T504" s="7" t="n">
        <v>6</v>
      </c>
      <c r="U504" s="7" t="n">
        <v>6</v>
      </c>
      <c r="V504" s="9" t="n">
        <v>18.147432198499711</v>
      </c>
    </row>
    <row r="505">
      <c r="A505" s="7" t="s">
        <v>76</v>
      </c>
      <c r="B505" s="7" t="s">
        <v>52</v>
      </c>
      <c r="C505" s="7" t="s">
        <v>53</v>
      </c>
      <c r="D505" s="7" t="s">
        <v>31</v>
      </c>
      <c r="E505" s="8" t="n">
        <v>45870</v>
      </c>
      <c r="F505" s="7" t="n">
        <v>251596</v>
      </c>
      <c r="H505" s="7" t="n">
        <v>13864</v>
      </c>
      <c r="I505" s="7" t="n">
        <v>237732</v>
      </c>
      <c r="L505" s="7"/>
      <c r="S505" s="7" t="n">
        <v>3</v>
      </c>
      <c r="T505" s="7" t="n">
        <v>6</v>
      </c>
      <c r="U505" s="7" t="n">
        <v>6</v>
      </c>
      <c r="V505" s="9" t="n">
        <v>17.147432198499711</v>
      </c>
    </row>
    <row r="506">
      <c r="A506" s="7" t="s">
        <v>76</v>
      </c>
      <c r="B506" s="7" t="s">
        <v>52</v>
      </c>
      <c r="C506" s="7" t="s">
        <v>53</v>
      </c>
      <c r="D506" s="7" t="s">
        <v>31</v>
      </c>
      <c r="E506" s="8" t="n">
        <v>45901</v>
      </c>
      <c r="F506" s="7" t="n">
        <v>237732</v>
      </c>
      <c r="H506" s="7" t="n">
        <v>13864</v>
      </c>
      <c r="I506" s="7" t="n">
        <v>223868</v>
      </c>
      <c r="L506" s="7"/>
      <c r="S506" s="7" t="n">
        <v>3</v>
      </c>
      <c r="T506" s="7" t="n">
        <v>6</v>
      </c>
      <c r="U506" s="7" t="n">
        <v>6</v>
      </c>
      <c r="V506" s="9" t="n">
        <v>16.147432198499711</v>
      </c>
    </row>
    <row r="507">
      <c r="A507" s="7" t="s">
        <v>76</v>
      </c>
      <c r="B507" s="7" t="s">
        <v>52</v>
      </c>
      <c r="C507" s="7" t="s">
        <v>53</v>
      </c>
      <c r="D507" s="7" t="s">
        <v>31</v>
      </c>
      <c r="E507" s="8" t="n">
        <v>45931</v>
      </c>
      <c r="F507" s="7" t="n">
        <v>223868</v>
      </c>
      <c r="H507" s="7" t="n">
        <v>13864</v>
      </c>
      <c r="I507" s="7" t="n">
        <v>210004</v>
      </c>
      <c r="L507" s="7"/>
      <c r="S507" s="7" t="n">
        <v>3</v>
      </c>
      <c r="T507" s="7" t="n">
        <v>6</v>
      </c>
      <c r="U507" s="7" t="n">
        <v>6</v>
      </c>
      <c r="V507" s="9" t="n">
        <v>15.147432198499711</v>
      </c>
    </row>
    <row r="508">
      <c r="A508" s="7" t="s">
        <v>76</v>
      </c>
      <c r="B508" s="7" t="s">
        <v>52</v>
      </c>
      <c r="C508" s="7" t="s">
        <v>53</v>
      </c>
      <c r="D508" s="7" t="s">
        <v>31</v>
      </c>
      <c r="E508" s="8" t="n">
        <v>45962</v>
      </c>
      <c r="F508" s="7" t="n">
        <v>210004</v>
      </c>
      <c r="H508" s="7" t="n">
        <v>13864</v>
      </c>
      <c r="I508" s="7" t="n">
        <v>196140</v>
      </c>
      <c r="L508" s="7"/>
      <c r="S508" s="7" t="n">
        <v>3</v>
      </c>
      <c r="T508" s="7" t="n">
        <v>6</v>
      </c>
      <c r="U508" s="7" t="n">
        <v>6</v>
      </c>
      <c r="V508" s="9" t="n">
        <v>14.147432198499711</v>
      </c>
    </row>
    <row r="509">
      <c r="A509" s="7" t="s">
        <v>76</v>
      </c>
      <c r="B509" s="7" t="s">
        <v>52</v>
      </c>
      <c r="C509" s="7" t="s">
        <v>53</v>
      </c>
      <c r="D509" s="7" t="s">
        <v>31</v>
      </c>
      <c r="E509" s="8" t="n">
        <v>45992</v>
      </c>
      <c r="F509" s="7" t="n">
        <v>196140</v>
      </c>
      <c r="H509" s="7" t="n">
        <v>13864</v>
      </c>
      <c r="I509" s="7" t="n">
        <v>182276</v>
      </c>
      <c r="L509" s="7"/>
      <c r="S509" s="7" t="n">
        <v>3</v>
      </c>
      <c r="T509" s="7" t="n">
        <v>6</v>
      </c>
      <c r="U509" s="7" t="n">
        <v>6</v>
      </c>
      <c r="V509" s="9" t="n">
        <v>13.147432198499711</v>
      </c>
    </row>
    <row r="510">
      <c r="A510" s="7" t="s">
        <v>76</v>
      </c>
      <c r="B510" s="7" t="s">
        <v>52</v>
      </c>
      <c r="C510" s="7" t="s">
        <v>53</v>
      </c>
      <c r="D510" s="7" t="s">
        <v>31</v>
      </c>
      <c r="E510" s="8" t="n">
        <v>46023</v>
      </c>
      <c r="F510" s="7" t="n">
        <v>182276</v>
      </c>
      <c r="H510" s="7" t="n">
        <v>7742</v>
      </c>
      <c r="I510" s="7" t="n">
        <v>174534</v>
      </c>
      <c r="L510" s="7"/>
      <c r="S510" s="7" t="n">
        <v>3</v>
      </c>
      <c r="T510" s="7" t="n">
        <v>6</v>
      </c>
      <c r="U510" s="7" t="n">
        <v>6</v>
      </c>
      <c r="V510" s="9" t="n">
        <v>22.543787135107209</v>
      </c>
    </row>
    <row r="511">
      <c r="A511" s="7" t="s">
        <v>76</v>
      </c>
      <c r="B511" s="7" t="s">
        <v>52</v>
      </c>
      <c r="C511" s="7" t="s">
        <v>53</v>
      </c>
      <c r="D511" s="7" t="s">
        <v>31</v>
      </c>
      <c r="E511" s="8" t="n">
        <v>46054</v>
      </c>
      <c r="F511" s="7" t="n">
        <v>174534</v>
      </c>
      <c r="H511" s="7" t="n">
        <v>7742</v>
      </c>
      <c r="I511" s="7" t="n">
        <v>166792</v>
      </c>
      <c r="L511" s="7"/>
      <c r="S511" s="7" t="n">
        <v>3</v>
      </c>
      <c r="T511" s="7" t="n">
        <v>6</v>
      </c>
      <c r="U511" s="7" t="n">
        <v>6</v>
      </c>
      <c r="V511" s="9" t="n">
        <v>21.543787135107209</v>
      </c>
    </row>
    <row r="512">
      <c r="A512" s="7" t="s">
        <v>76</v>
      </c>
      <c r="B512" s="7" t="s">
        <v>52</v>
      </c>
      <c r="C512" s="7" t="s">
        <v>53</v>
      </c>
      <c r="D512" s="7" t="s">
        <v>31</v>
      </c>
      <c r="E512" s="8" t="n">
        <v>46082</v>
      </c>
      <c r="F512" s="7" t="n">
        <v>166792</v>
      </c>
      <c r="H512" s="7" t="n">
        <v>7742</v>
      </c>
      <c r="I512" s="7" t="n">
        <v>159050</v>
      </c>
      <c r="L512" s="7"/>
      <c r="S512" s="7" t="n">
        <v>3</v>
      </c>
      <c r="T512" s="7" t="n">
        <v>6</v>
      </c>
      <c r="U512" s="7" t="n">
        <v>6</v>
      </c>
      <c r="V512" s="9" t="n">
        <v>20.543787135107209</v>
      </c>
    </row>
    <row r="513">
      <c r="A513" s="7" t="s">
        <v>76</v>
      </c>
      <c r="B513" s="7" t="s">
        <v>52</v>
      </c>
      <c r="C513" s="7" t="s">
        <v>53</v>
      </c>
      <c r="D513" s="7" t="s">
        <v>31</v>
      </c>
      <c r="E513" s="8" t="n">
        <v>46113</v>
      </c>
      <c r="F513" s="7" t="n">
        <v>159050</v>
      </c>
      <c r="H513" s="7" t="n">
        <v>7742</v>
      </c>
      <c r="I513" s="7" t="n">
        <v>151308</v>
      </c>
      <c r="L513" s="7"/>
      <c r="S513" s="7" t="n">
        <v>3</v>
      </c>
      <c r="T513" s="7" t="n">
        <v>6</v>
      </c>
      <c r="U513" s="7" t="n">
        <v>6</v>
      </c>
      <c r="V513" s="9" t="n">
        <v>19.543787135107209</v>
      </c>
    </row>
    <row r="514">
      <c r="A514" s="7" t="s">
        <v>76</v>
      </c>
      <c r="B514" s="7" t="s">
        <v>52</v>
      </c>
      <c r="C514" s="7" t="s">
        <v>53</v>
      </c>
      <c r="D514" s="7" t="s">
        <v>31</v>
      </c>
      <c r="E514" s="8" t="n">
        <v>46143</v>
      </c>
      <c r="F514" s="7" t="n">
        <v>151308</v>
      </c>
      <c r="H514" s="7" t="n">
        <v>7742</v>
      </c>
      <c r="I514" s="7" t="n">
        <v>143566</v>
      </c>
      <c r="L514" s="7"/>
      <c r="S514" s="7" t="n">
        <v>3</v>
      </c>
      <c r="T514" s="7" t="n">
        <v>6</v>
      </c>
      <c r="U514" s="7" t="n">
        <v>6</v>
      </c>
      <c r="V514" s="9" t="n">
        <v>18.543787135107209</v>
      </c>
    </row>
    <row r="515">
      <c r="A515" s="7" t="s">
        <v>76</v>
      </c>
      <c r="B515" s="7" t="s">
        <v>52</v>
      </c>
      <c r="C515" s="7" t="s">
        <v>53</v>
      </c>
      <c r="D515" s="7" t="s">
        <v>31</v>
      </c>
      <c r="E515" s="8" t="n">
        <v>46174</v>
      </c>
      <c r="F515" s="7" t="n">
        <v>143566</v>
      </c>
      <c r="H515" s="7" t="n">
        <v>7742</v>
      </c>
      <c r="I515" s="7" t="n">
        <v>135824</v>
      </c>
      <c r="L515" s="7"/>
      <c r="S515" s="7" t="n">
        <v>3</v>
      </c>
      <c r="T515" s="7" t="n">
        <v>6</v>
      </c>
      <c r="U515" s="7" t="n">
        <v>6</v>
      </c>
      <c r="V515" s="9" t="n">
        <v>17.543787135107209</v>
      </c>
    </row>
    <row r="516">
      <c r="A516" s="7" t="s">
        <v>76</v>
      </c>
      <c r="B516" s="7" t="s">
        <v>52</v>
      </c>
      <c r="C516" s="7" t="s">
        <v>53</v>
      </c>
      <c r="D516" s="7" t="s">
        <v>31</v>
      </c>
      <c r="E516" s="8" t="n">
        <v>46204</v>
      </c>
      <c r="F516" s="7" t="n">
        <v>135824</v>
      </c>
      <c r="H516" s="7" t="n">
        <v>7742</v>
      </c>
      <c r="I516" s="7" t="n">
        <v>128082</v>
      </c>
      <c r="L516" s="7"/>
      <c r="S516" s="7" t="n">
        <v>3</v>
      </c>
      <c r="T516" s="7" t="n">
        <v>6</v>
      </c>
      <c r="U516" s="7" t="n">
        <v>6</v>
      </c>
      <c r="V516" s="9" t="n">
        <v>16.543787135107209</v>
      </c>
    </row>
    <row r="517">
      <c r="A517" s="7" t="s">
        <v>76</v>
      </c>
      <c r="B517" s="7" t="s">
        <v>52</v>
      </c>
      <c r="C517" s="7" t="s">
        <v>53</v>
      </c>
      <c r="D517" s="7" t="s">
        <v>31</v>
      </c>
      <c r="E517" s="8" t="n">
        <v>46235</v>
      </c>
      <c r="F517" s="7" t="n">
        <v>128082</v>
      </c>
      <c r="H517" s="7" t="n">
        <v>7742</v>
      </c>
      <c r="I517" s="7" t="n">
        <v>120340</v>
      </c>
      <c r="L517" s="7"/>
      <c r="S517" s="7" t="n">
        <v>3</v>
      </c>
      <c r="T517" s="7" t="n">
        <v>6</v>
      </c>
      <c r="U517" s="7" t="n">
        <v>6</v>
      </c>
      <c r="V517" s="9" t="n">
        <v>15.543787135107207</v>
      </c>
    </row>
    <row r="518">
      <c r="A518" s="7" t="s">
        <v>76</v>
      </c>
      <c r="B518" s="7" t="s">
        <v>52</v>
      </c>
      <c r="C518" s="7" t="s">
        <v>53</v>
      </c>
      <c r="D518" s="7" t="s">
        <v>31</v>
      </c>
      <c r="E518" s="8" t="n">
        <v>46266</v>
      </c>
      <c r="F518" s="7" t="n">
        <v>120340</v>
      </c>
      <c r="H518" s="7" t="n">
        <v>7742</v>
      </c>
      <c r="I518" s="7" t="n">
        <v>112598</v>
      </c>
      <c r="L518" s="7"/>
      <c r="S518" s="7" t="n">
        <v>3</v>
      </c>
      <c r="T518" s="7" t="n">
        <v>6</v>
      </c>
      <c r="U518" s="7" t="n">
        <v>6</v>
      </c>
      <c r="V518" s="9" t="n">
        <v>14.543787135107207</v>
      </c>
    </row>
    <row r="519">
      <c r="A519" s="7" t="s">
        <v>76</v>
      </c>
      <c r="B519" s="7" t="s">
        <v>52</v>
      </c>
      <c r="C519" s="7" t="s">
        <v>53</v>
      </c>
      <c r="D519" s="7" t="s">
        <v>31</v>
      </c>
      <c r="E519" s="8" t="n">
        <v>46296</v>
      </c>
      <c r="F519" s="7" t="n">
        <v>112598</v>
      </c>
      <c r="H519" s="7" t="n">
        <v>7742</v>
      </c>
      <c r="I519" s="7" t="n">
        <v>104856</v>
      </c>
      <c r="L519" s="7"/>
      <c r="S519" s="7" t="n">
        <v>3</v>
      </c>
      <c r="T519" s="7" t="n">
        <v>6</v>
      </c>
      <c r="U519" s="7" t="n">
        <v>6</v>
      </c>
      <c r="V519" s="9" t="n">
        <v>13.543787135107207</v>
      </c>
    </row>
    <row r="520">
      <c r="A520" s="7" t="s">
        <v>76</v>
      </c>
      <c r="B520" s="7" t="s">
        <v>52</v>
      </c>
      <c r="C520" s="7" t="s">
        <v>53</v>
      </c>
      <c r="D520" s="7" t="s">
        <v>31</v>
      </c>
      <c r="E520" s="8" t="n">
        <v>46327</v>
      </c>
      <c r="F520" s="7" t="n">
        <v>104856</v>
      </c>
      <c r="H520" s="7" t="n">
        <v>7742</v>
      </c>
      <c r="I520" s="7" t="n">
        <v>97114</v>
      </c>
      <c r="L520" s="7"/>
      <c r="S520" s="7" t="n">
        <v>3</v>
      </c>
      <c r="T520" s="7" t="n">
        <v>6</v>
      </c>
      <c r="U520" s="7" t="n">
        <v>6</v>
      </c>
      <c r="V520" s="9" t="n">
        <v>12.543787135107207</v>
      </c>
    </row>
    <row r="521">
      <c r="A521" s="7" t="s">
        <v>76</v>
      </c>
      <c r="B521" s="7" t="s">
        <v>52</v>
      </c>
      <c r="C521" s="7" t="s">
        <v>53</v>
      </c>
      <c r="D521" s="7" t="s">
        <v>31</v>
      </c>
      <c r="E521" s="8" t="n">
        <v>46357</v>
      </c>
      <c r="F521" s="7" t="n">
        <v>97114</v>
      </c>
      <c r="H521" s="7" t="n">
        <v>7742</v>
      </c>
      <c r="I521" s="7" t="n">
        <v>89372</v>
      </c>
      <c r="L521" s="7"/>
      <c r="S521" s="7" t="n">
        <v>3</v>
      </c>
      <c r="T521" s="7" t="n">
        <v>6</v>
      </c>
      <c r="U521" s="7" t="n">
        <v>6</v>
      </c>
      <c r="V521" s="9" t="n">
        <v>11.543787135107207</v>
      </c>
    </row>
    <row r="522">
      <c r="A522" s="7" t="s">
        <v>74</v>
      </c>
      <c r="B522" s="7" t="s">
        <v>52</v>
      </c>
      <c r="C522" s="7" t="s">
        <v>53</v>
      </c>
      <c r="D522" s="7" t="s">
        <v>31</v>
      </c>
      <c r="E522" s="8" t="n">
        <v>45870</v>
      </c>
      <c r="F522" s="7" t="n">
        <v>165698</v>
      </c>
      <c r="G522" s="7" t="n">
        <v>12422</v>
      </c>
      <c r="H522" s="7" t="n">
        <v>21500</v>
      </c>
      <c r="I522" s="7" t="n">
        <v>144198</v>
      </c>
      <c r="L522" s="7"/>
      <c r="S522" s="7" t="n">
        <v>3</v>
      </c>
      <c r="T522" s="7" t="n">
        <v>6</v>
      </c>
      <c r="U522" s="7" t="n">
        <v>6</v>
      </c>
      <c r="V522" s="9" t="n">
        <v>6.7068837209302323</v>
      </c>
    </row>
    <row r="523">
      <c r="A523" s="7" t="s">
        <v>74</v>
      </c>
      <c r="B523" s="7" t="s">
        <v>52</v>
      </c>
      <c r="C523" s="7" t="s">
        <v>53</v>
      </c>
      <c r="D523" s="7" t="s">
        <v>31</v>
      </c>
      <c r="E523" s="8" t="n">
        <v>45901</v>
      </c>
      <c r="F523" s="7" t="n">
        <v>144198</v>
      </c>
      <c r="H523" s="7" t="n">
        <v>21500</v>
      </c>
      <c r="I523" s="7" t="n">
        <v>122698</v>
      </c>
      <c r="L523" s="7"/>
      <c r="S523" s="7" t="n">
        <v>3</v>
      </c>
      <c r="T523" s="7" t="n">
        <v>6</v>
      </c>
      <c r="U523" s="7" t="n">
        <v>6</v>
      </c>
      <c r="V523" s="9" t="n">
        <v>5.7068837209302323</v>
      </c>
    </row>
    <row r="524">
      <c r="A524" s="7" t="s">
        <v>74</v>
      </c>
      <c r="B524" s="7" t="s">
        <v>52</v>
      </c>
      <c r="C524" s="7" t="s">
        <v>53</v>
      </c>
      <c r="D524" s="7" t="s">
        <v>31</v>
      </c>
      <c r="E524" s="8" t="n">
        <v>45931</v>
      </c>
      <c r="F524" s="7" t="n">
        <v>122698</v>
      </c>
      <c r="H524" s="7" t="n">
        <v>21500</v>
      </c>
      <c r="I524" s="7" t="n">
        <v>101198</v>
      </c>
      <c r="L524" s="7"/>
      <c r="S524" s="7" t="n">
        <v>3</v>
      </c>
      <c r="T524" s="7" t="n">
        <v>6</v>
      </c>
      <c r="U524" s="7" t="n">
        <v>6</v>
      </c>
      <c r="V524" s="9" t="n">
        <v>4.7068837209302323</v>
      </c>
    </row>
    <row r="525">
      <c r="A525" s="7" t="s">
        <v>74</v>
      </c>
      <c r="B525" s="7" t="s">
        <v>52</v>
      </c>
      <c r="C525" s="7" t="s">
        <v>53</v>
      </c>
      <c r="D525" s="7" t="s">
        <v>31</v>
      </c>
      <c r="E525" s="8" t="n">
        <v>45962</v>
      </c>
      <c r="F525" s="7" t="n">
        <v>101198</v>
      </c>
      <c r="H525" s="7" t="n">
        <v>21500</v>
      </c>
      <c r="I525" s="7" t="n">
        <v>79698</v>
      </c>
      <c r="L525" s="7"/>
      <c r="S525" s="7" t="n">
        <v>3</v>
      </c>
      <c r="T525" s="7" t="n">
        <v>6</v>
      </c>
      <c r="U525" s="7" t="n">
        <v>6</v>
      </c>
      <c r="V525" s="9" t="n">
        <v>3.7068837209302328</v>
      </c>
    </row>
    <row r="526">
      <c r="A526" s="7" t="s">
        <v>74</v>
      </c>
      <c r="B526" s="7" t="s">
        <v>52</v>
      </c>
      <c r="C526" s="7" t="s">
        <v>53</v>
      </c>
      <c r="D526" s="7" t="s">
        <v>31</v>
      </c>
      <c r="E526" s="8" t="n">
        <v>45992</v>
      </c>
      <c r="F526" s="7" t="n">
        <v>79698</v>
      </c>
      <c r="H526" s="7" t="n">
        <v>21500</v>
      </c>
      <c r="I526" s="7" t="n">
        <v>58198</v>
      </c>
      <c r="L526" s="7"/>
      <c r="S526" s="7" t="n">
        <v>3</v>
      </c>
      <c r="T526" s="7" t="n">
        <v>6</v>
      </c>
      <c r="U526" s="7" t="n">
        <v>6</v>
      </c>
      <c r="V526" s="9" t="n">
        <v>2.7068837209302328</v>
      </c>
    </row>
    <row r="527">
      <c r="A527" s="7" t="s">
        <v>74</v>
      </c>
      <c r="B527" s="7" t="s">
        <v>52</v>
      </c>
      <c r="C527" s="7" t="s">
        <v>53</v>
      </c>
      <c r="D527" s="7" t="s">
        <v>31</v>
      </c>
      <c r="E527" s="8" t="n">
        <v>46023</v>
      </c>
      <c r="F527" s="7" t="n">
        <v>58198</v>
      </c>
      <c r="H527" s="7" t="n">
        <v>21500</v>
      </c>
      <c r="I527" s="7" t="n">
        <v>36698</v>
      </c>
      <c r="L527" s="7"/>
      <c r="S527" s="7" t="n">
        <v>3</v>
      </c>
      <c r="T527" s="7" t="n">
        <v>6</v>
      </c>
      <c r="U527" s="7" t="n">
        <v>6</v>
      </c>
      <c r="V527" s="9" t="n">
        <v>1.7068837209302326</v>
      </c>
    </row>
    <row r="528">
      <c r="A528" s="7" t="s">
        <v>74</v>
      </c>
      <c r="B528" s="7" t="s">
        <v>52</v>
      </c>
      <c r="C528" s="7" t="s">
        <v>53</v>
      </c>
      <c r="D528" s="7" t="s">
        <v>31</v>
      </c>
      <c r="E528" s="8" t="n">
        <v>46054</v>
      </c>
      <c r="F528" s="7" t="n">
        <v>36698</v>
      </c>
      <c r="H528" s="7" t="n">
        <v>21500</v>
      </c>
      <c r="I528" s="7" t="n">
        <v>15198</v>
      </c>
      <c r="L528" s="7"/>
      <c r="S528" s="7" t="n">
        <v>3</v>
      </c>
      <c r="T528" s="7" t="n">
        <v>6</v>
      </c>
      <c r="U528" s="7" t="n">
        <v>6</v>
      </c>
      <c r="V528" s="9" t="n">
        <v>0.70688372093023255</v>
      </c>
    </row>
    <row r="529">
      <c r="A529" s="7" t="s">
        <v>74</v>
      </c>
      <c r="B529" s="7" t="s">
        <v>52</v>
      </c>
      <c r="C529" s="7" t="s">
        <v>53</v>
      </c>
      <c r="D529" s="7" t="s">
        <v>31</v>
      </c>
      <c r="E529" s="8" t="n">
        <v>46082</v>
      </c>
      <c r="F529" s="7" t="n">
        <v>15198</v>
      </c>
      <c r="H529" s="7" t="n">
        <v>21500</v>
      </c>
      <c r="I529" s="7" t="n">
        <v>0</v>
      </c>
      <c r="L529" s="7"/>
      <c r="S529" s="7" t="n">
        <v>3</v>
      </c>
      <c r="T529" s="7" t="n">
        <v>6</v>
      </c>
      <c r="U529" s="7" t="n">
        <v>6</v>
      </c>
      <c r="V529" s="9" t="n">
        <v>0</v>
      </c>
    </row>
    <row r="530">
      <c r="A530" s="7" t="s">
        <v>74</v>
      </c>
      <c r="B530" s="7" t="s">
        <v>52</v>
      </c>
      <c r="C530" s="7" t="s">
        <v>53</v>
      </c>
      <c r="D530" s="7" t="s">
        <v>31</v>
      </c>
      <c r="E530" s="8" t="n">
        <v>46113</v>
      </c>
      <c r="F530" s="7" t="n">
        <v>0</v>
      </c>
      <c r="H530" s="7" t="n">
        <v>21500</v>
      </c>
      <c r="I530" s="7" t="n">
        <v>0</v>
      </c>
      <c r="L530" s="7"/>
      <c r="S530" s="7" t="n">
        <v>3</v>
      </c>
      <c r="T530" s="7" t="n">
        <v>6</v>
      </c>
      <c r="U530" s="7" t="n">
        <v>6</v>
      </c>
      <c r="V530" s="9" t="n">
        <v>0</v>
      </c>
    </row>
    <row r="531">
      <c r="A531" s="7" t="s">
        <v>74</v>
      </c>
      <c r="B531" s="7" t="s">
        <v>52</v>
      </c>
      <c r="C531" s="7" t="s">
        <v>53</v>
      </c>
      <c r="D531" s="7" t="s">
        <v>31</v>
      </c>
      <c r="E531" s="8" t="n">
        <v>46143</v>
      </c>
      <c r="F531" s="7" t="n">
        <v>0</v>
      </c>
      <c r="H531" s="7" t="n">
        <v>21500</v>
      </c>
      <c r="I531" s="7" t="n">
        <v>24829</v>
      </c>
      <c r="J531" s="7" t="s">
        <v>2</v>
      </c>
      <c r="K531" s="7" t="s">
        <v>2</v>
      </c>
      <c r="L531" s="7" t="s">
        <v>4</v>
      </c>
      <c r="M531" s="7" t="n">
        <v>46329</v>
      </c>
      <c r="S531" s="7" t="n">
        <v>3</v>
      </c>
      <c r="T531" s="7" t="n">
        <v>6</v>
      </c>
      <c r="U531" s="7" t="n">
        <v>6</v>
      </c>
      <c r="V531" s="9" t="n">
        <v>1.1548372093023256</v>
      </c>
    </row>
    <row r="532">
      <c r="A532" s="7" t="s">
        <v>74</v>
      </c>
      <c r="B532" s="7" t="s">
        <v>52</v>
      </c>
      <c r="C532" s="7" t="s">
        <v>53</v>
      </c>
      <c r="D532" s="7" t="s">
        <v>31</v>
      </c>
      <c r="E532" s="8" t="n">
        <v>46174</v>
      </c>
      <c r="F532" s="7" t="n">
        <v>24829</v>
      </c>
      <c r="H532" s="7" t="n">
        <v>21500</v>
      </c>
      <c r="I532" s="7" t="n">
        <v>34665</v>
      </c>
      <c r="J532" s="7" t="s">
        <v>2</v>
      </c>
      <c r="K532" s="7" t="s">
        <v>2</v>
      </c>
      <c r="L532" s="7" t="s">
        <v>4</v>
      </c>
      <c r="M532" s="7" t="n">
        <v>31336</v>
      </c>
      <c r="S532" s="7" t="n">
        <v>3</v>
      </c>
      <c r="T532" s="7" t="n">
        <v>6</v>
      </c>
      <c r="U532" s="7" t="n">
        <v>6</v>
      </c>
      <c r="V532" s="9" t="n">
        <v>1.6123255813953488</v>
      </c>
    </row>
    <row r="533">
      <c r="A533" s="7" t="s">
        <v>74</v>
      </c>
      <c r="B533" s="7" t="s">
        <v>52</v>
      </c>
      <c r="C533" s="7" t="s">
        <v>53</v>
      </c>
      <c r="D533" s="7" t="s">
        <v>31</v>
      </c>
      <c r="E533" s="8" t="n">
        <v>46204</v>
      </c>
      <c r="F533" s="7" t="n">
        <v>34665</v>
      </c>
      <c r="H533" s="7" t="n">
        <v>21500</v>
      </c>
      <c r="I533" s="7" t="n">
        <v>13165</v>
      </c>
      <c r="L533" s="7"/>
      <c r="S533" s="7" t="n">
        <v>3</v>
      </c>
      <c r="T533" s="7" t="n">
        <v>6</v>
      </c>
      <c r="U533" s="7" t="n">
        <v>6</v>
      </c>
      <c r="V533" s="9" t="n">
        <v>0.61232558139534887</v>
      </c>
    </row>
    <row r="534">
      <c r="A534" s="7" t="s">
        <v>74</v>
      </c>
      <c r="B534" s="7" t="s">
        <v>52</v>
      </c>
      <c r="C534" s="7" t="s">
        <v>53</v>
      </c>
      <c r="D534" s="7" t="s">
        <v>31</v>
      </c>
      <c r="E534" s="8" t="n">
        <v>46235</v>
      </c>
      <c r="F534" s="7" t="n">
        <v>13165</v>
      </c>
      <c r="H534" s="7" t="n">
        <v>21500</v>
      </c>
      <c r="I534" s="7" t="n">
        <v>0</v>
      </c>
      <c r="L534" s="7"/>
      <c r="S534" s="7" t="n">
        <v>3</v>
      </c>
      <c r="T534" s="7" t="n">
        <v>6</v>
      </c>
      <c r="U534" s="7" t="n">
        <v>6</v>
      </c>
      <c r="V534" s="9" t="n">
        <v>0</v>
      </c>
    </row>
    <row r="535">
      <c r="A535" s="7" t="s">
        <v>165</v>
      </c>
      <c r="B535" s="7" t="s">
        <v>52</v>
      </c>
      <c r="C535" s="7" t="s">
        <v>53</v>
      </c>
      <c r="D535" s="7" t="s">
        <v>31</v>
      </c>
      <c r="E535" s="8" t="n">
        <v>45658</v>
      </c>
      <c r="H535" s="7" t="n">
        <v>483</v>
      </c>
      <c r="I535" s="7" t="n">
        <v>0</v>
      </c>
      <c r="L535" s="7"/>
      <c r="V535" s="9" t="n">
        <v>0</v>
      </c>
    </row>
    <row r="536">
      <c r="A536" s="7" t="s">
        <v>165</v>
      </c>
      <c r="B536" s="7" t="s">
        <v>52</v>
      </c>
      <c r="C536" s="7" t="s">
        <v>53</v>
      </c>
      <c r="D536" s="7" t="s">
        <v>31</v>
      </c>
      <c r="E536" s="8" t="n">
        <v>45689</v>
      </c>
      <c r="H536" s="7" t="n">
        <v>483</v>
      </c>
      <c r="I536" s="7" t="n">
        <v>0</v>
      </c>
      <c r="L536" s="7"/>
      <c r="V536" s="9" t="n">
        <v>0</v>
      </c>
    </row>
    <row r="537">
      <c r="A537" s="7" t="s">
        <v>165</v>
      </c>
      <c r="B537" s="7" t="s">
        <v>52</v>
      </c>
      <c r="C537" s="7" t="s">
        <v>53</v>
      </c>
      <c r="D537" s="7" t="s">
        <v>31</v>
      </c>
      <c r="E537" s="8" t="n">
        <v>45717</v>
      </c>
      <c r="H537" s="7" t="n">
        <v>483</v>
      </c>
      <c r="I537" s="7" t="n">
        <v>0</v>
      </c>
      <c r="L537" s="7"/>
      <c r="V537" s="9" t="n">
        <v>0</v>
      </c>
    </row>
    <row r="538">
      <c r="A538" s="7" t="s">
        <v>165</v>
      </c>
      <c r="B538" s="7" t="s">
        <v>52</v>
      </c>
      <c r="C538" s="7" t="s">
        <v>53</v>
      </c>
      <c r="D538" s="7" t="s">
        <v>31</v>
      </c>
      <c r="E538" s="8" t="n">
        <v>45748</v>
      </c>
      <c r="H538" s="7" t="n">
        <v>483</v>
      </c>
      <c r="I538" s="7" t="n">
        <v>0</v>
      </c>
      <c r="L538" s="7"/>
      <c r="V538" s="9" t="n">
        <v>0</v>
      </c>
    </row>
    <row r="539">
      <c r="A539" s="7" t="s">
        <v>165</v>
      </c>
      <c r="B539" s="7" t="s">
        <v>52</v>
      </c>
      <c r="C539" s="7" t="s">
        <v>53</v>
      </c>
      <c r="D539" s="7" t="s">
        <v>31</v>
      </c>
      <c r="E539" s="8" t="n">
        <v>45778</v>
      </c>
      <c r="H539" s="7" t="n">
        <v>483</v>
      </c>
      <c r="I539" s="7" t="n">
        <v>0</v>
      </c>
      <c r="L539" s="7"/>
      <c r="V539" s="9" t="n">
        <v>0</v>
      </c>
    </row>
    <row r="540">
      <c r="A540" s="7" t="s">
        <v>165</v>
      </c>
      <c r="B540" s="7" t="s">
        <v>52</v>
      </c>
      <c r="C540" s="7" t="s">
        <v>53</v>
      </c>
      <c r="D540" s="7" t="s">
        <v>31</v>
      </c>
      <c r="E540" s="8" t="n">
        <v>45809</v>
      </c>
      <c r="H540" s="7" t="n">
        <v>483</v>
      </c>
      <c r="I540" s="7" t="n">
        <v>0</v>
      </c>
      <c r="L540" s="7"/>
      <c r="V540" s="9" t="n">
        <v>0</v>
      </c>
    </row>
    <row r="541">
      <c r="A541" s="7" t="s">
        <v>165</v>
      </c>
      <c r="B541" s="7" t="s">
        <v>52</v>
      </c>
      <c r="C541" s="7" t="s">
        <v>53</v>
      </c>
      <c r="D541" s="7" t="s">
        <v>31</v>
      </c>
      <c r="E541" s="8" t="n">
        <v>45839</v>
      </c>
      <c r="H541" s="7" t="n">
        <v>483</v>
      </c>
      <c r="I541" s="7" t="n">
        <v>0</v>
      </c>
      <c r="L541" s="7"/>
      <c r="V541" s="9" t="n">
        <v>0</v>
      </c>
    </row>
    <row r="542">
      <c r="A542" s="7" t="s">
        <v>165</v>
      </c>
      <c r="B542" s="7" t="s">
        <v>52</v>
      </c>
      <c r="C542" s="7" t="s">
        <v>53</v>
      </c>
      <c r="D542" s="7" t="s">
        <v>31</v>
      </c>
      <c r="E542" s="8" t="n">
        <v>45870</v>
      </c>
      <c r="H542" s="7" t="n">
        <v>483</v>
      </c>
      <c r="I542" s="7" t="n">
        <v>0</v>
      </c>
      <c r="L542" s="7"/>
      <c r="V542" s="9" t="n">
        <v>0</v>
      </c>
    </row>
    <row r="543">
      <c r="A543" s="7" t="s">
        <v>165</v>
      </c>
      <c r="B543" s="7" t="s">
        <v>52</v>
      </c>
      <c r="C543" s="7" t="s">
        <v>53</v>
      </c>
      <c r="D543" s="7" t="s">
        <v>31</v>
      </c>
      <c r="E543" s="8" t="n">
        <v>45901</v>
      </c>
      <c r="H543" s="7" t="n">
        <v>483</v>
      </c>
      <c r="I543" s="7" t="n">
        <v>0</v>
      </c>
      <c r="L543" s="7"/>
      <c r="V543" s="9" t="n">
        <v>0</v>
      </c>
    </row>
    <row r="544">
      <c r="A544" s="7" t="s">
        <v>165</v>
      </c>
      <c r="B544" s="7" t="s">
        <v>52</v>
      </c>
      <c r="C544" s="7" t="s">
        <v>53</v>
      </c>
      <c r="D544" s="7" t="s">
        <v>31</v>
      </c>
      <c r="E544" s="8" t="n">
        <v>45931</v>
      </c>
      <c r="H544" s="7" t="n">
        <v>483</v>
      </c>
      <c r="I544" s="7" t="n">
        <v>0</v>
      </c>
      <c r="L544" s="7"/>
      <c r="V544" s="9" t="n">
        <v>0</v>
      </c>
    </row>
    <row r="545">
      <c r="A545" s="7" t="s">
        <v>165</v>
      </c>
      <c r="B545" s="7" t="s">
        <v>52</v>
      </c>
      <c r="C545" s="7" t="s">
        <v>53</v>
      </c>
      <c r="D545" s="7" t="s">
        <v>31</v>
      </c>
      <c r="E545" s="8" t="n">
        <v>45962</v>
      </c>
      <c r="H545" s="7" t="n">
        <v>483</v>
      </c>
      <c r="I545" s="7" t="n">
        <v>0</v>
      </c>
      <c r="L545" s="7"/>
      <c r="V545" s="9" t="n">
        <v>0</v>
      </c>
    </row>
    <row r="546">
      <c r="A546" s="7" t="s">
        <v>165</v>
      </c>
      <c r="B546" s="7" t="s">
        <v>52</v>
      </c>
      <c r="C546" s="7" t="s">
        <v>53</v>
      </c>
      <c r="D546" s="7" t="s">
        <v>31</v>
      </c>
      <c r="E546" s="8" t="n">
        <v>45992</v>
      </c>
      <c r="H546" s="7" t="n">
        <v>483</v>
      </c>
      <c r="I546" s="7" t="n">
        <v>0</v>
      </c>
      <c r="L546" s="7"/>
      <c r="V546" s="9" t="n">
        <v>0</v>
      </c>
    </row>
    <row r="547">
      <c r="A547" s="7" t="s">
        <v>166</v>
      </c>
      <c r="B547" s="7" t="s">
        <v>52</v>
      </c>
      <c r="C547" s="7" t="s">
        <v>53</v>
      </c>
      <c r="D547" s="7" t="s">
        <v>31</v>
      </c>
      <c r="E547" s="8" t="n">
        <v>45748</v>
      </c>
      <c r="F547" s="7" t="n">
        <v>87339</v>
      </c>
      <c r="H547" s="7" t="n">
        <v>10542</v>
      </c>
      <c r="I547" s="7" t="n">
        <v>76797</v>
      </c>
      <c r="L547" s="7"/>
      <c r="S547" s="7" t="n">
        <v>9</v>
      </c>
      <c r="T547" s="7" t="n">
        <v>15</v>
      </c>
      <c r="U547" s="7" t="n">
        <v>15</v>
      </c>
      <c r="V547" s="9" t="n">
        <v>7.2848605577689245</v>
      </c>
    </row>
    <row r="548">
      <c r="A548" s="7" t="s">
        <v>166</v>
      </c>
      <c r="B548" s="7" t="s">
        <v>52</v>
      </c>
      <c r="C548" s="7" t="s">
        <v>53</v>
      </c>
      <c r="D548" s="7" t="s">
        <v>31</v>
      </c>
      <c r="E548" s="8" t="n">
        <v>45778</v>
      </c>
      <c r="F548" s="7" t="n">
        <v>76797</v>
      </c>
      <c r="H548" s="7" t="n">
        <v>10542</v>
      </c>
      <c r="I548" s="7" t="n">
        <v>66255</v>
      </c>
      <c r="L548" s="7"/>
      <c r="S548" s="7" t="n">
        <v>9</v>
      </c>
      <c r="T548" s="7" t="n">
        <v>15</v>
      </c>
      <c r="U548" s="7" t="n">
        <v>15</v>
      </c>
      <c r="V548" s="9" t="n">
        <v>6.2848605577689245</v>
      </c>
    </row>
    <row r="549">
      <c r="A549" s="7" t="s">
        <v>166</v>
      </c>
      <c r="B549" s="7" t="s">
        <v>52</v>
      </c>
      <c r="C549" s="7" t="s">
        <v>53</v>
      </c>
      <c r="D549" s="7" t="s">
        <v>31</v>
      </c>
      <c r="E549" s="8" t="n">
        <v>45809</v>
      </c>
      <c r="F549" s="7" t="n">
        <v>66255</v>
      </c>
      <c r="H549" s="7" t="n">
        <v>10542</v>
      </c>
      <c r="I549" s="7" t="n">
        <v>55713</v>
      </c>
      <c r="L549" s="7"/>
      <c r="S549" s="7" t="n">
        <v>9</v>
      </c>
      <c r="T549" s="7" t="n">
        <v>15</v>
      </c>
      <c r="U549" s="7" t="n">
        <v>15</v>
      </c>
      <c r="V549" s="9" t="n">
        <v>5.2848605577689245</v>
      </c>
    </row>
    <row r="550">
      <c r="A550" s="7" t="s">
        <v>166</v>
      </c>
      <c r="B550" s="7" t="s">
        <v>52</v>
      </c>
      <c r="C550" s="7" t="s">
        <v>53</v>
      </c>
      <c r="D550" s="7" t="s">
        <v>31</v>
      </c>
      <c r="E550" s="8" t="n">
        <v>45839</v>
      </c>
      <c r="F550" s="7" t="n">
        <v>55713</v>
      </c>
      <c r="H550" s="7" t="n">
        <v>10542</v>
      </c>
      <c r="I550" s="7" t="n">
        <v>69471</v>
      </c>
      <c r="L550" s="7"/>
      <c r="M550" s="7" t="n">
        <v>24300</v>
      </c>
      <c r="S550" s="7" t="n">
        <v>9</v>
      </c>
      <c r="T550" s="7" t="n">
        <v>15</v>
      </c>
      <c r="U550" s="7" t="n">
        <v>15</v>
      </c>
      <c r="V550" s="9" t="n">
        <v>6.589926010244735</v>
      </c>
    </row>
    <row r="551">
      <c r="A551" s="7" t="s">
        <v>166</v>
      </c>
      <c r="B551" s="7" t="s">
        <v>52</v>
      </c>
      <c r="C551" s="7" t="s">
        <v>53</v>
      </c>
      <c r="D551" s="7" t="s">
        <v>31</v>
      </c>
      <c r="E551" s="8" t="n">
        <v>45870</v>
      </c>
      <c r="F551" s="7" t="n">
        <v>69471</v>
      </c>
      <c r="H551" s="7" t="n">
        <v>10542</v>
      </c>
      <c r="I551" s="7" t="n">
        <v>58929</v>
      </c>
      <c r="L551" s="7"/>
      <c r="S551" s="7" t="n">
        <v>9</v>
      </c>
      <c r="T551" s="7" t="n">
        <v>15</v>
      </c>
      <c r="U551" s="7" t="n">
        <v>15</v>
      </c>
      <c r="V551" s="9" t="n">
        <v>5.589926010244735</v>
      </c>
    </row>
    <row r="552">
      <c r="A552" s="7" t="s">
        <v>166</v>
      </c>
      <c r="B552" s="7" t="s">
        <v>52</v>
      </c>
      <c r="C552" s="7" t="s">
        <v>53</v>
      </c>
      <c r="D552" s="7" t="s">
        <v>31</v>
      </c>
      <c r="E552" s="8" t="n">
        <v>45901</v>
      </c>
      <c r="F552" s="7" t="n">
        <v>58929</v>
      </c>
      <c r="H552" s="7" t="n">
        <v>10542</v>
      </c>
      <c r="I552" s="7" t="n">
        <v>48387</v>
      </c>
      <c r="L552" s="7"/>
      <c r="S552" s="7" t="n">
        <v>9</v>
      </c>
      <c r="T552" s="7" t="n">
        <v>15</v>
      </c>
      <c r="U552" s="7" t="n">
        <v>15</v>
      </c>
      <c r="V552" s="9" t="n">
        <v>4.589926010244735</v>
      </c>
    </row>
    <row r="553">
      <c r="A553" s="7" t="s">
        <v>166</v>
      </c>
      <c r="B553" s="7" t="s">
        <v>52</v>
      </c>
      <c r="C553" s="7" t="s">
        <v>53</v>
      </c>
      <c r="D553" s="7" t="s">
        <v>31</v>
      </c>
      <c r="E553" s="8" t="n">
        <v>45931</v>
      </c>
      <c r="F553" s="7" t="n">
        <v>48387</v>
      </c>
      <c r="H553" s="7" t="n">
        <v>10542</v>
      </c>
      <c r="I553" s="7" t="n">
        <v>37845</v>
      </c>
      <c r="L553" s="7"/>
      <c r="S553" s="7" t="n">
        <v>9</v>
      </c>
      <c r="T553" s="7" t="n">
        <v>15</v>
      </c>
      <c r="U553" s="7" t="n">
        <v>15</v>
      </c>
      <c r="V553" s="9" t="n">
        <v>3.5899260102447355</v>
      </c>
    </row>
    <row r="554">
      <c r="A554" s="7" t="s">
        <v>166</v>
      </c>
      <c r="B554" s="7" t="s">
        <v>52</v>
      </c>
      <c r="C554" s="7" t="s">
        <v>53</v>
      </c>
      <c r="D554" s="7" t="s">
        <v>31</v>
      </c>
      <c r="E554" s="8" t="n">
        <v>45962</v>
      </c>
      <c r="F554" s="7" t="n">
        <v>37845</v>
      </c>
      <c r="H554" s="7" t="n">
        <v>10542</v>
      </c>
      <c r="I554" s="7" t="n">
        <v>27303</v>
      </c>
      <c r="L554" s="7"/>
      <c r="S554" s="7" t="n">
        <v>9</v>
      </c>
      <c r="T554" s="7" t="n">
        <v>15</v>
      </c>
      <c r="U554" s="7" t="n">
        <v>15</v>
      </c>
      <c r="V554" s="9" t="n">
        <v>2.5899260102447355</v>
      </c>
    </row>
    <row r="555">
      <c r="A555" s="7" t="s">
        <v>166</v>
      </c>
      <c r="B555" s="7" t="s">
        <v>52</v>
      </c>
      <c r="C555" s="7" t="s">
        <v>53</v>
      </c>
      <c r="D555" s="7" t="s">
        <v>31</v>
      </c>
      <c r="E555" s="8" t="n">
        <v>45992</v>
      </c>
      <c r="F555" s="7" t="n">
        <v>27303</v>
      </c>
      <c r="H555" s="7" t="n">
        <v>10542</v>
      </c>
      <c r="I555" s="7" t="n">
        <v>16761</v>
      </c>
      <c r="L555" s="7"/>
      <c r="S555" s="7" t="n">
        <v>9</v>
      </c>
      <c r="T555" s="7" t="n">
        <v>15</v>
      </c>
      <c r="U555" s="7" t="n">
        <v>15</v>
      </c>
      <c r="V555" s="9" t="n">
        <v>1.5899260102447355</v>
      </c>
    </row>
    <row r="556">
      <c r="A556" s="7" t="s">
        <v>77</v>
      </c>
      <c r="B556" s="7" t="s">
        <v>52</v>
      </c>
      <c r="C556" s="7" t="s">
        <v>53</v>
      </c>
      <c r="D556" s="7" t="s">
        <v>31</v>
      </c>
      <c r="E556" s="8" t="n">
        <v>45839</v>
      </c>
      <c r="F556" s="7" t="n">
        <v>0</v>
      </c>
      <c r="H556" s="7" t="n">
        <v>67977</v>
      </c>
      <c r="I556" s="7" t="n">
        <v>0</v>
      </c>
      <c r="L556" s="7"/>
      <c r="S556" s="7" t="n">
        <v>6</v>
      </c>
      <c r="T556" s="7" t="n">
        <v>12</v>
      </c>
      <c r="U556" s="7" t="n">
        <v>12</v>
      </c>
      <c r="V556" s="9" t="n">
        <v>0</v>
      </c>
    </row>
    <row r="557">
      <c r="A557" s="7" t="s">
        <v>77</v>
      </c>
      <c r="B557" s="7" t="s">
        <v>52</v>
      </c>
      <c r="C557" s="7" t="s">
        <v>53</v>
      </c>
      <c r="D557" s="7" t="s">
        <v>31</v>
      </c>
      <c r="E557" s="8" t="n">
        <v>45870</v>
      </c>
      <c r="F557" s="7" t="n">
        <v>0</v>
      </c>
      <c r="H557" s="7" t="n">
        <v>67977</v>
      </c>
      <c r="I557" s="7" t="n">
        <v>0</v>
      </c>
      <c r="L557" s="7"/>
      <c r="S557" s="7" t="n">
        <v>6</v>
      </c>
      <c r="T557" s="7" t="n">
        <v>12</v>
      </c>
      <c r="U557" s="7" t="n">
        <v>12</v>
      </c>
      <c r="V557" s="9" t="n">
        <v>0</v>
      </c>
    </row>
    <row r="558">
      <c r="A558" s="7" t="s">
        <v>77</v>
      </c>
      <c r="B558" s="7" t="s">
        <v>52</v>
      </c>
      <c r="C558" s="7" t="s">
        <v>53</v>
      </c>
      <c r="D558" s="7" t="s">
        <v>31</v>
      </c>
      <c r="E558" s="8" t="n">
        <v>45901</v>
      </c>
      <c r="F558" s="7" t="n">
        <v>0</v>
      </c>
      <c r="H558" s="7" t="n">
        <v>67977</v>
      </c>
      <c r="I558" s="7" t="n">
        <v>599823</v>
      </c>
      <c r="J558" s="7" t="s">
        <v>51</v>
      </c>
      <c r="K558" s="7" t="s">
        <v>51</v>
      </c>
      <c r="L558" s="7" t="s">
        <v>154</v>
      </c>
      <c r="M558" s="7" t="n">
        <v>667800</v>
      </c>
      <c r="S558" s="7" t="n">
        <v>6</v>
      </c>
      <c r="T558" s="7" t="n">
        <v>12</v>
      </c>
      <c r="U558" s="7" t="n">
        <v>12</v>
      </c>
      <c r="V558" s="9" t="n">
        <v>8.823911028730306</v>
      </c>
    </row>
    <row r="559">
      <c r="A559" s="7" t="s">
        <v>77</v>
      </c>
      <c r="B559" s="7" t="s">
        <v>52</v>
      </c>
      <c r="C559" s="7" t="s">
        <v>53</v>
      </c>
      <c r="D559" s="7" t="s">
        <v>31</v>
      </c>
      <c r="E559" s="8" t="n">
        <v>45931</v>
      </c>
      <c r="F559" s="7" t="n">
        <v>599823</v>
      </c>
      <c r="H559" s="7" t="n">
        <v>67977</v>
      </c>
      <c r="I559" s="7" t="n">
        <v>531846</v>
      </c>
      <c r="L559" s="7"/>
      <c r="S559" s="7" t="n">
        <v>6</v>
      </c>
      <c r="T559" s="7" t="n">
        <v>12</v>
      </c>
      <c r="U559" s="7" t="n">
        <v>12</v>
      </c>
      <c r="V559" s="9" t="n">
        <v>7.823911028730306</v>
      </c>
    </row>
    <row r="560">
      <c r="A560" s="7" t="s">
        <v>77</v>
      </c>
      <c r="B560" s="7" t="s">
        <v>52</v>
      </c>
      <c r="C560" s="7" t="s">
        <v>53</v>
      </c>
      <c r="D560" s="7" t="s">
        <v>31</v>
      </c>
      <c r="E560" s="8" t="n">
        <v>45962</v>
      </c>
      <c r="F560" s="7" t="n">
        <v>531846</v>
      </c>
      <c r="H560" s="7" t="n">
        <v>67977</v>
      </c>
      <c r="I560" s="7" t="n">
        <v>463869</v>
      </c>
      <c r="L560" s="7"/>
      <c r="S560" s="7" t="n">
        <v>6</v>
      </c>
      <c r="T560" s="7" t="n">
        <v>12</v>
      </c>
      <c r="U560" s="7" t="n">
        <v>12</v>
      </c>
      <c r="V560" s="9" t="n">
        <v>6.823911028730306</v>
      </c>
    </row>
    <row r="561">
      <c r="A561" s="7" t="s">
        <v>77</v>
      </c>
      <c r="B561" s="7" t="s">
        <v>52</v>
      </c>
      <c r="C561" s="7" t="s">
        <v>53</v>
      </c>
      <c r="D561" s="7" t="s">
        <v>31</v>
      </c>
      <c r="E561" s="8" t="n">
        <v>45992</v>
      </c>
      <c r="F561" s="7" t="n">
        <v>463869</v>
      </c>
      <c r="H561" s="7" t="n">
        <v>67977</v>
      </c>
      <c r="I561" s="7" t="n">
        <v>395892</v>
      </c>
      <c r="L561" s="7"/>
      <c r="S561" s="7" t="n">
        <v>6</v>
      </c>
      <c r="T561" s="7" t="n">
        <v>12</v>
      </c>
      <c r="U561" s="7" t="n">
        <v>12</v>
      </c>
      <c r="V561" s="9" t="n">
        <v>5.823911028730306</v>
      </c>
    </row>
    <row r="562">
      <c r="A562" s="7" t="s">
        <v>77</v>
      </c>
      <c r="B562" s="7" t="s">
        <v>52</v>
      </c>
      <c r="C562" s="7" t="s">
        <v>53</v>
      </c>
      <c r="D562" s="7" t="s">
        <v>31</v>
      </c>
      <c r="E562" s="8" t="n">
        <v>46023</v>
      </c>
      <c r="F562" s="7" t="n">
        <v>395892</v>
      </c>
      <c r="H562" s="7" t="n">
        <v>67977</v>
      </c>
      <c r="I562" s="7" t="n">
        <v>327915</v>
      </c>
      <c r="L562" s="7"/>
      <c r="S562" s="7" t="n">
        <v>6</v>
      </c>
      <c r="T562" s="7" t="n">
        <v>12</v>
      </c>
      <c r="U562" s="7" t="n">
        <v>12</v>
      </c>
      <c r="V562" s="9" t="n">
        <v>4.823911028730306</v>
      </c>
    </row>
    <row r="563">
      <c r="A563" s="7" t="s">
        <v>77</v>
      </c>
      <c r="B563" s="7" t="s">
        <v>52</v>
      </c>
      <c r="C563" s="7" t="s">
        <v>53</v>
      </c>
      <c r="D563" s="7" t="s">
        <v>31</v>
      </c>
      <c r="E563" s="8" t="n">
        <v>46054</v>
      </c>
      <c r="F563" s="7" t="n">
        <v>327915</v>
      </c>
      <c r="H563" s="7" t="n">
        <v>67977</v>
      </c>
      <c r="I563" s="7" t="n">
        <v>259938</v>
      </c>
      <c r="L563" s="7"/>
      <c r="S563" s="7" t="n">
        <v>6</v>
      </c>
      <c r="T563" s="7" t="n">
        <v>12</v>
      </c>
      <c r="U563" s="7" t="n">
        <v>12</v>
      </c>
      <c r="V563" s="9" t="n">
        <v>3.823911028730306</v>
      </c>
    </row>
    <row r="564">
      <c r="A564" s="7" t="s">
        <v>77</v>
      </c>
      <c r="B564" s="7" t="s">
        <v>52</v>
      </c>
      <c r="C564" s="7" t="s">
        <v>53</v>
      </c>
      <c r="D564" s="7" t="s">
        <v>31</v>
      </c>
      <c r="E564" s="8" t="n">
        <v>46082</v>
      </c>
      <c r="F564" s="7" t="n">
        <v>259938</v>
      </c>
      <c r="H564" s="7" t="n">
        <v>67977</v>
      </c>
      <c r="I564" s="7" t="n">
        <v>191961</v>
      </c>
      <c r="L564" s="7"/>
      <c r="S564" s="7" t="n">
        <v>6</v>
      </c>
      <c r="T564" s="7" t="n">
        <v>12</v>
      </c>
      <c r="U564" s="7" t="n">
        <v>12</v>
      </c>
      <c r="V564" s="9" t="n">
        <v>2.823911028730306</v>
      </c>
    </row>
    <row r="565">
      <c r="A565" s="7" t="s">
        <v>77</v>
      </c>
      <c r="B565" s="7" t="s">
        <v>52</v>
      </c>
      <c r="C565" s="7" t="s">
        <v>53</v>
      </c>
      <c r="D565" s="7" t="s">
        <v>31</v>
      </c>
      <c r="E565" s="8" t="n">
        <v>46113</v>
      </c>
      <c r="F565" s="7" t="n">
        <v>191961</v>
      </c>
      <c r="H565" s="7" t="n">
        <v>67977</v>
      </c>
      <c r="I565" s="7" t="n">
        <v>123984</v>
      </c>
      <c r="L565" s="7"/>
      <c r="S565" s="7" t="n">
        <v>6</v>
      </c>
      <c r="T565" s="7" t="n">
        <v>12</v>
      </c>
      <c r="U565" s="7" t="n">
        <v>12</v>
      </c>
      <c r="V565" s="9" t="n">
        <v>1.8239110287303058</v>
      </c>
    </row>
    <row r="566">
      <c r="A566" s="7" t="s">
        <v>77</v>
      </c>
      <c r="B566" s="7" t="s">
        <v>52</v>
      </c>
      <c r="C566" s="7" t="s">
        <v>53</v>
      </c>
      <c r="D566" s="7" t="s">
        <v>31</v>
      </c>
      <c r="E566" s="8" t="n">
        <v>46143</v>
      </c>
      <c r="F566" s="7" t="n">
        <v>123984</v>
      </c>
      <c r="H566" s="7" t="n">
        <v>67977</v>
      </c>
      <c r="I566" s="7" t="n">
        <v>56007</v>
      </c>
      <c r="L566" s="7"/>
      <c r="S566" s="7" t="n">
        <v>6</v>
      </c>
      <c r="T566" s="7" t="n">
        <v>12</v>
      </c>
      <c r="U566" s="7" t="n">
        <v>12</v>
      </c>
      <c r="V566" s="9" t="n">
        <v>0.82391102873030586</v>
      </c>
    </row>
    <row r="567">
      <c r="A567" s="7" t="s">
        <v>77</v>
      </c>
      <c r="B567" s="7" t="s">
        <v>52</v>
      </c>
      <c r="C567" s="7" t="s">
        <v>53</v>
      </c>
      <c r="D567" s="7" t="s">
        <v>31</v>
      </c>
      <c r="E567" s="8" t="n">
        <v>46174</v>
      </c>
      <c r="F567" s="7" t="n">
        <v>56007</v>
      </c>
      <c r="H567" s="7" t="n">
        <v>67977</v>
      </c>
      <c r="I567" s="7" t="n">
        <v>0</v>
      </c>
      <c r="L567" s="7"/>
      <c r="S567" s="7" t="n">
        <v>6</v>
      </c>
      <c r="T567" s="7" t="n">
        <v>12</v>
      </c>
      <c r="U567" s="7" t="n">
        <v>12</v>
      </c>
      <c r="V567" s="9" t="n">
        <v>0</v>
      </c>
    </row>
    <row r="568">
      <c r="A568" s="7" t="s">
        <v>28</v>
      </c>
      <c r="B568" s="7" t="s">
        <v>34</v>
      </c>
      <c r="C568" s="7" t="s">
        <v>35</v>
      </c>
      <c r="D568" s="7" t="s">
        <v>31</v>
      </c>
      <c r="E568" s="8" t="n">
        <v>45839</v>
      </c>
      <c r="F568" s="7" t="n">
        <v>1408</v>
      </c>
      <c r="H568" s="7" t="n">
        <v>58</v>
      </c>
      <c r="I568" s="7" t="n">
        <v>1350</v>
      </c>
      <c r="L568" s="7"/>
      <c r="S568" s="7" t="n">
        <v>9</v>
      </c>
      <c r="T568" s="7" t="n">
        <v>14</v>
      </c>
      <c r="U568" s="7" t="n">
        <v>13</v>
      </c>
      <c r="V568" s="9" t="n">
        <v>23.275862068965516</v>
      </c>
    </row>
    <row r="569">
      <c r="A569" s="7" t="s">
        <v>28</v>
      </c>
      <c r="B569" s="7" t="s">
        <v>34</v>
      </c>
      <c r="C569" s="7" t="s">
        <v>35</v>
      </c>
      <c r="D569" s="7" t="s">
        <v>31</v>
      </c>
      <c r="E569" s="8" t="n">
        <v>45870</v>
      </c>
      <c r="F569" s="7" t="n">
        <v>1350</v>
      </c>
      <c r="H569" s="7" t="n">
        <v>58</v>
      </c>
      <c r="I569" s="7" t="n">
        <v>1292</v>
      </c>
      <c r="L569" s="7"/>
      <c r="S569" s="7" t="n">
        <v>9</v>
      </c>
      <c r="T569" s="7" t="n">
        <v>14</v>
      </c>
      <c r="U569" s="7" t="n">
        <v>13</v>
      </c>
      <c r="V569" s="9" t="n">
        <v>22.275862068965516</v>
      </c>
    </row>
    <row r="570">
      <c r="A570" s="7" t="s">
        <v>28</v>
      </c>
      <c r="B570" s="7" t="s">
        <v>34</v>
      </c>
      <c r="C570" s="7" t="s">
        <v>35</v>
      </c>
      <c r="D570" s="7" t="s">
        <v>31</v>
      </c>
      <c r="E570" s="8" t="n">
        <v>45901</v>
      </c>
      <c r="F570" s="7" t="n">
        <v>1292</v>
      </c>
      <c r="H570" s="7" t="n">
        <v>58</v>
      </c>
      <c r="I570" s="7" t="n">
        <v>1234</v>
      </c>
      <c r="L570" s="7"/>
      <c r="S570" s="7" t="n">
        <v>9</v>
      </c>
      <c r="T570" s="7" t="n">
        <v>14</v>
      </c>
      <c r="U570" s="7" t="n">
        <v>13</v>
      </c>
      <c r="V570" s="9" t="n">
        <v>21.275862068965516</v>
      </c>
    </row>
    <row r="571">
      <c r="A571" s="7" t="s">
        <v>28</v>
      </c>
      <c r="B571" s="7" t="s">
        <v>34</v>
      </c>
      <c r="C571" s="7" t="s">
        <v>35</v>
      </c>
      <c r="D571" s="7" t="s">
        <v>31</v>
      </c>
      <c r="E571" s="8" t="n">
        <v>45931</v>
      </c>
      <c r="F571" s="7" t="n">
        <v>1234</v>
      </c>
      <c r="H571" s="7" t="n">
        <v>58</v>
      </c>
      <c r="I571" s="7" t="n">
        <v>1176</v>
      </c>
      <c r="L571" s="7"/>
      <c r="S571" s="7" t="n">
        <v>9</v>
      </c>
      <c r="T571" s="7" t="n">
        <v>14</v>
      </c>
      <c r="U571" s="7" t="n">
        <v>13</v>
      </c>
      <c r="V571" s="9" t="n">
        <v>20.275862068965516</v>
      </c>
    </row>
    <row r="572">
      <c r="A572" s="7" t="s">
        <v>28</v>
      </c>
      <c r="B572" s="7" t="s">
        <v>34</v>
      </c>
      <c r="C572" s="7" t="s">
        <v>35</v>
      </c>
      <c r="D572" s="7" t="s">
        <v>31</v>
      </c>
      <c r="E572" s="8" t="n">
        <v>45962</v>
      </c>
      <c r="F572" s="7" t="n">
        <v>1176</v>
      </c>
      <c r="H572" s="7" t="n">
        <v>58</v>
      </c>
      <c r="I572" s="7" t="n">
        <v>1118</v>
      </c>
      <c r="L572" s="7"/>
      <c r="S572" s="7" t="n">
        <v>9</v>
      </c>
      <c r="T572" s="7" t="n">
        <v>14</v>
      </c>
      <c r="U572" s="7" t="n">
        <v>13</v>
      </c>
      <c r="V572" s="9" t="n">
        <v>19.275862068965516</v>
      </c>
    </row>
    <row r="573">
      <c r="A573" s="7" t="s">
        <v>28</v>
      </c>
      <c r="B573" s="7" t="s">
        <v>34</v>
      </c>
      <c r="C573" s="7" t="s">
        <v>35</v>
      </c>
      <c r="D573" s="7" t="s">
        <v>31</v>
      </c>
      <c r="E573" s="8" t="n">
        <v>45992</v>
      </c>
      <c r="F573" s="7" t="n">
        <v>1118</v>
      </c>
      <c r="H573" s="7" t="n">
        <v>58</v>
      </c>
      <c r="I573" s="7" t="n">
        <v>1060</v>
      </c>
      <c r="L573" s="7"/>
      <c r="S573" s="7" t="n">
        <v>9</v>
      </c>
      <c r="T573" s="7" t="n">
        <v>14</v>
      </c>
      <c r="U573" s="7" t="n">
        <v>13</v>
      </c>
      <c r="V573" s="9" t="n">
        <v>18.275862068965516</v>
      </c>
    </row>
    <row r="574">
      <c r="A574" s="7" t="s">
        <v>28</v>
      </c>
      <c r="B574" s="7" t="s">
        <v>34</v>
      </c>
      <c r="C574" s="7" t="s">
        <v>35</v>
      </c>
      <c r="D574" s="7" t="s">
        <v>31</v>
      </c>
      <c r="E574" s="8" t="n">
        <v>46023</v>
      </c>
      <c r="F574" s="7" t="n">
        <v>1060</v>
      </c>
      <c r="H574" s="7" t="n">
        <v>58</v>
      </c>
      <c r="I574" s="7" t="n">
        <v>1002</v>
      </c>
      <c r="L574" s="7"/>
      <c r="S574" s="7" t="n">
        <v>9</v>
      </c>
      <c r="T574" s="7" t="n">
        <v>14</v>
      </c>
      <c r="U574" s="7" t="n">
        <v>13</v>
      </c>
      <c r="V574" s="9" t="n">
        <v>17.275862068965516</v>
      </c>
    </row>
    <row r="575">
      <c r="A575" s="7" t="s">
        <v>28</v>
      </c>
      <c r="B575" s="7" t="s">
        <v>34</v>
      </c>
      <c r="C575" s="7" t="s">
        <v>35</v>
      </c>
      <c r="D575" s="7" t="s">
        <v>31</v>
      </c>
      <c r="E575" s="8" t="n">
        <v>46054</v>
      </c>
      <c r="F575" s="7" t="n">
        <v>1002</v>
      </c>
      <c r="H575" s="7" t="n">
        <v>58</v>
      </c>
      <c r="I575" s="7" t="n">
        <v>944</v>
      </c>
      <c r="L575" s="7"/>
      <c r="S575" s="7" t="n">
        <v>9</v>
      </c>
      <c r="T575" s="7" t="n">
        <v>14</v>
      </c>
      <c r="U575" s="7" t="n">
        <v>13</v>
      </c>
      <c r="V575" s="9" t="n">
        <v>16.275862068965516</v>
      </c>
    </row>
    <row r="576">
      <c r="A576" s="7" t="s">
        <v>28</v>
      </c>
      <c r="B576" s="7" t="s">
        <v>34</v>
      </c>
      <c r="C576" s="7" t="s">
        <v>35</v>
      </c>
      <c r="D576" s="7" t="s">
        <v>31</v>
      </c>
      <c r="E576" s="8" t="n">
        <v>46082</v>
      </c>
      <c r="F576" s="7" t="n">
        <v>944</v>
      </c>
      <c r="H576" s="7" t="n">
        <v>58</v>
      </c>
      <c r="I576" s="7" t="n">
        <v>886</v>
      </c>
      <c r="L576" s="7"/>
      <c r="S576" s="7" t="n">
        <v>9</v>
      </c>
      <c r="T576" s="7" t="n">
        <v>14</v>
      </c>
      <c r="U576" s="7" t="n">
        <v>13</v>
      </c>
      <c r="V576" s="9" t="n">
        <v>15.275862068965518</v>
      </c>
    </row>
    <row r="577">
      <c r="A577" s="7" t="s">
        <v>28</v>
      </c>
      <c r="B577" s="7" t="s">
        <v>34</v>
      </c>
      <c r="C577" s="7" t="s">
        <v>35</v>
      </c>
      <c r="D577" s="7" t="s">
        <v>31</v>
      </c>
      <c r="E577" s="8" t="n">
        <v>46113</v>
      </c>
      <c r="F577" s="7" t="n">
        <v>886</v>
      </c>
      <c r="H577" s="7" t="n">
        <v>58</v>
      </c>
      <c r="I577" s="7" t="n">
        <v>828</v>
      </c>
      <c r="L577" s="7"/>
      <c r="S577" s="7" t="n">
        <v>9</v>
      </c>
      <c r="T577" s="7" t="n">
        <v>14</v>
      </c>
      <c r="U577" s="7" t="n">
        <v>13</v>
      </c>
      <c r="V577" s="9" t="n">
        <v>14.275862068965518</v>
      </c>
    </row>
    <row r="578">
      <c r="A578" s="7" t="s">
        <v>28</v>
      </c>
      <c r="B578" s="7" t="s">
        <v>34</v>
      </c>
      <c r="C578" s="7" t="s">
        <v>35</v>
      </c>
      <c r="D578" s="7" t="s">
        <v>31</v>
      </c>
      <c r="E578" s="8" t="n">
        <v>46143</v>
      </c>
      <c r="F578" s="7" t="n">
        <v>828</v>
      </c>
      <c r="H578" s="7" t="n">
        <v>58</v>
      </c>
      <c r="I578" s="7" t="n">
        <v>770</v>
      </c>
      <c r="L578" s="7"/>
      <c r="S578" s="7" t="n">
        <v>9</v>
      </c>
      <c r="T578" s="7" t="n">
        <v>14</v>
      </c>
      <c r="U578" s="7" t="n">
        <v>13</v>
      </c>
      <c r="V578" s="9" t="n">
        <v>13.275862068965518</v>
      </c>
    </row>
    <row r="579">
      <c r="A579" s="7" t="s">
        <v>28</v>
      </c>
      <c r="B579" s="7" t="s">
        <v>34</v>
      </c>
      <c r="C579" s="7" t="s">
        <v>35</v>
      </c>
      <c r="D579" s="7" t="s">
        <v>31</v>
      </c>
      <c r="E579" s="8" t="n">
        <v>46174</v>
      </c>
      <c r="F579" s="7" t="n">
        <v>770</v>
      </c>
      <c r="H579" s="7" t="n">
        <v>58</v>
      </c>
      <c r="I579" s="7" t="n">
        <v>712</v>
      </c>
      <c r="L579" s="7"/>
      <c r="S579" s="7" t="n">
        <v>9</v>
      </c>
      <c r="T579" s="7" t="n">
        <v>14</v>
      </c>
      <c r="U579" s="7" t="n">
        <v>13</v>
      </c>
      <c r="V579" s="9" t="n">
        <v>12.275862068965518</v>
      </c>
    </row>
    <row r="580">
      <c r="A580" s="7" t="s">
        <v>75</v>
      </c>
      <c r="B580" s="7" t="s">
        <v>34</v>
      </c>
      <c r="C580" s="7" t="s">
        <v>35</v>
      </c>
      <c r="D580" s="7" t="s">
        <v>31</v>
      </c>
      <c r="E580" s="8" t="n">
        <v>45748</v>
      </c>
      <c r="F580" s="7" t="n">
        <v>331</v>
      </c>
      <c r="H580" s="7" t="n">
        <v>34</v>
      </c>
      <c r="I580" s="7" t="n">
        <v>297</v>
      </c>
      <c r="L580" s="7"/>
      <c r="S580" s="7" t="n">
        <v>7</v>
      </c>
      <c r="T580" s="7" t="n">
        <v>15</v>
      </c>
      <c r="U580" s="7" t="n">
        <v>15</v>
      </c>
      <c r="V580" s="9" t="n">
        <v>8.735294117647058</v>
      </c>
    </row>
    <row r="581">
      <c r="A581" s="7" t="s">
        <v>75</v>
      </c>
      <c r="B581" s="7" t="s">
        <v>34</v>
      </c>
      <c r="C581" s="7" t="s">
        <v>35</v>
      </c>
      <c r="D581" s="7" t="s">
        <v>31</v>
      </c>
      <c r="E581" s="8" t="n">
        <v>45778</v>
      </c>
      <c r="F581" s="7" t="n">
        <v>297</v>
      </c>
      <c r="H581" s="7" t="n">
        <v>31</v>
      </c>
      <c r="I581" s="7" t="n">
        <v>266</v>
      </c>
      <c r="L581" s="7"/>
      <c r="S581" s="7" t="n">
        <v>7</v>
      </c>
      <c r="T581" s="7" t="n">
        <v>15</v>
      </c>
      <c r="U581" s="7" t="n">
        <v>15</v>
      </c>
      <c r="V581" s="9" t="n">
        <v>8.5806451612903221</v>
      </c>
    </row>
    <row r="582">
      <c r="A582" s="7" t="s">
        <v>75</v>
      </c>
      <c r="B582" s="7" t="s">
        <v>34</v>
      </c>
      <c r="C582" s="7" t="s">
        <v>35</v>
      </c>
      <c r="D582" s="7" t="s">
        <v>31</v>
      </c>
      <c r="E582" s="8" t="n">
        <v>45809</v>
      </c>
      <c r="F582" s="7" t="n">
        <v>266</v>
      </c>
      <c r="H582" s="7" t="n">
        <v>32</v>
      </c>
      <c r="I582" s="7" t="n">
        <v>234</v>
      </c>
      <c r="L582" s="7"/>
      <c r="S582" s="7" t="n">
        <v>7</v>
      </c>
      <c r="T582" s="7" t="n">
        <v>15</v>
      </c>
      <c r="U582" s="7" t="n">
        <v>15</v>
      </c>
      <c r="V582" s="9" t="n">
        <v>7.3125</v>
      </c>
    </row>
    <row r="583">
      <c r="A583" s="7" t="s">
        <v>75</v>
      </c>
      <c r="B583" s="7" t="s">
        <v>34</v>
      </c>
      <c r="C583" s="7" t="s">
        <v>35</v>
      </c>
      <c r="D583" s="7" t="s">
        <v>31</v>
      </c>
      <c r="E583" s="8" t="n">
        <v>45839</v>
      </c>
      <c r="F583" s="7" t="n">
        <v>234</v>
      </c>
      <c r="H583" s="7" t="n">
        <v>32</v>
      </c>
      <c r="I583" s="7" t="n">
        <v>202</v>
      </c>
      <c r="L583" s="7"/>
      <c r="S583" s="7" t="n">
        <v>7</v>
      </c>
      <c r="T583" s="7" t="n">
        <v>15</v>
      </c>
      <c r="U583" s="7" t="n">
        <v>15</v>
      </c>
      <c r="V583" s="9" t="n">
        <v>6.3125</v>
      </c>
    </row>
    <row r="584">
      <c r="A584" s="7" t="s">
        <v>75</v>
      </c>
      <c r="B584" s="7" t="s">
        <v>34</v>
      </c>
      <c r="C584" s="7" t="s">
        <v>35</v>
      </c>
      <c r="D584" s="7" t="s">
        <v>31</v>
      </c>
      <c r="E584" s="8" t="n">
        <v>45870</v>
      </c>
      <c r="F584" s="7" t="n">
        <v>202</v>
      </c>
      <c r="H584" s="7" t="n">
        <v>33</v>
      </c>
      <c r="I584" s="7" t="n">
        <v>169</v>
      </c>
      <c r="L584" s="7"/>
      <c r="S584" s="7" t="n">
        <v>7</v>
      </c>
      <c r="T584" s="7" t="n">
        <v>15</v>
      </c>
      <c r="U584" s="7" t="n">
        <v>15</v>
      </c>
      <c r="V584" s="9" t="n">
        <v>5.1212121212121211</v>
      </c>
    </row>
    <row r="585">
      <c r="A585" s="7" t="s">
        <v>75</v>
      </c>
      <c r="B585" s="7" t="s">
        <v>34</v>
      </c>
      <c r="C585" s="7" t="s">
        <v>35</v>
      </c>
      <c r="D585" s="7" t="s">
        <v>31</v>
      </c>
      <c r="E585" s="8" t="n">
        <v>45901</v>
      </c>
      <c r="F585" s="7" t="n">
        <v>169</v>
      </c>
      <c r="H585" s="7" t="n">
        <v>32</v>
      </c>
      <c r="I585" s="7" t="n">
        <v>137</v>
      </c>
      <c r="L585" s="7"/>
      <c r="S585" s="7" t="n">
        <v>7</v>
      </c>
      <c r="T585" s="7" t="n">
        <v>15</v>
      </c>
      <c r="U585" s="7" t="n">
        <v>15</v>
      </c>
      <c r="V585" s="9" t="n">
        <v>4.28125</v>
      </c>
    </row>
    <row r="586">
      <c r="A586" s="7" t="s">
        <v>75</v>
      </c>
      <c r="B586" s="7" t="s">
        <v>34</v>
      </c>
      <c r="C586" s="7" t="s">
        <v>35</v>
      </c>
      <c r="D586" s="7" t="s">
        <v>31</v>
      </c>
      <c r="E586" s="8" t="n">
        <v>45931</v>
      </c>
      <c r="F586" s="7" t="n">
        <v>137</v>
      </c>
      <c r="H586" s="7" t="n">
        <v>32</v>
      </c>
      <c r="I586" s="7" t="n">
        <v>105</v>
      </c>
      <c r="L586" s="7"/>
      <c r="S586" s="7" t="n">
        <v>7</v>
      </c>
      <c r="T586" s="7" t="n">
        <v>15</v>
      </c>
      <c r="U586" s="7" t="n">
        <v>15</v>
      </c>
      <c r="V586" s="9" t="n">
        <v>3.28125</v>
      </c>
    </row>
    <row r="587">
      <c r="A587" s="7" t="s">
        <v>75</v>
      </c>
      <c r="B587" s="7" t="s">
        <v>34</v>
      </c>
      <c r="C587" s="7" t="s">
        <v>35</v>
      </c>
      <c r="D587" s="7" t="s">
        <v>31</v>
      </c>
      <c r="E587" s="8" t="n">
        <v>45962</v>
      </c>
      <c r="F587" s="7" t="n">
        <v>105</v>
      </c>
      <c r="H587" s="7" t="n">
        <v>32</v>
      </c>
      <c r="I587" s="7" t="n">
        <v>487</v>
      </c>
      <c r="L587" s="7" t="s">
        <v>4</v>
      </c>
      <c r="M587" s="7" t="n">
        <v>414</v>
      </c>
      <c r="S587" s="7" t="n">
        <v>7</v>
      </c>
      <c r="T587" s="7" t="n">
        <v>15</v>
      </c>
      <c r="U587" s="7" t="n">
        <v>15</v>
      </c>
      <c r="V587" s="9" t="n">
        <v>15.21875</v>
      </c>
    </row>
    <row r="588">
      <c r="A588" s="7" t="s">
        <v>75</v>
      </c>
      <c r="B588" s="7" t="s">
        <v>34</v>
      </c>
      <c r="C588" s="7" t="s">
        <v>35</v>
      </c>
      <c r="D588" s="7" t="s">
        <v>31</v>
      </c>
      <c r="E588" s="8" t="n">
        <v>45992</v>
      </c>
      <c r="F588" s="7" t="n">
        <v>487</v>
      </c>
      <c r="H588" s="7" t="n">
        <v>32</v>
      </c>
      <c r="I588" s="7" t="n">
        <v>455</v>
      </c>
      <c r="L588" s="7"/>
      <c r="S588" s="7" t="n">
        <v>7</v>
      </c>
      <c r="T588" s="7" t="n">
        <v>15</v>
      </c>
      <c r="U588" s="7" t="n">
        <v>15</v>
      </c>
      <c r="V588" s="9" t="n">
        <v>14.21875</v>
      </c>
    </row>
    <row r="589">
      <c r="A589" s="7" t="s">
        <v>75</v>
      </c>
      <c r="B589" s="7" t="s">
        <v>34</v>
      </c>
      <c r="C589" s="7" t="s">
        <v>35</v>
      </c>
      <c r="D589" s="7" t="s">
        <v>31</v>
      </c>
      <c r="E589" s="8" t="n">
        <v>46023</v>
      </c>
      <c r="F589" s="7" t="n">
        <v>455</v>
      </c>
      <c r="H589" s="7" t="n">
        <v>32</v>
      </c>
      <c r="I589" s="7" t="n">
        <v>423</v>
      </c>
      <c r="L589" s="7"/>
      <c r="S589" s="7" t="n">
        <v>7</v>
      </c>
      <c r="T589" s="7" t="n">
        <v>15</v>
      </c>
      <c r="U589" s="7" t="n">
        <v>15</v>
      </c>
      <c r="V589" s="9" t="n">
        <v>13.21875</v>
      </c>
    </row>
    <row r="590">
      <c r="A590" s="7" t="s">
        <v>75</v>
      </c>
      <c r="B590" s="7" t="s">
        <v>34</v>
      </c>
      <c r="C590" s="7" t="s">
        <v>35</v>
      </c>
      <c r="D590" s="7" t="s">
        <v>31</v>
      </c>
      <c r="E590" s="8" t="n">
        <v>46054</v>
      </c>
      <c r="F590" s="7" t="n">
        <v>423</v>
      </c>
      <c r="H590" s="7" t="n">
        <v>32</v>
      </c>
      <c r="I590" s="7" t="n">
        <v>391</v>
      </c>
      <c r="L590" s="7"/>
      <c r="S590" s="7" t="n">
        <v>7</v>
      </c>
      <c r="T590" s="7" t="n">
        <v>15</v>
      </c>
      <c r="U590" s="7" t="n">
        <v>15</v>
      </c>
      <c r="V590" s="9" t="n">
        <v>12.21875</v>
      </c>
    </row>
    <row r="591">
      <c r="A591" s="7" t="s">
        <v>75</v>
      </c>
      <c r="B591" s="7" t="s">
        <v>34</v>
      </c>
      <c r="C591" s="7" t="s">
        <v>35</v>
      </c>
      <c r="D591" s="7" t="s">
        <v>31</v>
      </c>
      <c r="E591" s="8" t="n">
        <v>46082</v>
      </c>
      <c r="F591" s="7" t="n">
        <v>391</v>
      </c>
      <c r="H591" s="7" t="n">
        <v>32</v>
      </c>
      <c r="I591" s="7" t="n">
        <v>359</v>
      </c>
      <c r="L591" s="7"/>
      <c r="S591" s="7" t="n">
        <v>7</v>
      </c>
      <c r="T591" s="7" t="n">
        <v>15</v>
      </c>
      <c r="U591" s="7" t="n">
        <v>15</v>
      </c>
      <c r="V591" s="9" t="n">
        <v>11.21875</v>
      </c>
    </row>
    <row r="592">
      <c r="A592" s="7" t="s">
        <v>75</v>
      </c>
      <c r="B592" s="7" t="s">
        <v>34</v>
      </c>
      <c r="C592" s="7" t="s">
        <v>35</v>
      </c>
      <c r="D592" s="7" t="s">
        <v>31</v>
      </c>
      <c r="E592" s="8" t="n">
        <v>46113</v>
      </c>
      <c r="F592" s="7" t="n">
        <v>359</v>
      </c>
      <c r="H592" s="7" t="n">
        <v>32</v>
      </c>
      <c r="I592" s="7" t="n">
        <v>327</v>
      </c>
      <c r="L592" s="7"/>
      <c r="S592" s="7" t="n">
        <v>7</v>
      </c>
      <c r="T592" s="7" t="n">
        <v>15</v>
      </c>
      <c r="U592" s="7" t="n">
        <v>15</v>
      </c>
      <c r="V592" s="9" t="n">
        <v>10.21875</v>
      </c>
    </row>
    <row r="593">
      <c r="A593" s="7" t="s">
        <v>75</v>
      </c>
      <c r="B593" s="7" t="s">
        <v>34</v>
      </c>
      <c r="C593" s="7" t="s">
        <v>35</v>
      </c>
      <c r="D593" s="7" t="s">
        <v>31</v>
      </c>
      <c r="E593" s="8" t="n">
        <v>46143</v>
      </c>
      <c r="F593" s="7" t="n">
        <v>327</v>
      </c>
      <c r="H593" s="7" t="n">
        <v>32</v>
      </c>
      <c r="I593" s="7" t="n">
        <v>295</v>
      </c>
      <c r="L593" s="7"/>
      <c r="S593" s="7" t="n">
        <v>7</v>
      </c>
      <c r="T593" s="7" t="n">
        <v>15</v>
      </c>
      <c r="U593" s="7" t="n">
        <v>15</v>
      </c>
      <c r="V593" s="9" t="n">
        <v>9.21875</v>
      </c>
    </row>
    <row r="594">
      <c r="A594" s="7" t="s">
        <v>75</v>
      </c>
      <c r="B594" s="7" t="s">
        <v>34</v>
      </c>
      <c r="C594" s="7" t="s">
        <v>35</v>
      </c>
      <c r="D594" s="7" t="s">
        <v>31</v>
      </c>
      <c r="E594" s="8" t="n">
        <v>46174</v>
      </c>
      <c r="F594" s="7" t="n">
        <v>295</v>
      </c>
      <c r="H594" s="7" t="n">
        <v>32</v>
      </c>
      <c r="I594" s="7" t="n">
        <v>263</v>
      </c>
      <c r="L594" s="7"/>
      <c r="S594" s="7" t="n">
        <v>7</v>
      </c>
      <c r="T594" s="7" t="n">
        <v>15</v>
      </c>
      <c r="U594" s="7" t="n">
        <v>15</v>
      </c>
      <c r="V594" s="9" t="n">
        <v>8.21875</v>
      </c>
    </row>
    <row r="595">
      <c r="A595" s="7" t="s">
        <v>75</v>
      </c>
      <c r="B595" s="7" t="s">
        <v>34</v>
      </c>
      <c r="C595" s="7" t="s">
        <v>35</v>
      </c>
      <c r="D595" s="7" t="s">
        <v>31</v>
      </c>
      <c r="E595" s="8" t="n">
        <v>46204</v>
      </c>
      <c r="F595" s="7" t="n">
        <v>263</v>
      </c>
      <c r="H595" s="7" t="n">
        <v>32</v>
      </c>
      <c r="I595" s="7" t="n">
        <v>231</v>
      </c>
      <c r="L595" s="7"/>
      <c r="S595" s="7" t="n">
        <v>7</v>
      </c>
      <c r="T595" s="7" t="n">
        <v>15</v>
      </c>
      <c r="U595" s="7" t="n">
        <v>15</v>
      </c>
      <c r="V595" s="9" t="n">
        <v>7.21875</v>
      </c>
    </row>
    <row r="596">
      <c r="A596" s="7" t="s">
        <v>75</v>
      </c>
      <c r="B596" s="7" t="s">
        <v>34</v>
      </c>
      <c r="C596" s="7" t="s">
        <v>35</v>
      </c>
      <c r="D596" s="7" t="s">
        <v>31</v>
      </c>
      <c r="E596" s="8" t="n">
        <v>46235</v>
      </c>
      <c r="F596" s="7" t="n">
        <v>231</v>
      </c>
      <c r="H596" s="7" t="n">
        <v>32</v>
      </c>
      <c r="I596" s="7" t="n">
        <v>489</v>
      </c>
      <c r="L596" s="7" t="s">
        <v>4</v>
      </c>
      <c r="M596" s="7" t="n">
        <v>290</v>
      </c>
      <c r="S596" s="7" t="n">
        <v>7</v>
      </c>
      <c r="T596" s="7" t="n">
        <v>15</v>
      </c>
      <c r="U596" s="7" t="n">
        <v>15</v>
      </c>
      <c r="V596" s="9" t="n">
        <v>15.28125</v>
      </c>
    </row>
    <row r="597">
      <c r="A597" s="7" t="s">
        <v>75</v>
      </c>
      <c r="B597" s="7" t="s">
        <v>34</v>
      </c>
      <c r="C597" s="7" t="s">
        <v>35</v>
      </c>
      <c r="D597" s="7" t="s">
        <v>31</v>
      </c>
      <c r="E597" s="8" t="n">
        <v>46266</v>
      </c>
      <c r="F597" s="7" t="n">
        <v>489</v>
      </c>
      <c r="H597" s="7" t="n">
        <v>32</v>
      </c>
      <c r="I597" s="7" t="n">
        <v>457</v>
      </c>
      <c r="L597" s="7"/>
      <c r="S597" s="7" t="n">
        <v>7</v>
      </c>
      <c r="T597" s="7" t="n">
        <v>15</v>
      </c>
      <c r="U597" s="7" t="n">
        <v>15</v>
      </c>
      <c r="V597" s="9" t="n">
        <v>14.28125</v>
      </c>
    </row>
    <row r="598">
      <c r="A598" s="7" t="s">
        <v>76</v>
      </c>
      <c r="B598" s="7" t="s">
        <v>34</v>
      </c>
      <c r="C598" s="7" t="s">
        <v>35</v>
      </c>
      <c r="D598" s="7" t="s">
        <v>31</v>
      </c>
      <c r="E598" s="8" t="n">
        <v>45658</v>
      </c>
      <c r="H598" s="7" t="n">
        <v>10000</v>
      </c>
      <c r="I598" s="7" t="n">
        <v>0</v>
      </c>
      <c r="L598" s="7"/>
      <c r="S598" s="7" t="n">
        <v>3</v>
      </c>
      <c r="T598" s="7" t="n">
        <v>6</v>
      </c>
      <c r="U598" s="7" t="n">
        <v>6</v>
      </c>
      <c r="V598" s="9" t="n">
        <v>0</v>
      </c>
    </row>
    <row r="599">
      <c r="A599" s="7" t="s">
        <v>76</v>
      </c>
      <c r="B599" s="7" t="s">
        <v>34</v>
      </c>
      <c r="C599" s="7" t="s">
        <v>35</v>
      </c>
      <c r="D599" s="7" t="s">
        <v>31</v>
      </c>
      <c r="E599" s="8" t="n">
        <v>45689</v>
      </c>
      <c r="H599" s="7" t="n">
        <v>10000</v>
      </c>
      <c r="I599" s="7" t="n">
        <v>0</v>
      </c>
      <c r="L599" s="7"/>
      <c r="S599" s="7" t="n">
        <v>3</v>
      </c>
      <c r="T599" s="7" t="n">
        <v>6</v>
      </c>
      <c r="U599" s="7" t="n">
        <v>6</v>
      </c>
      <c r="V599" s="9" t="n">
        <v>0</v>
      </c>
    </row>
    <row r="600">
      <c r="A600" s="7" t="s">
        <v>76</v>
      </c>
      <c r="B600" s="7" t="s">
        <v>34</v>
      </c>
      <c r="C600" s="7" t="s">
        <v>35</v>
      </c>
      <c r="D600" s="7" t="s">
        <v>31</v>
      </c>
      <c r="E600" s="8" t="n">
        <v>45717</v>
      </c>
      <c r="H600" s="7" t="n">
        <v>10000</v>
      </c>
      <c r="I600" s="7" t="n">
        <v>0</v>
      </c>
      <c r="L600" s="7"/>
      <c r="S600" s="7" t="n">
        <v>3</v>
      </c>
      <c r="T600" s="7" t="n">
        <v>6</v>
      </c>
      <c r="U600" s="7" t="n">
        <v>6</v>
      </c>
      <c r="V600" s="9" t="n">
        <v>0</v>
      </c>
    </row>
    <row r="601">
      <c r="A601" s="7" t="s">
        <v>76</v>
      </c>
      <c r="B601" s="7" t="s">
        <v>34</v>
      </c>
      <c r="C601" s="7" t="s">
        <v>35</v>
      </c>
      <c r="D601" s="7" t="s">
        <v>31</v>
      </c>
      <c r="E601" s="8" t="n">
        <v>45748</v>
      </c>
      <c r="F601" s="7" t="n">
        <v>111000</v>
      </c>
      <c r="H601" s="7" t="n">
        <v>10000</v>
      </c>
      <c r="I601" s="7" t="n">
        <v>101000</v>
      </c>
      <c r="L601" s="7"/>
      <c r="S601" s="7" t="n">
        <v>3</v>
      </c>
      <c r="T601" s="7" t="n">
        <v>6</v>
      </c>
      <c r="U601" s="7" t="n">
        <v>6</v>
      </c>
      <c r="V601" s="9" t="n">
        <v>10.1</v>
      </c>
    </row>
    <row r="602">
      <c r="A602" s="7" t="s">
        <v>76</v>
      </c>
      <c r="B602" s="7" t="s">
        <v>34</v>
      </c>
      <c r="C602" s="7" t="s">
        <v>35</v>
      </c>
      <c r="D602" s="7" t="s">
        <v>31</v>
      </c>
      <c r="E602" s="8" t="n">
        <v>45778</v>
      </c>
      <c r="F602" s="7" t="n">
        <v>101000</v>
      </c>
      <c r="H602" s="7" t="n">
        <v>10000</v>
      </c>
      <c r="I602" s="7" t="n">
        <v>91000</v>
      </c>
      <c r="L602" s="7"/>
      <c r="S602" s="7" t="n">
        <v>3</v>
      </c>
      <c r="T602" s="7" t="n">
        <v>6</v>
      </c>
      <c r="U602" s="7" t="n">
        <v>6</v>
      </c>
      <c r="V602" s="9" t="n">
        <v>9.1</v>
      </c>
    </row>
    <row r="603">
      <c r="A603" s="7" t="s">
        <v>76</v>
      </c>
      <c r="B603" s="7" t="s">
        <v>34</v>
      </c>
      <c r="C603" s="7" t="s">
        <v>35</v>
      </c>
      <c r="D603" s="7" t="s">
        <v>31</v>
      </c>
      <c r="E603" s="8" t="n">
        <v>45809</v>
      </c>
      <c r="F603" s="7" t="n">
        <v>91000</v>
      </c>
      <c r="H603" s="7" t="n">
        <v>10000</v>
      </c>
      <c r="I603" s="7" t="n">
        <v>81000</v>
      </c>
      <c r="L603" s="7"/>
      <c r="S603" s="7" t="n">
        <v>3</v>
      </c>
      <c r="T603" s="7" t="n">
        <v>6</v>
      </c>
      <c r="U603" s="7" t="n">
        <v>6</v>
      </c>
      <c r="V603" s="9" t="n">
        <v>8.1</v>
      </c>
    </row>
    <row r="604">
      <c r="A604" s="7" t="s">
        <v>76</v>
      </c>
      <c r="B604" s="7" t="s">
        <v>34</v>
      </c>
      <c r="C604" s="7" t="s">
        <v>35</v>
      </c>
      <c r="D604" s="7" t="s">
        <v>31</v>
      </c>
      <c r="E604" s="8" t="n">
        <v>45839</v>
      </c>
      <c r="F604" s="7" t="n">
        <v>81000</v>
      </c>
      <c r="H604" s="7" t="n">
        <v>10000</v>
      </c>
      <c r="I604" s="7" t="n">
        <v>71000</v>
      </c>
      <c r="L604" s="7"/>
      <c r="S604" s="7" t="n">
        <v>3</v>
      </c>
      <c r="T604" s="7" t="n">
        <v>6</v>
      </c>
      <c r="U604" s="7" t="n">
        <v>6</v>
      </c>
      <c r="V604" s="9" t="n">
        <v>7.1</v>
      </c>
    </row>
    <row r="605">
      <c r="A605" s="7" t="s">
        <v>76</v>
      </c>
      <c r="B605" s="7" t="s">
        <v>34</v>
      </c>
      <c r="C605" s="7" t="s">
        <v>35</v>
      </c>
      <c r="D605" s="7" t="s">
        <v>31</v>
      </c>
      <c r="E605" s="8" t="n">
        <v>45870</v>
      </c>
      <c r="F605" s="7" t="n">
        <v>71000</v>
      </c>
      <c r="H605" s="7" t="n">
        <v>10000</v>
      </c>
      <c r="I605" s="7" t="n">
        <v>61000</v>
      </c>
      <c r="L605" s="7"/>
      <c r="S605" s="7" t="n">
        <v>3</v>
      </c>
      <c r="T605" s="7" t="n">
        <v>6</v>
      </c>
      <c r="U605" s="7" t="n">
        <v>6</v>
      </c>
      <c r="V605" s="9" t="n">
        <v>6.1</v>
      </c>
    </row>
    <row r="606">
      <c r="A606" s="7" t="s">
        <v>76</v>
      </c>
      <c r="B606" s="7" t="s">
        <v>34</v>
      </c>
      <c r="C606" s="7" t="s">
        <v>35</v>
      </c>
      <c r="D606" s="7" t="s">
        <v>31</v>
      </c>
      <c r="E606" s="8" t="n">
        <v>45901</v>
      </c>
      <c r="F606" s="7" t="n">
        <v>61000</v>
      </c>
      <c r="H606" s="7" t="n">
        <v>10000</v>
      </c>
      <c r="I606" s="7" t="n">
        <v>51000</v>
      </c>
      <c r="L606" s="7"/>
      <c r="S606" s="7" t="n">
        <v>3</v>
      </c>
      <c r="T606" s="7" t="n">
        <v>6</v>
      </c>
      <c r="U606" s="7" t="n">
        <v>6</v>
      </c>
      <c r="V606" s="9" t="n">
        <v>5.0999999999999996</v>
      </c>
    </row>
    <row r="607">
      <c r="A607" s="7" t="s">
        <v>76</v>
      </c>
      <c r="B607" s="7" t="s">
        <v>34</v>
      </c>
      <c r="C607" s="7" t="s">
        <v>35</v>
      </c>
      <c r="D607" s="7" t="s">
        <v>31</v>
      </c>
      <c r="E607" s="8" t="n">
        <v>45931</v>
      </c>
      <c r="F607" s="7" t="n">
        <v>51000</v>
      </c>
      <c r="H607" s="7" t="n">
        <v>10000</v>
      </c>
      <c r="I607" s="7" t="n">
        <v>41000</v>
      </c>
      <c r="L607" s="7"/>
      <c r="S607" s="7" t="n">
        <v>3</v>
      </c>
      <c r="T607" s="7" t="n">
        <v>6</v>
      </c>
      <c r="U607" s="7" t="n">
        <v>6</v>
      </c>
      <c r="V607" s="9" t="n">
        <v>4.0999999999999996</v>
      </c>
    </row>
    <row r="608">
      <c r="A608" s="7" t="s">
        <v>76</v>
      </c>
      <c r="B608" s="7" t="s">
        <v>34</v>
      </c>
      <c r="C608" s="7" t="s">
        <v>35</v>
      </c>
      <c r="D608" s="7" t="s">
        <v>31</v>
      </c>
      <c r="E608" s="8" t="n">
        <v>45962</v>
      </c>
      <c r="F608" s="7" t="n">
        <v>41000</v>
      </c>
      <c r="H608" s="7" t="n">
        <v>10000</v>
      </c>
      <c r="I608" s="7" t="n">
        <v>31000</v>
      </c>
      <c r="L608" s="7"/>
      <c r="S608" s="7" t="n">
        <v>3</v>
      </c>
      <c r="T608" s="7" t="n">
        <v>6</v>
      </c>
      <c r="U608" s="7" t="n">
        <v>6</v>
      </c>
      <c r="V608" s="9" t="n">
        <v>3.1</v>
      </c>
    </row>
    <row r="609">
      <c r="A609" s="7" t="s">
        <v>76</v>
      </c>
      <c r="B609" s="7" t="s">
        <v>34</v>
      </c>
      <c r="C609" s="7" t="s">
        <v>35</v>
      </c>
      <c r="D609" s="7" t="s">
        <v>31</v>
      </c>
      <c r="E609" s="8" t="n">
        <v>45992</v>
      </c>
      <c r="F609" s="7" t="n">
        <v>31000</v>
      </c>
      <c r="H609" s="7" t="n">
        <v>10000</v>
      </c>
      <c r="I609" s="7" t="n">
        <v>116700</v>
      </c>
      <c r="J609" s="7" t="s">
        <v>156</v>
      </c>
      <c r="K609" s="7" t="s">
        <v>156</v>
      </c>
      <c r="L609" s="7" t="s">
        <v>4</v>
      </c>
      <c r="M609" s="7" t="n">
        <v>95700</v>
      </c>
      <c r="O609" s="7" t="n">
        <v>47850</v>
      </c>
      <c r="P609" s="7" t="n">
        <v>45992</v>
      </c>
      <c r="S609" s="7" t="n">
        <v>3</v>
      </c>
      <c r="T609" s="7" t="n">
        <v>6</v>
      </c>
      <c r="U609" s="7" t="n">
        <v>6</v>
      </c>
      <c r="V609" s="9" t="n">
        <v>11.67</v>
      </c>
    </row>
    <row r="610">
      <c r="A610" s="7" t="s">
        <v>76</v>
      </c>
      <c r="B610" s="7" t="s">
        <v>34</v>
      </c>
      <c r="C610" s="7" t="s">
        <v>35</v>
      </c>
      <c r="D610" s="7" t="s">
        <v>31</v>
      </c>
      <c r="E610" s="8" t="n">
        <v>46023</v>
      </c>
      <c r="F610" s="7" t="n">
        <v>116700</v>
      </c>
      <c r="H610" s="7" t="n">
        <v>10000</v>
      </c>
      <c r="I610" s="7" t="n">
        <v>106700</v>
      </c>
      <c r="L610" s="7"/>
      <c r="S610" s="7" t="n">
        <v>3</v>
      </c>
      <c r="T610" s="7" t="n">
        <v>6</v>
      </c>
      <c r="U610" s="7" t="n">
        <v>6</v>
      </c>
      <c r="V610" s="9" t="n">
        <v>10.67</v>
      </c>
    </row>
    <row r="611">
      <c r="A611" s="7" t="s">
        <v>76</v>
      </c>
      <c r="B611" s="7" t="s">
        <v>34</v>
      </c>
      <c r="C611" s="7" t="s">
        <v>35</v>
      </c>
      <c r="D611" s="7" t="s">
        <v>31</v>
      </c>
      <c r="E611" s="8" t="n">
        <v>46054</v>
      </c>
      <c r="F611" s="7" t="n">
        <v>106700</v>
      </c>
      <c r="H611" s="7" t="n">
        <v>10000</v>
      </c>
      <c r="I611" s="7" t="n">
        <v>96700</v>
      </c>
      <c r="L611" s="7"/>
      <c r="S611" s="7" t="n">
        <v>3</v>
      </c>
      <c r="T611" s="7" t="n">
        <v>6</v>
      </c>
      <c r="U611" s="7" t="n">
        <v>6</v>
      </c>
      <c r="V611" s="9" t="n">
        <v>9.67</v>
      </c>
    </row>
    <row r="612">
      <c r="A612" s="7" t="s">
        <v>76</v>
      </c>
      <c r="B612" s="7" t="s">
        <v>34</v>
      </c>
      <c r="C612" s="7" t="s">
        <v>35</v>
      </c>
      <c r="D612" s="7" t="s">
        <v>31</v>
      </c>
      <c r="E612" s="8" t="n">
        <v>46082</v>
      </c>
      <c r="F612" s="7" t="n">
        <v>96700</v>
      </c>
      <c r="H612" s="7" t="n">
        <v>10000</v>
      </c>
      <c r="I612" s="7" t="n">
        <v>86700</v>
      </c>
      <c r="L612" s="7"/>
      <c r="S612" s="7" t="n">
        <v>3</v>
      </c>
      <c r="T612" s="7" t="n">
        <v>6</v>
      </c>
      <c r="U612" s="7" t="n">
        <v>6</v>
      </c>
      <c r="V612" s="9" t="n">
        <v>8.67</v>
      </c>
    </row>
    <row r="613">
      <c r="A613" s="7" t="s">
        <v>76</v>
      </c>
      <c r="B613" s="7" t="s">
        <v>34</v>
      </c>
      <c r="C613" s="7" t="s">
        <v>35</v>
      </c>
      <c r="D613" s="7" t="s">
        <v>31</v>
      </c>
      <c r="E613" s="8" t="n">
        <v>46113</v>
      </c>
      <c r="F613" s="7" t="n">
        <v>86700</v>
      </c>
      <c r="H613" s="7" t="n">
        <v>10000</v>
      </c>
      <c r="I613" s="7" t="n">
        <v>76700</v>
      </c>
      <c r="L613" s="7"/>
      <c r="S613" s="7" t="n">
        <v>3</v>
      </c>
      <c r="T613" s="7" t="n">
        <v>6</v>
      </c>
      <c r="U613" s="7" t="n">
        <v>6</v>
      </c>
      <c r="V613" s="9" t="n">
        <v>7.67</v>
      </c>
    </row>
    <row r="614">
      <c r="A614" s="7" t="s">
        <v>76</v>
      </c>
      <c r="B614" s="7" t="s">
        <v>34</v>
      </c>
      <c r="C614" s="7" t="s">
        <v>35</v>
      </c>
      <c r="D614" s="7" t="s">
        <v>31</v>
      </c>
      <c r="E614" s="8" t="n">
        <v>46143</v>
      </c>
      <c r="F614" s="7" t="n">
        <v>76700</v>
      </c>
      <c r="H614" s="7" t="n">
        <v>10000</v>
      </c>
      <c r="I614" s="7" t="n">
        <v>66700</v>
      </c>
      <c r="L614" s="7"/>
      <c r="S614" s="7" t="n">
        <v>3</v>
      </c>
      <c r="T614" s="7" t="n">
        <v>6</v>
      </c>
      <c r="U614" s="7" t="n">
        <v>6</v>
      </c>
      <c r="V614" s="9" t="n">
        <v>6.67</v>
      </c>
    </row>
    <row r="615">
      <c r="A615" s="7" t="s">
        <v>76</v>
      </c>
      <c r="B615" s="7" t="s">
        <v>34</v>
      </c>
      <c r="C615" s="7" t="s">
        <v>35</v>
      </c>
      <c r="D615" s="7" t="s">
        <v>31</v>
      </c>
      <c r="E615" s="8" t="n">
        <v>46174</v>
      </c>
      <c r="F615" s="7" t="n">
        <v>66700</v>
      </c>
      <c r="H615" s="7" t="n">
        <v>10000</v>
      </c>
      <c r="I615" s="7" t="n">
        <v>67166</v>
      </c>
      <c r="L615" s="7" t="s">
        <v>4</v>
      </c>
      <c r="M615" s="7" t="n">
        <v>10466</v>
      </c>
      <c r="O615" s="7" t="n">
        <v>6802.9</v>
      </c>
      <c r="P615" s="7" t="n">
        <v>46174</v>
      </c>
      <c r="S615" s="7" t="n">
        <v>3</v>
      </c>
      <c r="T615" s="7" t="n">
        <v>6</v>
      </c>
      <c r="U615" s="7" t="n">
        <v>6</v>
      </c>
      <c r="V615" s="9" t="n">
        <v>6.7165999999999997</v>
      </c>
    </row>
    <row r="616">
      <c r="A616" s="7" t="s">
        <v>76</v>
      </c>
      <c r="B616" s="7" t="s">
        <v>34</v>
      </c>
      <c r="C616" s="7" t="s">
        <v>35</v>
      </c>
      <c r="D616" s="7" t="s">
        <v>31</v>
      </c>
      <c r="E616" s="8" t="n">
        <v>46204</v>
      </c>
      <c r="F616" s="7" t="n">
        <v>67166</v>
      </c>
      <c r="H616" s="7" t="n">
        <v>10000</v>
      </c>
      <c r="I616" s="7" t="n">
        <v>57166</v>
      </c>
      <c r="L616" s="7"/>
      <c r="S616" s="7" t="n">
        <v>3</v>
      </c>
      <c r="T616" s="7" t="n">
        <v>6</v>
      </c>
      <c r="U616" s="7" t="n">
        <v>6</v>
      </c>
      <c r="V616" s="9" t="n">
        <v>5.7165999999999997</v>
      </c>
    </row>
    <row r="617">
      <c r="A617" s="7" t="s">
        <v>76</v>
      </c>
      <c r="B617" s="7" t="s">
        <v>34</v>
      </c>
      <c r="C617" s="7" t="s">
        <v>35</v>
      </c>
      <c r="D617" s="7" t="s">
        <v>31</v>
      </c>
      <c r="E617" s="8" t="n">
        <v>46235</v>
      </c>
      <c r="F617" s="7" t="n">
        <v>57166</v>
      </c>
      <c r="H617" s="7" t="n">
        <v>10000</v>
      </c>
      <c r="I617" s="7" t="n">
        <v>47166</v>
      </c>
      <c r="L617" s="7"/>
      <c r="S617" s="7" t="n">
        <v>3</v>
      </c>
      <c r="T617" s="7" t="n">
        <v>6</v>
      </c>
      <c r="U617" s="7" t="n">
        <v>6</v>
      </c>
      <c r="V617" s="9" t="n">
        <v>4.7165999999999997</v>
      </c>
    </row>
    <row r="618">
      <c r="A618" s="7" t="s">
        <v>76</v>
      </c>
      <c r="B618" s="7" t="s">
        <v>34</v>
      </c>
      <c r="C618" s="7" t="s">
        <v>35</v>
      </c>
      <c r="D618" s="7" t="s">
        <v>31</v>
      </c>
      <c r="E618" s="8" t="n">
        <v>46266</v>
      </c>
      <c r="F618" s="7" t="n">
        <v>47166</v>
      </c>
      <c r="H618" s="7" t="n">
        <v>10000</v>
      </c>
      <c r="I618" s="7" t="n">
        <v>41166</v>
      </c>
      <c r="L618" s="7" t="s">
        <v>4</v>
      </c>
      <c r="M618" s="7" t="n">
        <v>4000</v>
      </c>
      <c r="O618" s="7" t="n">
        <v>2600</v>
      </c>
      <c r="P618" s="7" t="n">
        <v>46266</v>
      </c>
      <c r="S618" s="7" t="n">
        <v>3</v>
      </c>
      <c r="T618" s="7" t="n">
        <v>6</v>
      </c>
      <c r="U618" s="7" t="n">
        <v>6</v>
      </c>
      <c r="V618" s="9" t="n">
        <v>4.1166</v>
      </c>
    </row>
    <row r="619">
      <c r="A619" s="7" t="s">
        <v>76</v>
      </c>
      <c r="B619" s="7" t="s">
        <v>34</v>
      </c>
      <c r="C619" s="7" t="s">
        <v>35</v>
      </c>
      <c r="D619" s="7" t="s">
        <v>31</v>
      </c>
      <c r="E619" s="8" t="n">
        <v>46296</v>
      </c>
      <c r="F619" s="7" t="n">
        <v>41166</v>
      </c>
      <c r="H619" s="7" t="n">
        <v>10000</v>
      </c>
      <c r="I619" s="7" t="n">
        <v>31166</v>
      </c>
      <c r="L619" s="7"/>
      <c r="S619" s="7" t="n">
        <v>3</v>
      </c>
      <c r="T619" s="7" t="n">
        <v>6</v>
      </c>
      <c r="U619" s="7" t="n">
        <v>6</v>
      </c>
      <c r="V619" s="9" t="n">
        <v>3.1166</v>
      </c>
    </row>
    <row r="620">
      <c r="A620" s="7" t="s">
        <v>76</v>
      </c>
      <c r="B620" s="7" t="s">
        <v>34</v>
      </c>
      <c r="C620" s="7" t="s">
        <v>35</v>
      </c>
      <c r="D620" s="7" t="s">
        <v>31</v>
      </c>
      <c r="E620" s="8" t="n">
        <v>46327</v>
      </c>
      <c r="F620" s="7" t="n">
        <v>31166</v>
      </c>
      <c r="H620" s="7" t="n">
        <v>10000</v>
      </c>
      <c r="I620" s="7" t="n">
        <v>21166</v>
      </c>
      <c r="L620" s="7"/>
      <c r="S620" s="7" t="n">
        <v>3</v>
      </c>
      <c r="T620" s="7" t="n">
        <v>6</v>
      </c>
      <c r="U620" s="7" t="n">
        <v>6</v>
      </c>
      <c r="V620" s="9" t="n">
        <v>2.1166</v>
      </c>
    </row>
    <row r="621">
      <c r="A621" s="7" t="s">
        <v>76</v>
      </c>
      <c r="B621" s="7" t="s">
        <v>34</v>
      </c>
      <c r="C621" s="7" t="s">
        <v>35</v>
      </c>
      <c r="D621" s="7" t="s">
        <v>31</v>
      </c>
      <c r="E621" s="8" t="n">
        <v>46357</v>
      </c>
      <c r="F621" s="7" t="n">
        <v>21166</v>
      </c>
      <c r="H621" s="7" t="n">
        <v>10000</v>
      </c>
      <c r="I621" s="7" t="n">
        <v>42139</v>
      </c>
      <c r="L621" s="7" t="s">
        <v>4</v>
      </c>
      <c r="M621" s="7" t="n">
        <v>30973</v>
      </c>
      <c r="O621" s="7" t="n">
        <v>20458.099999999999</v>
      </c>
      <c r="P621" s="7" t="n">
        <v>46357</v>
      </c>
      <c r="S621" s="7" t="n">
        <v>3</v>
      </c>
      <c r="T621" s="7" t="n">
        <v>6</v>
      </c>
      <c r="U621" s="7" t="n">
        <v>6</v>
      </c>
      <c r="V621" s="9" t="n">
        <v>4.2138999999999998</v>
      </c>
    </row>
    <row r="622">
      <c r="A622" s="7" t="s">
        <v>72</v>
      </c>
      <c r="B622" s="7" t="s">
        <v>34</v>
      </c>
      <c r="C622" s="7" t="s">
        <v>35</v>
      </c>
      <c r="D622" s="7" t="s">
        <v>31</v>
      </c>
      <c r="E622" s="8" t="n">
        <v>45689</v>
      </c>
      <c r="F622" s="7" t="n">
        <v>0</v>
      </c>
      <c r="H622" s="7" t="n">
        <v>7816</v>
      </c>
      <c r="I622" s="7" t="n">
        <v>0</v>
      </c>
      <c r="L622" s="7"/>
      <c r="S622" s="7" t="n">
        <v>6</v>
      </c>
      <c r="T622" s="7" t="n">
        <v>12</v>
      </c>
      <c r="U622" s="7" t="n">
        <v>12</v>
      </c>
      <c r="V622" s="9" t="n">
        <v>0</v>
      </c>
    </row>
    <row r="623">
      <c r="A623" s="7" t="s">
        <v>72</v>
      </c>
      <c r="B623" s="7" t="s">
        <v>34</v>
      </c>
      <c r="C623" s="7" t="s">
        <v>35</v>
      </c>
      <c r="D623" s="7" t="s">
        <v>31</v>
      </c>
      <c r="E623" s="8" t="n">
        <v>45717</v>
      </c>
      <c r="F623" s="7" t="n">
        <v>0</v>
      </c>
      <c r="H623" s="7" t="n">
        <v>7816</v>
      </c>
      <c r="I623" s="7" t="n">
        <v>0</v>
      </c>
      <c r="L623" s="7"/>
      <c r="S623" s="7" t="n">
        <v>6</v>
      </c>
      <c r="T623" s="7" t="n">
        <v>12</v>
      </c>
      <c r="U623" s="7" t="n">
        <v>12</v>
      </c>
      <c r="V623" s="9" t="n">
        <v>0</v>
      </c>
    </row>
    <row r="624">
      <c r="A624" s="7" t="s">
        <v>72</v>
      </c>
      <c r="B624" s="7" t="s">
        <v>34</v>
      </c>
      <c r="C624" s="7" t="s">
        <v>35</v>
      </c>
      <c r="D624" s="7" t="s">
        <v>31</v>
      </c>
      <c r="E624" s="8" t="n">
        <v>45748</v>
      </c>
      <c r="F624" s="7" t="n">
        <v>0</v>
      </c>
      <c r="H624" s="7" t="n">
        <v>7816</v>
      </c>
      <c r="I624" s="7" t="n">
        <v>0</v>
      </c>
      <c r="L624" s="7"/>
      <c r="S624" s="7" t="n">
        <v>6</v>
      </c>
      <c r="T624" s="7" t="n">
        <v>12</v>
      </c>
      <c r="U624" s="7" t="n">
        <v>12</v>
      </c>
      <c r="V624" s="9" t="n">
        <v>0</v>
      </c>
    </row>
    <row r="625">
      <c r="A625" s="7" t="s">
        <v>72</v>
      </c>
      <c r="B625" s="7" t="s">
        <v>34</v>
      </c>
      <c r="C625" s="7" t="s">
        <v>35</v>
      </c>
      <c r="D625" s="7" t="s">
        <v>31</v>
      </c>
      <c r="E625" s="8" t="n">
        <v>45778</v>
      </c>
      <c r="F625" s="7" t="n">
        <v>0</v>
      </c>
      <c r="H625" s="7" t="n">
        <v>7816</v>
      </c>
      <c r="I625" s="7" t="n">
        <v>0</v>
      </c>
      <c r="L625" s="7"/>
      <c r="S625" s="7" t="n">
        <v>6</v>
      </c>
      <c r="T625" s="7" t="n">
        <v>12</v>
      </c>
      <c r="U625" s="7" t="n">
        <v>12</v>
      </c>
      <c r="V625" s="9" t="n">
        <v>0</v>
      </c>
    </row>
    <row r="626">
      <c r="A626" s="7" t="s">
        <v>72</v>
      </c>
      <c r="B626" s="7" t="s">
        <v>34</v>
      </c>
      <c r="C626" s="7" t="s">
        <v>35</v>
      </c>
      <c r="D626" s="7" t="s">
        <v>31</v>
      </c>
      <c r="E626" s="8" t="n">
        <v>45809</v>
      </c>
      <c r="F626" s="7" t="n">
        <v>0</v>
      </c>
      <c r="H626" s="7" t="n">
        <v>7816</v>
      </c>
      <c r="I626" s="7" t="n">
        <v>0</v>
      </c>
      <c r="L626" s="7"/>
      <c r="S626" s="7" t="n">
        <v>6</v>
      </c>
      <c r="T626" s="7" t="n">
        <v>12</v>
      </c>
      <c r="U626" s="7" t="n">
        <v>12</v>
      </c>
      <c r="V626" s="9" t="n">
        <v>0</v>
      </c>
    </row>
    <row r="627">
      <c r="A627" s="7" t="s">
        <v>72</v>
      </c>
      <c r="B627" s="7" t="s">
        <v>34</v>
      </c>
      <c r="C627" s="7" t="s">
        <v>35</v>
      </c>
      <c r="D627" s="7" t="s">
        <v>31</v>
      </c>
      <c r="E627" s="8" t="n">
        <v>45839</v>
      </c>
      <c r="F627" s="7" t="n">
        <v>0</v>
      </c>
      <c r="H627" s="7" t="n">
        <v>7816</v>
      </c>
      <c r="I627" s="7" t="n">
        <v>0</v>
      </c>
      <c r="L627" s="7"/>
      <c r="S627" s="7" t="n">
        <v>6</v>
      </c>
      <c r="T627" s="7" t="n">
        <v>12</v>
      </c>
      <c r="U627" s="7" t="n">
        <v>12</v>
      </c>
      <c r="V627" s="9" t="n">
        <v>0</v>
      </c>
    </row>
    <row r="628">
      <c r="A628" s="7" t="s">
        <v>72</v>
      </c>
      <c r="B628" s="7" t="s">
        <v>34</v>
      </c>
      <c r="C628" s="7" t="s">
        <v>35</v>
      </c>
      <c r="D628" s="7" t="s">
        <v>31</v>
      </c>
      <c r="E628" s="8" t="n">
        <v>45870</v>
      </c>
      <c r="F628" s="7" t="n">
        <v>0</v>
      </c>
      <c r="H628" s="7" t="n">
        <v>7816</v>
      </c>
      <c r="I628" s="7" t="n">
        <v>0</v>
      </c>
      <c r="L628" s="7"/>
      <c r="S628" s="7" t="n">
        <v>6</v>
      </c>
      <c r="T628" s="7" t="n">
        <v>12</v>
      </c>
      <c r="U628" s="7" t="n">
        <v>12</v>
      </c>
      <c r="V628" s="9" t="n">
        <v>0</v>
      </c>
    </row>
    <row r="629">
      <c r="A629" s="7" t="s">
        <v>72</v>
      </c>
      <c r="B629" s="7" t="s">
        <v>34</v>
      </c>
      <c r="C629" s="7" t="s">
        <v>35</v>
      </c>
      <c r="D629" s="7" t="s">
        <v>31</v>
      </c>
      <c r="E629" s="8" t="n">
        <v>45901</v>
      </c>
      <c r="F629" s="7" t="n">
        <v>0</v>
      </c>
      <c r="H629" s="7" t="n">
        <v>7816</v>
      </c>
      <c r="I629" s="7" t="n">
        <v>0</v>
      </c>
      <c r="L629" s="7"/>
      <c r="S629" s="7" t="n">
        <v>6</v>
      </c>
      <c r="T629" s="7" t="n">
        <v>12</v>
      </c>
      <c r="U629" s="7" t="n">
        <v>12</v>
      </c>
      <c r="V629" s="9" t="n">
        <v>0</v>
      </c>
    </row>
    <row r="630">
      <c r="A630" s="7" t="s">
        <v>72</v>
      </c>
      <c r="B630" s="7" t="s">
        <v>34</v>
      </c>
      <c r="C630" s="7" t="s">
        <v>35</v>
      </c>
      <c r="D630" s="7" t="s">
        <v>31</v>
      </c>
      <c r="E630" s="8" t="n">
        <v>45931</v>
      </c>
      <c r="F630" s="7" t="n">
        <v>0</v>
      </c>
      <c r="H630" s="7" t="n">
        <v>7816</v>
      </c>
      <c r="I630" s="7" t="n">
        <v>14184</v>
      </c>
      <c r="J630" s="7" t="s">
        <v>51</v>
      </c>
      <c r="K630" s="7" t="s">
        <v>51</v>
      </c>
      <c r="L630" s="7" t="s">
        <v>147</v>
      </c>
      <c r="M630" s="7" t="n">
        <v>22000</v>
      </c>
      <c r="O630" s="7" t="n">
        <v>12320</v>
      </c>
      <c r="P630" s="7" t="n">
        <v>45931</v>
      </c>
      <c r="S630" s="7" t="n">
        <v>6</v>
      </c>
      <c r="T630" s="7" t="n">
        <v>12</v>
      </c>
      <c r="U630" s="7" t="n">
        <v>12</v>
      </c>
      <c r="V630" s="9" t="n">
        <v>1.8147389969293757</v>
      </c>
    </row>
    <row r="631">
      <c r="A631" s="7" t="s">
        <v>72</v>
      </c>
      <c r="B631" s="7" t="s">
        <v>34</v>
      </c>
      <c r="C631" s="7" t="s">
        <v>35</v>
      </c>
      <c r="D631" s="7" t="s">
        <v>31</v>
      </c>
      <c r="E631" s="8" t="n">
        <v>45962</v>
      </c>
      <c r="F631" s="7" t="n">
        <v>14184</v>
      </c>
      <c r="H631" s="7" t="n">
        <v>7816</v>
      </c>
      <c r="I631" s="7" t="n">
        <v>6368</v>
      </c>
      <c r="L631" s="7"/>
      <c r="S631" s="7" t="n">
        <v>6</v>
      </c>
      <c r="T631" s="7" t="n">
        <v>12</v>
      </c>
      <c r="U631" s="7" t="n">
        <v>12</v>
      </c>
      <c r="V631" s="9" t="n">
        <v>0.81473899692937568</v>
      </c>
    </row>
    <row r="632">
      <c r="A632" s="7" t="s">
        <v>72</v>
      </c>
      <c r="B632" s="7" t="s">
        <v>34</v>
      </c>
      <c r="C632" s="7" t="s">
        <v>35</v>
      </c>
      <c r="D632" s="7" t="s">
        <v>31</v>
      </c>
      <c r="E632" s="8" t="n">
        <v>45992</v>
      </c>
      <c r="F632" s="7" t="n">
        <v>6368</v>
      </c>
      <c r="H632" s="7" t="n">
        <v>7816</v>
      </c>
      <c r="I632" s="7" t="n">
        <v>0</v>
      </c>
      <c r="L632" s="7"/>
      <c r="S632" s="7" t="n">
        <v>6</v>
      </c>
      <c r="T632" s="7" t="n">
        <v>12</v>
      </c>
      <c r="U632" s="7" t="n">
        <v>12</v>
      </c>
      <c r="V632" s="9" t="n">
        <v>0</v>
      </c>
    </row>
    <row r="633">
      <c r="A633" s="7" t="s">
        <v>72</v>
      </c>
      <c r="B633" s="7" t="s">
        <v>34</v>
      </c>
      <c r="C633" s="7" t="s">
        <v>35</v>
      </c>
      <c r="D633" s="7" t="s">
        <v>31</v>
      </c>
      <c r="E633" s="8" t="n">
        <v>46023</v>
      </c>
      <c r="F633" s="7" t="n">
        <v>0</v>
      </c>
      <c r="H633" s="7" t="n">
        <v>7816</v>
      </c>
      <c r="I633" s="7" t="n">
        <v>8910</v>
      </c>
      <c r="J633" s="7" t="s">
        <v>2</v>
      </c>
      <c r="K633" s="7" t="s">
        <v>2</v>
      </c>
      <c r="L633" s="7" t="s">
        <v>4</v>
      </c>
      <c r="M633" s="7" t="n">
        <v>16726</v>
      </c>
      <c r="O633" s="7" t="n">
        <v>9336</v>
      </c>
      <c r="P633" s="7" t="n">
        <v>46023</v>
      </c>
      <c r="S633" s="7" t="n">
        <v>6</v>
      </c>
      <c r="T633" s="7" t="n">
        <v>12</v>
      </c>
      <c r="U633" s="7" t="n">
        <v>12</v>
      </c>
      <c r="V633" s="9" t="n">
        <v>1.1399692937563972</v>
      </c>
    </row>
    <row r="634">
      <c r="A634" s="7" t="s">
        <v>72</v>
      </c>
      <c r="B634" s="7" t="s">
        <v>34</v>
      </c>
      <c r="C634" s="7" t="s">
        <v>35</v>
      </c>
      <c r="D634" s="7" t="s">
        <v>31</v>
      </c>
      <c r="E634" s="8" t="n">
        <v>46054</v>
      </c>
      <c r="F634" s="7" t="n">
        <v>8910</v>
      </c>
      <c r="H634" s="7" t="n">
        <v>7816</v>
      </c>
      <c r="I634" s="7" t="n">
        <v>1094</v>
      </c>
      <c r="L634" s="7"/>
      <c r="S634" s="7" t="n">
        <v>6</v>
      </c>
      <c r="T634" s="7" t="n">
        <v>12</v>
      </c>
      <c r="U634" s="7" t="n">
        <v>12</v>
      </c>
      <c r="V634" s="9" t="n">
        <v>0.13996929375639713</v>
      </c>
    </row>
    <row r="635">
      <c r="A635" s="7" t="s">
        <v>72</v>
      </c>
      <c r="B635" s="7" t="s">
        <v>34</v>
      </c>
      <c r="C635" s="7" t="s">
        <v>35</v>
      </c>
      <c r="D635" s="7" t="s">
        <v>31</v>
      </c>
      <c r="E635" s="8" t="n">
        <v>46082</v>
      </c>
      <c r="F635" s="7" t="n">
        <v>1094</v>
      </c>
      <c r="H635" s="7" t="n">
        <v>7816</v>
      </c>
      <c r="I635" s="7" t="n">
        <v>0</v>
      </c>
      <c r="L635" s="7"/>
      <c r="S635" s="7" t="n">
        <v>6</v>
      </c>
      <c r="T635" s="7" t="n">
        <v>12</v>
      </c>
      <c r="U635" s="7" t="n">
        <v>12</v>
      </c>
      <c r="V635" s="9" t="n">
        <v>0</v>
      </c>
    </row>
    <row r="636">
      <c r="A636" s="7" t="s">
        <v>72</v>
      </c>
      <c r="B636" s="7" t="s">
        <v>34</v>
      </c>
      <c r="C636" s="7" t="s">
        <v>35</v>
      </c>
      <c r="D636" s="7" t="s">
        <v>31</v>
      </c>
      <c r="E636" s="8" t="n">
        <v>46113</v>
      </c>
      <c r="F636" s="7" t="n">
        <v>0</v>
      </c>
      <c r="H636" s="7" t="n">
        <v>7816</v>
      </c>
      <c r="I636" s="7" t="n">
        <v>0</v>
      </c>
      <c r="L636" s="7"/>
      <c r="S636" s="7" t="n">
        <v>6</v>
      </c>
      <c r="T636" s="7" t="n">
        <v>12</v>
      </c>
      <c r="U636" s="7" t="n">
        <v>12</v>
      </c>
      <c r="V636" s="9" t="n">
        <v>0</v>
      </c>
    </row>
    <row r="637">
      <c r="A637" s="7" t="s">
        <v>72</v>
      </c>
      <c r="B637" s="7" t="s">
        <v>34</v>
      </c>
      <c r="C637" s="7" t="s">
        <v>35</v>
      </c>
      <c r="D637" s="7" t="s">
        <v>31</v>
      </c>
      <c r="E637" s="8" t="n">
        <v>46143</v>
      </c>
      <c r="F637" s="7" t="n">
        <v>0</v>
      </c>
      <c r="H637" s="7" t="n">
        <v>7816</v>
      </c>
      <c r="I637" s="7" t="n">
        <v>0</v>
      </c>
      <c r="L637" s="7"/>
      <c r="S637" s="7" t="n">
        <v>6</v>
      </c>
      <c r="T637" s="7" t="n">
        <v>12</v>
      </c>
      <c r="U637" s="7" t="n">
        <v>12</v>
      </c>
      <c r="V637" s="9" t="n">
        <v>0</v>
      </c>
    </row>
    <row r="638">
      <c r="A638" s="7" t="s">
        <v>72</v>
      </c>
      <c r="B638" s="7" t="s">
        <v>34</v>
      </c>
      <c r="C638" s="7" t="s">
        <v>35</v>
      </c>
      <c r="D638" s="7" t="s">
        <v>31</v>
      </c>
      <c r="E638" s="8" t="n">
        <v>46174</v>
      </c>
      <c r="F638" s="7" t="n">
        <v>0</v>
      </c>
      <c r="H638" s="7" t="n">
        <v>7816</v>
      </c>
      <c r="I638" s="7" t="n">
        <v>0</v>
      </c>
      <c r="L638" s="7"/>
      <c r="S638" s="7" t="n">
        <v>6</v>
      </c>
      <c r="T638" s="7" t="n">
        <v>12</v>
      </c>
      <c r="U638" s="7" t="n">
        <v>12</v>
      </c>
      <c r="V638" s="9" t="n">
        <v>0</v>
      </c>
    </row>
    <row r="639">
      <c r="A639" s="7" t="s">
        <v>72</v>
      </c>
      <c r="B639" s="7" t="s">
        <v>34</v>
      </c>
      <c r="C639" s="7" t="s">
        <v>35</v>
      </c>
      <c r="D639" s="7" t="s">
        <v>31</v>
      </c>
      <c r="E639" s="8" t="n">
        <v>46204</v>
      </c>
      <c r="F639" s="7" t="n">
        <v>0</v>
      </c>
      <c r="H639" s="7" t="n">
        <v>7816</v>
      </c>
      <c r="I639" s="7" t="n">
        <v>8538</v>
      </c>
      <c r="J639" s="7" t="s">
        <v>2</v>
      </c>
      <c r="K639" s="7" t="s">
        <v>2</v>
      </c>
      <c r="L639" s="7" t="s">
        <v>4</v>
      </c>
      <c r="M639" s="7" t="n">
        <v>16354</v>
      </c>
      <c r="O639" s="7" t="n">
        <v>9158</v>
      </c>
      <c r="P639" s="7" t="n">
        <v>46204</v>
      </c>
      <c r="S639" s="7" t="n">
        <v>6</v>
      </c>
      <c r="T639" s="7" t="n">
        <v>12</v>
      </c>
      <c r="U639" s="7" t="n">
        <v>12</v>
      </c>
      <c r="V639" s="9" t="n">
        <v>1.092374616171955</v>
      </c>
    </row>
    <row r="640">
      <c r="A640" s="7" t="s">
        <v>72</v>
      </c>
      <c r="B640" s="7" t="s">
        <v>34</v>
      </c>
      <c r="C640" s="7" t="s">
        <v>35</v>
      </c>
      <c r="D640" s="7" t="s">
        <v>31</v>
      </c>
      <c r="E640" s="8" t="n">
        <v>46235</v>
      </c>
      <c r="F640" s="7" t="n">
        <v>8538</v>
      </c>
      <c r="H640" s="7" t="n">
        <v>7816</v>
      </c>
      <c r="I640" s="7" t="n">
        <v>722</v>
      </c>
      <c r="L640" s="7"/>
      <c r="S640" s="7" t="n">
        <v>6</v>
      </c>
      <c r="T640" s="7" t="n">
        <v>12</v>
      </c>
      <c r="U640" s="7" t="n">
        <v>12</v>
      </c>
      <c r="V640" s="9" t="n">
        <v>9.2374616171954971E-2</v>
      </c>
    </row>
    <row r="641">
      <c r="A641" s="7" t="s">
        <v>72</v>
      </c>
      <c r="B641" s="7" t="s">
        <v>34</v>
      </c>
      <c r="C641" s="7" t="s">
        <v>35</v>
      </c>
      <c r="D641" s="7" t="s">
        <v>31</v>
      </c>
      <c r="E641" s="8" t="n">
        <v>46266</v>
      </c>
      <c r="F641" s="7" t="n">
        <v>722</v>
      </c>
      <c r="H641" s="7" t="n">
        <v>7816</v>
      </c>
      <c r="I641" s="7" t="n">
        <v>0</v>
      </c>
      <c r="L641" s="7"/>
      <c r="S641" s="7" t="n">
        <v>6</v>
      </c>
      <c r="T641" s="7" t="n">
        <v>12</v>
      </c>
      <c r="U641" s="7" t="n">
        <v>12</v>
      </c>
      <c r="V641" s="9" t="n">
        <v>0</v>
      </c>
    </row>
    <row r="642">
      <c r="A642" s="7" t="s">
        <v>72</v>
      </c>
      <c r="B642" s="7" t="s">
        <v>34</v>
      </c>
      <c r="C642" s="7" t="s">
        <v>35</v>
      </c>
      <c r="D642" s="7" t="s">
        <v>31</v>
      </c>
      <c r="E642" s="8" t="n">
        <v>46296</v>
      </c>
      <c r="F642" s="7" t="n">
        <v>0</v>
      </c>
      <c r="H642" s="7" t="n">
        <v>7816</v>
      </c>
      <c r="I642" s="7" t="n">
        <v>0</v>
      </c>
      <c r="L642" s="7"/>
      <c r="S642" s="7" t="n">
        <v>6</v>
      </c>
      <c r="T642" s="7" t="n">
        <v>12</v>
      </c>
      <c r="U642" s="7" t="n">
        <v>12</v>
      </c>
      <c r="V642" s="9" t="n">
        <v>0</v>
      </c>
    </row>
    <row r="643">
      <c r="A643" s="7" t="s">
        <v>72</v>
      </c>
      <c r="B643" s="7" t="s">
        <v>34</v>
      </c>
      <c r="C643" s="7" t="s">
        <v>35</v>
      </c>
      <c r="D643" s="7" t="s">
        <v>31</v>
      </c>
      <c r="E643" s="8" t="n">
        <v>46327</v>
      </c>
      <c r="F643" s="7" t="n">
        <v>0</v>
      </c>
      <c r="H643" s="7" t="n">
        <v>7816</v>
      </c>
      <c r="I643" s="7" t="n">
        <v>0</v>
      </c>
      <c r="L643" s="7"/>
      <c r="S643" s="7" t="n">
        <v>6</v>
      </c>
      <c r="T643" s="7" t="n">
        <v>12</v>
      </c>
      <c r="U643" s="7" t="n">
        <v>12</v>
      </c>
      <c r="V643" s="9" t="n">
        <v>0</v>
      </c>
    </row>
    <row r="644">
      <c r="A644" s="7" t="s">
        <v>72</v>
      </c>
      <c r="B644" s="7" t="s">
        <v>34</v>
      </c>
      <c r="C644" s="7" t="s">
        <v>35</v>
      </c>
      <c r="D644" s="7" t="s">
        <v>31</v>
      </c>
      <c r="E644" s="8" t="n">
        <v>46357</v>
      </c>
      <c r="F644" s="7" t="n">
        <v>0</v>
      </c>
      <c r="H644" s="7" t="n">
        <v>7816</v>
      </c>
      <c r="I644" s="7" t="n">
        <v>0</v>
      </c>
      <c r="L644" s="7"/>
      <c r="S644" s="7" t="n">
        <v>6</v>
      </c>
      <c r="T644" s="7" t="n">
        <v>12</v>
      </c>
      <c r="U644" s="7" t="n">
        <v>12</v>
      </c>
      <c r="V644" s="9" t="n">
        <v>0</v>
      </c>
    </row>
    <row r="645">
      <c r="A645" s="7" t="s">
        <v>166</v>
      </c>
      <c r="B645" s="7" t="s">
        <v>34</v>
      </c>
      <c r="C645" s="7" t="s">
        <v>35</v>
      </c>
      <c r="D645" s="7" t="s">
        <v>31</v>
      </c>
      <c r="E645" s="8" t="n">
        <v>45748</v>
      </c>
      <c r="F645" s="7" t="n">
        <v>18800</v>
      </c>
      <c r="H645" s="7" t="n">
        <v>2846</v>
      </c>
      <c r="I645" s="7" t="n">
        <v>15954</v>
      </c>
      <c r="L645" s="7"/>
      <c r="S645" s="7" t="n">
        <v>9</v>
      </c>
      <c r="T645" s="7" t="n">
        <v>15</v>
      </c>
      <c r="U645" s="7" t="n">
        <v>15</v>
      </c>
      <c r="V645" s="9" t="n">
        <v>5.605762473647224</v>
      </c>
    </row>
    <row r="646">
      <c r="A646" s="7" t="s">
        <v>166</v>
      </c>
      <c r="B646" s="7" t="s">
        <v>34</v>
      </c>
      <c r="C646" s="7" t="s">
        <v>35</v>
      </c>
      <c r="D646" s="7" t="s">
        <v>31</v>
      </c>
      <c r="E646" s="8" t="n">
        <v>45778</v>
      </c>
      <c r="F646" s="7" t="n">
        <v>15954</v>
      </c>
      <c r="H646" s="7" t="n">
        <v>2846</v>
      </c>
      <c r="I646" s="7" t="n">
        <v>13108</v>
      </c>
      <c r="L646" s="7"/>
      <c r="S646" s="7" t="n">
        <v>9</v>
      </c>
      <c r="T646" s="7" t="n">
        <v>15</v>
      </c>
      <c r="U646" s="7" t="n">
        <v>15</v>
      </c>
      <c r="V646" s="9" t="n">
        <v>4.605762473647224</v>
      </c>
    </row>
    <row r="647">
      <c r="A647" s="7" t="s">
        <v>166</v>
      </c>
      <c r="B647" s="7" t="s">
        <v>34</v>
      </c>
      <c r="C647" s="7" t="s">
        <v>35</v>
      </c>
      <c r="D647" s="7" t="s">
        <v>31</v>
      </c>
      <c r="E647" s="8" t="n">
        <v>45809</v>
      </c>
      <c r="F647" s="7" t="n">
        <v>13108</v>
      </c>
      <c r="H647" s="7" t="n">
        <v>2846</v>
      </c>
      <c r="I647" s="7" t="n">
        <v>43262</v>
      </c>
      <c r="L647" s="7"/>
      <c r="M647" s="7" t="n">
        <v>33000</v>
      </c>
      <c r="S647" s="7" t="n">
        <v>9</v>
      </c>
      <c r="T647" s="7" t="n">
        <v>15</v>
      </c>
      <c r="U647" s="7" t="n">
        <v>15</v>
      </c>
      <c r="V647" s="9" t="n">
        <v>15.200983836964161</v>
      </c>
    </row>
    <row r="648">
      <c r="A648" s="7" t="s">
        <v>166</v>
      </c>
      <c r="B648" s="7" t="s">
        <v>34</v>
      </c>
      <c r="C648" s="7" t="s">
        <v>35</v>
      </c>
      <c r="D648" s="7" t="s">
        <v>31</v>
      </c>
      <c r="E648" s="8" t="n">
        <v>45839</v>
      </c>
      <c r="F648" s="7" t="n">
        <v>43262</v>
      </c>
      <c r="H648" s="7" t="n">
        <v>2846</v>
      </c>
      <c r="I648" s="7" t="n">
        <v>40416</v>
      </c>
      <c r="L648" s="7"/>
      <c r="S648" s="7" t="n">
        <v>9</v>
      </c>
      <c r="T648" s="7" t="n">
        <v>15</v>
      </c>
      <c r="U648" s="7" t="n">
        <v>15</v>
      </c>
      <c r="V648" s="9" t="n">
        <v>14.200983836964161</v>
      </c>
    </row>
    <row r="649">
      <c r="A649" s="7" t="s">
        <v>166</v>
      </c>
      <c r="B649" s="7" t="s">
        <v>34</v>
      </c>
      <c r="C649" s="7" t="s">
        <v>35</v>
      </c>
      <c r="D649" s="7" t="s">
        <v>31</v>
      </c>
      <c r="E649" s="8" t="n">
        <v>45870</v>
      </c>
      <c r="F649" s="7" t="n">
        <v>40416</v>
      </c>
      <c r="H649" s="7" t="n">
        <v>2846</v>
      </c>
      <c r="I649" s="7" t="n">
        <v>37570</v>
      </c>
      <c r="L649" s="7"/>
      <c r="S649" s="7" t="n">
        <v>9</v>
      </c>
      <c r="T649" s="7" t="n">
        <v>15</v>
      </c>
      <c r="U649" s="7" t="n">
        <v>15</v>
      </c>
      <c r="V649" s="9" t="n">
        <v>13.200983836964161</v>
      </c>
    </row>
    <row r="650">
      <c r="A650" s="7" t="s">
        <v>166</v>
      </c>
      <c r="B650" s="7" t="s">
        <v>34</v>
      </c>
      <c r="C650" s="7" t="s">
        <v>35</v>
      </c>
      <c r="D650" s="7" t="s">
        <v>31</v>
      </c>
      <c r="E650" s="8" t="n">
        <v>45901</v>
      </c>
      <c r="F650" s="7" t="n">
        <v>37570</v>
      </c>
      <c r="H650" s="7" t="n">
        <v>2846</v>
      </c>
      <c r="I650" s="7" t="n">
        <v>34724</v>
      </c>
      <c r="L650" s="7"/>
      <c r="S650" s="7" t="n">
        <v>9</v>
      </c>
      <c r="T650" s="7" t="n">
        <v>15</v>
      </c>
      <c r="U650" s="7" t="n">
        <v>15</v>
      </c>
      <c r="V650" s="9" t="n">
        <v>12.200983836964161</v>
      </c>
    </row>
    <row r="651">
      <c r="A651" s="7" t="s">
        <v>166</v>
      </c>
      <c r="B651" s="7" t="s">
        <v>34</v>
      </c>
      <c r="C651" s="7" t="s">
        <v>35</v>
      </c>
      <c r="D651" s="7" t="s">
        <v>31</v>
      </c>
      <c r="E651" s="8" t="n">
        <v>45931</v>
      </c>
      <c r="F651" s="7" t="n">
        <v>34724</v>
      </c>
      <c r="H651" s="7" t="n">
        <v>2846</v>
      </c>
      <c r="I651" s="7" t="n">
        <v>31878</v>
      </c>
      <c r="L651" s="7"/>
      <c r="S651" s="7" t="n">
        <v>9</v>
      </c>
      <c r="T651" s="7" t="n">
        <v>15</v>
      </c>
      <c r="U651" s="7" t="n">
        <v>15</v>
      </c>
      <c r="V651" s="9" t="n">
        <v>11.200983836964161</v>
      </c>
    </row>
    <row r="652">
      <c r="A652" s="7" t="s">
        <v>166</v>
      </c>
      <c r="B652" s="7" t="s">
        <v>34</v>
      </c>
      <c r="C652" s="7" t="s">
        <v>35</v>
      </c>
      <c r="D652" s="7" t="s">
        <v>31</v>
      </c>
      <c r="E652" s="8" t="n">
        <v>45962</v>
      </c>
      <c r="F652" s="7" t="n">
        <v>31878</v>
      </c>
      <c r="H652" s="7" t="n">
        <v>2846</v>
      </c>
      <c r="I652" s="7" t="n">
        <v>29032</v>
      </c>
      <c r="L652" s="7"/>
      <c r="S652" s="7" t="n">
        <v>9</v>
      </c>
      <c r="T652" s="7" t="n">
        <v>15</v>
      </c>
      <c r="U652" s="7" t="n">
        <v>15</v>
      </c>
      <c r="V652" s="9" t="n">
        <v>10.200983836964161</v>
      </c>
    </row>
    <row r="653">
      <c r="A653" s="7" t="s">
        <v>166</v>
      </c>
      <c r="B653" s="7" t="s">
        <v>34</v>
      </c>
      <c r="C653" s="7" t="s">
        <v>35</v>
      </c>
      <c r="D653" s="7" t="s">
        <v>31</v>
      </c>
      <c r="E653" s="8" t="n">
        <v>45992</v>
      </c>
      <c r="F653" s="7" t="n">
        <v>29032</v>
      </c>
      <c r="H653" s="7" t="n">
        <v>2846</v>
      </c>
      <c r="I653" s="7" t="n">
        <v>26186</v>
      </c>
      <c r="L653" s="7"/>
      <c r="S653" s="7" t="n">
        <v>9</v>
      </c>
      <c r="T653" s="7" t="n">
        <v>15</v>
      </c>
      <c r="U653" s="7" t="n">
        <v>15</v>
      </c>
      <c r="V653" s="9" t="n">
        <v>9.200983836964161</v>
      </c>
    </row>
    <row r="654">
      <c r="A654" s="7" t="s">
        <v>28</v>
      </c>
      <c r="B654" s="7" t="s">
        <v>47</v>
      </c>
      <c r="C654" s="7" t="s">
        <v>48</v>
      </c>
      <c r="D654" s="7" t="s">
        <v>31</v>
      </c>
      <c r="E654" s="8" t="n">
        <v>45839</v>
      </c>
      <c r="F654" s="7" t="n">
        <v>18025</v>
      </c>
      <c r="H654" s="7" t="n">
        <v>902</v>
      </c>
      <c r="I654" s="7" t="n">
        <v>17123</v>
      </c>
      <c r="L654" s="7"/>
      <c r="S654" s="7" t="n">
        <v>9</v>
      </c>
      <c r="T654" s="7" t="n">
        <v>14</v>
      </c>
      <c r="U654" s="7" t="n">
        <v>13</v>
      </c>
      <c r="V654" s="9" t="n">
        <v>18.983370288248338</v>
      </c>
    </row>
    <row r="655">
      <c r="A655" s="7" t="s">
        <v>28</v>
      </c>
      <c r="B655" s="7" t="s">
        <v>47</v>
      </c>
      <c r="C655" s="7" t="s">
        <v>48</v>
      </c>
      <c r="D655" s="7" t="s">
        <v>31</v>
      </c>
      <c r="E655" s="8" t="n">
        <v>45870</v>
      </c>
      <c r="F655" s="7" t="n">
        <v>17123</v>
      </c>
      <c r="H655" s="7" t="n">
        <v>902</v>
      </c>
      <c r="I655" s="7" t="n">
        <v>16221</v>
      </c>
      <c r="L655" s="7"/>
      <c r="S655" s="7" t="n">
        <v>9</v>
      </c>
      <c r="T655" s="7" t="n">
        <v>14</v>
      </c>
      <c r="U655" s="7" t="n">
        <v>13</v>
      </c>
      <c r="V655" s="9" t="n">
        <v>17.983370288248338</v>
      </c>
    </row>
    <row r="656">
      <c r="A656" s="7" t="s">
        <v>28</v>
      </c>
      <c r="B656" s="7" t="s">
        <v>47</v>
      </c>
      <c r="C656" s="7" t="s">
        <v>48</v>
      </c>
      <c r="D656" s="7" t="s">
        <v>31</v>
      </c>
      <c r="E656" s="8" t="n">
        <v>45901</v>
      </c>
      <c r="F656" s="7" t="n">
        <v>16221</v>
      </c>
      <c r="H656" s="7" t="n">
        <v>902</v>
      </c>
      <c r="I656" s="7" t="n">
        <v>15319</v>
      </c>
      <c r="L656" s="7"/>
      <c r="S656" s="7" t="n">
        <v>9</v>
      </c>
      <c r="T656" s="7" t="n">
        <v>14</v>
      </c>
      <c r="U656" s="7" t="n">
        <v>13</v>
      </c>
      <c r="V656" s="9" t="n">
        <v>16.983370288248338</v>
      </c>
    </row>
    <row r="657">
      <c r="A657" s="7" t="s">
        <v>28</v>
      </c>
      <c r="B657" s="7" t="s">
        <v>47</v>
      </c>
      <c r="C657" s="7" t="s">
        <v>48</v>
      </c>
      <c r="D657" s="7" t="s">
        <v>31</v>
      </c>
      <c r="E657" s="8" t="n">
        <v>45931</v>
      </c>
      <c r="F657" s="7" t="n">
        <v>15319</v>
      </c>
      <c r="H657" s="7" t="n">
        <v>902</v>
      </c>
      <c r="I657" s="7" t="n">
        <v>14417</v>
      </c>
      <c r="L657" s="7"/>
      <c r="S657" s="7" t="n">
        <v>9</v>
      </c>
      <c r="T657" s="7" t="n">
        <v>14</v>
      </c>
      <c r="U657" s="7" t="n">
        <v>13</v>
      </c>
      <c r="V657" s="9" t="n">
        <v>15.983370288248336</v>
      </c>
    </row>
    <row r="658">
      <c r="A658" s="7" t="s">
        <v>28</v>
      </c>
      <c r="B658" s="7" t="s">
        <v>47</v>
      </c>
      <c r="C658" s="7" t="s">
        <v>48</v>
      </c>
      <c r="D658" s="7" t="s">
        <v>31</v>
      </c>
      <c r="E658" s="8" t="n">
        <v>45962</v>
      </c>
      <c r="F658" s="7" t="n">
        <v>14417</v>
      </c>
      <c r="H658" s="7" t="n">
        <v>902</v>
      </c>
      <c r="I658" s="7" t="n">
        <v>13515</v>
      </c>
      <c r="L658" s="7"/>
      <c r="S658" s="7" t="n">
        <v>9</v>
      </c>
      <c r="T658" s="7" t="n">
        <v>14</v>
      </c>
      <c r="U658" s="7" t="n">
        <v>13</v>
      </c>
      <c r="V658" s="9" t="n">
        <v>14.983370288248336</v>
      </c>
    </row>
    <row r="659">
      <c r="A659" s="7" t="s">
        <v>28</v>
      </c>
      <c r="B659" s="7" t="s">
        <v>47</v>
      </c>
      <c r="C659" s="7" t="s">
        <v>48</v>
      </c>
      <c r="D659" s="7" t="s">
        <v>31</v>
      </c>
      <c r="E659" s="8" t="n">
        <v>45992</v>
      </c>
      <c r="F659" s="7" t="n">
        <v>13515</v>
      </c>
      <c r="H659" s="7" t="n">
        <v>902</v>
      </c>
      <c r="I659" s="7" t="n">
        <v>12613</v>
      </c>
      <c r="L659" s="7"/>
      <c r="S659" s="7" t="n">
        <v>9</v>
      </c>
      <c r="T659" s="7" t="n">
        <v>14</v>
      </c>
      <c r="U659" s="7" t="n">
        <v>13</v>
      </c>
      <c r="V659" s="9" t="n">
        <v>13.983370288248336</v>
      </c>
    </row>
    <row r="660">
      <c r="A660" s="7" t="s">
        <v>28</v>
      </c>
      <c r="B660" s="7" t="s">
        <v>47</v>
      </c>
      <c r="C660" s="7" t="s">
        <v>48</v>
      </c>
      <c r="D660" s="7" t="s">
        <v>31</v>
      </c>
      <c r="E660" s="8" t="n">
        <v>46023</v>
      </c>
      <c r="F660" s="7" t="n">
        <v>12613</v>
      </c>
      <c r="H660" s="7" t="n">
        <v>902</v>
      </c>
      <c r="I660" s="7" t="n">
        <v>11711</v>
      </c>
      <c r="L660" s="7"/>
      <c r="S660" s="7" t="n">
        <v>9</v>
      </c>
      <c r="T660" s="7" t="n">
        <v>14</v>
      </c>
      <c r="U660" s="7" t="n">
        <v>13</v>
      </c>
      <c r="V660" s="9" t="n">
        <v>12.983370288248336</v>
      </c>
    </row>
    <row r="661">
      <c r="A661" s="7" t="s">
        <v>28</v>
      </c>
      <c r="B661" s="7" t="s">
        <v>47</v>
      </c>
      <c r="C661" s="7" t="s">
        <v>48</v>
      </c>
      <c r="D661" s="7" t="s">
        <v>31</v>
      </c>
      <c r="E661" s="8" t="n">
        <v>46054</v>
      </c>
      <c r="F661" s="7" t="n">
        <v>11711</v>
      </c>
      <c r="H661" s="7" t="n">
        <v>902</v>
      </c>
      <c r="I661" s="7" t="n">
        <v>10809</v>
      </c>
      <c r="L661" s="7"/>
      <c r="S661" s="7" t="n">
        <v>9</v>
      </c>
      <c r="T661" s="7" t="n">
        <v>14</v>
      </c>
      <c r="U661" s="7" t="n">
        <v>13</v>
      </c>
      <c r="V661" s="9" t="n">
        <v>11.983370288248336</v>
      </c>
    </row>
    <row r="662">
      <c r="A662" s="7" t="s">
        <v>28</v>
      </c>
      <c r="B662" s="7" t="s">
        <v>47</v>
      </c>
      <c r="C662" s="7" t="s">
        <v>48</v>
      </c>
      <c r="D662" s="7" t="s">
        <v>31</v>
      </c>
      <c r="E662" s="8" t="n">
        <v>46082</v>
      </c>
      <c r="F662" s="7" t="n">
        <v>10809</v>
      </c>
      <c r="H662" s="7" t="n">
        <v>902</v>
      </c>
      <c r="I662" s="7" t="n">
        <v>15259</v>
      </c>
      <c r="J662" s="7" t="s">
        <v>2</v>
      </c>
      <c r="K662" s="7" t="s">
        <v>2</v>
      </c>
      <c r="L662" s="7" t="s">
        <v>4</v>
      </c>
      <c r="M662" s="7" t="n">
        <v>5352</v>
      </c>
      <c r="O662" s="7" t="n">
        <v>70004</v>
      </c>
      <c r="P662" s="7" t="n">
        <v>46082</v>
      </c>
      <c r="S662" s="7" t="n">
        <v>9</v>
      </c>
      <c r="T662" s="7" t="n">
        <v>14</v>
      </c>
      <c r="U662" s="7" t="n">
        <v>13</v>
      </c>
      <c r="V662" s="9" t="n">
        <v>16.916851441241686</v>
      </c>
    </row>
    <row r="663">
      <c r="A663" s="7" t="s">
        <v>28</v>
      </c>
      <c r="B663" s="7" t="s">
        <v>47</v>
      </c>
      <c r="C663" s="7" t="s">
        <v>48</v>
      </c>
      <c r="D663" s="7" t="s">
        <v>31</v>
      </c>
      <c r="E663" s="8" t="n">
        <v>46113</v>
      </c>
      <c r="F663" s="7" t="n">
        <v>15259</v>
      </c>
      <c r="H663" s="7" t="n">
        <v>902</v>
      </c>
      <c r="I663" s="7" t="n">
        <v>14357</v>
      </c>
      <c r="L663" s="7"/>
      <c r="S663" s="7" t="n">
        <v>9</v>
      </c>
      <c r="T663" s="7" t="n">
        <v>14</v>
      </c>
      <c r="U663" s="7" t="n">
        <v>13</v>
      </c>
      <c r="V663" s="9" t="n">
        <v>15.916851441241684</v>
      </c>
    </row>
    <row r="664">
      <c r="A664" s="7" t="s">
        <v>28</v>
      </c>
      <c r="B664" s="7" t="s">
        <v>47</v>
      </c>
      <c r="C664" s="7" t="s">
        <v>48</v>
      </c>
      <c r="D664" s="7" t="s">
        <v>31</v>
      </c>
      <c r="E664" s="8" t="n">
        <v>46143</v>
      </c>
      <c r="F664" s="7" t="n">
        <v>14357</v>
      </c>
      <c r="H664" s="7" t="n">
        <v>902</v>
      </c>
      <c r="I664" s="7" t="n">
        <v>13455</v>
      </c>
      <c r="L664" s="7"/>
      <c r="S664" s="7" t="n">
        <v>9</v>
      </c>
      <c r="T664" s="7" t="n">
        <v>14</v>
      </c>
      <c r="U664" s="7" t="n">
        <v>13</v>
      </c>
      <c r="V664" s="9" t="n">
        <v>14.916851441241684</v>
      </c>
    </row>
    <row r="665">
      <c r="A665" s="7" t="s">
        <v>28</v>
      </c>
      <c r="B665" s="7" t="s">
        <v>47</v>
      </c>
      <c r="C665" s="7" t="s">
        <v>48</v>
      </c>
      <c r="D665" s="7" t="s">
        <v>31</v>
      </c>
      <c r="E665" s="8" t="n">
        <v>46174</v>
      </c>
      <c r="F665" s="7" t="n">
        <v>13455</v>
      </c>
      <c r="H665" s="7" t="n">
        <v>902</v>
      </c>
      <c r="I665" s="7" t="n">
        <v>12553</v>
      </c>
      <c r="L665" s="7"/>
      <c r="S665" s="7" t="n">
        <v>9</v>
      </c>
      <c r="T665" s="7" t="n">
        <v>14</v>
      </c>
      <c r="U665" s="7" t="n">
        <v>13</v>
      </c>
      <c r="V665" s="9" t="n">
        <v>13.916851441241684</v>
      </c>
    </row>
    <row r="666">
      <c r="A666" s="7" t="s">
        <v>75</v>
      </c>
      <c r="B666" s="7" t="s">
        <v>47</v>
      </c>
      <c r="C666" s="7" t="s">
        <v>48</v>
      </c>
      <c r="D666" s="7" t="s">
        <v>31</v>
      </c>
      <c r="E666" s="8" t="n">
        <v>45748</v>
      </c>
      <c r="F666" s="7" t="n">
        <v>2436</v>
      </c>
      <c r="H666" s="7" t="n">
        <v>201</v>
      </c>
      <c r="I666" s="7" t="n">
        <v>2235</v>
      </c>
      <c r="L666" s="7"/>
      <c r="S666" s="7" t="n">
        <v>7</v>
      </c>
      <c r="T666" s="7" t="n">
        <v>15</v>
      </c>
      <c r="U666" s="7" t="n">
        <v>15</v>
      </c>
      <c r="V666" s="9" t="n">
        <v>11.119402985074627</v>
      </c>
    </row>
    <row r="667">
      <c r="A667" s="7" t="s">
        <v>75</v>
      </c>
      <c r="B667" s="7" t="s">
        <v>47</v>
      </c>
      <c r="C667" s="7" t="s">
        <v>48</v>
      </c>
      <c r="D667" s="7" t="s">
        <v>31</v>
      </c>
      <c r="E667" s="8" t="n">
        <v>45778</v>
      </c>
      <c r="F667" s="7" t="n">
        <v>2235</v>
      </c>
      <c r="H667" s="7" t="n">
        <v>204</v>
      </c>
      <c r="I667" s="7" t="n">
        <v>13071</v>
      </c>
      <c r="L667" s="7" t="s">
        <v>153</v>
      </c>
      <c r="M667" s="7" t="n">
        <v>11040</v>
      </c>
      <c r="P667" s="7" t="n">
        <v>45778</v>
      </c>
      <c r="S667" s="7" t="n">
        <v>7</v>
      </c>
      <c r="T667" s="7" t="n">
        <v>15</v>
      </c>
      <c r="U667" s="7" t="n">
        <v>15</v>
      </c>
      <c r="V667" s="9" t="n">
        <v>64.07352941176471</v>
      </c>
    </row>
    <row r="668">
      <c r="A668" s="7" t="s">
        <v>75</v>
      </c>
      <c r="B668" s="7" t="s">
        <v>47</v>
      </c>
      <c r="C668" s="7" t="s">
        <v>48</v>
      </c>
      <c r="D668" s="7" t="s">
        <v>31</v>
      </c>
      <c r="E668" s="8" t="n">
        <v>45809</v>
      </c>
      <c r="F668" s="7" t="n">
        <v>13071</v>
      </c>
      <c r="H668" s="7" t="n">
        <v>206</v>
      </c>
      <c r="I668" s="7" t="n">
        <v>12865</v>
      </c>
      <c r="L668" s="7"/>
      <c r="S668" s="7" t="n">
        <v>7</v>
      </c>
      <c r="T668" s="7" t="n">
        <v>15</v>
      </c>
      <c r="U668" s="7" t="n">
        <v>15</v>
      </c>
      <c r="V668" s="9" t="n">
        <v>62.45145631067961</v>
      </c>
    </row>
    <row r="669">
      <c r="A669" s="7" t="s">
        <v>75</v>
      </c>
      <c r="B669" s="7" t="s">
        <v>47</v>
      </c>
      <c r="C669" s="7" t="s">
        <v>48</v>
      </c>
      <c r="D669" s="7" t="s">
        <v>31</v>
      </c>
      <c r="E669" s="8" t="n">
        <v>45839</v>
      </c>
      <c r="F669" s="7" t="n">
        <v>12865</v>
      </c>
      <c r="H669" s="7" t="n">
        <v>207</v>
      </c>
      <c r="I669" s="7" t="n">
        <v>12658</v>
      </c>
      <c r="L669" s="7"/>
      <c r="S669" s="7" t="n">
        <v>7</v>
      </c>
      <c r="T669" s="7" t="n">
        <v>15</v>
      </c>
      <c r="U669" s="7" t="n">
        <v>15</v>
      </c>
      <c r="V669" s="9" t="n">
        <v>61.149758454106284</v>
      </c>
    </row>
    <row r="670">
      <c r="A670" s="7" t="s">
        <v>75</v>
      </c>
      <c r="B670" s="7" t="s">
        <v>47</v>
      </c>
      <c r="C670" s="7" t="s">
        <v>48</v>
      </c>
      <c r="D670" s="7" t="s">
        <v>31</v>
      </c>
      <c r="E670" s="8" t="n">
        <v>45870</v>
      </c>
      <c r="F670" s="7" t="n">
        <v>12658</v>
      </c>
      <c r="H670" s="7" t="n">
        <v>205</v>
      </c>
      <c r="I670" s="7" t="n">
        <v>12453</v>
      </c>
      <c r="L670" s="7"/>
      <c r="S670" s="7" t="n">
        <v>7</v>
      </c>
      <c r="T670" s="7" t="n">
        <v>15</v>
      </c>
      <c r="U670" s="7" t="n">
        <v>15</v>
      </c>
      <c r="V670" s="9" t="n">
        <v>60.746341463414637</v>
      </c>
    </row>
    <row r="671">
      <c r="A671" s="7" t="s">
        <v>75</v>
      </c>
      <c r="B671" s="7" t="s">
        <v>47</v>
      </c>
      <c r="C671" s="7" t="s">
        <v>48</v>
      </c>
      <c r="D671" s="7" t="s">
        <v>31</v>
      </c>
      <c r="E671" s="8" t="n">
        <v>45901</v>
      </c>
      <c r="F671" s="7" t="n">
        <v>12453</v>
      </c>
      <c r="H671" s="7" t="n">
        <v>204</v>
      </c>
      <c r="I671" s="7" t="n">
        <v>12249</v>
      </c>
      <c r="L671" s="7"/>
      <c r="S671" s="7" t="n">
        <v>7</v>
      </c>
      <c r="T671" s="7" t="n">
        <v>15</v>
      </c>
      <c r="U671" s="7" t="n">
        <v>15</v>
      </c>
      <c r="V671" s="9" t="n">
        <v>60.044117647058826</v>
      </c>
    </row>
    <row r="672">
      <c r="A672" s="7" t="s">
        <v>75</v>
      </c>
      <c r="B672" s="7" t="s">
        <v>47</v>
      </c>
      <c r="C672" s="7" t="s">
        <v>48</v>
      </c>
      <c r="D672" s="7" t="s">
        <v>31</v>
      </c>
      <c r="E672" s="8" t="n">
        <v>45931</v>
      </c>
      <c r="F672" s="7" t="n">
        <v>12249</v>
      </c>
      <c r="H672" s="7" t="n">
        <v>204</v>
      </c>
      <c r="I672" s="7" t="n">
        <v>12045</v>
      </c>
      <c r="L672" s="7"/>
      <c r="S672" s="7" t="n">
        <v>7</v>
      </c>
      <c r="T672" s="7" t="n">
        <v>15</v>
      </c>
      <c r="U672" s="7" t="n">
        <v>15</v>
      </c>
      <c r="V672" s="9" t="n">
        <v>59.044117647058826</v>
      </c>
    </row>
    <row r="673">
      <c r="A673" s="7" t="s">
        <v>75</v>
      </c>
      <c r="B673" s="7" t="s">
        <v>47</v>
      </c>
      <c r="C673" s="7" t="s">
        <v>48</v>
      </c>
      <c r="D673" s="7" t="s">
        <v>31</v>
      </c>
      <c r="E673" s="8" t="n">
        <v>45962</v>
      </c>
      <c r="F673" s="7" t="n">
        <v>12045</v>
      </c>
      <c r="H673" s="7" t="n">
        <v>205</v>
      </c>
      <c r="I673" s="7" t="n">
        <v>20870</v>
      </c>
      <c r="L673" s="7" t="s">
        <v>147</v>
      </c>
      <c r="M673" s="7" t="n">
        <v>9030</v>
      </c>
      <c r="P673" s="7" t="n">
        <v>45962</v>
      </c>
      <c r="S673" s="7" t="n">
        <v>7</v>
      </c>
      <c r="T673" s="7" t="n">
        <v>15</v>
      </c>
      <c r="U673" s="7" t="n">
        <v>15</v>
      </c>
      <c r="V673" s="9" t="n">
        <v>101.80487804878049</v>
      </c>
    </row>
    <row r="674">
      <c r="A674" s="7" t="s">
        <v>75</v>
      </c>
      <c r="B674" s="7" t="s">
        <v>47</v>
      </c>
      <c r="C674" s="7" t="s">
        <v>48</v>
      </c>
      <c r="D674" s="7" t="s">
        <v>31</v>
      </c>
      <c r="E674" s="8" t="n">
        <v>45992</v>
      </c>
      <c r="F674" s="7" t="n">
        <v>20870</v>
      </c>
      <c r="H674" s="7" t="n">
        <v>205</v>
      </c>
      <c r="I674" s="7" t="n">
        <v>20665</v>
      </c>
      <c r="L674" s="7"/>
      <c r="S674" s="7" t="n">
        <v>7</v>
      </c>
      <c r="T674" s="7" t="n">
        <v>15</v>
      </c>
      <c r="U674" s="7" t="n">
        <v>15</v>
      </c>
      <c r="V674" s="9" t="n">
        <v>100.80487804878049</v>
      </c>
    </row>
    <row r="675">
      <c r="A675" s="7" t="s">
        <v>75</v>
      </c>
      <c r="B675" s="7" t="s">
        <v>47</v>
      </c>
      <c r="C675" s="7" t="s">
        <v>48</v>
      </c>
      <c r="D675" s="7" t="s">
        <v>31</v>
      </c>
      <c r="E675" s="8" t="n">
        <v>46023</v>
      </c>
      <c r="F675" s="7" t="n">
        <v>20665</v>
      </c>
      <c r="H675" s="7" t="n">
        <v>205</v>
      </c>
      <c r="I675" s="7" t="n">
        <v>20460</v>
      </c>
      <c r="L675" s="7"/>
      <c r="S675" s="7" t="n">
        <v>7</v>
      </c>
      <c r="T675" s="7" t="n">
        <v>15</v>
      </c>
      <c r="U675" s="7" t="n">
        <v>15</v>
      </c>
      <c r="V675" s="9" t="n">
        <v>99.804878048780495</v>
      </c>
    </row>
    <row r="676">
      <c r="A676" s="7" t="s">
        <v>75</v>
      </c>
      <c r="B676" s="7" t="s">
        <v>47</v>
      </c>
      <c r="C676" s="7" t="s">
        <v>48</v>
      </c>
      <c r="D676" s="7" t="s">
        <v>31</v>
      </c>
      <c r="E676" s="8" t="n">
        <v>46054</v>
      </c>
      <c r="F676" s="7" t="n">
        <v>20460</v>
      </c>
      <c r="H676" s="7" t="n">
        <v>205</v>
      </c>
      <c r="I676" s="7" t="n">
        <v>20255</v>
      </c>
      <c r="L676" s="7"/>
      <c r="S676" s="7" t="n">
        <v>7</v>
      </c>
      <c r="T676" s="7" t="n">
        <v>15</v>
      </c>
      <c r="U676" s="7" t="n">
        <v>15</v>
      </c>
      <c r="V676" s="9" t="n">
        <v>98.804878048780495</v>
      </c>
    </row>
    <row r="677">
      <c r="A677" s="7" t="s">
        <v>75</v>
      </c>
      <c r="B677" s="7" t="s">
        <v>47</v>
      </c>
      <c r="C677" s="7" t="s">
        <v>48</v>
      </c>
      <c r="D677" s="7" t="s">
        <v>31</v>
      </c>
      <c r="E677" s="8" t="n">
        <v>46082</v>
      </c>
      <c r="F677" s="7" t="n">
        <v>20255</v>
      </c>
      <c r="H677" s="7" t="n">
        <v>205</v>
      </c>
      <c r="I677" s="7" t="n">
        <v>20050</v>
      </c>
      <c r="L677" s="7"/>
      <c r="S677" s="7" t="n">
        <v>7</v>
      </c>
      <c r="T677" s="7" t="n">
        <v>15</v>
      </c>
      <c r="U677" s="7" t="n">
        <v>15</v>
      </c>
      <c r="V677" s="9" t="n">
        <v>97.804878048780495</v>
      </c>
    </row>
    <row r="678">
      <c r="A678" s="7" t="s">
        <v>75</v>
      </c>
      <c r="B678" s="7" t="s">
        <v>47</v>
      </c>
      <c r="C678" s="7" t="s">
        <v>48</v>
      </c>
      <c r="D678" s="7" t="s">
        <v>31</v>
      </c>
      <c r="E678" s="8" t="n">
        <v>46113</v>
      </c>
      <c r="F678" s="7" t="n">
        <v>20050</v>
      </c>
      <c r="H678" s="7" t="n">
        <v>205</v>
      </c>
      <c r="I678" s="7" t="n">
        <v>19845</v>
      </c>
      <c r="L678" s="7"/>
      <c r="S678" s="7" t="n">
        <v>7</v>
      </c>
      <c r="T678" s="7" t="n">
        <v>15</v>
      </c>
      <c r="U678" s="7" t="n">
        <v>15</v>
      </c>
      <c r="V678" s="9" t="n">
        <v>96.804878048780495</v>
      </c>
    </row>
    <row r="679">
      <c r="A679" s="7" t="s">
        <v>75</v>
      </c>
      <c r="B679" s="7" t="s">
        <v>47</v>
      </c>
      <c r="C679" s="7" t="s">
        <v>48</v>
      </c>
      <c r="D679" s="7" t="s">
        <v>31</v>
      </c>
      <c r="E679" s="8" t="n">
        <v>46143</v>
      </c>
      <c r="F679" s="7" t="n">
        <v>19845</v>
      </c>
      <c r="H679" s="7" t="n">
        <v>205</v>
      </c>
      <c r="I679" s="7" t="n">
        <v>19640</v>
      </c>
      <c r="L679" s="7"/>
      <c r="S679" s="7" t="n">
        <v>7</v>
      </c>
      <c r="T679" s="7" t="n">
        <v>15</v>
      </c>
      <c r="U679" s="7" t="n">
        <v>15</v>
      </c>
      <c r="V679" s="9" t="n">
        <v>95.804878048780495</v>
      </c>
    </row>
    <row r="680">
      <c r="A680" s="7" t="s">
        <v>75</v>
      </c>
      <c r="B680" s="7" t="s">
        <v>47</v>
      </c>
      <c r="C680" s="7" t="s">
        <v>48</v>
      </c>
      <c r="D680" s="7" t="s">
        <v>31</v>
      </c>
      <c r="E680" s="8" t="n">
        <v>46174</v>
      </c>
      <c r="F680" s="7" t="n">
        <v>19640</v>
      </c>
      <c r="H680" s="7" t="n">
        <v>205</v>
      </c>
      <c r="I680" s="7" t="n">
        <v>19435</v>
      </c>
      <c r="L680" s="7"/>
      <c r="S680" s="7" t="n">
        <v>7</v>
      </c>
      <c r="T680" s="7" t="n">
        <v>15</v>
      </c>
      <c r="U680" s="7" t="n">
        <v>15</v>
      </c>
      <c r="V680" s="9" t="n">
        <v>94.804878048780495</v>
      </c>
    </row>
    <row r="681">
      <c r="A681" s="7" t="s">
        <v>75</v>
      </c>
      <c r="B681" s="7" t="s">
        <v>47</v>
      </c>
      <c r="C681" s="7" t="s">
        <v>48</v>
      </c>
      <c r="D681" s="7" t="s">
        <v>31</v>
      </c>
      <c r="E681" s="8" t="n">
        <v>46204</v>
      </c>
      <c r="F681" s="7" t="n">
        <v>19435</v>
      </c>
      <c r="H681" s="7" t="n">
        <v>205</v>
      </c>
      <c r="I681" s="7" t="n">
        <v>19230</v>
      </c>
      <c r="L681" s="7"/>
      <c r="S681" s="7" t="n">
        <v>7</v>
      </c>
      <c r="T681" s="7" t="n">
        <v>15</v>
      </c>
      <c r="U681" s="7" t="n">
        <v>15</v>
      </c>
      <c r="V681" s="9" t="n">
        <v>93.804878048780495</v>
      </c>
    </row>
    <row r="682">
      <c r="A682" s="7" t="s">
        <v>75</v>
      </c>
      <c r="B682" s="7" t="s">
        <v>47</v>
      </c>
      <c r="C682" s="7" t="s">
        <v>48</v>
      </c>
      <c r="D682" s="7" t="s">
        <v>31</v>
      </c>
      <c r="E682" s="8" t="n">
        <v>46235</v>
      </c>
      <c r="F682" s="7" t="n">
        <v>19230</v>
      </c>
      <c r="H682" s="7" t="n">
        <v>205</v>
      </c>
      <c r="I682" s="7" t="n">
        <v>19025</v>
      </c>
      <c r="L682" s="7"/>
      <c r="S682" s="7" t="n">
        <v>7</v>
      </c>
      <c r="T682" s="7" t="n">
        <v>15</v>
      </c>
      <c r="U682" s="7" t="n">
        <v>15</v>
      </c>
      <c r="V682" s="9" t="n">
        <v>92.804878048780495</v>
      </c>
    </row>
    <row r="683">
      <c r="A683" s="7" t="s">
        <v>75</v>
      </c>
      <c r="B683" s="7" t="s">
        <v>47</v>
      </c>
      <c r="C683" s="7" t="s">
        <v>48</v>
      </c>
      <c r="D683" s="7" t="s">
        <v>31</v>
      </c>
      <c r="E683" s="8" t="n">
        <v>46266</v>
      </c>
      <c r="F683" s="7" t="n">
        <v>19025</v>
      </c>
      <c r="H683" s="7" t="n">
        <v>205</v>
      </c>
      <c r="I683" s="7" t="n">
        <v>18820</v>
      </c>
      <c r="L683" s="7"/>
      <c r="S683" s="7" t="n">
        <v>7</v>
      </c>
      <c r="T683" s="7" t="n">
        <v>15</v>
      </c>
      <c r="U683" s="7" t="n">
        <v>15</v>
      </c>
      <c r="V683" s="9" t="n">
        <v>91.804878048780495</v>
      </c>
    </row>
    <row r="684">
      <c r="A684" s="7" t="s">
        <v>76</v>
      </c>
      <c r="B684" s="7" t="s">
        <v>47</v>
      </c>
      <c r="C684" s="7" t="s">
        <v>48</v>
      </c>
      <c r="D684" s="7" t="s">
        <v>31</v>
      </c>
      <c r="E684" s="8" t="n">
        <v>45748</v>
      </c>
      <c r="F684" s="7" t="n">
        <v>6330</v>
      </c>
      <c r="H684" s="7" t="n">
        <v>1576</v>
      </c>
      <c r="I684" s="7" t="n">
        <v>4754</v>
      </c>
      <c r="L684" s="7"/>
      <c r="S684" s="7" t="n">
        <v>3</v>
      </c>
      <c r="T684" s="7" t="n">
        <v>6</v>
      </c>
      <c r="U684" s="7" t="n">
        <v>6</v>
      </c>
      <c r="V684" s="9" t="n">
        <v>3.016497461928934</v>
      </c>
    </row>
    <row r="685">
      <c r="A685" s="7" t="s">
        <v>76</v>
      </c>
      <c r="B685" s="7" t="s">
        <v>47</v>
      </c>
      <c r="C685" s="7" t="s">
        <v>48</v>
      </c>
      <c r="D685" s="7" t="s">
        <v>31</v>
      </c>
      <c r="E685" s="8" t="n">
        <v>45778</v>
      </c>
      <c r="F685" s="7" t="n">
        <v>4754</v>
      </c>
      <c r="H685" s="7" t="n">
        <v>1576</v>
      </c>
      <c r="I685" s="7" t="n">
        <v>3178</v>
      </c>
      <c r="L685" s="7"/>
      <c r="S685" s="7" t="n">
        <v>3</v>
      </c>
      <c r="T685" s="7" t="n">
        <v>6</v>
      </c>
      <c r="U685" s="7" t="n">
        <v>6</v>
      </c>
      <c r="V685" s="9" t="n">
        <v>2.016497461928934</v>
      </c>
    </row>
    <row r="686">
      <c r="A686" s="7" t="s">
        <v>76</v>
      </c>
      <c r="B686" s="7" t="s">
        <v>47</v>
      </c>
      <c r="C686" s="7" t="s">
        <v>48</v>
      </c>
      <c r="D686" s="7" t="s">
        <v>31</v>
      </c>
      <c r="E686" s="8" t="n">
        <v>45809</v>
      </c>
      <c r="F686" s="7" t="n">
        <v>3178</v>
      </c>
      <c r="H686" s="7" t="n">
        <v>1576</v>
      </c>
      <c r="I686" s="7" t="n">
        <v>1602</v>
      </c>
      <c r="L686" s="7"/>
      <c r="S686" s="7" t="n">
        <v>3</v>
      </c>
      <c r="T686" s="7" t="n">
        <v>6</v>
      </c>
      <c r="U686" s="7" t="n">
        <v>6</v>
      </c>
      <c r="V686" s="9" t="n">
        <v>1.016497461928934</v>
      </c>
    </row>
    <row r="687">
      <c r="A687" s="7" t="s">
        <v>76</v>
      </c>
      <c r="B687" s="7" t="s">
        <v>47</v>
      </c>
      <c r="C687" s="7" t="s">
        <v>48</v>
      </c>
      <c r="D687" s="7" t="s">
        <v>31</v>
      </c>
      <c r="E687" s="8" t="n">
        <v>45839</v>
      </c>
      <c r="F687" s="7" t="n">
        <v>1602</v>
      </c>
      <c r="H687" s="7" t="n">
        <v>1576</v>
      </c>
      <c r="I687" s="7" t="n">
        <v>26</v>
      </c>
      <c r="L687" s="7"/>
      <c r="S687" s="7" t="n">
        <v>3</v>
      </c>
      <c r="T687" s="7" t="n">
        <v>6</v>
      </c>
      <c r="U687" s="7" t="n">
        <v>6</v>
      </c>
      <c r="V687" s="9" t="n">
        <v>1.6497461928934011E-2</v>
      </c>
    </row>
    <row r="688">
      <c r="A688" s="7" t="s">
        <v>76</v>
      </c>
      <c r="B688" s="7" t="s">
        <v>47</v>
      </c>
      <c r="C688" s="7" t="s">
        <v>48</v>
      </c>
      <c r="D688" s="7" t="s">
        <v>31</v>
      </c>
      <c r="E688" s="8" t="n">
        <v>45870</v>
      </c>
      <c r="F688" s="7" t="n">
        <v>26</v>
      </c>
      <c r="H688" s="7" t="n">
        <v>1576</v>
      </c>
      <c r="I688" s="7" t="n">
        <v>0</v>
      </c>
      <c r="L688" s="7"/>
      <c r="S688" s="7" t="n">
        <v>3</v>
      </c>
      <c r="T688" s="7" t="n">
        <v>6</v>
      </c>
      <c r="U688" s="7" t="n">
        <v>6</v>
      </c>
      <c r="V688" s="9" t="n">
        <v>0</v>
      </c>
    </row>
    <row r="689">
      <c r="A689" s="7" t="s">
        <v>76</v>
      </c>
      <c r="B689" s="7" t="s">
        <v>47</v>
      </c>
      <c r="C689" s="7" t="s">
        <v>48</v>
      </c>
      <c r="D689" s="7" t="s">
        <v>31</v>
      </c>
      <c r="E689" s="8" t="n">
        <v>45901</v>
      </c>
      <c r="F689" s="7" t="n">
        <v>0</v>
      </c>
      <c r="H689" s="7" t="n">
        <v>1576</v>
      </c>
      <c r="I689" s="7" t="n">
        <v>0</v>
      </c>
      <c r="L689" s="7"/>
      <c r="S689" s="7" t="n">
        <v>3</v>
      </c>
      <c r="T689" s="7" t="n">
        <v>6</v>
      </c>
      <c r="U689" s="7" t="n">
        <v>6</v>
      </c>
      <c r="V689" s="9" t="n">
        <v>0</v>
      </c>
    </row>
    <row r="690">
      <c r="A690" s="7" t="s">
        <v>76</v>
      </c>
      <c r="B690" s="7" t="s">
        <v>47</v>
      </c>
      <c r="C690" s="7" t="s">
        <v>48</v>
      </c>
      <c r="D690" s="7" t="s">
        <v>31</v>
      </c>
      <c r="E690" s="8" t="n">
        <v>45931</v>
      </c>
      <c r="F690" s="7" t="n">
        <v>0</v>
      </c>
      <c r="H690" s="7" t="n">
        <v>1576</v>
      </c>
      <c r="I690" s="7" t="n">
        <v>0</v>
      </c>
      <c r="L690" s="7"/>
      <c r="S690" s="7" t="n">
        <v>3</v>
      </c>
      <c r="T690" s="7" t="n">
        <v>6</v>
      </c>
      <c r="U690" s="7" t="n">
        <v>6</v>
      </c>
      <c r="V690" s="9" t="n">
        <v>0</v>
      </c>
    </row>
    <row r="691">
      <c r="A691" s="7" t="s">
        <v>76</v>
      </c>
      <c r="B691" s="7" t="s">
        <v>47</v>
      </c>
      <c r="C691" s="7" t="s">
        <v>48</v>
      </c>
      <c r="D691" s="7" t="s">
        <v>31</v>
      </c>
      <c r="E691" s="8" t="n">
        <v>45962</v>
      </c>
      <c r="F691" s="7" t="n">
        <v>0</v>
      </c>
      <c r="H691" s="7" t="n">
        <v>1576</v>
      </c>
      <c r="I691" s="7" t="n">
        <v>0</v>
      </c>
      <c r="L691" s="7"/>
      <c r="S691" s="7" t="n">
        <v>3</v>
      </c>
      <c r="T691" s="7" t="n">
        <v>6</v>
      </c>
      <c r="U691" s="7" t="n">
        <v>6</v>
      </c>
      <c r="V691" s="9" t="n">
        <v>0</v>
      </c>
    </row>
    <row r="692">
      <c r="A692" s="7" t="s">
        <v>76</v>
      </c>
      <c r="B692" s="7" t="s">
        <v>47</v>
      </c>
      <c r="C692" s="7" t="s">
        <v>48</v>
      </c>
      <c r="D692" s="7" t="s">
        <v>31</v>
      </c>
      <c r="E692" s="8" t="n">
        <v>45992</v>
      </c>
      <c r="F692" s="7" t="n">
        <v>0</v>
      </c>
      <c r="H692" s="7" t="n">
        <v>1576</v>
      </c>
      <c r="I692" s="7" t="n">
        <v>0</v>
      </c>
      <c r="L692" s="7"/>
      <c r="S692" s="7" t="n">
        <v>3</v>
      </c>
      <c r="T692" s="7" t="n">
        <v>6</v>
      </c>
      <c r="U692" s="7" t="n">
        <v>6</v>
      </c>
      <c r="V692" s="9" t="n">
        <v>0</v>
      </c>
    </row>
    <row r="693">
      <c r="A693" s="7" t="s">
        <v>76</v>
      </c>
      <c r="B693" s="7" t="s">
        <v>47</v>
      </c>
      <c r="C693" s="7" t="s">
        <v>48</v>
      </c>
      <c r="D693" s="7" t="s">
        <v>31</v>
      </c>
      <c r="E693" s="8" t="n">
        <v>46023</v>
      </c>
      <c r="F693" s="7" t="n">
        <v>0</v>
      </c>
      <c r="H693" s="7" t="n">
        <v>1576</v>
      </c>
      <c r="I693" s="7" t="n">
        <v>0</v>
      </c>
      <c r="L693" s="7"/>
      <c r="S693" s="7" t="n">
        <v>3</v>
      </c>
      <c r="T693" s="7" t="n">
        <v>6</v>
      </c>
      <c r="U693" s="7" t="n">
        <v>6</v>
      </c>
      <c r="V693" s="9" t="n">
        <v>0</v>
      </c>
    </row>
    <row r="694">
      <c r="A694" s="7" t="s">
        <v>76</v>
      </c>
      <c r="B694" s="7" t="s">
        <v>47</v>
      </c>
      <c r="C694" s="7" t="s">
        <v>48</v>
      </c>
      <c r="D694" s="7" t="s">
        <v>31</v>
      </c>
      <c r="E694" s="8" t="n">
        <v>46054</v>
      </c>
      <c r="F694" s="7" t="n">
        <v>0</v>
      </c>
      <c r="H694" s="7" t="n">
        <v>1576</v>
      </c>
      <c r="I694" s="7" t="n">
        <v>0</v>
      </c>
      <c r="L694" s="7"/>
      <c r="S694" s="7" t="n">
        <v>3</v>
      </c>
      <c r="T694" s="7" t="n">
        <v>6</v>
      </c>
      <c r="U694" s="7" t="n">
        <v>6</v>
      </c>
      <c r="V694" s="9" t="n">
        <v>0</v>
      </c>
    </row>
    <row r="695">
      <c r="A695" s="7" t="s">
        <v>76</v>
      </c>
      <c r="B695" s="7" t="s">
        <v>47</v>
      </c>
      <c r="C695" s="7" t="s">
        <v>48</v>
      </c>
      <c r="D695" s="7" t="s">
        <v>31</v>
      </c>
      <c r="E695" s="8" t="n">
        <v>46082</v>
      </c>
      <c r="F695" s="7" t="n">
        <v>0</v>
      </c>
      <c r="H695" s="7" t="n">
        <v>1576</v>
      </c>
      <c r="I695" s="7" t="n">
        <v>0</v>
      </c>
      <c r="L695" s="7"/>
      <c r="S695" s="7" t="n">
        <v>3</v>
      </c>
      <c r="T695" s="7" t="n">
        <v>6</v>
      </c>
      <c r="U695" s="7" t="n">
        <v>6</v>
      </c>
      <c r="V695" s="9" t="n">
        <v>0</v>
      </c>
    </row>
    <row r="696">
      <c r="A696" s="7" t="s">
        <v>76</v>
      </c>
      <c r="B696" s="7" t="s">
        <v>47</v>
      </c>
      <c r="C696" s="7" t="s">
        <v>48</v>
      </c>
      <c r="D696" s="7" t="s">
        <v>31</v>
      </c>
      <c r="E696" s="8" t="n">
        <v>46113</v>
      </c>
      <c r="F696" s="7" t="n">
        <v>0</v>
      </c>
      <c r="H696" s="7" t="n">
        <v>1576</v>
      </c>
      <c r="I696" s="7" t="n">
        <v>0</v>
      </c>
      <c r="L696" s="7"/>
      <c r="S696" s="7" t="n">
        <v>3</v>
      </c>
      <c r="T696" s="7" t="n">
        <v>6</v>
      </c>
      <c r="U696" s="7" t="n">
        <v>6</v>
      </c>
      <c r="V696" s="9" t="n">
        <v>0</v>
      </c>
    </row>
    <row r="697">
      <c r="A697" s="7" t="s">
        <v>76</v>
      </c>
      <c r="B697" s="7" t="s">
        <v>47</v>
      </c>
      <c r="C697" s="7" t="s">
        <v>48</v>
      </c>
      <c r="D697" s="7" t="s">
        <v>31</v>
      </c>
      <c r="E697" s="8" t="n">
        <v>46143</v>
      </c>
      <c r="F697" s="7" t="n">
        <v>0</v>
      </c>
      <c r="H697" s="7" t="n">
        <v>1576</v>
      </c>
      <c r="I697" s="7" t="n">
        <v>0</v>
      </c>
      <c r="L697" s="7"/>
      <c r="S697" s="7" t="n">
        <v>3</v>
      </c>
      <c r="T697" s="7" t="n">
        <v>6</v>
      </c>
      <c r="U697" s="7" t="n">
        <v>6</v>
      </c>
      <c r="V697" s="9" t="n">
        <v>0</v>
      </c>
    </row>
    <row r="698">
      <c r="A698" s="7" t="s">
        <v>76</v>
      </c>
      <c r="B698" s="7" t="s">
        <v>47</v>
      </c>
      <c r="C698" s="7" t="s">
        <v>48</v>
      </c>
      <c r="D698" s="7" t="s">
        <v>31</v>
      </c>
      <c r="E698" s="8" t="n">
        <v>46174</v>
      </c>
      <c r="F698" s="7" t="n">
        <v>0</v>
      </c>
      <c r="H698" s="7" t="n">
        <v>1576</v>
      </c>
      <c r="I698" s="7" t="n">
        <v>0</v>
      </c>
      <c r="L698" s="7"/>
      <c r="S698" s="7" t="n">
        <v>3</v>
      </c>
      <c r="T698" s="7" t="n">
        <v>6</v>
      </c>
      <c r="U698" s="7" t="n">
        <v>6</v>
      </c>
      <c r="V698" s="9" t="n">
        <v>0</v>
      </c>
    </row>
    <row r="699">
      <c r="A699" s="7" t="s">
        <v>76</v>
      </c>
      <c r="B699" s="7" t="s">
        <v>47</v>
      </c>
      <c r="C699" s="7" t="s">
        <v>48</v>
      </c>
      <c r="D699" s="7" t="s">
        <v>31</v>
      </c>
      <c r="E699" s="8" t="n">
        <v>46204</v>
      </c>
      <c r="F699" s="7" t="n">
        <v>0</v>
      </c>
      <c r="H699" s="7" t="n">
        <v>1576</v>
      </c>
      <c r="I699" s="7" t="n">
        <v>0</v>
      </c>
      <c r="L699" s="7"/>
      <c r="S699" s="7" t="n">
        <v>3</v>
      </c>
      <c r="T699" s="7" t="n">
        <v>6</v>
      </c>
      <c r="U699" s="7" t="n">
        <v>6</v>
      </c>
      <c r="V699" s="9" t="n">
        <v>0</v>
      </c>
    </row>
    <row r="700">
      <c r="A700" s="7" t="s">
        <v>76</v>
      </c>
      <c r="B700" s="7" t="s">
        <v>47</v>
      </c>
      <c r="C700" s="7" t="s">
        <v>48</v>
      </c>
      <c r="D700" s="7" t="s">
        <v>31</v>
      </c>
      <c r="E700" s="8" t="n">
        <v>46235</v>
      </c>
      <c r="F700" s="7" t="n">
        <v>0</v>
      </c>
      <c r="H700" s="7" t="n">
        <v>1576</v>
      </c>
      <c r="I700" s="7" t="n">
        <v>0</v>
      </c>
      <c r="L700" s="7"/>
      <c r="S700" s="7" t="n">
        <v>3</v>
      </c>
      <c r="T700" s="7" t="n">
        <v>6</v>
      </c>
      <c r="U700" s="7" t="n">
        <v>6</v>
      </c>
      <c r="V700" s="9" t="n">
        <v>0</v>
      </c>
    </row>
    <row r="701">
      <c r="A701" s="7" t="s">
        <v>76</v>
      </c>
      <c r="B701" s="7" t="s">
        <v>47</v>
      </c>
      <c r="C701" s="7" t="s">
        <v>48</v>
      </c>
      <c r="D701" s="7" t="s">
        <v>31</v>
      </c>
      <c r="E701" s="8" t="n">
        <v>46266</v>
      </c>
      <c r="F701" s="7" t="n">
        <v>0</v>
      </c>
      <c r="H701" s="7" t="n">
        <v>1576</v>
      </c>
      <c r="I701" s="7" t="n">
        <v>0</v>
      </c>
      <c r="L701" s="7"/>
      <c r="S701" s="7" t="n">
        <v>3</v>
      </c>
      <c r="T701" s="7" t="n">
        <v>6</v>
      </c>
      <c r="U701" s="7" t="n">
        <v>6</v>
      </c>
      <c r="V701" s="9" t="n">
        <v>0</v>
      </c>
    </row>
    <row r="702">
      <c r="A702" s="7" t="s">
        <v>76</v>
      </c>
      <c r="B702" s="7" t="s">
        <v>47</v>
      </c>
      <c r="C702" s="7" t="s">
        <v>48</v>
      </c>
      <c r="D702" s="7" t="s">
        <v>31</v>
      </c>
      <c r="E702" s="8" t="n">
        <v>46296</v>
      </c>
      <c r="F702" s="7" t="n">
        <v>0</v>
      </c>
      <c r="H702" s="7" t="n">
        <v>1576</v>
      </c>
      <c r="I702" s="7" t="n">
        <v>0</v>
      </c>
      <c r="L702" s="7"/>
      <c r="S702" s="7" t="n">
        <v>3</v>
      </c>
      <c r="T702" s="7" t="n">
        <v>6</v>
      </c>
      <c r="U702" s="7" t="n">
        <v>6</v>
      </c>
      <c r="V702" s="9" t="n">
        <v>0</v>
      </c>
    </row>
    <row r="703">
      <c r="A703" s="7" t="s">
        <v>76</v>
      </c>
      <c r="B703" s="7" t="s">
        <v>47</v>
      </c>
      <c r="C703" s="7" t="s">
        <v>48</v>
      </c>
      <c r="D703" s="7" t="s">
        <v>31</v>
      </c>
      <c r="E703" s="8" t="n">
        <v>46327</v>
      </c>
      <c r="F703" s="7" t="n">
        <v>0</v>
      </c>
      <c r="H703" s="7" t="n">
        <v>1576</v>
      </c>
      <c r="I703" s="7" t="n">
        <v>0</v>
      </c>
      <c r="L703" s="7"/>
      <c r="S703" s="7" t="n">
        <v>3</v>
      </c>
      <c r="T703" s="7" t="n">
        <v>6</v>
      </c>
      <c r="U703" s="7" t="n">
        <v>6</v>
      </c>
      <c r="V703" s="9" t="n">
        <v>0</v>
      </c>
    </row>
    <row r="704">
      <c r="A704" s="7" t="s">
        <v>76</v>
      </c>
      <c r="B704" s="7" t="s">
        <v>47</v>
      </c>
      <c r="C704" s="7" t="s">
        <v>48</v>
      </c>
      <c r="D704" s="7" t="s">
        <v>31</v>
      </c>
      <c r="E704" s="8" t="n">
        <v>46357</v>
      </c>
      <c r="F704" s="7" t="n">
        <v>0</v>
      </c>
      <c r="H704" s="7" t="n">
        <v>1576</v>
      </c>
      <c r="I704" s="7" t="n">
        <v>0</v>
      </c>
      <c r="L704" s="7"/>
      <c r="S704" s="7" t="n">
        <v>3</v>
      </c>
      <c r="T704" s="7" t="n">
        <v>6</v>
      </c>
      <c r="U704" s="7" t="n">
        <v>6</v>
      </c>
      <c r="V704" s="9" t="n">
        <v>0</v>
      </c>
    </row>
    <row r="705">
      <c r="A705" s="7" t="s">
        <v>166</v>
      </c>
      <c r="B705" s="7" t="s">
        <v>47</v>
      </c>
      <c r="C705" s="7" t="s">
        <v>48</v>
      </c>
      <c r="D705" s="7" t="s">
        <v>31</v>
      </c>
      <c r="E705" s="8" t="n">
        <v>45748</v>
      </c>
      <c r="F705" s="7" t="n">
        <v>0</v>
      </c>
      <c r="H705" s="7" t="n">
        <v>61</v>
      </c>
      <c r="I705" s="7" t="n">
        <v>0</v>
      </c>
      <c r="L705" s="7"/>
      <c r="S705" s="7" t="n">
        <v>9</v>
      </c>
      <c r="T705" s="7" t="n">
        <v>15</v>
      </c>
      <c r="U705" s="7" t="n">
        <v>15</v>
      </c>
      <c r="V705" s="9" t="n">
        <v>0</v>
      </c>
    </row>
    <row r="706">
      <c r="A706" s="7" t="s">
        <v>166</v>
      </c>
      <c r="B706" s="7" t="s">
        <v>47</v>
      </c>
      <c r="C706" s="7" t="s">
        <v>48</v>
      </c>
      <c r="D706" s="7" t="s">
        <v>31</v>
      </c>
      <c r="E706" s="8" t="n">
        <v>45778</v>
      </c>
      <c r="F706" s="7" t="n">
        <v>0</v>
      </c>
      <c r="H706" s="7" t="n">
        <v>61</v>
      </c>
      <c r="I706" s="7" t="n">
        <v>0</v>
      </c>
      <c r="L706" s="7"/>
      <c r="S706" s="7" t="n">
        <v>9</v>
      </c>
      <c r="T706" s="7" t="n">
        <v>15</v>
      </c>
      <c r="U706" s="7" t="n">
        <v>15</v>
      </c>
      <c r="V706" s="9" t="n">
        <v>0</v>
      </c>
    </row>
    <row r="707">
      <c r="A707" s="7" t="s">
        <v>166</v>
      </c>
      <c r="B707" s="7" t="s">
        <v>47</v>
      </c>
      <c r="C707" s="7" t="s">
        <v>48</v>
      </c>
      <c r="D707" s="7" t="s">
        <v>31</v>
      </c>
      <c r="E707" s="8" t="n">
        <v>45809</v>
      </c>
      <c r="F707" s="7" t="n">
        <v>0</v>
      </c>
      <c r="H707" s="7" t="n">
        <v>61</v>
      </c>
      <c r="I707" s="7" t="n">
        <v>0</v>
      </c>
      <c r="L707" s="7"/>
      <c r="S707" s="7" t="n">
        <v>9</v>
      </c>
      <c r="T707" s="7" t="n">
        <v>15</v>
      </c>
      <c r="U707" s="7" t="n">
        <v>15</v>
      </c>
      <c r="V707" s="9" t="n">
        <v>0</v>
      </c>
    </row>
    <row r="708">
      <c r="A708" s="7" t="s">
        <v>166</v>
      </c>
      <c r="B708" s="7" t="s">
        <v>47</v>
      </c>
      <c r="C708" s="7" t="s">
        <v>48</v>
      </c>
      <c r="D708" s="7" t="s">
        <v>31</v>
      </c>
      <c r="E708" s="8" t="n">
        <v>45839</v>
      </c>
      <c r="F708" s="7" t="n">
        <v>0</v>
      </c>
      <c r="H708" s="7" t="n">
        <v>61</v>
      </c>
      <c r="I708" s="7" t="n">
        <v>0</v>
      </c>
      <c r="L708" s="7"/>
      <c r="S708" s="7" t="n">
        <v>9</v>
      </c>
      <c r="T708" s="7" t="n">
        <v>15</v>
      </c>
      <c r="U708" s="7" t="n">
        <v>15</v>
      </c>
      <c r="V708" s="9" t="n">
        <v>0</v>
      </c>
    </row>
    <row r="709">
      <c r="A709" s="7" t="s">
        <v>166</v>
      </c>
      <c r="B709" s="7" t="s">
        <v>47</v>
      </c>
      <c r="C709" s="7" t="s">
        <v>48</v>
      </c>
      <c r="D709" s="7" t="s">
        <v>31</v>
      </c>
      <c r="E709" s="8" t="n">
        <v>45870</v>
      </c>
      <c r="F709" s="7" t="n">
        <v>0</v>
      </c>
      <c r="H709" s="7" t="n">
        <v>61</v>
      </c>
      <c r="I709" s="7" t="n">
        <v>0</v>
      </c>
      <c r="L709" s="7"/>
      <c r="S709" s="7" t="n">
        <v>9</v>
      </c>
      <c r="T709" s="7" t="n">
        <v>15</v>
      </c>
      <c r="U709" s="7" t="n">
        <v>15</v>
      </c>
      <c r="V709" s="9" t="n">
        <v>0</v>
      </c>
    </row>
    <row r="710">
      <c r="A710" s="7" t="s">
        <v>166</v>
      </c>
      <c r="B710" s="7" t="s">
        <v>47</v>
      </c>
      <c r="C710" s="7" t="s">
        <v>48</v>
      </c>
      <c r="D710" s="7" t="s">
        <v>31</v>
      </c>
      <c r="E710" s="8" t="n">
        <v>45901</v>
      </c>
      <c r="F710" s="7" t="n">
        <v>0</v>
      </c>
      <c r="H710" s="7" t="n">
        <v>61</v>
      </c>
      <c r="I710" s="7" t="n">
        <v>0</v>
      </c>
      <c r="L710" s="7"/>
      <c r="S710" s="7" t="n">
        <v>9</v>
      </c>
      <c r="T710" s="7" t="n">
        <v>15</v>
      </c>
      <c r="U710" s="7" t="n">
        <v>15</v>
      </c>
      <c r="V710" s="9" t="n">
        <v>0</v>
      </c>
    </row>
    <row r="711">
      <c r="A711" s="7" t="s">
        <v>166</v>
      </c>
      <c r="B711" s="7" t="s">
        <v>47</v>
      </c>
      <c r="C711" s="7" t="s">
        <v>48</v>
      </c>
      <c r="D711" s="7" t="s">
        <v>31</v>
      </c>
      <c r="E711" s="8" t="n">
        <v>45931</v>
      </c>
      <c r="F711" s="7" t="n">
        <v>0</v>
      </c>
      <c r="H711" s="7" t="n">
        <v>61</v>
      </c>
      <c r="I711" s="7" t="n">
        <v>0</v>
      </c>
      <c r="L711" s="7"/>
      <c r="S711" s="7" t="n">
        <v>9</v>
      </c>
      <c r="T711" s="7" t="n">
        <v>15</v>
      </c>
      <c r="U711" s="7" t="n">
        <v>15</v>
      </c>
      <c r="V711" s="9" t="n">
        <v>0</v>
      </c>
    </row>
    <row r="712">
      <c r="A712" s="7" t="s">
        <v>166</v>
      </c>
      <c r="B712" s="7" t="s">
        <v>47</v>
      </c>
      <c r="C712" s="7" t="s">
        <v>48</v>
      </c>
      <c r="D712" s="7" t="s">
        <v>31</v>
      </c>
      <c r="E712" s="8" t="n">
        <v>45962</v>
      </c>
      <c r="F712" s="7" t="n">
        <v>0</v>
      </c>
      <c r="H712" s="7" t="n">
        <v>61</v>
      </c>
      <c r="I712" s="7" t="n">
        <v>0</v>
      </c>
      <c r="L712" s="7"/>
      <c r="S712" s="7" t="n">
        <v>9</v>
      </c>
      <c r="T712" s="7" t="n">
        <v>15</v>
      </c>
      <c r="U712" s="7" t="n">
        <v>15</v>
      </c>
      <c r="V712" s="9" t="n">
        <v>0</v>
      </c>
    </row>
    <row r="713">
      <c r="A713" s="7" t="s">
        <v>166</v>
      </c>
      <c r="B713" s="7" t="s">
        <v>47</v>
      </c>
      <c r="C713" s="7" t="s">
        <v>48</v>
      </c>
      <c r="D713" s="7" t="s">
        <v>31</v>
      </c>
      <c r="E713" s="8" t="n">
        <v>45992</v>
      </c>
      <c r="F713" s="7" t="n">
        <v>0</v>
      </c>
      <c r="H713" s="7" t="n">
        <v>61</v>
      </c>
      <c r="I713" s="7" t="n">
        <v>0</v>
      </c>
      <c r="L713" s="7"/>
      <c r="S713" s="7" t="n">
        <v>9</v>
      </c>
      <c r="T713" s="7" t="n">
        <v>15</v>
      </c>
      <c r="U713" s="7" t="n">
        <v>15</v>
      </c>
      <c r="V713" s="9" t="n">
        <v>0</v>
      </c>
    </row>
    <row r="714">
      <c r="A714" s="7" t="s">
        <v>28</v>
      </c>
      <c r="B714" s="7" t="s">
        <v>38</v>
      </c>
      <c r="C714" s="7" t="s">
        <v>39</v>
      </c>
      <c r="D714" s="7" t="s">
        <v>31</v>
      </c>
      <c r="E714" s="8" t="n">
        <v>45839</v>
      </c>
      <c r="F714" s="7" t="n">
        <v>174612</v>
      </c>
      <c r="H714" s="7" t="n">
        <v>17890</v>
      </c>
      <c r="I714" s="7" t="n">
        <v>156722</v>
      </c>
      <c r="L714" s="7"/>
      <c r="S714" s="7" t="n">
        <v>9</v>
      </c>
      <c r="T714" s="7" t="n">
        <v>14</v>
      </c>
      <c r="U714" s="7" t="n">
        <v>13</v>
      </c>
      <c r="V714" s="9" t="n">
        <v>8.7603130240357743</v>
      </c>
    </row>
    <row r="715">
      <c r="A715" s="7" t="s">
        <v>28</v>
      </c>
      <c r="B715" s="7" t="s">
        <v>38</v>
      </c>
      <c r="C715" s="7" t="s">
        <v>39</v>
      </c>
      <c r="D715" s="7" t="s">
        <v>31</v>
      </c>
      <c r="E715" s="8" t="n">
        <v>45870</v>
      </c>
      <c r="F715" s="7" t="n">
        <v>156722</v>
      </c>
      <c r="H715" s="7" t="n">
        <v>17890</v>
      </c>
      <c r="I715" s="7" t="n">
        <v>138832</v>
      </c>
      <c r="L715" s="7"/>
      <c r="S715" s="7" t="n">
        <v>9</v>
      </c>
      <c r="T715" s="7" t="n">
        <v>14</v>
      </c>
      <c r="U715" s="7" t="n">
        <v>13</v>
      </c>
      <c r="V715" s="9" t="n">
        <v>7.7603130240357743</v>
      </c>
    </row>
    <row r="716">
      <c r="A716" s="7" t="s">
        <v>28</v>
      </c>
      <c r="B716" s="7" t="s">
        <v>38</v>
      </c>
      <c r="C716" s="7" t="s">
        <v>39</v>
      </c>
      <c r="D716" s="7" t="s">
        <v>31</v>
      </c>
      <c r="E716" s="8" t="n">
        <v>45901</v>
      </c>
      <c r="F716" s="7" t="n">
        <v>138832</v>
      </c>
      <c r="H716" s="7" t="n">
        <v>17890</v>
      </c>
      <c r="I716" s="7" t="n">
        <v>222163</v>
      </c>
      <c r="J716" s="7" t="s">
        <v>2</v>
      </c>
      <c r="K716" s="7" t="s">
        <v>2</v>
      </c>
      <c r="L716" s="7" t="s">
        <v>4</v>
      </c>
      <c r="M716" s="7" t="n">
        <v>101221</v>
      </c>
      <c r="O716" s="7" t="n">
        <v>1032454</v>
      </c>
      <c r="P716" s="7" t="n">
        <v>45901</v>
      </c>
      <c r="S716" s="7" t="n">
        <v>9</v>
      </c>
      <c r="T716" s="7" t="n">
        <v>14</v>
      </c>
      <c r="U716" s="7" t="n">
        <v>13</v>
      </c>
      <c r="V716" s="9" t="n">
        <v>12.418278367803243</v>
      </c>
    </row>
    <row r="717">
      <c r="A717" s="7" t="s">
        <v>28</v>
      </c>
      <c r="B717" s="7" t="s">
        <v>38</v>
      </c>
      <c r="C717" s="7" t="s">
        <v>39</v>
      </c>
      <c r="D717" s="7" t="s">
        <v>31</v>
      </c>
      <c r="E717" s="8" t="n">
        <v>45931</v>
      </c>
      <c r="F717" s="7" t="n">
        <v>120942</v>
      </c>
      <c r="H717" s="7" t="n">
        <v>17890</v>
      </c>
      <c r="I717" s="7" t="n">
        <v>103052</v>
      </c>
      <c r="L717" s="7"/>
      <c r="S717" s="7" t="n">
        <v>9</v>
      </c>
      <c r="T717" s="7" t="n">
        <v>14</v>
      </c>
      <c r="U717" s="7" t="n">
        <v>13</v>
      </c>
      <c r="V717" s="9" t="n">
        <v>5.7603130240357743</v>
      </c>
    </row>
    <row r="718">
      <c r="A718" s="7" t="s">
        <v>28</v>
      </c>
      <c r="B718" s="7" t="s">
        <v>38</v>
      </c>
      <c r="C718" s="7" t="s">
        <v>39</v>
      </c>
      <c r="D718" s="7" t="s">
        <v>31</v>
      </c>
      <c r="E718" s="8" t="n">
        <v>45962</v>
      </c>
      <c r="F718" s="7" t="n">
        <v>103052</v>
      </c>
      <c r="H718" s="7" t="n">
        <v>17890</v>
      </c>
      <c r="I718" s="7" t="n">
        <v>85162</v>
      </c>
      <c r="L718" s="7"/>
      <c r="S718" s="7" t="n">
        <v>9</v>
      </c>
      <c r="T718" s="7" t="n">
        <v>14</v>
      </c>
      <c r="U718" s="7" t="n">
        <v>13</v>
      </c>
      <c r="V718" s="9" t="n">
        <v>4.7603130240357743</v>
      </c>
    </row>
    <row r="719">
      <c r="A719" s="7" t="s">
        <v>28</v>
      </c>
      <c r="B719" s="7" t="s">
        <v>38</v>
      </c>
      <c r="C719" s="7" t="s">
        <v>39</v>
      </c>
      <c r="D719" s="7" t="s">
        <v>31</v>
      </c>
      <c r="E719" s="8" t="n">
        <v>45992</v>
      </c>
      <c r="F719" s="7" t="n">
        <v>85162</v>
      </c>
      <c r="H719" s="7" t="n">
        <v>17890</v>
      </c>
      <c r="I719" s="7" t="n">
        <v>67272</v>
      </c>
      <c r="L719" s="7"/>
      <c r="S719" s="7" t="n">
        <v>9</v>
      </c>
      <c r="T719" s="7" t="n">
        <v>14</v>
      </c>
      <c r="U719" s="7" t="n">
        <v>13</v>
      </c>
      <c r="V719" s="9" t="n">
        <v>3.7603130240357743</v>
      </c>
    </row>
    <row r="720">
      <c r="A720" s="7" t="s">
        <v>28</v>
      </c>
      <c r="B720" s="7" t="s">
        <v>38</v>
      </c>
      <c r="C720" s="7" t="s">
        <v>39</v>
      </c>
      <c r="D720" s="7" t="s">
        <v>31</v>
      </c>
      <c r="E720" s="8" t="n">
        <v>46023</v>
      </c>
      <c r="F720" s="7" t="n">
        <v>67272</v>
      </c>
      <c r="H720" s="7" t="n">
        <v>17890</v>
      </c>
      <c r="I720" s="7" t="n">
        <v>49382</v>
      </c>
      <c r="L720" s="7"/>
      <c r="S720" s="7" t="n">
        <v>9</v>
      </c>
      <c r="T720" s="7" t="n">
        <v>14</v>
      </c>
      <c r="U720" s="7" t="n">
        <v>13</v>
      </c>
      <c r="V720" s="9" t="n">
        <v>2.7603130240357743</v>
      </c>
    </row>
    <row r="721">
      <c r="A721" s="7" t="s">
        <v>28</v>
      </c>
      <c r="B721" s="7" t="s">
        <v>38</v>
      </c>
      <c r="C721" s="7" t="s">
        <v>39</v>
      </c>
      <c r="D721" s="7" t="s">
        <v>31</v>
      </c>
      <c r="E721" s="8" t="n">
        <v>46054</v>
      </c>
      <c r="F721" s="7" t="n">
        <v>49382</v>
      </c>
      <c r="H721" s="7" t="n">
        <v>17890</v>
      </c>
      <c r="I721" s="7" t="n">
        <v>130475</v>
      </c>
      <c r="J721" s="7" t="s">
        <v>2</v>
      </c>
      <c r="K721" s="7" t="s">
        <v>2</v>
      </c>
      <c r="L721" s="7" t="s">
        <v>4</v>
      </c>
      <c r="M721" s="7" t="n">
        <v>98983</v>
      </c>
      <c r="O721" s="7" t="n">
        <v>1009627</v>
      </c>
      <c r="P721" s="7" t="n">
        <v>46054</v>
      </c>
      <c r="S721" s="7" t="n">
        <v>9</v>
      </c>
      <c r="T721" s="7" t="n">
        <v>14</v>
      </c>
      <c r="U721" s="7" t="n">
        <v>13</v>
      </c>
      <c r="V721" s="9" t="n">
        <v>7.2931805477920628</v>
      </c>
    </row>
    <row r="722">
      <c r="A722" s="7" t="s">
        <v>28</v>
      </c>
      <c r="B722" s="7" t="s">
        <v>38</v>
      </c>
      <c r="C722" s="7" t="s">
        <v>39</v>
      </c>
      <c r="D722" s="7" t="s">
        <v>31</v>
      </c>
      <c r="E722" s="8" t="n">
        <v>46082</v>
      </c>
      <c r="F722" s="7" t="n">
        <v>31492</v>
      </c>
      <c r="H722" s="7" t="n">
        <v>17890</v>
      </c>
      <c r="I722" s="7" t="n">
        <v>13602</v>
      </c>
      <c r="L722" s="7"/>
      <c r="S722" s="7" t="n">
        <v>9</v>
      </c>
      <c r="T722" s="7" t="n">
        <v>14</v>
      </c>
      <c r="U722" s="7" t="n">
        <v>13</v>
      </c>
      <c r="V722" s="9" t="n">
        <v>0.76031302403577417</v>
      </c>
    </row>
    <row r="723">
      <c r="A723" s="7" t="s">
        <v>28</v>
      </c>
      <c r="B723" s="7" t="s">
        <v>38</v>
      </c>
      <c r="C723" s="7" t="s">
        <v>39</v>
      </c>
      <c r="D723" s="7" t="s">
        <v>31</v>
      </c>
      <c r="E723" s="8" t="n">
        <v>46113</v>
      </c>
      <c r="F723" s="7" t="n">
        <v>13602</v>
      </c>
      <c r="H723" s="7" t="n">
        <v>17890</v>
      </c>
      <c r="I723" s="7" t="n">
        <v>0</v>
      </c>
      <c r="L723" s="7"/>
      <c r="S723" s="7" t="n">
        <v>9</v>
      </c>
      <c r="T723" s="7" t="n">
        <v>14</v>
      </c>
      <c r="U723" s="7" t="n">
        <v>13</v>
      </c>
      <c r="V723" s="9" t="n">
        <v>0</v>
      </c>
    </row>
    <row r="724">
      <c r="A724" s="7" t="s">
        <v>28</v>
      </c>
      <c r="B724" s="7" t="s">
        <v>38</v>
      </c>
      <c r="C724" s="7" t="s">
        <v>39</v>
      </c>
      <c r="D724" s="7" t="s">
        <v>31</v>
      </c>
      <c r="E724" s="8" t="n">
        <v>46143</v>
      </c>
      <c r="F724" s="7" t="n">
        <v>0</v>
      </c>
      <c r="H724" s="7" t="n">
        <v>17890</v>
      </c>
      <c r="I724" s="7" t="n">
        <v>0</v>
      </c>
      <c r="L724" s="7"/>
      <c r="S724" s="7" t="n">
        <v>9</v>
      </c>
      <c r="T724" s="7" t="n">
        <v>14</v>
      </c>
      <c r="U724" s="7" t="n">
        <v>13</v>
      </c>
      <c r="V724" s="9" t="n">
        <v>0</v>
      </c>
    </row>
    <row r="725">
      <c r="A725" s="7" t="s">
        <v>28</v>
      </c>
      <c r="B725" s="7" t="s">
        <v>38</v>
      </c>
      <c r="C725" s="7" t="s">
        <v>39</v>
      </c>
      <c r="D725" s="7" t="s">
        <v>31</v>
      </c>
      <c r="E725" s="8" t="n">
        <v>46174</v>
      </c>
      <c r="F725" s="7" t="n">
        <v>0</v>
      </c>
      <c r="H725" s="7" t="n">
        <v>17890</v>
      </c>
      <c r="I725" s="7" t="n">
        <v>0</v>
      </c>
      <c r="L725" s="7"/>
      <c r="S725" s="7" t="n">
        <v>9</v>
      </c>
      <c r="T725" s="7" t="n">
        <v>14</v>
      </c>
      <c r="U725" s="7" t="n">
        <v>13</v>
      </c>
      <c r="V725" s="9" t="n">
        <v>0</v>
      </c>
    </row>
    <row r="726">
      <c r="A726" s="7" t="s">
        <v>75</v>
      </c>
      <c r="B726" s="7" t="s">
        <v>38</v>
      </c>
      <c r="C726" s="7" t="s">
        <v>39</v>
      </c>
      <c r="D726" s="7" t="s">
        <v>31</v>
      </c>
      <c r="E726" s="8" t="n">
        <v>45748</v>
      </c>
      <c r="F726" s="7" t="n">
        <v>68852</v>
      </c>
      <c r="H726" s="7" t="n">
        <v>19069</v>
      </c>
      <c r="I726" s="7" t="n">
        <v>49783</v>
      </c>
      <c r="L726" s="7"/>
      <c r="S726" s="7" t="n">
        <v>7</v>
      </c>
      <c r="T726" s="7" t="n">
        <v>15</v>
      </c>
      <c r="U726" s="7" t="n">
        <v>15</v>
      </c>
      <c r="V726" s="9" t="n">
        <v>2.6106770150506056</v>
      </c>
    </row>
    <row r="727">
      <c r="A727" s="7" t="s">
        <v>75</v>
      </c>
      <c r="B727" s="7" t="s">
        <v>38</v>
      </c>
      <c r="C727" s="7" t="s">
        <v>39</v>
      </c>
      <c r="D727" s="7" t="s">
        <v>31</v>
      </c>
      <c r="E727" s="8" t="n">
        <v>45778</v>
      </c>
      <c r="F727" s="7" t="n">
        <v>49783</v>
      </c>
      <c r="H727" s="7" t="n">
        <v>19103</v>
      </c>
      <c r="I727" s="7" t="n">
        <v>60704</v>
      </c>
      <c r="L727" s="7" t="s">
        <v>153</v>
      </c>
      <c r="M727" s="7" t="n">
        <v>30024</v>
      </c>
      <c r="S727" s="7" t="n">
        <v>7</v>
      </c>
      <c r="T727" s="7" t="n">
        <v>15</v>
      </c>
      <c r="U727" s="7" t="n">
        <v>15</v>
      </c>
      <c r="V727" s="9" t="n">
        <v>3.1777207768413338</v>
      </c>
    </row>
    <row r="728">
      <c r="A728" s="7" t="s">
        <v>75</v>
      </c>
      <c r="B728" s="7" t="s">
        <v>38</v>
      </c>
      <c r="C728" s="7" t="s">
        <v>39</v>
      </c>
      <c r="D728" s="7" t="s">
        <v>31</v>
      </c>
      <c r="E728" s="8" t="n">
        <v>45809</v>
      </c>
      <c r="F728" s="7" t="n">
        <v>60704</v>
      </c>
      <c r="H728" s="7" t="n">
        <v>19137</v>
      </c>
      <c r="I728" s="7" t="n">
        <v>41567</v>
      </c>
      <c r="L728" s="7"/>
      <c r="S728" s="7" t="n">
        <v>7</v>
      </c>
      <c r="T728" s="7" t="n">
        <v>15</v>
      </c>
      <c r="U728" s="7" t="n">
        <v>15</v>
      </c>
      <c r="V728" s="9" t="n">
        <v>2.172075037884726</v>
      </c>
    </row>
    <row r="729">
      <c r="A729" s="7" t="s">
        <v>75</v>
      </c>
      <c r="B729" s="7" t="s">
        <v>38</v>
      </c>
      <c r="C729" s="7" t="s">
        <v>39</v>
      </c>
      <c r="D729" s="7" t="s">
        <v>31</v>
      </c>
      <c r="E729" s="8" t="n">
        <v>45839</v>
      </c>
      <c r="F729" s="7" t="n">
        <v>41567</v>
      </c>
      <c r="H729" s="7" t="n">
        <v>19171</v>
      </c>
      <c r="I729" s="7" t="n">
        <v>22396</v>
      </c>
      <c r="L729" s="7"/>
      <c r="S729" s="7" t="n">
        <v>7</v>
      </c>
      <c r="T729" s="7" t="n">
        <v>15</v>
      </c>
      <c r="U729" s="7" t="n">
        <v>15</v>
      </c>
      <c r="V729" s="9" t="n">
        <v>1.1682228365760785</v>
      </c>
    </row>
    <row r="730">
      <c r="A730" s="7" t="s">
        <v>75</v>
      </c>
      <c r="B730" s="7" t="s">
        <v>38</v>
      </c>
      <c r="C730" s="7" t="s">
        <v>39</v>
      </c>
      <c r="D730" s="7" t="s">
        <v>31</v>
      </c>
      <c r="E730" s="8" t="n">
        <v>45870</v>
      </c>
      <c r="F730" s="7" t="n">
        <v>22396</v>
      </c>
      <c r="H730" s="7" t="n">
        <v>19205</v>
      </c>
      <c r="I730" s="7" t="n">
        <v>3191</v>
      </c>
      <c r="L730" s="7"/>
      <c r="S730" s="7" t="n">
        <v>7</v>
      </c>
      <c r="T730" s="7" t="n">
        <v>15</v>
      </c>
      <c r="U730" s="7" t="n">
        <v>15</v>
      </c>
      <c r="V730" s="9" t="n">
        <v>0.16615464722728457</v>
      </c>
    </row>
    <row r="731">
      <c r="A731" s="7" t="s">
        <v>75</v>
      </c>
      <c r="B731" s="7" t="s">
        <v>38</v>
      </c>
      <c r="C731" s="7" t="s">
        <v>39</v>
      </c>
      <c r="D731" s="7" t="s">
        <v>31</v>
      </c>
      <c r="E731" s="8" t="n">
        <v>45901</v>
      </c>
      <c r="F731" s="7" t="n">
        <v>3191</v>
      </c>
      <c r="H731" s="7" t="n">
        <v>19239</v>
      </c>
      <c r="I731" s="7" t="n">
        <v>58976</v>
      </c>
      <c r="L731" s="7" t="s">
        <v>147</v>
      </c>
      <c r="M731" s="7" t="n">
        <v>75024</v>
      </c>
      <c r="S731" s="7" t="n">
        <v>7</v>
      </c>
      <c r="T731" s="7" t="n">
        <v>15</v>
      </c>
      <c r="U731" s="7" t="n">
        <v>15</v>
      </c>
      <c r="V731" s="9" t="n">
        <v>3.0654399916835593</v>
      </c>
    </row>
    <row r="732">
      <c r="A732" s="7" t="s">
        <v>75</v>
      </c>
      <c r="B732" s="7" t="s">
        <v>38</v>
      </c>
      <c r="C732" s="7" t="s">
        <v>39</v>
      </c>
      <c r="D732" s="7" t="s">
        <v>31</v>
      </c>
      <c r="E732" s="8" t="n">
        <v>45931</v>
      </c>
      <c r="F732" s="7" t="n">
        <v>58976</v>
      </c>
      <c r="H732" s="7" t="n">
        <v>19273</v>
      </c>
      <c r="I732" s="7" t="n">
        <v>39703</v>
      </c>
      <c r="L732" s="7"/>
      <c r="S732" s="7" t="n">
        <v>7</v>
      </c>
      <c r="T732" s="7" t="n">
        <v>15</v>
      </c>
      <c r="U732" s="7" t="n">
        <v>15</v>
      </c>
      <c r="V732" s="9" t="n">
        <v>2.0600321693560941</v>
      </c>
    </row>
    <row r="733">
      <c r="A733" s="7" t="s">
        <v>75</v>
      </c>
      <c r="B733" s="7" t="s">
        <v>38</v>
      </c>
      <c r="C733" s="7" t="s">
        <v>39</v>
      </c>
      <c r="D733" s="7" t="s">
        <v>31</v>
      </c>
      <c r="E733" s="8" t="n">
        <v>45962</v>
      </c>
      <c r="F733" s="7" t="n">
        <v>39703</v>
      </c>
      <c r="H733" s="7" t="n">
        <v>19307</v>
      </c>
      <c r="I733" s="7" t="n">
        <v>178048</v>
      </c>
      <c r="L733" s="7" t="s">
        <v>4</v>
      </c>
      <c r="M733" s="7" t="n">
        <v>157652</v>
      </c>
      <c r="S733" s="7" t="n">
        <v>7</v>
      </c>
      <c r="T733" s="7" t="n">
        <v>15</v>
      </c>
      <c r="U733" s="7" t="n">
        <v>15</v>
      </c>
      <c r="V733" s="9" t="n">
        <v>9.2219402289325121</v>
      </c>
    </row>
    <row r="734">
      <c r="A734" s="7" t="s">
        <v>75</v>
      </c>
      <c r="B734" s="7" t="s">
        <v>38</v>
      </c>
      <c r="C734" s="7" t="s">
        <v>39</v>
      </c>
      <c r="D734" s="7" t="s">
        <v>31</v>
      </c>
      <c r="E734" s="8" t="n">
        <v>45992</v>
      </c>
      <c r="F734" s="7" t="n">
        <v>178048</v>
      </c>
      <c r="H734" s="7" t="n">
        <v>19340</v>
      </c>
      <c r="I734" s="7" t="n">
        <v>158708</v>
      </c>
      <c r="L734" s="7"/>
      <c r="S734" s="7" t="n">
        <v>7</v>
      </c>
      <c r="T734" s="7" t="n">
        <v>15</v>
      </c>
      <c r="U734" s="7" t="n">
        <v>15</v>
      </c>
      <c r="V734" s="9" t="n">
        <v>8.2062047569803518</v>
      </c>
    </row>
    <row r="735">
      <c r="A735" s="7" t="s">
        <v>75</v>
      </c>
      <c r="B735" s="7" t="s">
        <v>38</v>
      </c>
      <c r="C735" s="7" t="s">
        <v>39</v>
      </c>
      <c r="D735" s="7" t="s">
        <v>31</v>
      </c>
      <c r="E735" s="8" t="n">
        <v>46023</v>
      </c>
      <c r="F735" s="7" t="n">
        <v>158708</v>
      </c>
      <c r="H735" s="7" t="n">
        <v>19340</v>
      </c>
      <c r="I735" s="7" t="n">
        <v>139368</v>
      </c>
      <c r="L735" s="7"/>
      <c r="S735" s="7" t="n">
        <v>7</v>
      </c>
      <c r="T735" s="7" t="n">
        <v>15</v>
      </c>
      <c r="U735" s="7" t="n">
        <v>15</v>
      </c>
      <c r="V735" s="9" t="n">
        <v>7.2062047569803518</v>
      </c>
    </row>
    <row r="736">
      <c r="A736" s="7" t="s">
        <v>75</v>
      </c>
      <c r="B736" s="7" t="s">
        <v>38</v>
      </c>
      <c r="C736" s="7" t="s">
        <v>39</v>
      </c>
      <c r="D736" s="7" t="s">
        <v>31</v>
      </c>
      <c r="E736" s="8" t="n">
        <v>46054</v>
      </c>
      <c r="F736" s="7" t="n">
        <v>139368</v>
      </c>
      <c r="H736" s="7" t="n">
        <v>19340</v>
      </c>
      <c r="I736" s="7" t="n">
        <v>290028</v>
      </c>
      <c r="L736" s="7" t="s">
        <v>4</v>
      </c>
      <c r="M736" s="7" t="n">
        <v>170000</v>
      </c>
      <c r="S736" s="7" t="n">
        <v>7</v>
      </c>
      <c r="T736" s="7" t="n">
        <v>15</v>
      </c>
      <c r="U736" s="7" t="n">
        <v>15</v>
      </c>
      <c r="V736" s="9" t="n">
        <v>14.996277145811789</v>
      </c>
    </row>
    <row r="737">
      <c r="A737" s="7" t="s">
        <v>75</v>
      </c>
      <c r="B737" s="7" t="s">
        <v>38</v>
      </c>
      <c r="C737" s="7" t="s">
        <v>39</v>
      </c>
      <c r="D737" s="7" t="s">
        <v>31</v>
      </c>
      <c r="E737" s="8" t="n">
        <v>46082</v>
      </c>
      <c r="F737" s="7" t="n">
        <v>290028</v>
      </c>
      <c r="H737" s="7" t="n">
        <v>19340</v>
      </c>
      <c r="I737" s="7" t="n">
        <v>270688</v>
      </c>
      <c r="L737" s="7"/>
      <c r="S737" s="7" t="n">
        <v>7</v>
      </c>
      <c r="T737" s="7" t="n">
        <v>15</v>
      </c>
      <c r="U737" s="7" t="n">
        <v>15</v>
      </c>
      <c r="V737" s="9" t="n">
        <v>13.996277145811789</v>
      </c>
    </row>
    <row r="738">
      <c r="A738" s="7" t="s">
        <v>75</v>
      </c>
      <c r="B738" s="7" t="s">
        <v>38</v>
      </c>
      <c r="C738" s="7" t="s">
        <v>39</v>
      </c>
      <c r="D738" s="7" t="s">
        <v>31</v>
      </c>
      <c r="E738" s="8" t="n">
        <v>46113</v>
      </c>
      <c r="F738" s="7" t="n">
        <v>270688</v>
      </c>
      <c r="H738" s="7" t="n">
        <v>19340</v>
      </c>
      <c r="I738" s="7" t="n">
        <v>251348</v>
      </c>
      <c r="L738" s="7"/>
      <c r="S738" s="7" t="n">
        <v>7</v>
      </c>
      <c r="T738" s="7" t="n">
        <v>15</v>
      </c>
      <c r="U738" s="7" t="n">
        <v>15</v>
      </c>
      <c r="V738" s="9" t="n">
        <v>12.996277145811789</v>
      </c>
    </row>
    <row r="739">
      <c r="A739" s="7" t="s">
        <v>75</v>
      </c>
      <c r="B739" s="7" t="s">
        <v>38</v>
      </c>
      <c r="C739" s="7" t="s">
        <v>39</v>
      </c>
      <c r="D739" s="7" t="s">
        <v>31</v>
      </c>
      <c r="E739" s="8" t="n">
        <v>46143</v>
      </c>
      <c r="F739" s="7" t="n">
        <v>251348</v>
      </c>
      <c r="H739" s="7" t="n">
        <v>19340</v>
      </c>
      <c r="I739" s="7" t="n">
        <v>232008</v>
      </c>
      <c r="L739" s="7"/>
      <c r="S739" s="7" t="n">
        <v>7</v>
      </c>
      <c r="T739" s="7" t="n">
        <v>15</v>
      </c>
      <c r="U739" s="7" t="n">
        <v>15</v>
      </c>
      <c r="V739" s="9" t="n">
        <v>11.996277145811789</v>
      </c>
    </row>
    <row r="740">
      <c r="A740" s="7" t="s">
        <v>75</v>
      </c>
      <c r="B740" s="7" t="s">
        <v>38</v>
      </c>
      <c r="C740" s="7" t="s">
        <v>39</v>
      </c>
      <c r="D740" s="7" t="s">
        <v>31</v>
      </c>
      <c r="E740" s="8" t="n">
        <v>46174</v>
      </c>
      <c r="F740" s="7" t="n">
        <v>232008</v>
      </c>
      <c r="H740" s="7" t="n">
        <v>19340</v>
      </c>
      <c r="I740" s="7" t="n">
        <v>212668</v>
      </c>
      <c r="L740" s="7"/>
      <c r="S740" s="7" t="n">
        <v>7</v>
      </c>
      <c r="T740" s="7" t="n">
        <v>15</v>
      </c>
      <c r="U740" s="7" t="n">
        <v>15</v>
      </c>
      <c r="V740" s="9" t="n">
        <v>10.996277145811789</v>
      </c>
    </row>
    <row r="741">
      <c r="A741" s="7" t="s">
        <v>75</v>
      </c>
      <c r="B741" s="7" t="s">
        <v>38</v>
      </c>
      <c r="C741" s="7" t="s">
        <v>39</v>
      </c>
      <c r="D741" s="7" t="s">
        <v>31</v>
      </c>
      <c r="E741" s="8" t="n">
        <v>46204</v>
      </c>
      <c r="F741" s="7" t="n">
        <v>212668</v>
      </c>
      <c r="H741" s="7" t="n">
        <v>19340</v>
      </c>
      <c r="I741" s="7" t="n">
        <v>193328</v>
      </c>
      <c r="L741" s="7"/>
      <c r="S741" s="7" t="n">
        <v>7</v>
      </c>
      <c r="T741" s="7" t="n">
        <v>15</v>
      </c>
      <c r="U741" s="7" t="n">
        <v>15</v>
      </c>
      <c r="V741" s="9" t="n">
        <v>9.9962771458117885</v>
      </c>
    </row>
    <row r="742">
      <c r="A742" s="7" t="s">
        <v>75</v>
      </c>
      <c r="B742" s="7" t="s">
        <v>38</v>
      </c>
      <c r="C742" s="7" t="s">
        <v>39</v>
      </c>
      <c r="D742" s="7" t="s">
        <v>31</v>
      </c>
      <c r="E742" s="8" t="n">
        <v>46235</v>
      </c>
      <c r="F742" s="7" t="n">
        <v>193328</v>
      </c>
      <c r="H742" s="7" t="n">
        <v>19340</v>
      </c>
      <c r="I742" s="7" t="n">
        <v>173988</v>
      </c>
      <c r="L742" s="7"/>
      <c r="S742" s="7" t="n">
        <v>7</v>
      </c>
      <c r="T742" s="7" t="n">
        <v>15</v>
      </c>
      <c r="U742" s="7" t="n">
        <v>15</v>
      </c>
      <c r="V742" s="9" t="n">
        <v>8.9962771458117885</v>
      </c>
    </row>
    <row r="743">
      <c r="A743" s="7" t="s">
        <v>75</v>
      </c>
      <c r="B743" s="7" t="s">
        <v>38</v>
      </c>
      <c r="C743" s="7" t="s">
        <v>39</v>
      </c>
      <c r="D743" s="7" t="s">
        <v>31</v>
      </c>
      <c r="E743" s="8" t="n">
        <v>46266</v>
      </c>
      <c r="F743" s="7" t="n">
        <v>173988</v>
      </c>
      <c r="H743" s="7" t="n">
        <v>19340</v>
      </c>
      <c r="I743" s="7" t="n">
        <v>154648</v>
      </c>
      <c r="L743" s="7"/>
      <c r="S743" s="7" t="n">
        <v>7</v>
      </c>
      <c r="T743" s="7" t="n">
        <v>15</v>
      </c>
      <c r="U743" s="7" t="n">
        <v>15</v>
      </c>
      <c r="V743" s="9" t="n">
        <v>7.9962771458117894</v>
      </c>
    </row>
    <row r="744">
      <c r="A744" s="7" t="s">
        <v>76</v>
      </c>
      <c r="B744" s="7" t="s">
        <v>38</v>
      </c>
      <c r="C744" s="7" t="s">
        <v>39</v>
      </c>
      <c r="D744" s="7" t="s">
        <v>31</v>
      </c>
      <c r="E744" s="8" t="n">
        <v>45748</v>
      </c>
      <c r="F744" s="7" t="n">
        <v>150800</v>
      </c>
      <c r="H744" s="7" t="n">
        <v>17253</v>
      </c>
      <c r="I744" s="7" t="n">
        <v>133547</v>
      </c>
      <c r="L744" s="7"/>
      <c r="S744" s="7" t="n">
        <v>3</v>
      </c>
      <c r="T744" s="7" t="n">
        <v>6</v>
      </c>
      <c r="U744" s="7" t="n">
        <v>6</v>
      </c>
      <c r="V744" s="9" t="n">
        <v>7.7405088970034193</v>
      </c>
    </row>
    <row r="745">
      <c r="A745" s="7" t="s">
        <v>76</v>
      </c>
      <c r="B745" s="7" t="s">
        <v>38</v>
      </c>
      <c r="C745" s="7" t="s">
        <v>39</v>
      </c>
      <c r="D745" s="7" t="s">
        <v>31</v>
      </c>
      <c r="E745" s="8" t="n">
        <v>45778</v>
      </c>
      <c r="F745" s="7" t="n">
        <v>133547</v>
      </c>
      <c r="H745" s="7" t="n">
        <v>17253</v>
      </c>
      <c r="I745" s="7" t="n">
        <v>116294</v>
      </c>
      <c r="L745" s="7"/>
      <c r="S745" s="7" t="n">
        <v>3</v>
      </c>
      <c r="T745" s="7" t="n">
        <v>6</v>
      </c>
      <c r="U745" s="7" t="n">
        <v>6</v>
      </c>
      <c r="V745" s="9" t="n">
        <v>6.7405088970034193</v>
      </c>
    </row>
    <row r="746">
      <c r="A746" s="7" t="s">
        <v>76</v>
      </c>
      <c r="B746" s="7" t="s">
        <v>38</v>
      </c>
      <c r="C746" s="7" t="s">
        <v>39</v>
      </c>
      <c r="D746" s="7" t="s">
        <v>31</v>
      </c>
      <c r="E746" s="8" t="n">
        <v>45809</v>
      </c>
      <c r="F746" s="7" t="n">
        <v>116294</v>
      </c>
      <c r="H746" s="7" t="n">
        <v>17253</v>
      </c>
      <c r="I746" s="7" t="n">
        <v>99041</v>
      </c>
      <c r="L746" s="7"/>
      <c r="S746" s="7" t="n">
        <v>3</v>
      </c>
      <c r="T746" s="7" t="n">
        <v>6</v>
      </c>
      <c r="U746" s="7" t="n">
        <v>6</v>
      </c>
      <c r="V746" s="9" t="n">
        <v>5.7405088970034193</v>
      </c>
    </row>
    <row r="747">
      <c r="A747" s="7" t="s">
        <v>76</v>
      </c>
      <c r="B747" s="7" t="s">
        <v>38</v>
      </c>
      <c r="C747" s="7" t="s">
        <v>39</v>
      </c>
      <c r="D747" s="7" t="s">
        <v>31</v>
      </c>
      <c r="E747" s="8" t="n">
        <v>45839</v>
      </c>
      <c r="F747" s="7" t="n">
        <v>99041</v>
      </c>
      <c r="H747" s="7" t="n">
        <v>17253</v>
      </c>
      <c r="I747" s="7" t="n">
        <v>81788</v>
      </c>
      <c r="L747" s="7"/>
      <c r="S747" s="7" t="n">
        <v>3</v>
      </c>
      <c r="T747" s="7" t="n">
        <v>6</v>
      </c>
      <c r="U747" s="7" t="n">
        <v>6</v>
      </c>
      <c r="V747" s="9" t="n">
        <v>4.7405088970034193</v>
      </c>
    </row>
    <row r="748">
      <c r="A748" s="7" t="s">
        <v>76</v>
      </c>
      <c r="B748" s="7" t="s">
        <v>38</v>
      </c>
      <c r="C748" s="7" t="s">
        <v>39</v>
      </c>
      <c r="D748" s="7" t="s">
        <v>31</v>
      </c>
      <c r="E748" s="8" t="n">
        <v>45870</v>
      </c>
      <c r="F748" s="7" t="n">
        <v>81788</v>
      </c>
      <c r="H748" s="7" t="n">
        <v>17253</v>
      </c>
      <c r="I748" s="7" t="n">
        <v>64535</v>
      </c>
      <c r="L748" s="7"/>
      <c r="S748" s="7" t="n">
        <v>3</v>
      </c>
      <c r="T748" s="7" t="n">
        <v>6</v>
      </c>
      <c r="U748" s="7" t="n">
        <v>6</v>
      </c>
      <c r="V748" s="9" t="n">
        <v>3.7405088970034197</v>
      </c>
    </row>
    <row r="749">
      <c r="A749" s="7" t="s">
        <v>76</v>
      </c>
      <c r="B749" s="7" t="s">
        <v>38</v>
      </c>
      <c r="C749" s="7" t="s">
        <v>39</v>
      </c>
      <c r="D749" s="7" t="s">
        <v>31</v>
      </c>
      <c r="E749" s="8" t="n">
        <v>45901</v>
      </c>
      <c r="F749" s="7" t="n">
        <v>64535</v>
      </c>
      <c r="H749" s="7" t="n">
        <v>17253</v>
      </c>
      <c r="I749" s="7" t="n">
        <v>47282</v>
      </c>
      <c r="L749" s="7"/>
      <c r="S749" s="7" t="n">
        <v>3</v>
      </c>
      <c r="T749" s="7" t="n">
        <v>6</v>
      </c>
      <c r="U749" s="7" t="n">
        <v>6</v>
      </c>
      <c r="V749" s="9" t="n">
        <v>2.7405088970034197</v>
      </c>
    </row>
    <row r="750">
      <c r="A750" s="7" t="s">
        <v>76</v>
      </c>
      <c r="B750" s="7" t="s">
        <v>38</v>
      </c>
      <c r="C750" s="7" t="s">
        <v>39</v>
      </c>
      <c r="D750" s="7" t="s">
        <v>31</v>
      </c>
      <c r="E750" s="8" t="n">
        <v>45931</v>
      </c>
      <c r="F750" s="7" t="n">
        <v>47282</v>
      </c>
      <c r="H750" s="7" t="n">
        <v>17253</v>
      </c>
      <c r="I750" s="7" t="n">
        <v>30029</v>
      </c>
      <c r="L750" s="7"/>
      <c r="S750" s="7" t="n">
        <v>3</v>
      </c>
      <c r="T750" s="7" t="n">
        <v>6</v>
      </c>
      <c r="U750" s="7" t="n">
        <v>6</v>
      </c>
      <c r="V750" s="9" t="n">
        <v>1.7405088970034197</v>
      </c>
    </row>
    <row r="751">
      <c r="A751" s="7" t="s">
        <v>76</v>
      </c>
      <c r="B751" s="7" t="s">
        <v>38</v>
      </c>
      <c r="C751" s="7" t="s">
        <v>39</v>
      </c>
      <c r="D751" s="7" t="s">
        <v>31</v>
      </c>
      <c r="E751" s="8" t="n">
        <v>45962</v>
      </c>
      <c r="F751" s="7" t="n">
        <v>30029</v>
      </c>
      <c r="H751" s="7" t="n">
        <v>17253</v>
      </c>
      <c r="I751" s="7" t="n">
        <v>12776</v>
      </c>
      <c r="L751" s="7"/>
      <c r="S751" s="7" t="n">
        <v>3</v>
      </c>
      <c r="T751" s="7" t="n">
        <v>6</v>
      </c>
      <c r="U751" s="7" t="n">
        <v>6</v>
      </c>
      <c r="V751" s="9" t="n">
        <v>0.74050889700341971</v>
      </c>
    </row>
    <row r="752">
      <c r="A752" s="7" t="s">
        <v>76</v>
      </c>
      <c r="B752" s="7" t="s">
        <v>38</v>
      </c>
      <c r="C752" s="7" t="s">
        <v>39</v>
      </c>
      <c r="D752" s="7" t="s">
        <v>31</v>
      </c>
      <c r="E752" s="8" t="n">
        <v>45992</v>
      </c>
      <c r="F752" s="7" t="n">
        <v>12776</v>
      </c>
      <c r="H752" s="7" t="n">
        <v>17253</v>
      </c>
      <c r="I752" s="7" t="n">
        <v>0</v>
      </c>
      <c r="L752" s="7"/>
      <c r="S752" s="7" t="n">
        <v>3</v>
      </c>
      <c r="T752" s="7" t="n">
        <v>6</v>
      </c>
      <c r="U752" s="7" t="n">
        <v>6</v>
      </c>
      <c r="V752" s="9" t="n">
        <v>0</v>
      </c>
    </row>
    <row r="753">
      <c r="A753" s="7" t="s">
        <v>76</v>
      </c>
      <c r="B753" s="7" t="s">
        <v>38</v>
      </c>
      <c r="C753" s="7" t="s">
        <v>39</v>
      </c>
      <c r="D753" s="7" t="s">
        <v>31</v>
      </c>
      <c r="E753" s="8" t="n">
        <v>46023</v>
      </c>
      <c r="F753" s="7" t="n">
        <v>0</v>
      </c>
      <c r="H753" s="7" t="n">
        <v>17253</v>
      </c>
      <c r="I753" s="7" t="n">
        <v>0</v>
      </c>
      <c r="L753" s="7"/>
      <c r="S753" s="7" t="n">
        <v>3</v>
      </c>
      <c r="T753" s="7" t="n">
        <v>6</v>
      </c>
      <c r="U753" s="7" t="n">
        <v>6</v>
      </c>
      <c r="V753" s="9" t="n">
        <v>0</v>
      </c>
    </row>
    <row r="754">
      <c r="A754" s="7" t="s">
        <v>76</v>
      </c>
      <c r="B754" s="7" t="s">
        <v>38</v>
      </c>
      <c r="C754" s="7" t="s">
        <v>39</v>
      </c>
      <c r="D754" s="7" t="s">
        <v>31</v>
      </c>
      <c r="E754" s="8" t="n">
        <v>46054</v>
      </c>
      <c r="F754" s="7" t="n">
        <v>0</v>
      </c>
      <c r="H754" s="7" t="n">
        <v>17253</v>
      </c>
      <c r="I754" s="7" t="n">
        <v>0</v>
      </c>
      <c r="L754" s="7"/>
      <c r="S754" s="7" t="n">
        <v>3</v>
      </c>
      <c r="T754" s="7" t="n">
        <v>6</v>
      </c>
      <c r="U754" s="7" t="n">
        <v>6</v>
      </c>
      <c r="V754" s="9" t="n">
        <v>0</v>
      </c>
    </row>
    <row r="755">
      <c r="A755" s="7" t="s">
        <v>76</v>
      </c>
      <c r="B755" s="7" t="s">
        <v>38</v>
      </c>
      <c r="C755" s="7" t="s">
        <v>39</v>
      </c>
      <c r="D755" s="7" t="s">
        <v>31</v>
      </c>
      <c r="E755" s="8" t="n">
        <v>46082</v>
      </c>
      <c r="F755" s="7" t="n">
        <v>0</v>
      </c>
      <c r="H755" s="7" t="n">
        <v>17253</v>
      </c>
      <c r="I755" s="7" t="n">
        <v>0</v>
      </c>
      <c r="L755" s="7"/>
      <c r="S755" s="7" t="n">
        <v>3</v>
      </c>
      <c r="T755" s="7" t="n">
        <v>6</v>
      </c>
      <c r="U755" s="7" t="n">
        <v>6</v>
      </c>
      <c r="V755" s="9" t="n">
        <v>0</v>
      </c>
    </row>
    <row r="756">
      <c r="A756" s="7" t="s">
        <v>76</v>
      </c>
      <c r="B756" s="7" t="s">
        <v>38</v>
      </c>
      <c r="C756" s="7" t="s">
        <v>39</v>
      </c>
      <c r="D756" s="7" t="s">
        <v>31</v>
      </c>
      <c r="E756" s="8" t="n">
        <v>46113</v>
      </c>
      <c r="F756" s="7" t="n">
        <v>0</v>
      </c>
      <c r="H756" s="7" t="n">
        <v>17253</v>
      </c>
      <c r="I756" s="7" t="n">
        <v>0</v>
      </c>
      <c r="L756" s="7"/>
      <c r="S756" s="7" t="n">
        <v>3</v>
      </c>
      <c r="T756" s="7" t="n">
        <v>6</v>
      </c>
      <c r="U756" s="7" t="n">
        <v>6</v>
      </c>
      <c r="V756" s="9" t="n">
        <v>0</v>
      </c>
    </row>
    <row r="757">
      <c r="A757" s="7" t="s">
        <v>76</v>
      </c>
      <c r="B757" s="7" t="s">
        <v>38</v>
      </c>
      <c r="C757" s="7" t="s">
        <v>39</v>
      </c>
      <c r="D757" s="7" t="s">
        <v>31</v>
      </c>
      <c r="E757" s="8" t="n">
        <v>46143</v>
      </c>
      <c r="F757" s="7" t="n">
        <v>0</v>
      </c>
      <c r="H757" s="7" t="n">
        <v>17253</v>
      </c>
      <c r="I757" s="7" t="n">
        <v>0</v>
      </c>
      <c r="L757" s="7"/>
      <c r="S757" s="7" t="n">
        <v>3</v>
      </c>
      <c r="T757" s="7" t="n">
        <v>6</v>
      </c>
      <c r="U757" s="7" t="n">
        <v>6</v>
      </c>
      <c r="V757" s="9" t="n">
        <v>0</v>
      </c>
    </row>
    <row r="758">
      <c r="A758" s="7" t="s">
        <v>76</v>
      </c>
      <c r="B758" s="7" t="s">
        <v>38</v>
      </c>
      <c r="C758" s="7" t="s">
        <v>39</v>
      </c>
      <c r="D758" s="7" t="s">
        <v>31</v>
      </c>
      <c r="E758" s="8" t="n">
        <v>46174</v>
      </c>
      <c r="F758" s="7" t="n">
        <v>0</v>
      </c>
      <c r="H758" s="7" t="n">
        <v>17253</v>
      </c>
      <c r="I758" s="7" t="n">
        <v>0</v>
      </c>
      <c r="L758" s="7"/>
      <c r="S758" s="7" t="n">
        <v>3</v>
      </c>
      <c r="T758" s="7" t="n">
        <v>6</v>
      </c>
      <c r="U758" s="7" t="n">
        <v>6</v>
      </c>
      <c r="V758" s="9" t="n">
        <v>0</v>
      </c>
    </row>
    <row r="759">
      <c r="A759" s="7" t="s">
        <v>76</v>
      </c>
      <c r="B759" s="7" t="s">
        <v>38</v>
      </c>
      <c r="C759" s="7" t="s">
        <v>39</v>
      </c>
      <c r="D759" s="7" t="s">
        <v>31</v>
      </c>
      <c r="E759" s="8" t="n">
        <v>46204</v>
      </c>
      <c r="F759" s="7" t="n">
        <v>0</v>
      </c>
      <c r="H759" s="7" t="n">
        <v>17253</v>
      </c>
      <c r="I759" s="7" t="n">
        <v>0</v>
      </c>
      <c r="L759" s="7"/>
      <c r="S759" s="7" t="n">
        <v>3</v>
      </c>
      <c r="T759" s="7" t="n">
        <v>6</v>
      </c>
      <c r="U759" s="7" t="n">
        <v>6</v>
      </c>
      <c r="V759" s="9" t="n">
        <v>0</v>
      </c>
    </row>
    <row r="760">
      <c r="A760" s="7" t="s">
        <v>76</v>
      </c>
      <c r="B760" s="7" t="s">
        <v>38</v>
      </c>
      <c r="C760" s="7" t="s">
        <v>39</v>
      </c>
      <c r="D760" s="7" t="s">
        <v>31</v>
      </c>
      <c r="E760" s="8" t="n">
        <v>46235</v>
      </c>
      <c r="F760" s="7" t="n">
        <v>0</v>
      </c>
      <c r="H760" s="7" t="n">
        <v>17253</v>
      </c>
      <c r="I760" s="7" t="n">
        <v>0</v>
      </c>
      <c r="L760" s="7"/>
      <c r="S760" s="7" t="n">
        <v>3</v>
      </c>
      <c r="T760" s="7" t="n">
        <v>6</v>
      </c>
      <c r="U760" s="7" t="n">
        <v>6</v>
      </c>
      <c r="V760" s="9" t="n">
        <v>0</v>
      </c>
    </row>
    <row r="761">
      <c r="A761" s="7" t="s">
        <v>76</v>
      </c>
      <c r="B761" s="7" t="s">
        <v>38</v>
      </c>
      <c r="C761" s="7" t="s">
        <v>39</v>
      </c>
      <c r="D761" s="7" t="s">
        <v>31</v>
      </c>
      <c r="E761" s="8" t="n">
        <v>46266</v>
      </c>
      <c r="F761" s="7" t="n">
        <v>0</v>
      </c>
      <c r="H761" s="7" t="n">
        <v>17253</v>
      </c>
      <c r="I761" s="7" t="n">
        <v>0</v>
      </c>
      <c r="L761" s="7"/>
      <c r="S761" s="7" t="n">
        <v>3</v>
      </c>
      <c r="T761" s="7" t="n">
        <v>6</v>
      </c>
      <c r="U761" s="7" t="n">
        <v>6</v>
      </c>
      <c r="V761" s="9" t="n">
        <v>0</v>
      </c>
    </row>
    <row r="762">
      <c r="A762" s="7" t="s">
        <v>76</v>
      </c>
      <c r="B762" s="7" t="s">
        <v>38</v>
      </c>
      <c r="C762" s="7" t="s">
        <v>39</v>
      </c>
      <c r="D762" s="7" t="s">
        <v>31</v>
      </c>
      <c r="E762" s="8" t="n">
        <v>46296</v>
      </c>
      <c r="F762" s="7" t="n">
        <v>0</v>
      </c>
      <c r="H762" s="7" t="n">
        <v>17253</v>
      </c>
      <c r="I762" s="7" t="n">
        <v>0</v>
      </c>
      <c r="L762" s="7"/>
      <c r="S762" s="7" t="n">
        <v>3</v>
      </c>
      <c r="T762" s="7" t="n">
        <v>6</v>
      </c>
      <c r="U762" s="7" t="n">
        <v>6</v>
      </c>
      <c r="V762" s="9" t="n">
        <v>0</v>
      </c>
    </row>
    <row r="763">
      <c r="A763" s="7" t="s">
        <v>76</v>
      </c>
      <c r="B763" s="7" t="s">
        <v>38</v>
      </c>
      <c r="C763" s="7" t="s">
        <v>39</v>
      </c>
      <c r="D763" s="7" t="s">
        <v>31</v>
      </c>
      <c r="E763" s="8" t="n">
        <v>46327</v>
      </c>
      <c r="F763" s="7" t="n">
        <v>0</v>
      </c>
      <c r="H763" s="7" t="n">
        <v>17253</v>
      </c>
      <c r="I763" s="7" t="n">
        <v>0</v>
      </c>
      <c r="L763" s="7"/>
      <c r="S763" s="7" t="n">
        <v>3</v>
      </c>
      <c r="T763" s="7" t="n">
        <v>6</v>
      </c>
      <c r="U763" s="7" t="n">
        <v>6</v>
      </c>
      <c r="V763" s="9" t="n">
        <v>0</v>
      </c>
    </row>
    <row r="764">
      <c r="A764" s="7" t="s">
        <v>76</v>
      </c>
      <c r="B764" s="7" t="s">
        <v>38</v>
      </c>
      <c r="C764" s="7" t="s">
        <v>39</v>
      </c>
      <c r="D764" s="7" t="s">
        <v>31</v>
      </c>
      <c r="E764" s="8" t="n">
        <v>46357</v>
      </c>
      <c r="F764" s="7" t="n">
        <v>0</v>
      </c>
      <c r="H764" s="7" t="n">
        <v>17253</v>
      </c>
      <c r="I764" s="7" t="n">
        <v>0</v>
      </c>
      <c r="L764" s="7"/>
      <c r="S764" s="7" t="n">
        <v>3</v>
      </c>
      <c r="T764" s="7" t="n">
        <v>6</v>
      </c>
      <c r="U764" s="7" t="n">
        <v>6</v>
      </c>
      <c r="V764" s="9" t="n">
        <v>0</v>
      </c>
    </row>
    <row r="765">
      <c r="A765" s="7" t="s">
        <v>72</v>
      </c>
      <c r="B765" s="7" t="s">
        <v>38</v>
      </c>
      <c r="C765" s="7" t="s">
        <v>39</v>
      </c>
      <c r="D765" s="7" t="s">
        <v>31</v>
      </c>
      <c r="E765" s="8" t="n">
        <v>45689</v>
      </c>
      <c r="F765" s="7" t="n">
        <v>74423</v>
      </c>
      <c r="H765" s="7" t="n">
        <v>14536</v>
      </c>
      <c r="I765" s="7" t="n">
        <v>59887</v>
      </c>
      <c r="L765" s="7"/>
      <c r="S765" s="7" t="n">
        <v>6</v>
      </c>
      <c r="T765" s="7" t="n">
        <v>12</v>
      </c>
      <c r="U765" s="7" t="n">
        <v>12</v>
      </c>
      <c r="V765" s="9" t="n">
        <v>4.1199091909741332</v>
      </c>
    </row>
    <row r="766">
      <c r="A766" s="7" t="s">
        <v>72</v>
      </c>
      <c r="B766" s="7" t="s">
        <v>38</v>
      </c>
      <c r="C766" s="7" t="s">
        <v>39</v>
      </c>
      <c r="D766" s="7" t="s">
        <v>31</v>
      </c>
      <c r="E766" s="8" t="n">
        <v>45717</v>
      </c>
      <c r="F766" s="7" t="n">
        <v>59887</v>
      </c>
      <c r="H766" s="7" t="n">
        <v>14536</v>
      </c>
      <c r="I766" s="7" t="n">
        <v>45351</v>
      </c>
      <c r="L766" s="7"/>
      <c r="S766" s="7" t="n">
        <v>6</v>
      </c>
      <c r="T766" s="7" t="n">
        <v>12</v>
      </c>
      <c r="U766" s="7" t="n">
        <v>12</v>
      </c>
      <c r="V766" s="9" t="n">
        <v>3.1199091909741332</v>
      </c>
    </row>
    <row r="767">
      <c r="A767" s="7" t="s">
        <v>72</v>
      </c>
      <c r="B767" s="7" t="s">
        <v>38</v>
      </c>
      <c r="C767" s="7" t="s">
        <v>39</v>
      </c>
      <c r="D767" s="7" t="s">
        <v>31</v>
      </c>
      <c r="E767" s="8" t="n">
        <v>45748</v>
      </c>
      <c r="F767" s="7" t="n">
        <v>45351</v>
      </c>
      <c r="H767" s="7" t="n">
        <v>14536</v>
      </c>
      <c r="I767" s="7" t="n">
        <v>70815</v>
      </c>
      <c r="J767" s="7" t="s">
        <v>51</v>
      </c>
      <c r="K767" s="7" t="s">
        <v>51</v>
      </c>
      <c r="L767" s="7" t="s">
        <v>153</v>
      </c>
      <c r="M767" s="7" t="n">
        <v>40000</v>
      </c>
      <c r="O767" s="7" t="n">
        <v>380800</v>
      </c>
      <c r="P767" s="7" t="s">
        <v>159</v>
      </c>
      <c r="S767" s="7" t="n">
        <v>6</v>
      </c>
      <c r="T767" s="7" t="n">
        <v>12</v>
      </c>
      <c r="U767" s="7" t="n">
        <v>12</v>
      </c>
      <c r="V767" s="9" t="n">
        <v>4.871697853604843</v>
      </c>
    </row>
    <row r="768">
      <c r="A768" s="7" t="s">
        <v>72</v>
      </c>
      <c r="B768" s="7" t="s">
        <v>38</v>
      </c>
      <c r="C768" s="7" t="s">
        <v>39</v>
      </c>
      <c r="D768" s="7" t="s">
        <v>31</v>
      </c>
      <c r="E768" s="8" t="n">
        <v>45778</v>
      </c>
      <c r="F768" s="7" t="n">
        <v>70815</v>
      </c>
      <c r="H768" s="7" t="n">
        <v>14536</v>
      </c>
      <c r="I768" s="7" t="n">
        <v>122015</v>
      </c>
      <c r="J768" s="7" t="s">
        <v>51</v>
      </c>
      <c r="K768" s="7" t="s">
        <v>51</v>
      </c>
      <c r="L768" s="7" t="s">
        <v>153</v>
      </c>
      <c r="M768" s="7" t="n">
        <v>65736</v>
      </c>
      <c r="O768" s="7" t="n">
        <v>625807</v>
      </c>
      <c r="P768" s="7" t="s">
        <v>159</v>
      </c>
      <c r="S768" s="7" t="n">
        <v>6</v>
      </c>
      <c r="T768" s="7" t="n">
        <v>12</v>
      </c>
      <c r="U768" s="7" t="n">
        <v>12</v>
      </c>
      <c r="V768" s="9" t="n">
        <v>8.3939873417721511</v>
      </c>
    </row>
    <row r="769">
      <c r="A769" s="7" t="s">
        <v>72</v>
      </c>
      <c r="B769" s="7" t="s">
        <v>38</v>
      </c>
      <c r="C769" s="7" t="s">
        <v>39</v>
      </c>
      <c r="D769" s="7" t="s">
        <v>31</v>
      </c>
      <c r="E769" s="8" t="n">
        <v>45809</v>
      </c>
      <c r="F769" s="7" t="n">
        <v>122015</v>
      </c>
      <c r="H769" s="7" t="n">
        <v>14536</v>
      </c>
      <c r="I769" s="7" t="n">
        <v>107479</v>
      </c>
      <c r="L769" s="7"/>
      <c r="S769" s="7" t="n">
        <v>6</v>
      </c>
      <c r="T769" s="7" t="n">
        <v>12</v>
      </c>
      <c r="U769" s="7" t="n">
        <v>12</v>
      </c>
      <c r="V769" s="9" t="n">
        <v>7.393987341772152</v>
      </c>
    </row>
    <row r="770">
      <c r="A770" s="7" t="s">
        <v>72</v>
      </c>
      <c r="B770" s="7" t="s">
        <v>38</v>
      </c>
      <c r="C770" s="7" t="s">
        <v>39</v>
      </c>
      <c r="D770" s="7" t="s">
        <v>31</v>
      </c>
      <c r="E770" s="8" t="n">
        <v>45839</v>
      </c>
      <c r="F770" s="7" t="n">
        <v>107479</v>
      </c>
      <c r="H770" s="7" t="n">
        <v>14536</v>
      </c>
      <c r="I770" s="7" t="n">
        <v>92943</v>
      </c>
      <c r="L770" s="7"/>
      <c r="S770" s="7" t="n">
        <v>6</v>
      </c>
      <c r="T770" s="7" t="n">
        <v>12</v>
      </c>
      <c r="U770" s="7" t="n">
        <v>12</v>
      </c>
      <c r="V770" s="9" t="n">
        <v>6.393987341772152</v>
      </c>
    </row>
    <row r="771">
      <c r="A771" s="7" t="s">
        <v>72</v>
      </c>
      <c r="B771" s="7" t="s">
        <v>38</v>
      </c>
      <c r="C771" s="7" t="s">
        <v>39</v>
      </c>
      <c r="D771" s="7" t="s">
        <v>31</v>
      </c>
      <c r="E771" s="8" t="n">
        <v>45870</v>
      </c>
      <c r="F771" s="7" t="n">
        <v>92943</v>
      </c>
      <c r="H771" s="7" t="n">
        <v>14536</v>
      </c>
      <c r="I771" s="7" t="n">
        <v>78407</v>
      </c>
      <c r="L771" s="7"/>
      <c r="S771" s="7" t="n">
        <v>6</v>
      </c>
      <c r="T771" s="7" t="n">
        <v>12</v>
      </c>
      <c r="U771" s="7" t="n">
        <v>12</v>
      </c>
      <c r="V771" s="9" t="n">
        <v>5.393987341772152</v>
      </c>
    </row>
    <row r="772">
      <c r="A772" s="7" t="s">
        <v>72</v>
      </c>
      <c r="B772" s="7" t="s">
        <v>38</v>
      </c>
      <c r="C772" s="7" t="s">
        <v>39</v>
      </c>
      <c r="D772" s="7" t="s">
        <v>31</v>
      </c>
      <c r="E772" s="8" t="n">
        <v>45901</v>
      </c>
      <c r="F772" s="7" t="n">
        <v>78407</v>
      </c>
      <c r="H772" s="7" t="n">
        <v>14536</v>
      </c>
      <c r="I772" s="7" t="n">
        <v>86903</v>
      </c>
      <c r="J772" s="7" t="s">
        <v>51</v>
      </c>
      <c r="K772" s="7" t="s">
        <v>51</v>
      </c>
      <c r="L772" s="7" t="s">
        <v>147</v>
      </c>
      <c r="M772" s="7" t="n">
        <v>23032</v>
      </c>
      <c r="O772" s="7" t="n">
        <v>219265</v>
      </c>
      <c r="P772" s="7" t="n">
        <v>45901</v>
      </c>
      <c r="S772" s="7" t="n">
        <v>6</v>
      </c>
      <c r="T772" s="7" t="n">
        <v>12</v>
      </c>
      <c r="U772" s="7" t="n">
        <v>12</v>
      </c>
      <c r="V772" s="9" t="n">
        <v>5.9784672537149151</v>
      </c>
    </row>
    <row r="773">
      <c r="A773" s="7" t="s">
        <v>72</v>
      </c>
      <c r="B773" s="7" t="s">
        <v>38</v>
      </c>
      <c r="C773" s="7" t="s">
        <v>39</v>
      </c>
      <c r="D773" s="7" t="s">
        <v>31</v>
      </c>
      <c r="E773" s="8" t="n">
        <v>45931</v>
      </c>
      <c r="F773" s="7" t="n">
        <v>86903</v>
      </c>
      <c r="H773" s="7" t="n">
        <v>14536</v>
      </c>
      <c r="I773" s="7" t="n">
        <v>72367</v>
      </c>
      <c r="L773" s="7"/>
      <c r="S773" s="7" t="n">
        <v>6</v>
      </c>
      <c r="T773" s="7" t="n">
        <v>12</v>
      </c>
      <c r="U773" s="7" t="n">
        <v>12</v>
      </c>
      <c r="V773" s="9" t="n">
        <v>4.9784672537149151</v>
      </c>
    </row>
    <row r="774">
      <c r="A774" s="7" t="s">
        <v>72</v>
      </c>
      <c r="B774" s="7" t="s">
        <v>38</v>
      </c>
      <c r="C774" s="7" t="s">
        <v>39</v>
      </c>
      <c r="D774" s="7" t="s">
        <v>31</v>
      </c>
      <c r="E774" s="8" t="n">
        <v>45962</v>
      </c>
      <c r="F774" s="7" t="n">
        <v>72367</v>
      </c>
      <c r="H774" s="7" t="n">
        <v>14536</v>
      </c>
      <c r="I774" s="7" t="n">
        <v>57831</v>
      </c>
      <c r="L774" s="7"/>
      <c r="S774" s="7" t="n">
        <v>6</v>
      </c>
      <c r="T774" s="7" t="n">
        <v>12</v>
      </c>
      <c r="U774" s="7" t="n">
        <v>12</v>
      </c>
      <c r="V774" s="9" t="n">
        <v>3.9784672537149146</v>
      </c>
    </row>
    <row r="775">
      <c r="A775" s="7" t="s">
        <v>72</v>
      </c>
      <c r="B775" s="7" t="s">
        <v>38</v>
      </c>
      <c r="C775" s="7" t="s">
        <v>39</v>
      </c>
      <c r="D775" s="7" t="s">
        <v>31</v>
      </c>
      <c r="E775" s="8" t="n">
        <v>45992</v>
      </c>
      <c r="F775" s="7" t="n">
        <v>57831</v>
      </c>
      <c r="H775" s="7" t="n">
        <v>14536</v>
      </c>
      <c r="I775" s="7" t="n">
        <v>241467</v>
      </c>
      <c r="J775" s="7" t="s">
        <v>2</v>
      </c>
      <c r="K775" s="7" t="s">
        <v>2</v>
      </c>
      <c r="L775" s="7" t="s">
        <v>4</v>
      </c>
      <c r="M775" s="7" t="n">
        <v>198172</v>
      </c>
      <c r="O775" s="7" t="n">
        <v>1886597</v>
      </c>
      <c r="P775" s="7" t="n">
        <v>45992</v>
      </c>
      <c r="S775" s="7" t="n">
        <v>6</v>
      </c>
      <c r="T775" s="7" t="n">
        <v>12</v>
      </c>
      <c r="U775" s="7" t="n">
        <v>12</v>
      </c>
      <c r="V775" s="9" t="n">
        <v>16.611653824986242</v>
      </c>
    </row>
    <row r="776">
      <c r="A776" s="7" t="s">
        <v>72</v>
      </c>
      <c r="B776" s="7" t="s">
        <v>38</v>
      </c>
      <c r="C776" s="7" t="s">
        <v>39</v>
      </c>
      <c r="D776" s="7" t="s">
        <v>31</v>
      </c>
      <c r="E776" s="8" t="n">
        <v>46023</v>
      </c>
      <c r="F776" s="7" t="n">
        <v>241467</v>
      </c>
      <c r="H776" s="7" t="n">
        <v>14536</v>
      </c>
      <c r="I776" s="7" t="n">
        <v>330805</v>
      </c>
      <c r="J776" s="7" t="s">
        <v>2</v>
      </c>
      <c r="K776" s="7" t="s">
        <v>2</v>
      </c>
      <c r="L776" s="7" t="s">
        <v>4</v>
      </c>
      <c r="M776" s="7" t="n">
        <v>103874</v>
      </c>
      <c r="O776" s="7" t="n">
        <v>988880</v>
      </c>
      <c r="P776" s="7" t="n">
        <v>46023</v>
      </c>
      <c r="S776" s="7" t="n">
        <v>6</v>
      </c>
      <c r="T776" s="7" t="n">
        <v>12</v>
      </c>
      <c r="U776" s="7" t="n">
        <v>12</v>
      </c>
      <c r="V776" s="9" t="n">
        <v>22.757636213538799</v>
      </c>
    </row>
    <row r="777">
      <c r="A777" s="7" t="s">
        <v>72</v>
      </c>
      <c r="B777" s="7" t="s">
        <v>38</v>
      </c>
      <c r="C777" s="7" t="s">
        <v>39</v>
      </c>
      <c r="D777" s="7" t="s">
        <v>31</v>
      </c>
      <c r="E777" s="8" t="n">
        <v>46054</v>
      </c>
      <c r="F777" s="7" t="n">
        <v>330805</v>
      </c>
      <c r="H777" s="7" t="n">
        <v>14536</v>
      </c>
      <c r="I777" s="7" t="n">
        <v>316269</v>
      </c>
      <c r="L777" s="7"/>
      <c r="S777" s="7" t="n">
        <v>6</v>
      </c>
      <c r="T777" s="7" t="n">
        <v>12</v>
      </c>
      <c r="U777" s="7" t="n">
        <v>12</v>
      </c>
      <c r="V777" s="9" t="n">
        <v>21.757636213538799</v>
      </c>
    </row>
    <row r="778">
      <c r="A778" s="7" t="s">
        <v>72</v>
      </c>
      <c r="B778" s="7" t="s">
        <v>38</v>
      </c>
      <c r="C778" s="7" t="s">
        <v>39</v>
      </c>
      <c r="D778" s="7" t="s">
        <v>31</v>
      </c>
      <c r="E778" s="8" t="n">
        <v>46082</v>
      </c>
      <c r="F778" s="7" t="n">
        <v>316269</v>
      </c>
      <c r="H778" s="7" t="n">
        <v>14536</v>
      </c>
      <c r="I778" s="7" t="n">
        <v>301733</v>
      </c>
      <c r="L778" s="7"/>
      <c r="S778" s="7" t="n">
        <v>6</v>
      </c>
      <c r="T778" s="7" t="n">
        <v>12</v>
      </c>
      <c r="U778" s="7" t="n">
        <v>12</v>
      </c>
      <c r="V778" s="9" t="n">
        <v>20.757636213538799</v>
      </c>
    </row>
    <row r="779">
      <c r="A779" s="7" t="s">
        <v>72</v>
      </c>
      <c r="B779" s="7" t="s">
        <v>38</v>
      </c>
      <c r="C779" s="7" t="s">
        <v>39</v>
      </c>
      <c r="D779" s="7" t="s">
        <v>31</v>
      </c>
      <c r="E779" s="8" t="n">
        <v>46113</v>
      </c>
      <c r="F779" s="7" t="n">
        <v>301733</v>
      </c>
      <c r="H779" s="7" t="n">
        <v>14536</v>
      </c>
      <c r="I779" s="7" t="n">
        <v>287197</v>
      </c>
      <c r="L779" s="7"/>
      <c r="S779" s="7" t="n">
        <v>6</v>
      </c>
      <c r="T779" s="7" t="n">
        <v>12</v>
      </c>
      <c r="U779" s="7" t="n">
        <v>12</v>
      </c>
      <c r="V779" s="9" t="n">
        <v>19.757636213538799</v>
      </c>
    </row>
    <row r="780">
      <c r="A780" s="7" t="s">
        <v>72</v>
      </c>
      <c r="B780" s="7" t="s">
        <v>38</v>
      </c>
      <c r="C780" s="7" t="s">
        <v>39</v>
      </c>
      <c r="D780" s="7" t="s">
        <v>31</v>
      </c>
      <c r="E780" s="8" t="n">
        <v>46143</v>
      </c>
      <c r="F780" s="7" t="n">
        <v>287197</v>
      </c>
      <c r="H780" s="7" t="n">
        <v>14536</v>
      </c>
      <c r="I780" s="7" t="n">
        <v>272661</v>
      </c>
      <c r="L780" s="7"/>
      <c r="S780" s="7" t="n">
        <v>6</v>
      </c>
      <c r="T780" s="7" t="n">
        <v>12</v>
      </c>
      <c r="U780" s="7" t="n">
        <v>12</v>
      </c>
      <c r="V780" s="9" t="n">
        <v>18.757636213538799</v>
      </c>
    </row>
    <row r="781">
      <c r="A781" s="7" t="s">
        <v>72</v>
      </c>
      <c r="B781" s="7" t="s">
        <v>38</v>
      </c>
      <c r="C781" s="7" t="s">
        <v>39</v>
      </c>
      <c r="D781" s="7" t="s">
        <v>31</v>
      </c>
      <c r="E781" s="8" t="n">
        <v>46174</v>
      </c>
      <c r="F781" s="7" t="n">
        <v>272661</v>
      </c>
      <c r="H781" s="7" t="n">
        <v>14536</v>
      </c>
      <c r="I781" s="7" t="n">
        <v>258125</v>
      </c>
      <c r="L781" s="7"/>
      <c r="S781" s="7" t="n">
        <v>6</v>
      </c>
      <c r="T781" s="7" t="n">
        <v>12</v>
      </c>
      <c r="U781" s="7" t="n">
        <v>12</v>
      </c>
      <c r="V781" s="9" t="n">
        <v>17.757636213538799</v>
      </c>
    </row>
    <row r="782">
      <c r="A782" s="7" t="s">
        <v>72</v>
      </c>
      <c r="B782" s="7" t="s">
        <v>38</v>
      </c>
      <c r="C782" s="7" t="s">
        <v>39</v>
      </c>
      <c r="D782" s="7" t="s">
        <v>31</v>
      </c>
      <c r="E782" s="8" t="n">
        <v>46204</v>
      </c>
      <c r="F782" s="7" t="n">
        <v>258125</v>
      </c>
      <c r="H782" s="7" t="n">
        <v>14536</v>
      </c>
      <c r="I782" s="7" t="n">
        <v>243589</v>
      </c>
      <c r="L782" s="7"/>
      <c r="S782" s="7" t="n">
        <v>6</v>
      </c>
      <c r="T782" s="7" t="n">
        <v>12</v>
      </c>
      <c r="U782" s="7" t="n">
        <v>12</v>
      </c>
      <c r="V782" s="9" t="n">
        <v>16.757636213538799</v>
      </c>
    </row>
    <row r="783">
      <c r="A783" s="7" t="s">
        <v>72</v>
      </c>
      <c r="B783" s="7" t="s">
        <v>38</v>
      </c>
      <c r="C783" s="7" t="s">
        <v>39</v>
      </c>
      <c r="D783" s="7" t="s">
        <v>31</v>
      </c>
      <c r="E783" s="8" t="n">
        <v>46235</v>
      </c>
      <c r="F783" s="7" t="n">
        <v>243589</v>
      </c>
      <c r="H783" s="7" t="n">
        <v>14536</v>
      </c>
      <c r="I783" s="7" t="n">
        <v>229053</v>
      </c>
      <c r="L783" s="7"/>
      <c r="S783" s="7" t="n">
        <v>6</v>
      </c>
      <c r="T783" s="7" t="n">
        <v>12</v>
      </c>
      <c r="U783" s="7" t="n">
        <v>12</v>
      </c>
      <c r="V783" s="9" t="n">
        <v>15.757636213538801</v>
      </c>
    </row>
    <row r="784">
      <c r="A784" s="7" t="s">
        <v>72</v>
      </c>
      <c r="B784" s="7" t="s">
        <v>38</v>
      </c>
      <c r="C784" s="7" t="s">
        <v>39</v>
      </c>
      <c r="D784" s="7" t="s">
        <v>31</v>
      </c>
      <c r="E784" s="8" t="n">
        <v>46266</v>
      </c>
      <c r="F784" s="7" t="n">
        <v>229053</v>
      </c>
      <c r="H784" s="7" t="n">
        <v>14536</v>
      </c>
      <c r="I784" s="7" t="n">
        <v>214517</v>
      </c>
      <c r="L784" s="7"/>
      <c r="S784" s="7" t="n">
        <v>6</v>
      </c>
      <c r="T784" s="7" t="n">
        <v>12</v>
      </c>
      <c r="U784" s="7" t="n">
        <v>12</v>
      </c>
      <c r="V784" s="9" t="n">
        <v>14.757636213538801</v>
      </c>
    </row>
    <row r="785">
      <c r="A785" s="7" t="s">
        <v>72</v>
      </c>
      <c r="B785" s="7" t="s">
        <v>38</v>
      </c>
      <c r="C785" s="7" t="s">
        <v>39</v>
      </c>
      <c r="D785" s="7" t="s">
        <v>31</v>
      </c>
      <c r="E785" s="8" t="n">
        <v>46296</v>
      </c>
      <c r="F785" s="7" t="n">
        <v>214517</v>
      </c>
      <c r="H785" s="7" t="n">
        <v>14536</v>
      </c>
      <c r="I785" s="7" t="n">
        <v>199981</v>
      </c>
      <c r="L785" s="7"/>
      <c r="S785" s="7" t="n">
        <v>6</v>
      </c>
      <c r="T785" s="7" t="n">
        <v>12</v>
      </c>
      <c r="U785" s="7" t="n">
        <v>12</v>
      </c>
      <c r="V785" s="9" t="n">
        <v>13.757636213538801</v>
      </c>
    </row>
    <row r="786">
      <c r="A786" s="7" t="s">
        <v>72</v>
      </c>
      <c r="B786" s="7" t="s">
        <v>38</v>
      </c>
      <c r="C786" s="7" t="s">
        <v>39</v>
      </c>
      <c r="D786" s="7" t="s">
        <v>31</v>
      </c>
      <c r="E786" s="8" t="n">
        <v>46327</v>
      </c>
      <c r="F786" s="7" t="n">
        <v>199981</v>
      </c>
      <c r="H786" s="7" t="n">
        <v>14536</v>
      </c>
      <c r="I786" s="7" t="n">
        <v>185445</v>
      </c>
      <c r="L786" s="7"/>
      <c r="S786" s="7" t="n">
        <v>6</v>
      </c>
      <c r="T786" s="7" t="n">
        <v>12</v>
      </c>
      <c r="U786" s="7" t="n">
        <v>12</v>
      </c>
      <c r="V786" s="9" t="n">
        <v>12.757636213538801</v>
      </c>
    </row>
    <row r="787">
      <c r="A787" s="7" t="s">
        <v>72</v>
      </c>
      <c r="B787" s="7" t="s">
        <v>38</v>
      </c>
      <c r="C787" s="7" t="s">
        <v>39</v>
      </c>
      <c r="D787" s="7" t="s">
        <v>31</v>
      </c>
      <c r="E787" s="8" t="n">
        <v>46357</v>
      </c>
      <c r="F787" s="7" t="n">
        <v>185445</v>
      </c>
      <c r="H787" s="7" t="n">
        <v>14536</v>
      </c>
      <c r="I787" s="7" t="n">
        <v>268251</v>
      </c>
      <c r="J787" s="7" t="s">
        <v>2</v>
      </c>
      <c r="K787" s="7" t="s">
        <v>2</v>
      </c>
      <c r="L787" s="7" t="s">
        <v>4</v>
      </c>
      <c r="M787" s="7" t="n">
        <v>97342</v>
      </c>
      <c r="O787" s="7" t="n">
        <v>926268</v>
      </c>
      <c r="P787" s="7" t="n">
        <v>46357</v>
      </c>
      <c r="S787" s="7" t="n">
        <v>6</v>
      </c>
      <c r="T787" s="7" t="n">
        <v>12</v>
      </c>
      <c r="U787" s="7" t="n">
        <v>12</v>
      </c>
      <c r="V787" s="9" t="n">
        <v>18.454251513483765</v>
      </c>
    </row>
    <row r="788">
      <c r="A788" s="7" t="s">
        <v>77</v>
      </c>
      <c r="B788" s="7" t="s">
        <v>38</v>
      </c>
      <c r="C788" s="7" t="s">
        <v>39</v>
      </c>
      <c r="D788" s="7" t="s">
        <v>31</v>
      </c>
      <c r="E788" s="8" t="n">
        <v>45839</v>
      </c>
      <c r="F788" s="7" t="n">
        <v>455606</v>
      </c>
      <c r="H788" s="7" t="n">
        <v>180673</v>
      </c>
      <c r="I788" s="7" t="n">
        <v>274933</v>
      </c>
      <c r="L788" s="7"/>
      <c r="S788" s="7" t="n">
        <v>6</v>
      </c>
      <c r="T788" s="7" t="n">
        <v>12</v>
      </c>
      <c r="U788" s="7" t="n">
        <v>12</v>
      </c>
      <c r="V788" s="9" t="n">
        <v>1.5217160284049083</v>
      </c>
    </row>
    <row r="789">
      <c r="A789" s="7" t="s">
        <v>77</v>
      </c>
      <c r="B789" s="7" t="s">
        <v>38</v>
      </c>
      <c r="C789" s="7" t="s">
        <v>39</v>
      </c>
      <c r="D789" s="7" t="s">
        <v>31</v>
      </c>
      <c r="E789" s="8" t="n">
        <v>45870</v>
      </c>
      <c r="F789" s="7" t="n">
        <v>274933</v>
      </c>
      <c r="H789" s="7" t="n">
        <v>180673</v>
      </c>
      <c r="I789" s="7" t="n">
        <v>240132</v>
      </c>
      <c r="J789" s="7" t="s">
        <v>51</v>
      </c>
      <c r="K789" s="7" t="s">
        <v>51</v>
      </c>
      <c r="L789" s="7" t="s">
        <v>154</v>
      </c>
      <c r="M789" s="7" t="n">
        <v>145872</v>
      </c>
      <c r="S789" s="7" t="n">
        <v>6</v>
      </c>
      <c r="T789" s="7" t="n">
        <v>12</v>
      </c>
      <c r="U789" s="7" t="n">
        <v>12</v>
      </c>
      <c r="V789" s="9" t="n">
        <v>1.3290973194666607</v>
      </c>
    </row>
    <row r="790">
      <c r="A790" s="7" t="s">
        <v>77</v>
      </c>
      <c r="B790" s="7" t="s">
        <v>38</v>
      </c>
      <c r="C790" s="7" t="s">
        <v>39</v>
      </c>
      <c r="D790" s="7" t="s">
        <v>31</v>
      </c>
      <c r="E790" s="8" t="n">
        <v>45901</v>
      </c>
      <c r="F790" s="7" t="n">
        <v>240132</v>
      </c>
      <c r="H790" s="7" t="n">
        <v>180673</v>
      </c>
      <c r="I790" s="7" t="n">
        <v>59459</v>
      </c>
      <c r="L790" s="7"/>
      <c r="S790" s="7" t="n">
        <v>6</v>
      </c>
      <c r="T790" s="7" t="n">
        <v>12</v>
      </c>
      <c r="U790" s="7" t="n">
        <v>12</v>
      </c>
      <c r="V790" s="9" t="n">
        <v>0.32909731946666076</v>
      </c>
    </row>
    <row r="791">
      <c r="A791" s="7" t="s">
        <v>77</v>
      </c>
      <c r="B791" s="7" t="s">
        <v>38</v>
      </c>
      <c r="C791" s="7" t="s">
        <v>39</v>
      </c>
      <c r="D791" s="7" t="s">
        <v>31</v>
      </c>
      <c r="E791" s="8" t="n">
        <v>45931</v>
      </c>
      <c r="F791" s="7" t="n">
        <v>59459</v>
      </c>
      <c r="H791" s="7" t="n">
        <v>180673</v>
      </c>
      <c r="I791" s="7" t="n">
        <v>72610</v>
      </c>
      <c r="J791" s="7" t="s">
        <v>51</v>
      </c>
      <c r="K791" s="7" t="s">
        <v>51</v>
      </c>
      <c r="L791" s="7" t="s">
        <v>152</v>
      </c>
      <c r="M791" s="7" t="n">
        <v>193824</v>
      </c>
      <c r="S791" s="7" t="n">
        <v>6</v>
      </c>
      <c r="T791" s="7" t="n">
        <v>12</v>
      </c>
      <c r="U791" s="7" t="n">
        <v>12</v>
      </c>
      <c r="V791" s="9" t="n">
        <v>0.4018862807392361</v>
      </c>
    </row>
    <row r="792">
      <c r="A792" s="7" t="s">
        <v>77</v>
      </c>
      <c r="B792" s="7" t="s">
        <v>38</v>
      </c>
      <c r="C792" s="7" t="s">
        <v>39</v>
      </c>
      <c r="D792" s="7" t="s">
        <v>31</v>
      </c>
      <c r="E792" s="8" t="n">
        <v>45962</v>
      </c>
      <c r="F792" s="7" t="n">
        <v>72610</v>
      </c>
      <c r="H792" s="7" t="n">
        <v>180673</v>
      </c>
      <c r="I792" s="7" t="n">
        <v>0</v>
      </c>
      <c r="L792" s="7"/>
      <c r="S792" s="7" t="n">
        <v>6</v>
      </c>
      <c r="T792" s="7" t="n">
        <v>12</v>
      </c>
      <c r="U792" s="7" t="n">
        <v>12</v>
      </c>
      <c r="V792" s="9" t="n">
        <v>0</v>
      </c>
    </row>
    <row r="793">
      <c r="A793" s="7" t="s">
        <v>77</v>
      </c>
      <c r="B793" s="7" t="s">
        <v>38</v>
      </c>
      <c r="C793" s="7" t="s">
        <v>39</v>
      </c>
      <c r="D793" s="7" t="s">
        <v>31</v>
      </c>
      <c r="E793" s="8" t="n">
        <v>45992</v>
      </c>
      <c r="F793" s="7" t="n">
        <v>0</v>
      </c>
      <c r="H793" s="7" t="n">
        <v>180673</v>
      </c>
      <c r="I793" s="7" t="n">
        <v>0</v>
      </c>
      <c r="L793" s="7"/>
      <c r="S793" s="7" t="n">
        <v>6</v>
      </c>
      <c r="T793" s="7" t="n">
        <v>12</v>
      </c>
      <c r="U793" s="7" t="n">
        <v>12</v>
      </c>
      <c r="V793" s="9" t="n">
        <v>0</v>
      </c>
    </row>
    <row r="794">
      <c r="A794" s="7" t="s">
        <v>77</v>
      </c>
      <c r="B794" s="7" t="s">
        <v>38</v>
      </c>
      <c r="C794" s="7" t="s">
        <v>39</v>
      </c>
      <c r="D794" s="7" t="s">
        <v>31</v>
      </c>
      <c r="E794" s="8" t="n">
        <v>46023</v>
      </c>
      <c r="F794" s="7" t="n">
        <v>0</v>
      </c>
      <c r="H794" s="7" t="n">
        <v>180673</v>
      </c>
      <c r="I794" s="7" t="n">
        <v>0</v>
      </c>
      <c r="L794" s="7"/>
      <c r="S794" s="7" t="n">
        <v>6</v>
      </c>
      <c r="T794" s="7" t="n">
        <v>12</v>
      </c>
      <c r="U794" s="7" t="n">
        <v>12</v>
      </c>
      <c r="V794" s="9" t="n">
        <v>0</v>
      </c>
    </row>
    <row r="795">
      <c r="A795" s="7" t="s">
        <v>77</v>
      </c>
      <c r="B795" s="7" t="s">
        <v>38</v>
      </c>
      <c r="C795" s="7" t="s">
        <v>39</v>
      </c>
      <c r="D795" s="7" t="s">
        <v>31</v>
      </c>
      <c r="E795" s="8" t="n">
        <v>46054</v>
      </c>
      <c r="F795" s="7" t="n">
        <v>0</v>
      </c>
      <c r="H795" s="7" t="n">
        <v>180673</v>
      </c>
      <c r="I795" s="7" t="n">
        <v>0</v>
      </c>
      <c r="L795" s="7"/>
      <c r="S795" s="7" t="n">
        <v>6</v>
      </c>
      <c r="T795" s="7" t="n">
        <v>12</v>
      </c>
      <c r="U795" s="7" t="n">
        <v>12</v>
      </c>
      <c r="V795" s="9" t="n">
        <v>0</v>
      </c>
    </row>
    <row r="796">
      <c r="A796" s="7" t="s">
        <v>77</v>
      </c>
      <c r="B796" s="7" t="s">
        <v>38</v>
      </c>
      <c r="C796" s="7" t="s">
        <v>39</v>
      </c>
      <c r="D796" s="7" t="s">
        <v>31</v>
      </c>
      <c r="E796" s="8" t="n">
        <v>46082</v>
      </c>
      <c r="F796" s="7" t="n">
        <v>0</v>
      </c>
      <c r="H796" s="7" t="n">
        <v>180673</v>
      </c>
      <c r="I796" s="7" t="n">
        <v>0</v>
      </c>
      <c r="L796" s="7"/>
      <c r="S796" s="7" t="n">
        <v>6</v>
      </c>
      <c r="T796" s="7" t="n">
        <v>12</v>
      </c>
      <c r="U796" s="7" t="n">
        <v>12</v>
      </c>
      <c r="V796" s="9" t="n">
        <v>0</v>
      </c>
    </row>
    <row r="797">
      <c r="A797" s="7" t="s">
        <v>77</v>
      </c>
      <c r="B797" s="7" t="s">
        <v>38</v>
      </c>
      <c r="C797" s="7" t="s">
        <v>39</v>
      </c>
      <c r="D797" s="7" t="s">
        <v>31</v>
      </c>
      <c r="E797" s="8" t="n">
        <v>46113</v>
      </c>
      <c r="F797" s="7" t="n">
        <v>0</v>
      </c>
      <c r="H797" s="7" t="n">
        <v>180673</v>
      </c>
      <c r="I797" s="7" t="n">
        <v>0</v>
      </c>
      <c r="L797" s="7"/>
      <c r="S797" s="7" t="n">
        <v>6</v>
      </c>
      <c r="T797" s="7" t="n">
        <v>12</v>
      </c>
      <c r="U797" s="7" t="n">
        <v>12</v>
      </c>
      <c r="V797" s="9" t="n">
        <v>0</v>
      </c>
    </row>
    <row r="798">
      <c r="A798" s="7" t="s">
        <v>77</v>
      </c>
      <c r="B798" s="7" t="s">
        <v>38</v>
      </c>
      <c r="C798" s="7" t="s">
        <v>39</v>
      </c>
      <c r="D798" s="7" t="s">
        <v>31</v>
      </c>
      <c r="E798" s="8" t="n">
        <v>46143</v>
      </c>
      <c r="F798" s="7" t="n">
        <v>0</v>
      </c>
      <c r="H798" s="7" t="n">
        <v>180673</v>
      </c>
      <c r="I798" s="7" t="n">
        <v>0</v>
      </c>
      <c r="L798" s="7"/>
      <c r="S798" s="7" t="n">
        <v>6</v>
      </c>
      <c r="T798" s="7" t="n">
        <v>12</v>
      </c>
      <c r="U798" s="7" t="n">
        <v>12</v>
      </c>
      <c r="V798" s="9" t="n">
        <v>0</v>
      </c>
    </row>
    <row r="799">
      <c r="A799" s="7" t="s">
        <v>77</v>
      </c>
      <c r="B799" s="7" t="s">
        <v>38</v>
      </c>
      <c r="C799" s="7" t="s">
        <v>39</v>
      </c>
      <c r="D799" s="7" t="s">
        <v>31</v>
      </c>
      <c r="E799" s="8" t="n">
        <v>46174</v>
      </c>
      <c r="F799" s="7" t="n">
        <v>0</v>
      </c>
      <c r="H799" s="7" t="n">
        <v>180673</v>
      </c>
      <c r="I799" s="7" t="n">
        <v>0</v>
      </c>
      <c r="L799" s="7"/>
      <c r="S799" s="7" t="n">
        <v>6</v>
      </c>
      <c r="T799" s="7" t="n">
        <v>12</v>
      </c>
      <c r="U799" s="7" t="n">
        <v>12</v>
      </c>
      <c r="V799" s="9" t="n">
        <v>0</v>
      </c>
    </row>
    <row r="800">
      <c r="A800" s="7" t="s">
        <v>74</v>
      </c>
      <c r="B800" s="7" t="s">
        <v>38</v>
      </c>
      <c r="C800" s="7" t="s">
        <v>39</v>
      </c>
      <c r="D800" s="7" t="s">
        <v>31</v>
      </c>
      <c r="E800" s="8" t="n">
        <v>45870</v>
      </c>
      <c r="F800" s="7" t="n">
        <v>256580</v>
      </c>
      <c r="H800" s="7" t="n">
        <v>10000</v>
      </c>
      <c r="I800" s="7" t="n">
        <v>287332</v>
      </c>
      <c r="J800" s="7" t="s">
        <v>51</v>
      </c>
      <c r="K800" s="7" t="s">
        <v>51</v>
      </c>
      <c r="L800" s="7" t="s">
        <v>147</v>
      </c>
      <c r="M800" s="7" t="n">
        <v>40752</v>
      </c>
      <c r="S800" s="7" t="n">
        <v>3</v>
      </c>
      <c r="T800" s="7" t="n">
        <v>6</v>
      </c>
      <c r="U800" s="7" t="n">
        <v>6</v>
      </c>
      <c r="V800" s="9" t="n">
        <v>28.7332</v>
      </c>
    </row>
    <row r="801">
      <c r="A801" s="7" t="s">
        <v>74</v>
      </c>
      <c r="B801" s="7" t="s">
        <v>38</v>
      </c>
      <c r="C801" s="7" t="s">
        <v>39</v>
      </c>
      <c r="D801" s="7" t="s">
        <v>31</v>
      </c>
      <c r="E801" s="8" t="n">
        <v>45901</v>
      </c>
      <c r="F801" s="7" t="n">
        <v>287332</v>
      </c>
      <c r="H801" s="7" t="n">
        <v>10000</v>
      </c>
      <c r="I801" s="7" t="n">
        <v>277332</v>
      </c>
      <c r="L801" s="7"/>
      <c r="S801" s="7" t="n">
        <v>3</v>
      </c>
      <c r="T801" s="7" t="n">
        <v>6</v>
      </c>
      <c r="U801" s="7" t="n">
        <v>6</v>
      </c>
      <c r="V801" s="9" t="n">
        <v>27.7332</v>
      </c>
    </row>
    <row r="802">
      <c r="A802" s="7" t="s">
        <v>74</v>
      </c>
      <c r="B802" s="7" t="s">
        <v>38</v>
      </c>
      <c r="C802" s="7" t="s">
        <v>39</v>
      </c>
      <c r="D802" s="7" t="s">
        <v>31</v>
      </c>
      <c r="E802" s="8" t="n">
        <v>45931</v>
      </c>
      <c r="F802" s="7" t="n">
        <v>277332</v>
      </c>
      <c r="H802" s="7" t="n">
        <v>10000</v>
      </c>
      <c r="I802" s="7" t="n">
        <v>300164</v>
      </c>
      <c r="J802" s="7" t="s">
        <v>51</v>
      </c>
      <c r="K802" s="7" t="s">
        <v>51</v>
      </c>
      <c r="L802" s="7" t="s">
        <v>147</v>
      </c>
      <c r="M802" s="7" t="n">
        <v>32832</v>
      </c>
      <c r="S802" s="7" t="n">
        <v>3</v>
      </c>
      <c r="T802" s="7" t="n">
        <v>6</v>
      </c>
      <c r="U802" s="7" t="n">
        <v>6</v>
      </c>
      <c r="V802" s="9" t="n">
        <v>30.016400000000001</v>
      </c>
    </row>
    <row r="803">
      <c r="A803" s="7" t="s">
        <v>74</v>
      </c>
      <c r="B803" s="7" t="s">
        <v>38</v>
      </c>
      <c r="C803" s="7" t="s">
        <v>39</v>
      </c>
      <c r="D803" s="7" t="s">
        <v>31</v>
      </c>
      <c r="E803" s="8" t="n">
        <v>45962</v>
      </c>
      <c r="F803" s="7" t="n">
        <v>300164</v>
      </c>
      <c r="H803" s="7" t="n">
        <v>10000</v>
      </c>
      <c r="I803" s="7" t="n">
        <v>290164</v>
      </c>
      <c r="L803" s="7"/>
      <c r="S803" s="7" t="n">
        <v>3</v>
      </c>
      <c r="T803" s="7" t="n">
        <v>6</v>
      </c>
      <c r="U803" s="7" t="n">
        <v>6</v>
      </c>
      <c r="V803" s="9" t="n">
        <v>29.016400000000001</v>
      </c>
    </row>
    <row r="804">
      <c r="A804" s="7" t="s">
        <v>74</v>
      </c>
      <c r="B804" s="7" t="s">
        <v>38</v>
      </c>
      <c r="C804" s="7" t="s">
        <v>39</v>
      </c>
      <c r="D804" s="7" t="s">
        <v>31</v>
      </c>
      <c r="E804" s="8" t="n">
        <v>45992</v>
      </c>
      <c r="F804" s="7" t="n">
        <v>290164</v>
      </c>
      <c r="H804" s="7" t="n">
        <v>10000</v>
      </c>
      <c r="I804" s="7" t="n">
        <v>280164</v>
      </c>
      <c r="L804" s="7"/>
      <c r="S804" s="7" t="n">
        <v>3</v>
      </c>
      <c r="T804" s="7" t="n">
        <v>6</v>
      </c>
      <c r="U804" s="7" t="n">
        <v>6</v>
      </c>
      <c r="V804" s="9" t="n">
        <v>28.016400000000001</v>
      </c>
    </row>
    <row r="805">
      <c r="A805" s="7" t="s">
        <v>74</v>
      </c>
      <c r="B805" s="7" t="s">
        <v>38</v>
      </c>
      <c r="C805" s="7" t="s">
        <v>39</v>
      </c>
      <c r="D805" s="7" t="s">
        <v>31</v>
      </c>
      <c r="E805" s="8" t="n">
        <v>46023</v>
      </c>
      <c r="F805" s="7" t="n">
        <v>280164</v>
      </c>
      <c r="H805" s="7" t="n">
        <v>24987</v>
      </c>
      <c r="I805" s="7" t="n">
        <v>255177</v>
      </c>
      <c r="L805" s="7"/>
      <c r="S805" s="7" t="n">
        <v>3</v>
      </c>
      <c r="T805" s="7" t="n">
        <v>6</v>
      </c>
      <c r="U805" s="7" t="n">
        <v>6</v>
      </c>
      <c r="V805" s="9" t="n">
        <v>10.212390443030376</v>
      </c>
    </row>
    <row r="806">
      <c r="A806" s="7" t="s">
        <v>74</v>
      </c>
      <c r="B806" s="7" t="s">
        <v>38</v>
      </c>
      <c r="C806" s="7" t="s">
        <v>39</v>
      </c>
      <c r="D806" s="7" t="s">
        <v>31</v>
      </c>
      <c r="E806" s="8" t="n">
        <v>46054</v>
      </c>
      <c r="F806" s="7" t="n">
        <v>255177</v>
      </c>
      <c r="H806" s="7" t="n">
        <v>25003</v>
      </c>
      <c r="I806" s="7" t="n">
        <v>230174</v>
      </c>
      <c r="L806" s="7"/>
      <c r="S806" s="7" t="n">
        <v>3</v>
      </c>
      <c r="T806" s="7" t="n">
        <v>6</v>
      </c>
      <c r="U806" s="7" t="n">
        <v>6</v>
      </c>
      <c r="V806" s="9" t="n">
        <v>9.205855297364316</v>
      </c>
    </row>
    <row r="807">
      <c r="A807" s="7" t="s">
        <v>74</v>
      </c>
      <c r="B807" s="7" t="s">
        <v>38</v>
      </c>
      <c r="C807" s="7" t="s">
        <v>39</v>
      </c>
      <c r="D807" s="7" t="s">
        <v>31</v>
      </c>
      <c r="E807" s="8" t="n">
        <v>46082</v>
      </c>
      <c r="F807" s="7" t="n">
        <v>230174</v>
      </c>
      <c r="H807" s="7" t="n">
        <v>11000</v>
      </c>
      <c r="I807" s="7" t="n">
        <v>219174</v>
      </c>
      <c r="L807" s="7"/>
      <c r="S807" s="7" t="n">
        <v>3</v>
      </c>
      <c r="T807" s="7" t="n">
        <v>6</v>
      </c>
      <c r="U807" s="7" t="n">
        <v>6</v>
      </c>
      <c r="V807" s="9" t="n">
        <v>19.92490909090909</v>
      </c>
    </row>
    <row r="808">
      <c r="A808" s="7" t="s">
        <v>74</v>
      </c>
      <c r="B808" s="7" t="s">
        <v>38</v>
      </c>
      <c r="C808" s="7" t="s">
        <v>39</v>
      </c>
      <c r="D808" s="7" t="s">
        <v>31</v>
      </c>
      <c r="E808" s="8" t="n">
        <v>46113</v>
      </c>
      <c r="F808" s="7" t="n">
        <v>219174</v>
      </c>
      <c r="H808" s="7" t="n">
        <v>11000</v>
      </c>
      <c r="I808" s="7" t="n">
        <v>208174</v>
      </c>
      <c r="L808" s="7"/>
      <c r="S808" s="7" t="n">
        <v>3</v>
      </c>
      <c r="T808" s="7" t="n">
        <v>6</v>
      </c>
      <c r="U808" s="7" t="n">
        <v>6</v>
      </c>
      <c r="V808" s="9" t="n">
        <v>18.92490909090909</v>
      </c>
    </row>
    <row r="809">
      <c r="A809" s="7" t="s">
        <v>74</v>
      </c>
      <c r="B809" s="7" t="s">
        <v>38</v>
      </c>
      <c r="C809" s="7" t="s">
        <v>39</v>
      </c>
      <c r="D809" s="7" t="s">
        <v>31</v>
      </c>
      <c r="E809" s="8" t="n">
        <v>46143</v>
      </c>
      <c r="F809" s="7" t="n">
        <v>208174</v>
      </c>
      <c r="H809" s="7" t="n">
        <v>11000</v>
      </c>
      <c r="I809" s="7" t="n">
        <v>197174</v>
      </c>
      <c r="L809" s="7"/>
      <c r="S809" s="7" t="n">
        <v>3</v>
      </c>
      <c r="T809" s="7" t="n">
        <v>6</v>
      </c>
      <c r="U809" s="7" t="n">
        <v>6</v>
      </c>
      <c r="V809" s="9" t="n">
        <v>17.92490909090909</v>
      </c>
    </row>
    <row r="810">
      <c r="A810" s="7" t="s">
        <v>74</v>
      </c>
      <c r="B810" s="7" t="s">
        <v>38</v>
      </c>
      <c r="C810" s="7" t="s">
        <v>39</v>
      </c>
      <c r="D810" s="7" t="s">
        <v>31</v>
      </c>
      <c r="E810" s="8" t="n">
        <v>46174</v>
      </c>
      <c r="F810" s="7" t="n">
        <v>197174</v>
      </c>
      <c r="H810" s="7" t="n">
        <v>11000</v>
      </c>
      <c r="I810" s="7" t="n">
        <v>186174</v>
      </c>
      <c r="L810" s="7"/>
      <c r="S810" s="7" t="n">
        <v>3</v>
      </c>
      <c r="T810" s="7" t="n">
        <v>6</v>
      </c>
      <c r="U810" s="7" t="n">
        <v>6</v>
      </c>
      <c r="V810" s="9" t="n">
        <v>16.92490909090909</v>
      </c>
    </row>
    <row r="811">
      <c r="A811" s="7" t="s">
        <v>74</v>
      </c>
      <c r="B811" s="7" t="s">
        <v>38</v>
      </c>
      <c r="C811" s="7" t="s">
        <v>39</v>
      </c>
      <c r="D811" s="7" t="s">
        <v>31</v>
      </c>
      <c r="E811" s="8" t="n">
        <v>46204</v>
      </c>
      <c r="F811" s="7" t="n">
        <v>186174</v>
      </c>
      <c r="H811" s="7" t="n">
        <v>11000</v>
      </c>
      <c r="I811" s="7" t="n">
        <v>175174</v>
      </c>
      <c r="L811" s="7"/>
      <c r="S811" s="7" t="n">
        <v>3</v>
      </c>
      <c r="T811" s="7" t="n">
        <v>6</v>
      </c>
      <c r="U811" s="7" t="n">
        <v>6</v>
      </c>
      <c r="V811" s="9" t="n">
        <v>15.924909090909091</v>
      </c>
    </row>
    <row r="812">
      <c r="A812" s="7" t="s">
        <v>74</v>
      </c>
      <c r="B812" s="7" t="s">
        <v>38</v>
      </c>
      <c r="C812" s="7" t="s">
        <v>39</v>
      </c>
      <c r="D812" s="7" t="s">
        <v>31</v>
      </c>
      <c r="E812" s="8" t="n">
        <v>46235</v>
      </c>
      <c r="F812" s="7" t="n">
        <v>175174</v>
      </c>
      <c r="H812" s="7" t="n">
        <v>11000</v>
      </c>
      <c r="I812" s="7" t="n">
        <v>164174</v>
      </c>
      <c r="L812" s="7"/>
      <c r="S812" s="7" t="n">
        <v>3</v>
      </c>
      <c r="T812" s="7" t="n">
        <v>6</v>
      </c>
      <c r="U812" s="7" t="n">
        <v>6</v>
      </c>
      <c r="V812" s="9" t="n">
        <v>14.924909090909091</v>
      </c>
    </row>
    <row r="813">
      <c r="A813" s="7" t="s">
        <v>28</v>
      </c>
      <c r="B813" s="7" t="s">
        <v>41</v>
      </c>
      <c r="C813" s="7" t="s">
        <v>39</v>
      </c>
      <c r="D813" s="7" t="s">
        <v>31</v>
      </c>
      <c r="E813" s="8" t="n">
        <v>45839</v>
      </c>
      <c r="F813" s="7" t="n">
        <v>72151</v>
      </c>
      <c r="H813" s="7" t="n">
        <v>7774</v>
      </c>
      <c r="I813" s="7" t="n">
        <v>64377</v>
      </c>
      <c r="L813" s="7"/>
      <c r="S813" s="7" t="n">
        <v>9</v>
      </c>
      <c r="T813" s="7" t="n">
        <v>14</v>
      </c>
      <c r="U813" s="7" t="n">
        <v>13</v>
      </c>
      <c r="V813" s="9" t="n">
        <v>8.281065088757396</v>
      </c>
    </row>
    <row r="814">
      <c r="A814" s="7" t="s">
        <v>28</v>
      </c>
      <c r="B814" s="7" t="s">
        <v>41</v>
      </c>
      <c r="C814" s="7" t="s">
        <v>39</v>
      </c>
      <c r="D814" s="7" t="s">
        <v>31</v>
      </c>
      <c r="E814" s="8" t="n">
        <v>45870</v>
      </c>
      <c r="F814" s="7" t="n">
        <v>64377</v>
      </c>
      <c r="H814" s="7" t="n">
        <v>7774</v>
      </c>
      <c r="I814" s="7" t="n">
        <v>97837</v>
      </c>
      <c r="J814" s="7" t="s">
        <v>2</v>
      </c>
      <c r="K814" s="7" t="s">
        <v>2</v>
      </c>
      <c r="L814" s="7" t="s">
        <v>4</v>
      </c>
      <c r="M814" s="7" t="n">
        <v>41234</v>
      </c>
      <c r="O814" s="7" t="n">
        <v>420587</v>
      </c>
      <c r="P814" s="7" t="n">
        <v>45870</v>
      </c>
      <c r="S814" s="7" t="n">
        <v>9</v>
      </c>
      <c r="T814" s="7" t="n">
        <v>14</v>
      </c>
      <c r="U814" s="7" t="n">
        <v>13</v>
      </c>
      <c r="V814" s="9" t="n">
        <v>12.585155647028557</v>
      </c>
    </row>
    <row r="815">
      <c r="A815" s="7" t="s">
        <v>28</v>
      </c>
      <c r="B815" s="7" t="s">
        <v>41</v>
      </c>
      <c r="C815" s="7" t="s">
        <v>39</v>
      </c>
      <c r="D815" s="7" t="s">
        <v>31</v>
      </c>
      <c r="E815" s="8" t="n">
        <v>45901</v>
      </c>
      <c r="F815" s="7" t="n">
        <v>97837</v>
      </c>
      <c r="H815" s="7" t="n">
        <v>7774</v>
      </c>
      <c r="I815" s="7" t="n">
        <v>90063</v>
      </c>
      <c r="L815" s="7"/>
      <c r="S815" s="7" t="n">
        <v>9</v>
      </c>
      <c r="T815" s="7" t="n">
        <v>14</v>
      </c>
      <c r="U815" s="7" t="n">
        <v>13</v>
      </c>
      <c r="V815" s="9" t="n">
        <v>11.585155647028557</v>
      </c>
    </row>
    <row r="816">
      <c r="A816" s="7" t="s">
        <v>28</v>
      </c>
      <c r="B816" s="7" t="s">
        <v>41</v>
      </c>
      <c r="C816" s="7" t="s">
        <v>39</v>
      </c>
      <c r="D816" s="7" t="s">
        <v>31</v>
      </c>
      <c r="E816" s="8" t="n">
        <v>45931</v>
      </c>
      <c r="F816" s="7" t="n">
        <v>90063</v>
      </c>
      <c r="H816" s="7" t="n">
        <v>7774</v>
      </c>
      <c r="I816" s="7" t="n">
        <v>82289</v>
      </c>
      <c r="L816" s="7"/>
      <c r="S816" s="7" t="n">
        <v>9</v>
      </c>
      <c r="T816" s="7" t="n">
        <v>14</v>
      </c>
      <c r="U816" s="7" t="n">
        <v>13</v>
      </c>
      <c r="V816" s="9" t="n">
        <v>10.585155647028557</v>
      </c>
    </row>
    <row r="817">
      <c r="A817" s="7" t="s">
        <v>28</v>
      </c>
      <c r="B817" s="7" t="s">
        <v>41</v>
      </c>
      <c r="C817" s="7" t="s">
        <v>39</v>
      </c>
      <c r="D817" s="7" t="s">
        <v>31</v>
      </c>
      <c r="E817" s="8" t="n">
        <v>45962</v>
      </c>
      <c r="F817" s="7" t="n">
        <v>82289</v>
      </c>
      <c r="H817" s="7" t="n">
        <v>7774</v>
      </c>
      <c r="I817" s="7" t="n">
        <v>74515</v>
      </c>
      <c r="L817" s="7"/>
      <c r="S817" s="7" t="n">
        <v>9</v>
      </c>
      <c r="T817" s="7" t="n">
        <v>14</v>
      </c>
      <c r="U817" s="7" t="n">
        <v>13</v>
      </c>
      <c r="V817" s="9" t="n">
        <v>9.5851556470285573</v>
      </c>
    </row>
    <row r="818">
      <c r="A818" s="7" t="s">
        <v>28</v>
      </c>
      <c r="B818" s="7" t="s">
        <v>41</v>
      </c>
      <c r="C818" s="7" t="s">
        <v>39</v>
      </c>
      <c r="D818" s="7" t="s">
        <v>31</v>
      </c>
      <c r="E818" s="8" t="n">
        <v>45992</v>
      </c>
      <c r="F818" s="7" t="n">
        <v>74515</v>
      </c>
      <c r="H818" s="7" t="n">
        <v>7774</v>
      </c>
      <c r="I818" s="7" t="n">
        <v>66741</v>
      </c>
      <c r="L818" s="7"/>
      <c r="S818" s="7" t="n">
        <v>9</v>
      </c>
      <c r="T818" s="7" t="n">
        <v>14</v>
      </c>
      <c r="U818" s="7" t="n">
        <v>13</v>
      </c>
      <c r="V818" s="9" t="n">
        <v>8.5851556470285573</v>
      </c>
    </row>
    <row r="819">
      <c r="A819" s="7" t="s">
        <v>28</v>
      </c>
      <c r="B819" s="7" t="s">
        <v>41</v>
      </c>
      <c r="C819" s="7" t="s">
        <v>39</v>
      </c>
      <c r="D819" s="7" t="s">
        <v>31</v>
      </c>
      <c r="E819" s="8" t="n">
        <v>46023</v>
      </c>
      <c r="F819" s="7" t="n">
        <v>66741</v>
      </c>
      <c r="H819" s="7" t="n">
        <v>7774</v>
      </c>
      <c r="I819" s="7" t="n">
        <v>98720</v>
      </c>
      <c r="J819" s="7" t="s">
        <v>2</v>
      </c>
      <c r="K819" s="7" t="s">
        <v>2</v>
      </c>
      <c r="L819" s="7" t="s">
        <v>4</v>
      </c>
      <c r="M819" s="7" t="n">
        <v>39753</v>
      </c>
      <c r="O819" s="7" t="n">
        <v>405481</v>
      </c>
      <c r="P819" s="7" t="n">
        <v>46023</v>
      </c>
      <c r="S819" s="7" t="n">
        <v>9</v>
      </c>
      <c r="T819" s="7" t="n">
        <v>14</v>
      </c>
      <c r="U819" s="7" t="n">
        <v>13</v>
      </c>
      <c r="V819" s="9" t="n">
        <v>12.698739387702599</v>
      </c>
    </row>
    <row r="820">
      <c r="A820" s="7" t="s">
        <v>28</v>
      </c>
      <c r="B820" s="7" t="s">
        <v>41</v>
      </c>
      <c r="C820" s="7" t="s">
        <v>39</v>
      </c>
      <c r="D820" s="7" t="s">
        <v>31</v>
      </c>
      <c r="E820" s="8" t="n">
        <v>46054</v>
      </c>
      <c r="F820" s="7" t="n">
        <v>98720</v>
      </c>
      <c r="H820" s="7" t="n">
        <v>7774</v>
      </c>
      <c r="I820" s="7" t="n">
        <v>90946</v>
      </c>
      <c r="L820" s="7"/>
      <c r="S820" s="7" t="n">
        <v>9</v>
      </c>
      <c r="T820" s="7" t="n">
        <v>14</v>
      </c>
      <c r="U820" s="7" t="n">
        <v>13</v>
      </c>
      <c r="V820" s="9" t="n">
        <v>11.698739387702599</v>
      </c>
    </row>
    <row r="821">
      <c r="A821" s="7" t="s">
        <v>28</v>
      </c>
      <c r="B821" s="7" t="s">
        <v>41</v>
      </c>
      <c r="C821" s="7" t="s">
        <v>39</v>
      </c>
      <c r="D821" s="7" t="s">
        <v>31</v>
      </c>
      <c r="E821" s="8" t="n">
        <v>46082</v>
      </c>
      <c r="F821" s="7" t="n">
        <v>90946</v>
      </c>
      <c r="H821" s="7" t="n">
        <v>7774</v>
      </c>
      <c r="I821" s="7" t="n">
        <v>83172</v>
      </c>
      <c r="L821" s="7"/>
      <c r="S821" s="7" t="n">
        <v>9</v>
      </c>
      <c r="T821" s="7" t="n">
        <v>14</v>
      </c>
      <c r="U821" s="7" t="n">
        <v>13</v>
      </c>
      <c r="V821" s="9" t="n">
        <v>10.698739387702599</v>
      </c>
    </row>
    <row r="822">
      <c r="A822" s="7" t="s">
        <v>28</v>
      </c>
      <c r="B822" s="7" t="s">
        <v>41</v>
      </c>
      <c r="C822" s="7" t="s">
        <v>39</v>
      </c>
      <c r="D822" s="7" t="s">
        <v>31</v>
      </c>
      <c r="E822" s="8" t="n">
        <v>46113</v>
      </c>
      <c r="F822" s="7" t="n">
        <v>83172</v>
      </c>
      <c r="H822" s="7" t="n">
        <v>7774</v>
      </c>
      <c r="I822" s="7" t="n">
        <v>75398</v>
      </c>
      <c r="L822" s="7"/>
      <c r="S822" s="7" t="n">
        <v>9</v>
      </c>
      <c r="T822" s="7" t="n">
        <v>14</v>
      </c>
      <c r="U822" s="7" t="n">
        <v>13</v>
      </c>
      <c r="V822" s="9" t="n">
        <v>9.6987393877025987</v>
      </c>
    </row>
    <row r="823">
      <c r="A823" s="7" t="s">
        <v>28</v>
      </c>
      <c r="B823" s="7" t="s">
        <v>41</v>
      </c>
      <c r="C823" s="7" t="s">
        <v>39</v>
      </c>
      <c r="D823" s="7" t="s">
        <v>31</v>
      </c>
      <c r="E823" s="8" t="n">
        <v>46143</v>
      </c>
      <c r="F823" s="7" t="n">
        <v>75398</v>
      </c>
      <c r="H823" s="7" t="n">
        <v>7774</v>
      </c>
      <c r="I823" s="7" t="n">
        <v>67624</v>
      </c>
      <c r="L823" s="7"/>
      <c r="S823" s="7" t="n">
        <v>9</v>
      </c>
      <c r="T823" s="7" t="n">
        <v>14</v>
      </c>
      <c r="U823" s="7" t="n">
        <v>13</v>
      </c>
      <c r="V823" s="9" t="n">
        <v>8.6987393877025987</v>
      </c>
    </row>
    <row r="824">
      <c r="A824" s="7" t="s">
        <v>28</v>
      </c>
      <c r="B824" s="7" t="s">
        <v>41</v>
      </c>
      <c r="C824" s="7" t="s">
        <v>39</v>
      </c>
      <c r="D824" s="7" t="s">
        <v>31</v>
      </c>
      <c r="E824" s="8" t="n">
        <v>46174</v>
      </c>
      <c r="F824" s="7" t="n">
        <v>67624</v>
      </c>
      <c r="H824" s="7" t="n">
        <v>7774</v>
      </c>
      <c r="I824" s="7" t="n">
        <v>99966</v>
      </c>
      <c r="J824" s="7" t="s">
        <v>2</v>
      </c>
      <c r="K824" s="7" t="s">
        <v>2</v>
      </c>
      <c r="L824" s="7" t="s">
        <v>4</v>
      </c>
      <c r="M824" s="7" t="n">
        <v>40116</v>
      </c>
      <c r="O824" s="7" t="n">
        <v>409183</v>
      </c>
      <c r="P824" s="7" t="n">
        <v>46174</v>
      </c>
      <c r="S824" s="7" t="n">
        <v>9</v>
      </c>
      <c r="T824" s="7" t="n">
        <v>14</v>
      </c>
      <c r="U824" s="7" t="n">
        <v>13</v>
      </c>
      <c r="V824" s="9" t="n">
        <v>12.859017236943659</v>
      </c>
    </row>
    <row r="825">
      <c r="A825" s="7" t="s">
        <v>75</v>
      </c>
      <c r="B825" s="7" t="s">
        <v>41</v>
      </c>
      <c r="C825" s="7" t="s">
        <v>39</v>
      </c>
      <c r="D825" s="7" t="s">
        <v>31</v>
      </c>
      <c r="E825" s="8" t="n">
        <v>45748</v>
      </c>
      <c r="F825" s="7" t="n">
        <v>85486</v>
      </c>
      <c r="H825" s="7" t="n">
        <v>24678</v>
      </c>
      <c r="I825" s="7" t="n">
        <v>60808</v>
      </c>
      <c r="L825" s="7"/>
      <c r="S825" s="7" t="n">
        <v>7</v>
      </c>
      <c r="T825" s="7" t="n">
        <v>15</v>
      </c>
      <c r="U825" s="7" t="n">
        <v>15</v>
      </c>
      <c r="V825" s="9" t="n">
        <v>2.4640570548666827</v>
      </c>
    </row>
    <row r="826">
      <c r="A826" s="7" t="s">
        <v>75</v>
      </c>
      <c r="B826" s="7" t="s">
        <v>41</v>
      </c>
      <c r="C826" s="7" t="s">
        <v>39</v>
      </c>
      <c r="D826" s="7" t="s">
        <v>31</v>
      </c>
      <c r="E826" s="8" t="n">
        <v>45778</v>
      </c>
      <c r="F826" s="7" t="n">
        <v>60808</v>
      </c>
      <c r="H826" s="7" t="n">
        <v>24722</v>
      </c>
      <c r="I826" s="7" t="n">
        <v>36086</v>
      </c>
      <c r="L826" s="7"/>
      <c r="S826" s="7" t="n">
        <v>7</v>
      </c>
      <c r="T826" s="7" t="n">
        <v>15</v>
      </c>
      <c r="U826" s="7" t="n">
        <v>15</v>
      </c>
      <c r="V826" s="9" t="n">
        <v>1.4596715476094166</v>
      </c>
    </row>
    <row r="827">
      <c r="A827" s="7" t="s">
        <v>75</v>
      </c>
      <c r="B827" s="7" t="s">
        <v>41</v>
      </c>
      <c r="C827" s="7" t="s">
        <v>39</v>
      </c>
      <c r="D827" s="7" t="s">
        <v>31</v>
      </c>
      <c r="E827" s="8" t="n">
        <v>45809</v>
      </c>
      <c r="F827" s="7" t="n">
        <v>36086</v>
      </c>
      <c r="H827" s="7" t="n">
        <v>24766</v>
      </c>
      <c r="I827" s="7" t="n">
        <v>66320</v>
      </c>
      <c r="L827" s="7" t="s">
        <v>154</v>
      </c>
      <c r="M827" s="7" t="n">
        <v>55000</v>
      </c>
      <c r="S827" s="7" t="n">
        <v>7</v>
      </c>
      <c r="T827" s="7" t="n">
        <v>15</v>
      </c>
      <c r="U827" s="7" t="n">
        <v>15</v>
      </c>
      <c r="V827" s="9" t="n">
        <v>2.6778648146652668</v>
      </c>
    </row>
    <row r="828">
      <c r="A828" s="7" t="s">
        <v>75</v>
      </c>
      <c r="B828" s="7" t="s">
        <v>41</v>
      </c>
      <c r="C828" s="7" t="s">
        <v>39</v>
      </c>
      <c r="D828" s="7" t="s">
        <v>31</v>
      </c>
      <c r="E828" s="8" t="n">
        <v>45839</v>
      </c>
      <c r="F828" s="7" t="n">
        <v>66320</v>
      </c>
      <c r="H828" s="7" t="n">
        <v>24810</v>
      </c>
      <c r="I828" s="7" t="n">
        <v>41510</v>
      </c>
      <c r="L828" s="7"/>
      <c r="S828" s="7" t="n">
        <v>7</v>
      </c>
      <c r="T828" s="7" t="n">
        <v>15</v>
      </c>
      <c r="U828" s="7" t="n">
        <v>15</v>
      </c>
      <c r="V828" s="9" t="n">
        <v>1.6731156791616284</v>
      </c>
    </row>
    <row r="829">
      <c r="A829" s="7" t="s">
        <v>75</v>
      </c>
      <c r="B829" s="7" t="s">
        <v>41</v>
      </c>
      <c r="C829" s="7" t="s">
        <v>39</v>
      </c>
      <c r="D829" s="7" t="s">
        <v>31</v>
      </c>
      <c r="E829" s="8" t="n">
        <v>45870</v>
      </c>
      <c r="F829" s="7" t="n">
        <v>41510</v>
      </c>
      <c r="H829" s="7" t="n">
        <v>24853</v>
      </c>
      <c r="I829" s="7" t="n">
        <v>16657</v>
      </c>
      <c r="L829" s="7"/>
      <c r="S829" s="7" t="n">
        <v>7</v>
      </c>
      <c r="T829" s="7" t="n">
        <v>15</v>
      </c>
      <c r="U829" s="7" t="n">
        <v>15</v>
      </c>
      <c r="V829" s="9" t="n">
        <v>0.67022089888544645</v>
      </c>
    </row>
    <row r="830">
      <c r="A830" s="7" t="s">
        <v>75</v>
      </c>
      <c r="B830" s="7" t="s">
        <v>41</v>
      </c>
      <c r="C830" s="7" t="s">
        <v>39</v>
      </c>
      <c r="D830" s="7" t="s">
        <v>31</v>
      </c>
      <c r="E830" s="8" t="n">
        <v>45901</v>
      </c>
      <c r="F830" s="7" t="n">
        <v>16657</v>
      </c>
      <c r="H830" s="7" t="n">
        <v>24897</v>
      </c>
      <c r="I830" s="7" t="n">
        <v>114548</v>
      </c>
      <c r="L830" s="7" t="s">
        <v>147</v>
      </c>
      <c r="M830" s="7" t="n">
        <v>122788</v>
      </c>
      <c r="S830" s="7" t="n">
        <v>7</v>
      </c>
      <c r="T830" s="7" t="n">
        <v>15</v>
      </c>
      <c r="U830" s="7" t="n">
        <v>15</v>
      </c>
      <c r="V830" s="9" t="n">
        <v>4.6008756075029122</v>
      </c>
    </row>
    <row r="831">
      <c r="A831" s="7" t="s">
        <v>75</v>
      </c>
      <c r="B831" s="7" t="s">
        <v>41</v>
      </c>
      <c r="C831" s="7" t="s">
        <v>39</v>
      </c>
      <c r="D831" s="7" t="s">
        <v>31</v>
      </c>
      <c r="E831" s="8" t="n">
        <v>45931</v>
      </c>
      <c r="F831" s="7" t="n">
        <v>114548</v>
      </c>
      <c r="H831" s="7" t="n">
        <v>24941</v>
      </c>
      <c r="I831" s="7" t="n">
        <v>89607</v>
      </c>
      <c r="L831" s="7"/>
      <c r="S831" s="7" t="n">
        <v>7</v>
      </c>
      <c r="T831" s="7" t="n">
        <v>15</v>
      </c>
      <c r="U831" s="7" t="n">
        <v>15</v>
      </c>
      <c r="V831" s="9" t="n">
        <v>3.5927589110300309</v>
      </c>
    </row>
    <row r="832">
      <c r="A832" s="7" t="s">
        <v>75</v>
      </c>
      <c r="B832" s="7" t="s">
        <v>41</v>
      </c>
      <c r="C832" s="7" t="s">
        <v>39</v>
      </c>
      <c r="D832" s="7" t="s">
        <v>31</v>
      </c>
      <c r="E832" s="8" t="n">
        <v>45962</v>
      </c>
      <c r="F832" s="7" t="n">
        <v>89607</v>
      </c>
      <c r="H832" s="7" t="n">
        <v>24985</v>
      </c>
      <c r="I832" s="7" t="n">
        <v>374059</v>
      </c>
      <c r="L832" s="7" t="s">
        <v>4</v>
      </c>
      <c r="M832" s="7" t="n">
        <v>309437</v>
      </c>
      <c r="S832" s="7" t="n">
        <v>7</v>
      </c>
      <c r="T832" s="7" t="n">
        <v>15</v>
      </c>
      <c r="U832" s="7" t="n">
        <v>15</v>
      </c>
      <c r="V832" s="9" t="n">
        <v>14.97134280568341</v>
      </c>
    </row>
    <row r="833">
      <c r="A833" s="7" t="s">
        <v>75</v>
      </c>
      <c r="B833" s="7" t="s">
        <v>41</v>
      </c>
      <c r="C833" s="7" t="s">
        <v>39</v>
      </c>
      <c r="D833" s="7" t="s">
        <v>31</v>
      </c>
      <c r="E833" s="8" t="n">
        <v>45992</v>
      </c>
      <c r="F833" s="7" t="n">
        <v>374059</v>
      </c>
      <c r="H833" s="7" t="n">
        <v>25029</v>
      </c>
      <c r="I833" s="7" t="n">
        <v>349030</v>
      </c>
      <c r="L833" s="7"/>
      <c r="S833" s="7" t="n">
        <v>7</v>
      </c>
      <c r="T833" s="7" t="n">
        <v>15</v>
      </c>
      <c r="U833" s="7" t="n">
        <v>15</v>
      </c>
      <c r="V833" s="9" t="n">
        <v>13.945023772423989</v>
      </c>
    </row>
    <row r="834">
      <c r="A834" s="7" t="s">
        <v>75</v>
      </c>
      <c r="B834" s="7" t="s">
        <v>41</v>
      </c>
      <c r="C834" s="7" t="s">
        <v>39</v>
      </c>
      <c r="D834" s="7" t="s">
        <v>31</v>
      </c>
      <c r="E834" s="8" t="n">
        <v>46023</v>
      </c>
      <c r="F834" s="7" t="n">
        <v>349030</v>
      </c>
      <c r="H834" s="7" t="n">
        <v>25029</v>
      </c>
      <c r="I834" s="7" t="n">
        <v>324001</v>
      </c>
      <c r="L834" s="7"/>
      <c r="S834" s="7" t="n">
        <v>7</v>
      </c>
      <c r="T834" s="7" t="n">
        <v>15</v>
      </c>
      <c r="U834" s="7" t="n">
        <v>15</v>
      </c>
      <c r="V834" s="9" t="n">
        <v>12.945023772423989</v>
      </c>
    </row>
    <row r="835">
      <c r="A835" s="7" t="s">
        <v>75</v>
      </c>
      <c r="B835" s="7" t="s">
        <v>41</v>
      </c>
      <c r="C835" s="7" t="s">
        <v>39</v>
      </c>
      <c r="D835" s="7" t="s">
        <v>31</v>
      </c>
      <c r="E835" s="8" t="n">
        <v>46054</v>
      </c>
      <c r="F835" s="7" t="n">
        <v>324001</v>
      </c>
      <c r="H835" s="7" t="n">
        <v>25029</v>
      </c>
      <c r="I835" s="7" t="n">
        <v>298972</v>
      </c>
      <c r="L835" s="7"/>
      <c r="S835" s="7" t="n">
        <v>7</v>
      </c>
      <c r="T835" s="7" t="n">
        <v>15</v>
      </c>
      <c r="U835" s="7" t="n">
        <v>15</v>
      </c>
      <c r="V835" s="9" t="n">
        <v>11.945023772423989</v>
      </c>
    </row>
    <row r="836">
      <c r="A836" s="7" t="s">
        <v>75</v>
      </c>
      <c r="B836" s="7" t="s">
        <v>41</v>
      </c>
      <c r="C836" s="7" t="s">
        <v>39</v>
      </c>
      <c r="D836" s="7" t="s">
        <v>31</v>
      </c>
      <c r="E836" s="8" t="n">
        <v>46082</v>
      </c>
      <c r="F836" s="7" t="n">
        <v>298972</v>
      </c>
      <c r="H836" s="7" t="n">
        <v>25029</v>
      </c>
      <c r="I836" s="7" t="n">
        <v>425043</v>
      </c>
      <c r="L836" s="7" t="s">
        <v>4</v>
      </c>
      <c r="M836" s="7" t="n">
        <v>151100</v>
      </c>
      <c r="S836" s="7" t="n">
        <v>7</v>
      </c>
      <c r="T836" s="7" t="n">
        <v>15</v>
      </c>
      <c r="U836" s="7" t="n">
        <v>15</v>
      </c>
      <c r="V836" s="9" t="n">
        <v>16.982020855807264</v>
      </c>
    </row>
    <row r="837">
      <c r="A837" s="7" t="s">
        <v>75</v>
      </c>
      <c r="B837" s="7" t="s">
        <v>41</v>
      </c>
      <c r="C837" s="7" t="s">
        <v>39</v>
      </c>
      <c r="D837" s="7" t="s">
        <v>31</v>
      </c>
      <c r="E837" s="8" t="n">
        <v>46113</v>
      </c>
      <c r="F837" s="7" t="n">
        <v>425043</v>
      </c>
      <c r="H837" s="7" t="n">
        <v>25029</v>
      </c>
      <c r="I837" s="7" t="n">
        <v>400014</v>
      </c>
      <c r="L837" s="7"/>
      <c r="S837" s="7" t="n">
        <v>7</v>
      </c>
      <c r="T837" s="7" t="n">
        <v>15</v>
      </c>
      <c r="U837" s="7" t="n">
        <v>15</v>
      </c>
      <c r="V837" s="9" t="n">
        <v>15.982020855807264</v>
      </c>
    </row>
    <row r="838">
      <c r="A838" s="7" t="s">
        <v>75</v>
      </c>
      <c r="B838" s="7" t="s">
        <v>41</v>
      </c>
      <c r="C838" s="7" t="s">
        <v>39</v>
      </c>
      <c r="D838" s="7" t="s">
        <v>31</v>
      </c>
      <c r="E838" s="8" t="n">
        <v>46143</v>
      </c>
      <c r="F838" s="7" t="n">
        <v>400014</v>
      </c>
      <c r="H838" s="7" t="n">
        <v>25029</v>
      </c>
      <c r="I838" s="7" t="n">
        <v>374985</v>
      </c>
      <c r="L838" s="7"/>
      <c r="S838" s="7" t="n">
        <v>7</v>
      </c>
      <c r="T838" s="7" t="n">
        <v>15</v>
      </c>
      <c r="U838" s="7" t="n">
        <v>15</v>
      </c>
      <c r="V838" s="9" t="n">
        <v>14.982020855807264</v>
      </c>
    </row>
    <row r="839">
      <c r="A839" s="7" t="s">
        <v>75</v>
      </c>
      <c r="B839" s="7" t="s">
        <v>41</v>
      </c>
      <c r="C839" s="7" t="s">
        <v>39</v>
      </c>
      <c r="D839" s="7" t="s">
        <v>31</v>
      </c>
      <c r="E839" s="8" t="n">
        <v>46174</v>
      </c>
      <c r="F839" s="7" t="n">
        <v>374985</v>
      </c>
      <c r="H839" s="7" t="n">
        <v>25029</v>
      </c>
      <c r="I839" s="7" t="n">
        <v>349956</v>
      </c>
      <c r="L839" s="7"/>
      <c r="S839" s="7" t="n">
        <v>7</v>
      </c>
      <c r="T839" s="7" t="n">
        <v>15</v>
      </c>
      <c r="U839" s="7" t="n">
        <v>15</v>
      </c>
      <c r="V839" s="9" t="n">
        <v>13.982020855807264</v>
      </c>
    </row>
    <row r="840">
      <c r="A840" s="7" t="s">
        <v>75</v>
      </c>
      <c r="B840" s="7" t="s">
        <v>41</v>
      </c>
      <c r="C840" s="7" t="s">
        <v>39</v>
      </c>
      <c r="D840" s="7" t="s">
        <v>31</v>
      </c>
      <c r="E840" s="8" t="n">
        <v>46204</v>
      </c>
      <c r="F840" s="7" t="n">
        <v>349956</v>
      </c>
      <c r="H840" s="7" t="n">
        <v>25029</v>
      </c>
      <c r="I840" s="7" t="n">
        <v>324927</v>
      </c>
      <c r="L840" s="7"/>
      <c r="S840" s="7" t="n">
        <v>7</v>
      </c>
      <c r="T840" s="7" t="n">
        <v>15</v>
      </c>
      <c r="U840" s="7" t="n">
        <v>15</v>
      </c>
      <c r="V840" s="9" t="n">
        <v>12.982020855807264</v>
      </c>
    </row>
    <row r="841">
      <c r="A841" s="7" t="s">
        <v>75</v>
      </c>
      <c r="B841" s="7" t="s">
        <v>41</v>
      </c>
      <c r="C841" s="7" t="s">
        <v>39</v>
      </c>
      <c r="D841" s="7" t="s">
        <v>31</v>
      </c>
      <c r="E841" s="8" t="n">
        <v>46235</v>
      </c>
      <c r="F841" s="7" t="n">
        <v>324927</v>
      </c>
      <c r="H841" s="7" t="n">
        <v>25029</v>
      </c>
      <c r="I841" s="7" t="n">
        <v>299898</v>
      </c>
      <c r="L841" s="7"/>
      <c r="S841" s="7" t="n">
        <v>7</v>
      </c>
      <c r="T841" s="7" t="n">
        <v>15</v>
      </c>
      <c r="U841" s="7" t="n">
        <v>15</v>
      </c>
      <c r="V841" s="9" t="n">
        <v>11.982020855807264</v>
      </c>
    </row>
    <row r="842">
      <c r="A842" s="7" t="s">
        <v>75</v>
      </c>
      <c r="B842" s="7" t="s">
        <v>41</v>
      </c>
      <c r="C842" s="7" t="s">
        <v>39</v>
      </c>
      <c r="D842" s="7" t="s">
        <v>31</v>
      </c>
      <c r="E842" s="8" t="n">
        <v>46266</v>
      </c>
      <c r="F842" s="7" t="n">
        <v>299898</v>
      </c>
      <c r="H842" s="7" t="n">
        <v>25029</v>
      </c>
      <c r="I842" s="7" t="n">
        <v>274869</v>
      </c>
      <c r="L842" s="7"/>
      <c r="S842" s="7" t="n">
        <v>7</v>
      </c>
      <c r="T842" s="7" t="n">
        <v>15</v>
      </c>
      <c r="U842" s="7" t="n">
        <v>15</v>
      </c>
      <c r="V842" s="9" t="n">
        <v>10.982020855807264</v>
      </c>
    </row>
    <row r="843">
      <c r="A843" s="7" t="s">
        <v>76</v>
      </c>
      <c r="B843" s="7" t="s">
        <v>41</v>
      </c>
      <c r="C843" s="7"/>
      <c r="D843" s="7" t="s">
        <v>31</v>
      </c>
      <c r="E843" s="8" t="n">
        <v>45748</v>
      </c>
      <c r="H843" s="7" t="n">
        <v>13803</v>
      </c>
      <c r="I843" s="7" t="n">
        <v>0</v>
      </c>
      <c r="L843" s="7"/>
      <c r="S843" s="7" t="n">
        <v>3</v>
      </c>
      <c r="T843" s="7" t="n">
        <v>6</v>
      </c>
      <c r="U843" s="7" t="n">
        <v>6</v>
      </c>
      <c r="V843" s="9" t="n">
        <v>0</v>
      </c>
    </row>
    <row r="844">
      <c r="A844" s="7" t="s">
        <v>76</v>
      </c>
      <c r="B844" s="7" t="s">
        <v>41</v>
      </c>
      <c r="C844" s="7"/>
      <c r="D844" s="7" t="s">
        <v>31</v>
      </c>
      <c r="E844" s="8" t="n">
        <v>45778</v>
      </c>
      <c r="H844" s="7" t="n">
        <v>13803</v>
      </c>
      <c r="I844" s="7" t="n">
        <v>0</v>
      </c>
      <c r="L844" s="7"/>
      <c r="S844" s="7" t="n">
        <v>3</v>
      </c>
      <c r="T844" s="7" t="n">
        <v>6</v>
      </c>
      <c r="U844" s="7" t="n">
        <v>6</v>
      </c>
      <c r="V844" s="9" t="n">
        <v>0</v>
      </c>
    </row>
    <row r="845">
      <c r="A845" s="7" t="s">
        <v>76</v>
      </c>
      <c r="B845" s="7" t="s">
        <v>41</v>
      </c>
      <c r="C845" s="7"/>
      <c r="D845" s="7" t="s">
        <v>31</v>
      </c>
      <c r="E845" s="8" t="n">
        <v>45809</v>
      </c>
      <c r="H845" s="7" t="n">
        <v>13803</v>
      </c>
      <c r="I845" s="7" t="n">
        <v>0</v>
      </c>
      <c r="L845" s="7"/>
      <c r="S845" s="7" t="n">
        <v>3</v>
      </c>
      <c r="T845" s="7" t="n">
        <v>6</v>
      </c>
      <c r="U845" s="7" t="n">
        <v>6</v>
      </c>
      <c r="V845" s="9" t="n">
        <v>0</v>
      </c>
    </row>
    <row r="846">
      <c r="A846" s="7" t="s">
        <v>76</v>
      </c>
      <c r="B846" s="7" t="s">
        <v>41</v>
      </c>
      <c r="C846" s="7"/>
      <c r="D846" s="7" t="s">
        <v>31</v>
      </c>
      <c r="E846" s="8" t="n">
        <v>45839</v>
      </c>
      <c r="H846" s="7" t="n">
        <v>13803</v>
      </c>
      <c r="I846" s="7" t="n">
        <v>0</v>
      </c>
      <c r="L846" s="7"/>
      <c r="S846" s="7" t="n">
        <v>3</v>
      </c>
      <c r="T846" s="7" t="n">
        <v>6</v>
      </c>
      <c r="U846" s="7" t="n">
        <v>6</v>
      </c>
      <c r="V846" s="9" t="n">
        <v>0</v>
      </c>
    </row>
    <row r="847">
      <c r="A847" s="7" t="s">
        <v>76</v>
      </c>
      <c r="B847" s="7" t="s">
        <v>41</v>
      </c>
      <c r="C847" s="7"/>
      <c r="D847" s="7" t="s">
        <v>31</v>
      </c>
      <c r="E847" s="8" t="n">
        <v>45870</v>
      </c>
      <c r="H847" s="7" t="n">
        <v>13803</v>
      </c>
      <c r="I847" s="7" t="n">
        <v>0</v>
      </c>
      <c r="L847" s="7"/>
      <c r="S847" s="7" t="n">
        <v>3</v>
      </c>
      <c r="T847" s="7" t="n">
        <v>6</v>
      </c>
      <c r="U847" s="7" t="n">
        <v>6</v>
      </c>
      <c r="V847" s="9" t="n">
        <v>0</v>
      </c>
    </row>
    <row r="848">
      <c r="A848" s="7" t="s">
        <v>76</v>
      </c>
      <c r="B848" s="7" t="s">
        <v>41</v>
      </c>
      <c r="C848" s="7"/>
      <c r="D848" s="7" t="s">
        <v>31</v>
      </c>
      <c r="E848" s="8" t="n">
        <v>45901</v>
      </c>
      <c r="H848" s="7" t="n">
        <v>13803</v>
      </c>
      <c r="I848" s="7" t="n">
        <v>0</v>
      </c>
      <c r="L848" s="7"/>
      <c r="S848" s="7" t="n">
        <v>3</v>
      </c>
      <c r="T848" s="7" t="n">
        <v>6</v>
      </c>
      <c r="U848" s="7" t="n">
        <v>6</v>
      </c>
      <c r="V848" s="9" t="n">
        <v>0</v>
      </c>
    </row>
    <row r="849">
      <c r="A849" s="7" t="s">
        <v>76</v>
      </c>
      <c r="B849" s="7" t="s">
        <v>41</v>
      </c>
      <c r="C849" s="7"/>
      <c r="D849" s="7" t="s">
        <v>31</v>
      </c>
      <c r="E849" s="8" t="n">
        <v>45931</v>
      </c>
      <c r="H849" s="7" t="n">
        <v>13803</v>
      </c>
      <c r="I849" s="7" t="n">
        <v>0</v>
      </c>
      <c r="L849" s="7"/>
      <c r="S849" s="7" t="n">
        <v>3</v>
      </c>
      <c r="T849" s="7" t="n">
        <v>6</v>
      </c>
      <c r="U849" s="7" t="n">
        <v>6</v>
      </c>
      <c r="V849" s="9" t="n">
        <v>0</v>
      </c>
    </row>
    <row r="850">
      <c r="A850" s="7" t="s">
        <v>76</v>
      </c>
      <c r="B850" s="7" t="s">
        <v>41</v>
      </c>
      <c r="C850" s="7"/>
      <c r="D850" s="7" t="s">
        <v>31</v>
      </c>
      <c r="E850" s="8" t="n">
        <v>45962</v>
      </c>
      <c r="H850" s="7" t="n">
        <v>13803</v>
      </c>
      <c r="I850" s="7" t="n">
        <v>0</v>
      </c>
      <c r="L850" s="7"/>
      <c r="S850" s="7" t="n">
        <v>3</v>
      </c>
      <c r="T850" s="7" t="n">
        <v>6</v>
      </c>
      <c r="U850" s="7" t="n">
        <v>6</v>
      </c>
      <c r="V850" s="9" t="n">
        <v>0</v>
      </c>
    </row>
    <row r="851">
      <c r="A851" s="7" t="s">
        <v>76</v>
      </c>
      <c r="B851" s="7" t="s">
        <v>41</v>
      </c>
      <c r="C851" s="7"/>
      <c r="D851" s="7" t="s">
        <v>31</v>
      </c>
      <c r="E851" s="8" t="n">
        <v>45992</v>
      </c>
      <c r="H851" s="7" t="n">
        <v>13803</v>
      </c>
      <c r="I851" s="7" t="n">
        <v>0</v>
      </c>
      <c r="L851" s="7"/>
      <c r="S851" s="7" t="n">
        <v>3</v>
      </c>
      <c r="T851" s="7" t="n">
        <v>6</v>
      </c>
      <c r="U851" s="7" t="n">
        <v>6</v>
      </c>
      <c r="V851" s="9" t="n">
        <v>0</v>
      </c>
    </row>
    <row r="852">
      <c r="A852" s="7" t="s">
        <v>76</v>
      </c>
      <c r="B852" s="7" t="s">
        <v>41</v>
      </c>
      <c r="C852" s="7"/>
      <c r="D852" s="7" t="s">
        <v>31</v>
      </c>
      <c r="E852" s="8" t="n">
        <v>46023</v>
      </c>
      <c r="H852" s="7" t="n">
        <v>9115</v>
      </c>
      <c r="I852" s="7" t="n">
        <v>0</v>
      </c>
      <c r="L852" s="7"/>
      <c r="S852" s="7" t="n">
        <v>3</v>
      </c>
      <c r="T852" s="7" t="n">
        <v>6</v>
      </c>
      <c r="U852" s="7" t="n">
        <v>6</v>
      </c>
      <c r="V852" s="9" t="n">
        <v>0</v>
      </c>
    </row>
    <row r="853">
      <c r="A853" s="7" t="s">
        <v>76</v>
      </c>
      <c r="B853" s="7" t="s">
        <v>41</v>
      </c>
      <c r="C853" s="7"/>
      <c r="D853" s="7" t="s">
        <v>31</v>
      </c>
      <c r="E853" s="8" t="n">
        <v>46054</v>
      </c>
      <c r="H853" s="7" t="n">
        <v>9115</v>
      </c>
      <c r="I853" s="7" t="n">
        <v>0</v>
      </c>
      <c r="L853" s="7"/>
      <c r="S853" s="7" t="n">
        <v>3</v>
      </c>
      <c r="T853" s="7" t="n">
        <v>6</v>
      </c>
      <c r="U853" s="7" t="n">
        <v>6</v>
      </c>
      <c r="V853" s="9" t="n">
        <v>0</v>
      </c>
    </row>
    <row r="854">
      <c r="A854" s="7" t="s">
        <v>76</v>
      </c>
      <c r="B854" s="7" t="s">
        <v>41</v>
      </c>
      <c r="C854" s="7"/>
      <c r="D854" s="7" t="s">
        <v>31</v>
      </c>
      <c r="E854" s="8" t="n">
        <v>46082</v>
      </c>
      <c r="H854" s="7" t="n">
        <v>9115</v>
      </c>
      <c r="I854" s="7" t="n">
        <v>0</v>
      </c>
      <c r="L854" s="7"/>
      <c r="S854" s="7" t="n">
        <v>3</v>
      </c>
      <c r="T854" s="7" t="n">
        <v>6</v>
      </c>
      <c r="U854" s="7" t="n">
        <v>6</v>
      </c>
      <c r="V854" s="9" t="n">
        <v>0</v>
      </c>
    </row>
    <row r="855">
      <c r="A855" s="7" t="s">
        <v>76</v>
      </c>
      <c r="B855" s="7" t="s">
        <v>41</v>
      </c>
      <c r="C855" s="7"/>
      <c r="D855" s="7" t="s">
        <v>31</v>
      </c>
      <c r="E855" s="8" t="n">
        <v>46113</v>
      </c>
      <c r="H855" s="7" t="n">
        <v>9115</v>
      </c>
      <c r="I855" s="7" t="n">
        <v>0</v>
      </c>
      <c r="L855" s="7"/>
      <c r="S855" s="7" t="n">
        <v>3</v>
      </c>
      <c r="T855" s="7" t="n">
        <v>6</v>
      </c>
      <c r="U855" s="7" t="n">
        <v>6</v>
      </c>
      <c r="V855" s="9" t="n">
        <v>0</v>
      </c>
    </row>
    <row r="856">
      <c r="A856" s="7" t="s">
        <v>76</v>
      </c>
      <c r="B856" s="7" t="s">
        <v>41</v>
      </c>
      <c r="C856" s="7"/>
      <c r="D856" s="7" t="s">
        <v>31</v>
      </c>
      <c r="E856" s="8" t="n">
        <v>46143</v>
      </c>
      <c r="H856" s="7" t="n">
        <v>9115</v>
      </c>
      <c r="I856" s="7" t="n">
        <v>0</v>
      </c>
      <c r="L856" s="7"/>
      <c r="S856" s="7" t="n">
        <v>3</v>
      </c>
      <c r="T856" s="7" t="n">
        <v>6</v>
      </c>
      <c r="U856" s="7" t="n">
        <v>6</v>
      </c>
      <c r="V856" s="9" t="n">
        <v>0</v>
      </c>
    </row>
    <row r="857">
      <c r="A857" s="7" t="s">
        <v>76</v>
      </c>
      <c r="B857" s="7" t="s">
        <v>41</v>
      </c>
      <c r="C857" s="7"/>
      <c r="D857" s="7" t="s">
        <v>31</v>
      </c>
      <c r="E857" s="8" t="n">
        <v>46174</v>
      </c>
      <c r="H857" s="7" t="n">
        <v>9115</v>
      </c>
      <c r="I857" s="7" t="n">
        <v>0</v>
      </c>
      <c r="L857" s="7"/>
      <c r="S857" s="7" t="n">
        <v>3</v>
      </c>
      <c r="T857" s="7" t="n">
        <v>6</v>
      </c>
      <c r="U857" s="7" t="n">
        <v>6</v>
      </c>
      <c r="V857" s="9" t="n">
        <v>0</v>
      </c>
    </row>
    <row r="858">
      <c r="A858" s="7" t="s">
        <v>76</v>
      </c>
      <c r="B858" s="7" t="s">
        <v>41</v>
      </c>
      <c r="C858" s="7"/>
      <c r="D858" s="7" t="s">
        <v>31</v>
      </c>
      <c r="E858" s="8" t="n">
        <v>46204</v>
      </c>
      <c r="H858" s="7" t="n">
        <v>9115</v>
      </c>
      <c r="I858" s="7" t="n">
        <v>0</v>
      </c>
      <c r="L858" s="7"/>
      <c r="S858" s="7" t="n">
        <v>3</v>
      </c>
      <c r="T858" s="7" t="n">
        <v>6</v>
      </c>
      <c r="U858" s="7" t="n">
        <v>6</v>
      </c>
      <c r="V858" s="9" t="n">
        <v>0</v>
      </c>
    </row>
    <row r="859">
      <c r="A859" s="7" t="s">
        <v>76</v>
      </c>
      <c r="B859" s="7" t="s">
        <v>41</v>
      </c>
      <c r="C859" s="7"/>
      <c r="D859" s="7" t="s">
        <v>31</v>
      </c>
      <c r="E859" s="8" t="n">
        <v>46235</v>
      </c>
      <c r="H859" s="7" t="n">
        <v>9115</v>
      </c>
      <c r="I859" s="7" t="n">
        <v>0</v>
      </c>
      <c r="L859" s="7"/>
      <c r="S859" s="7" t="n">
        <v>3</v>
      </c>
      <c r="T859" s="7" t="n">
        <v>6</v>
      </c>
      <c r="U859" s="7" t="n">
        <v>6</v>
      </c>
      <c r="V859" s="9" t="n">
        <v>0</v>
      </c>
    </row>
    <row r="860">
      <c r="A860" s="7" t="s">
        <v>76</v>
      </c>
      <c r="B860" s="7" t="s">
        <v>41</v>
      </c>
      <c r="C860" s="7"/>
      <c r="D860" s="7" t="s">
        <v>31</v>
      </c>
      <c r="E860" s="8" t="n">
        <v>46266</v>
      </c>
      <c r="H860" s="7" t="n">
        <v>9115</v>
      </c>
      <c r="I860" s="7" t="n">
        <v>0</v>
      </c>
      <c r="L860" s="7"/>
      <c r="S860" s="7" t="n">
        <v>3</v>
      </c>
      <c r="T860" s="7" t="n">
        <v>6</v>
      </c>
      <c r="U860" s="7" t="n">
        <v>6</v>
      </c>
      <c r="V860" s="9" t="n">
        <v>0</v>
      </c>
    </row>
    <row r="861">
      <c r="A861" s="7" t="s">
        <v>76</v>
      </c>
      <c r="B861" s="7" t="s">
        <v>41</v>
      </c>
      <c r="C861" s="7"/>
      <c r="D861" s="7" t="s">
        <v>31</v>
      </c>
      <c r="E861" s="8" t="n">
        <v>46296</v>
      </c>
      <c r="H861" s="7" t="n">
        <v>9115</v>
      </c>
      <c r="I861" s="7" t="n">
        <v>0</v>
      </c>
      <c r="L861" s="7"/>
      <c r="S861" s="7" t="n">
        <v>3</v>
      </c>
      <c r="T861" s="7" t="n">
        <v>6</v>
      </c>
      <c r="U861" s="7" t="n">
        <v>6</v>
      </c>
      <c r="V861" s="9" t="n">
        <v>0</v>
      </c>
    </row>
    <row r="862">
      <c r="A862" s="7" t="s">
        <v>76</v>
      </c>
      <c r="B862" s="7" t="s">
        <v>41</v>
      </c>
      <c r="C862" s="7"/>
      <c r="D862" s="7" t="s">
        <v>31</v>
      </c>
      <c r="E862" s="8" t="n">
        <v>46327</v>
      </c>
      <c r="H862" s="7" t="n">
        <v>9115</v>
      </c>
      <c r="I862" s="7" t="n">
        <v>0</v>
      </c>
      <c r="L862" s="7"/>
      <c r="S862" s="7" t="n">
        <v>3</v>
      </c>
      <c r="T862" s="7" t="n">
        <v>6</v>
      </c>
      <c r="U862" s="7" t="n">
        <v>6</v>
      </c>
      <c r="V862" s="9" t="n">
        <v>0</v>
      </c>
    </row>
    <row r="863">
      <c r="A863" s="7" t="s">
        <v>76</v>
      </c>
      <c r="B863" s="7" t="s">
        <v>41</v>
      </c>
      <c r="C863" s="7"/>
      <c r="D863" s="7" t="s">
        <v>31</v>
      </c>
      <c r="E863" s="8" t="n">
        <v>46357</v>
      </c>
      <c r="H863" s="7" t="n">
        <v>9115</v>
      </c>
      <c r="I863" s="7" t="n">
        <v>0</v>
      </c>
      <c r="L863" s="7"/>
      <c r="S863" s="7" t="n">
        <v>3</v>
      </c>
      <c r="T863" s="7" t="n">
        <v>6</v>
      </c>
      <c r="U863" s="7" t="n">
        <v>6</v>
      </c>
      <c r="V863" s="9" t="n">
        <v>0</v>
      </c>
    </row>
    <row r="864">
      <c r="A864" s="7" t="s">
        <v>72</v>
      </c>
      <c r="B864" s="7" t="s">
        <v>41</v>
      </c>
      <c r="C864" s="7"/>
      <c r="D864" s="7" t="s">
        <v>31</v>
      </c>
      <c r="E864" s="8" t="n">
        <v>45689</v>
      </c>
      <c r="F864" s="7" t="n">
        <v>77320</v>
      </c>
      <c r="H864" s="7" t="n">
        <v>14621</v>
      </c>
      <c r="I864" s="7" t="n">
        <v>97699</v>
      </c>
      <c r="J864" s="7" t="s">
        <v>51</v>
      </c>
      <c r="K864" s="7" t="s">
        <v>51</v>
      </c>
      <c r="L864" s="7" t="s">
        <v>153</v>
      </c>
      <c r="M864" s="7" t="n">
        <v>35000</v>
      </c>
      <c r="O864" s="7" t="n">
        <v>327250</v>
      </c>
      <c r="P864" s="7" t="n">
        <v>45689</v>
      </c>
      <c r="S864" s="7" t="n">
        <v>6</v>
      </c>
      <c r="T864" s="7" t="n">
        <v>12</v>
      </c>
      <c r="U864" s="7" t="n">
        <v>12</v>
      </c>
      <c r="V864" s="9" t="n">
        <v>6.6821010874769167</v>
      </c>
    </row>
    <row r="865">
      <c r="A865" s="7" t="s">
        <v>72</v>
      </c>
      <c r="B865" s="7" t="s">
        <v>41</v>
      </c>
      <c r="C865" s="7"/>
      <c r="D865" s="7" t="s">
        <v>31</v>
      </c>
      <c r="E865" s="8" t="n">
        <v>45717</v>
      </c>
      <c r="F865" s="7" t="n">
        <v>97699</v>
      </c>
      <c r="H865" s="7" t="n">
        <v>14621</v>
      </c>
      <c r="I865" s="7" t="n">
        <v>129278</v>
      </c>
      <c r="J865" s="7" t="s">
        <v>51</v>
      </c>
      <c r="K865" s="7" t="s">
        <v>51</v>
      </c>
      <c r="L865" s="7" t="s">
        <v>153</v>
      </c>
      <c r="M865" s="7" t="n">
        <v>46200</v>
      </c>
      <c r="O865" s="7" t="n">
        <v>439824</v>
      </c>
      <c r="P865" s="7" t="n">
        <v>45717</v>
      </c>
      <c r="S865" s="7" t="n">
        <v>6</v>
      </c>
      <c r="T865" s="7" t="n">
        <v>12</v>
      </c>
      <c r="U865" s="7" t="n">
        <v>12</v>
      </c>
      <c r="V865" s="9" t="n">
        <v>8.8419396758087689</v>
      </c>
    </row>
    <row r="866">
      <c r="A866" s="7" t="s">
        <v>72</v>
      </c>
      <c r="B866" s="7" t="s">
        <v>41</v>
      </c>
      <c r="C866" s="7"/>
      <c r="D866" s="7" t="s">
        <v>31</v>
      </c>
      <c r="E866" s="8" t="n">
        <v>45748</v>
      </c>
      <c r="F866" s="7" t="n">
        <v>129278</v>
      </c>
      <c r="H866" s="7" t="n">
        <v>14621</v>
      </c>
      <c r="I866" s="7" t="n">
        <v>164657</v>
      </c>
      <c r="J866" s="7" t="s">
        <v>51</v>
      </c>
      <c r="K866" s="7" t="s">
        <v>51</v>
      </c>
      <c r="L866" s="7" t="s">
        <v>153</v>
      </c>
      <c r="M866" s="7" t="n">
        <v>50000</v>
      </c>
      <c r="O866" s="7" t="n">
        <v>476000</v>
      </c>
      <c r="P866" s="7" t="n">
        <v>45748</v>
      </c>
      <c r="S866" s="7" t="n">
        <v>6</v>
      </c>
      <c r="T866" s="7" t="n">
        <v>12</v>
      </c>
      <c r="U866" s="7" t="n">
        <v>12</v>
      </c>
      <c r="V866" s="9" t="n">
        <v>11.261678407769647</v>
      </c>
    </row>
    <row r="867">
      <c r="A867" s="7" t="s">
        <v>72</v>
      </c>
      <c r="B867" s="7" t="s">
        <v>41</v>
      </c>
      <c r="C867" s="7"/>
      <c r="D867" s="7" t="s">
        <v>31</v>
      </c>
      <c r="E867" s="8" t="n">
        <v>45778</v>
      </c>
      <c r="F867" s="7" t="n">
        <v>164657</v>
      </c>
      <c r="H867" s="7" t="n">
        <v>14621</v>
      </c>
      <c r="I867" s="7" t="n">
        <v>150036</v>
      </c>
      <c r="L867" s="7"/>
      <c r="S867" s="7" t="n">
        <v>6</v>
      </c>
      <c r="T867" s="7" t="n">
        <v>12</v>
      </c>
      <c r="U867" s="7" t="n">
        <v>12</v>
      </c>
      <c r="V867" s="9" t="n">
        <v>10.261678407769647</v>
      </c>
    </row>
    <row r="868">
      <c r="A868" s="7" t="s">
        <v>72</v>
      </c>
      <c r="B868" s="7" t="s">
        <v>41</v>
      </c>
      <c r="C868" s="7"/>
      <c r="D868" s="7" t="s">
        <v>31</v>
      </c>
      <c r="E868" s="8" t="n">
        <v>45809</v>
      </c>
      <c r="F868" s="7" t="n">
        <v>150036</v>
      </c>
      <c r="H868" s="7" t="n">
        <v>14621</v>
      </c>
      <c r="I868" s="7" t="n">
        <v>135415</v>
      </c>
      <c r="L868" s="7"/>
      <c r="S868" s="7" t="n">
        <v>6</v>
      </c>
      <c r="T868" s="7" t="n">
        <v>12</v>
      </c>
      <c r="U868" s="7" t="n">
        <v>12</v>
      </c>
      <c r="V868" s="9" t="n">
        <v>9.2616784077696472</v>
      </c>
    </row>
    <row r="869">
      <c r="A869" s="7" t="s">
        <v>72</v>
      </c>
      <c r="B869" s="7" t="s">
        <v>41</v>
      </c>
      <c r="C869" s="7"/>
      <c r="D869" s="7" t="s">
        <v>31</v>
      </c>
      <c r="E869" s="8" t="n">
        <v>45839</v>
      </c>
      <c r="F869" s="7" t="n">
        <v>135415</v>
      </c>
      <c r="H869" s="7" t="n">
        <v>14621</v>
      </c>
      <c r="I869" s="7" t="n">
        <v>120794</v>
      </c>
      <c r="L869" s="7"/>
      <c r="S869" s="7" t="n">
        <v>6</v>
      </c>
      <c r="T869" s="7" t="n">
        <v>12</v>
      </c>
      <c r="U869" s="7" t="n">
        <v>12</v>
      </c>
      <c r="V869" s="9" t="n">
        <v>8.2616784077696472</v>
      </c>
    </row>
    <row r="870">
      <c r="A870" s="7" t="s">
        <v>72</v>
      </c>
      <c r="B870" s="7" t="s">
        <v>41</v>
      </c>
      <c r="C870" s="7"/>
      <c r="D870" s="7" t="s">
        <v>31</v>
      </c>
      <c r="E870" s="8" t="n">
        <v>45870</v>
      </c>
      <c r="F870" s="7" t="n">
        <v>120794</v>
      </c>
      <c r="H870" s="7" t="n">
        <v>14621</v>
      </c>
      <c r="I870" s="7" t="n">
        <v>106173</v>
      </c>
      <c r="L870" s="7"/>
      <c r="S870" s="7" t="n">
        <v>6</v>
      </c>
      <c r="T870" s="7" t="n">
        <v>12</v>
      </c>
      <c r="U870" s="7" t="n">
        <v>12</v>
      </c>
      <c r="V870" s="9" t="n">
        <v>7.2616784077696463</v>
      </c>
    </row>
    <row r="871">
      <c r="A871" s="7" t="s">
        <v>72</v>
      </c>
      <c r="B871" s="7" t="s">
        <v>41</v>
      </c>
      <c r="C871" s="7"/>
      <c r="D871" s="7" t="s">
        <v>31</v>
      </c>
      <c r="E871" s="8" t="n">
        <v>45901</v>
      </c>
      <c r="F871" s="7" t="n">
        <v>106173</v>
      </c>
      <c r="H871" s="7" t="n">
        <v>14621</v>
      </c>
      <c r="I871" s="7" t="n">
        <v>91552</v>
      </c>
      <c r="L871" s="7"/>
      <c r="S871" s="7" t="n">
        <v>6</v>
      </c>
      <c r="T871" s="7" t="n">
        <v>12</v>
      </c>
      <c r="U871" s="7" t="n">
        <v>12</v>
      </c>
      <c r="V871" s="9" t="n">
        <v>6.2616784077696463</v>
      </c>
    </row>
    <row r="872">
      <c r="A872" s="7" t="s">
        <v>72</v>
      </c>
      <c r="B872" s="7" t="s">
        <v>41</v>
      </c>
      <c r="C872" s="7"/>
      <c r="D872" s="7" t="s">
        <v>31</v>
      </c>
      <c r="E872" s="8" t="n">
        <v>45931</v>
      </c>
      <c r="F872" s="7" t="n">
        <v>91552</v>
      </c>
      <c r="H872" s="7" t="n">
        <v>14621</v>
      </c>
      <c r="I872" s="7" t="n">
        <v>86931</v>
      </c>
      <c r="J872" s="7" t="s">
        <v>160</v>
      </c>
      <c r="K872" s="7" t="s">
        <v>51</v>
      </c>
      <c r="L872" s="7" t="s">
        <v>147</v>
      </c>
      <c r="M872" s="7" t="n">
        <v>10000</v>
      </c>
      <c r="O872" s="7" t="n">
        <v>95200</v>
      </c>
      <c r="P872" s="7" t="n">
        <v>45931</v>
      </c>
      <c r="S872" s="7" t="n">
        <v>6</v>
      </c>
      <c r="T872" s="7" t="n">
        <v>12</v>
      </c>
      <c r="U872" s="7" t="n">
        <v>12</v>
      </c>
      <c r="V872" s="9" t="n">
        <v>5.9456261541618218</v>
      </c>
    </row>
    <row r="873">
      <c r="A873" s="7" t="s">
        <v>72</v>
      </c>
      <c r="B873" s="7" t="s">
        <v>41</v>
      </c>
      <c r="C873" s="7"/>
      <c r="D873" s="7" t="s">
        <v>31</v>
      </c>
      <c r="E873" s="8" t="n">
        <v>45962</v>
      </c>
      <c r="F873" s="7" t="n">
        <v>86931</v>
      </c>
      <c r="H873" s="7" t="n">
        <v>14621</v>
      </c>
      <c r="I873" s="7" t="n">
        <v>107310</v>
      </c>
      <c r="J873" s="7" t="s">
        <v>160</v>
      </c>
      <c r="K873" s="7" t="s">
        <v>51</v>
      </c>
      <c r="L873" s="7" t="s">
        <v>147</v>
      </c>
      <c r="M873" s="7" t="n">
        <v>35000</v>
      </c>
      <c r="O873" s="7" t="n">
        <v>333200</v>
      </c>
      <c r="P873" s="7" t="n">
        <v>45962</v>
      </c>
      <c r="S873" s="7" t="n">
        <v>6</v>
      </c>
      <c r="T873" s="7" t="n">
        <v>12</v>
      </c>
      <c r="U873" s="7" t="n">
        <v>12</v>
      </c>
      <c r="V873" s="9" t="n">
        <v>7.3394432665344365</v>
      </c>
    </row>
    <row r="874">
      <c r="A874" s="7" t="s">
        <v>72</v>
      </c>
      <c r="B874" s="7" t="s">
        <v>41</v>
      </c>
      <c r="C874" s="7"/>
      <c r="D874" s="7" t="s">
        <v>31</v>
      </c>
      <c r="E874" s="8" t="n">
        <v>45992</v>
      </c>
      <c r="F874" s="7" t="n">
        <v>107310</v>
      </c>
      <c r="H874" s="7" t="n">
        <v>14621</v>
      </c>
      <c r="I874" s="7" t="n">
        <v>237449</v>
      </c>
      <c r="J874" s="7" t="s">
        <v>2</v>
      </c>
      <c r="K874" s="7" t="s">
        <v>2</v>
      </c>
      <c r="L874" s="7" t="s">
        <v>4</v>
      </c>
      <c r="M874" s="7" t="n">
        <v>144760</v>
      </c>
      <c r="O874" s="7" t="n">
        <v>1378115</v>
      </c>
      <c r="P874" s="7" t="n">
        <v>45992</v>
      </c>
      <c r="S874" s="7" t="n">
        <v>6</v>
      </c>
      <c r="T874" s="7" t="n">
        <v>12</v>
      </c>
      <c r="U874" s="7" t="n">
        <v>12</v>
      </c>
      <c r="V874" s="9" t="n">
        <v>16.24027084330757</v>
      </c>
    </row>
    <row r="875">
      <c r="A875" s="7" t="s">
        <v>72</v>
      </c>
      <c r="B875" s="7" t="s">
        <v>41</v>
      </c>
      <c r="C875" s="7"/>
      <c r="D875" s="7" t="s">
        <v>31</v>
      </c>
      <c r="E875" s="8" t="n">
        <v>46023</v>
      </c>
      <c r="F875" s="7" t="n">
        <v>237449</v>
      </c>
      <c r="H875" s="7" t="n">
        <v>14621</v>
      </c>
      <c r="I875" s="7" t="n">
        <v>222828</v>
      </c>
      <c r="L875" s="7"/>
      <c r="S875" s="7" t="n">
        <v>6</v>
      </c>
      <c r="T875" s="7" t="n">
        <v>12</v>
      </c>
      <c r="U875" s="7" t="n">
        <v>12</v>
      </c>
      <c r="V875" s="9" t="n">
        <v>15.240270843307572</v>
      </c>
    </row>
    <row r="876">
      <c r="A876" s="7" t="s">
        <v>72</v>
      </c>
      <c r="B876" s="7" t="s">
        <v>41</v>
      </c>
      <c r="C876" s="7"/>
      <c r="D876" s="7" t="s">
        <v>31</v>
      </c>
      <c r="E876" s="8" t="n">
        <v>46054</v>
      </c>
      <c r="F876" s="7" t="n">
        <v>222828</v>
      </c>
      <c r="H876" s="7" t="n">
        <v>14621</v>
      </c>
      <c r="I876" s="7" t="n">
        <v>208207</v>
      </c>
      <c r="L876" s="7"/>
      <c r="S876" s="7" t="n">
        <v>6</v>
      </c>
      <c r="T876" s="7" t="n">
        <v>12</v>
      </c>
      <c r="U876" s="7" t="n">
        <v>12</v>
      </c>
      <c r="V876" s="9" t="n">
        <v>14.240270843307572</v>
      </c>
    </row>
    <row r="877">
      <c r="A877" s="7" t="s">
        <v>72</v>
      </c>
      <c r="B877" s="7" t="s">
        <v>41</v>
      </c>
      <c r="C877" s="7"/>
      <c r="D877" s="7" t="s">
        <v>31</v>
      </c>
      <c r="E877" s="8" t="n">
        <v>46082</v>
      </c>
      <c r="F877" s="7" t="n">
        <v>208207</v>
      </c>
      <c r="H877" s="7" t="n">
        <v>14621</v>
      </c>
      <c r="I877" s="7" t="n">
        <v>193586</v>
      </c>
      <c r="L877" s="7"/>
      <c r="S877" s="7" t="n">
        <v>6</v>
      </c>
      <c r="T877" s="7" t="n">
        <v>12</v>
      </c>
      <c r="U877" s="7" t="n">
        <v>12</v>
      </c>
      <c r="V877" s="9" t="n">
        <v>13.240270843307572</v>
      </c>
    </row>
    <row r="878">
      <c r="A878" s="7" t="s">
        <v>72</v>
      </c>
      <c r="B878" s="7" t="s">
        <v>41</v>
      </c>
      <c r="C878" s="7"/>
      <c r="D878" s="7" t="s">
        <v>31</v>
      </c>
      <c r="E878" s="8" t="n">
        <v>46113</v>
      </c>
      <c r="F878" s="7" t="n">
        <v>193586</v>
      </c>
      <c r="H878" s="7" t="n">
        <v>14621</v>
      </c>
      <c r="I878" s="7" t="n">
        <v>178965</v>
      </c>
      <c r="L878" s="7"/>
      <c r="S878" s="7" t="n">
        <v>6</v>
      </c>
      <c r="T878" s="7" t="n">
        <v>12</v>
      </c>
      <c r="U878" s="7" t="n">
        <v>12</v>
      </c>
      <c r="V878" s="9" t="n">
        <v>12.240270843307572</v>
      </c>
    </row>
    <row r="879">
      <c r="A879" s="7" t="s">
        <v>72</v>
      </c>
      <c r="B879" s="7" t="s">
        <v>41</v>
      </c>
      <c r="C879" s="7"/>
      <c r="D879" s="7" t="s">
        <v>31</v>
      </c>
      <c r="E879" s="8" t="n">
        <v>46143</v>
      </c>
      <c r="F879" s="7" t="n">
        <v>178965</v>
      </c>
      <c r="H879" s="7" t="n">
        <v>14621</v>
      </c>
      <c r="I879" s="7" t="n">
        <v>164344</v>
      </c>
      <c r="L879" s="7"/>
      <c r="S879" s="7" t="n">
        <v>6</v>
      </c>
      <c r="T879" s="7" t="n">
        <v>12</v>
      </c>
      <c r="U879" s="7" t="n">
        <v>12</v>
      </c>
      <c r="V879" s="9" t="n">
        <v>11.240270843307572</v>
      </c>
    </row>
    <row r="880">
      <c r="A880" s="7" t="s">
        <v>72</v>
      </c>
      <c r="B880" s="7" t="s">
        <v>41</v>
      </c>
      <c r="C880" s="7"/>
      <c r="D880" s="7" t="s">
        <v>31</v>
      </c>
      <c r="E880" s="8" t="n">
        <v>46174</v>
      </c>
      <c r="F880" s="7" t="n">
        <v>164344</v>
      </c>
      <c r="H880" s="7" t="n">
        <v>14621</v>
      </c>
      <c r="I880" s="7" t="n">
        <v>254332</v>
      </c>
      <c r="J880" s="7" t="s">
        <v>2</v>
      </c>
      <c r="K880" s="7" t="s">
        <v>2</v>
      </c>
      <c r="L880" s="7" t="s">
        <v>4</v>
      </c>
      <c r="M880" s="7" t="n">
        <v>104609</v>
      </c>
      <c r="O880" s="7" t="n">
        <v>995878</v>
      </c>
      <c r="P880" s="7" t="n">
        <v>46174</v>
      </c>
      <c r="S880" s="7" t="n">
        <v>6</v>
      </c>
      <c r="T880" s="7" t="n">
        <v>12</v>
      </c>
      <c r="U880" s="7" t="n">
        <v>12</v>
      </c>
      <c r="V880" s="9" t="n">
        <v>17.394979823541483</v>
      </c>
    </row>
    <row r="881">
      <c r="A881" s="7" t="s">
        <v>72</v>
      </c>
      <c r="B881" s="7" t="s">
        <v>41</v>
      </c>
      <c r="C881" s="7"/>
      <c r="D881" s="7" t="s">
        <v>31</v>
      </c>
      <c r="E881" s="8" t="n">
        <v>46204</v>
      </c>
      <c r="F881" s="7" t="n">
        <v>254332</v>
      </c>
      <c r="H881" s="7" t="n">
        <v>14621</v>
      </c>
      <c r="I881" s="7" t="n">
        <v>239711</v>
      </c>
      <c r="L881" s="7"/>
      <c r="S881" s="7" t="n">
        <v>6</v>
      </c>
      <c r="T881" s="7" t="n">
        <v>12</v>
      </c>
      <c r="U881" s="7" t="n">
        <v>12</v>
      </c>
      <c r="V881" s="9" t="n">
        <v>16.394979823541483</v>
      </c>
    </row>
    <row r="882">
      <c r="A882" s="7" t="s">
        <v>72</v>
      </c>
      <c r="B882" s="7" t="s">
        <v>41</v>
      </c>
      <c r="C882" s="7"/>
      <c r="D882" s="7" t="s">
        <v>31</v>
      </c>
      <c r="E882" s="8" t="n">
        <v>46235</v>
      </c>
      <c r="F882" s="7" t="n">
        <v>239711</v>
      </c>
      <c r="H882" s="7" t="n">
        <v>14621</v>
      </c>
      <c r="I882" s="7" t="n">
        <v>225090</v>
      </c>
      <c r="L882" s="7"/>
      <c r="S882" s="7" t="n">
        <v>6</v>
      </c>
      <c r="T882" s="7" t="n">
        <v>12</v>
      </c>
      <c r="U882" s="7" t="n">
        <v>12</v>
      </c>
      <c r="V882" s="9" t="n">
        <v>15.394979823541481</v>
      </c>
    </row>
    <row r="883">
      <c r="A883" s="7" t="s">
        <v>72</v>
      </c>
      <c r="B883" s="7" t="s">
        <v>41</v>
      </c>
      <c r="C883" s="7"/>
      <c r="D883" s="7" t="s">
        <v>31</v>
      </c>
      <c r="E883" s="8" t="n">
        <v>46266</v>
      </c>
      <c r="F883" s="7" t="n">
        <v>225090</v>
      </c>
      <c r="H883" s="7" t="n">
        <v>14621</v>
      </c>
      <c r="I883" s="7" t="n">
        <v>210469</v>
      </c>
      <c r="L883" s="7"/>
      <c r="S883" s="7" t="n">
        <v>6</v>
      </c>
      <c r="T883" s="7" t="n">
        <v>12</v>
      </c>
      <c r="U883" s="7" t="n">
        <v>12</v>
      </c>
      <c r="V883" s="9" t="n">
        <v>14.394979823541481</v>
      </c>
    </row>
    <row r="884">
      <c r="A884" s="7" t="s">
        <v>72</v>
      </c>
      <c r="B884" s="7" t="s">
        <v>41</v>
      </c>
      <c r="C884" s="7"/>
      <c r="D884" s="7" t="s">
        <v>31</v>
      </c>
      <c r="E884" s="8" t="n">
        <v>46296</v>
      </c>
      <c r="F884" s="7" t="n">
        <v>210469</v>
      </c>
      <c r="H884" s="7" t="n">
        <v>14621</v>
      </c>
      <c r="I884" s="7" t="n">
        <v>195848</v>
      </c>
      <c r="L884" s="7"/>
      <c r="S884" s="7" t="n">
        <v>6</v>
      </c>
      <c r="T884" s="7" t="n">
        <v>12</v>
      </c>
      <c r="U884" s="7" t="n">
        <v>12</v>
      </c>
      <c r="V884" s="9" t="n">
        <v>13.394979823541481</v>
      </c>
    </row>
    <row r="885">
      <c r="A885" s="7" t="s">
        <v>72</v>
      </c>
      <c r="B885" s="7" t="s">
        <v>41</v>
      </c>
      <c r="C885" s="7"/>
      <c r="D885" s="7" t="s">
        <v>31</v>
      </c>
      <c r="E885" s="8" t="n">
        <v>46327</v>
      </c>
      <c r="F885" s="7" t="n">
        <v>195848</v>
      </c>
      <c r="H885" s="7" t="n">
        <v>14621</v>
      </c>
      <c r="I885" s="7" t="n">
        <v>181227</v>
      </c>
      <c r="L885" s="7"/>
      <c r="S885" s="7" t="n">
        <v>6</v>
      </c>
      <c r="T885" s="7" t="n">
        <v>12</v>
      </c>
      <c r="U885" s="7" t="n">
        <v>12</v>
      </c>
      <c r="V885" s="9" t="n">
        <v>12.394979823541481</v>
      </c>
    </row>
    <row r="886">
      <c r="A886" s="7" t="s">
        <v>72</v>
      </c>
      <c r="B886" s="7" t="s">
        <v>41</v>
      </c>
      <c r="C886" s="7"/>
      <c r="D886" s="7" t="s">
        <v>31</v>
      </c>
      <c r="E886" s="8" t="n">
        <v>46357</v>
      </c>
      <c r="F886" s="7" t="n">
        <v>181227</v>
      </c>
      <c r="H886" s="7" t="n">
        <v>14621</v>
      </c>
      <c r="I886" s="7" t="n">
        <v>264641</v>
      </c>
      <c r="J886" s="7" t="s">
        <v>2</v>
      </c>
      <c r="K886" s="7" t="s">
        <v>2</v>
      </c>
      <c r="L886" s="7" t="s">
        <v>4</v>
      </c>
      <c r="M886" s="7" t="n">
        <v>98035</v>
      </c>
      <c r="O886" s="7" t="n">
        <v>933294</v>
      </c>
      <c r="P886" s="7" t="n">
        <v>46357</v>
      </c>
      <c r="S886" s="7" t="n">
        <v>6</v>
      </c>
      <c r="T886" s="7" t="n">
        <v>12</v>
      </c>
      <c r="U886" s="7" t="n">
        <v>12</v>
      </c>
      <c r="V886" s="9" t="n">
        <v>18.100061555297174</v>
      </c>
    </row>
    <row r="887">
      <c r="A887" s="7" t="s">
        <v>77</v>
      </c>
      <c r="B887" s="7" t="s">
        <v>41</v>
      </c>
      <c r="C887" s="7"/>
      <c r="D887" s="7" t="s">
        <v>31</v>
      </c>
      <c r="E887" s="8" t="n">
        <v>45839</v>
      </c>
      <c r="F887" s="7" t="n">
        <v>246633</v>
      </c>
      <c r="H887" s="7" t="n">
        <v>47645</v>
      </c>
      <c r="I887" s="7" t="n">
        <v>198988</v>
      </c>
      <c r="L887" s="7"/>
      <c r="S887" s="7" t="n">
        <v>6</v>
      </c>
      <c r="T887" s="7" t="n">
        <v>12</v>
      </c>
      <c r="U887" s="7" t="n">
        <v>12</v>
      </c>
      <c r="V887" s="9" t="n">
        <v>4.1764718228565432</v>
      </c>
    </row>
    <row r="888">
      <c r="A888" s="7" t="s">
        <v>77</v>
      </c>
      <c r="B888" s="7" t="s">
        <v>41</v>
      </c>
      <c r="C888" s="7"/>
      <c r="D888" s="7" t="s">
        <v>31</v>
      </c>
      <c r="E888" s="8" t="n">
        <v>45870</v>
      </c>
      <c r="F888" s="7" t="n">
        <v>198988</v>
      </c>
      <c r="H888" s="7" t="n">
        <v>47645</v>
      </c>
      <c r="I888" s="7" t="n">
        <v>151343</v>
      </c>
      <c r="L888" s="7"/>
      <c r="S888" s="7" t="n">
        <v>6</v>
      </c>
      <c r="T888" s="7" t="n">
        <v>12</v>
      </c>
      <c r="U888" s="7" t="n">
        <v>12</v>
      </c>
      <c r="V888" s="9" t="n">
        <v>3.1764718228565432</v>
      </c>
    </row>
    <row r="889">
      <c r="A889" s="7" t="s">
        <v>77</v>
      </c>
      <c r="B889" s="7" t="s">
        <v>41</v>
      </c>
      <c r="C889" s="7"/>
      <c r="D889" s="7" t="s">
        <v>31</v>
      </c>
      <c r="E889" s="8" t="n">
        <v>45901</v>
      </c>
      <c r="F889" s="7" t="n">
        <v>151343</v>
      </c>
      <c r="H889" s="7" t="n">
        <v>47645</v>
      </c>
      <c r="I889" s="7" t="n">
        <v>103698</v>
      </c>
      <c r="L889" s="7"/>
      <c r="S889" s="7" t="n">
        <v>6</v>
      </c>
      <c r="T889" s="7" t="n">
        <v>12</v>
      </c>
      <c r="U889" s="7" t="n">
        <v>12</v>
      </c>
      <c r="V889" s="9" t="n">
        <v>2.1764718228565432</v>
      </c>
    </row>
    <row r="890">
      <c r="A890" s="7" t="s">
        <v>77</v>
      </c>
      <c r="B890" s="7" t="s">
        <v>41</v>
      </c>
      <c r="C890" s="7"/>
      <c r="D890" s="7" t="s">
        <v>31</v>
      </c>
      <c r="E890" s="8" t="n">
        <v>45931</v>
      </c>
      <c r="F890" s="7" t="n">
        <v>103698</v>
      </c>
      <c r="H890" s="7" t="n">
        <v>47645</v>
      </c>
      <c r="I890" s="7" t="n">
        <v>56053</v>
      </c>
      <c r="L890" s="7"/>
      <c r="S890" s="7" t="n">
        <v>6</v>
      </c>
      <c r="T890" s="7" t="n">
        <v>12</v>
      </c>
      <c r="U890" s="7" t="n">
        <v>12</v>
      </c>
      <c r="V890" s="9" t="n">
        <v>1.1764718228565432</v>
      </c>
    </row>
    <row r="891">
      <c r="A891" s="7" t="s">
        <v>77</v>
      </c>
      <c r="B891" s="7" t="s">
        <v>41</v>
      </c>
      <c r="C891" s="7"/>
      <c r="D891" s="7" t="s">
        <v>31</v>
      </c>
      <c r="E891" s="8" t="n">
        <v>45962</v>
      </c>
      <c r="F891" s="7" t="n">
        <v>56053</v>
      </c>
      <c r="H891" s="7" t="n">
        <v>47645</v>
      </c>
      <c r="I891" s="7" t="n">
        <v>8408</v>
      </c>
      <c r="L891" s="7"/>
      <c r="S891" s="7" t="n">
        <v>6</v>
      </c>
      <c r="T891" s="7" t="n">
        <v>12</v>
      </c>
      <c r="U891" s="7" t="n">
        <v>12</v>
      </c>
      <c r="V891" s="9" t="n">
        <v>0.17647182285654317</v>
      </c>
    </row>
    <row r="892">
      <c r="A892" s="7" t="s">
        <v>77</v>
      </c>
      <c r="B892" s="7" t="s">
        <v>41</v>
      </c>
      <c r="C892" s="7"/>
      <c r="D892" s="7" t="s">
        <v>31</v>
      </c>
      <c r="E892" s="8" t="n">
        <v>45992</v>
      </c>
      <c r="F892" s="7" t="n">
        <v>8408</v>
      </c>
      <c r="H892" s="7" t="n">
        <v>47645</v>
      </c>
      <c r="I892" s="7" t="n">
        <v>0</v>
      </c>
      <c r="L892" s="7"/>
      <c r="S892" s="7" t="n">
        <v>6</v>
      </c>
      <c r="T892" s="7" t="n">
        <v>12</v>
      </c>
      <c r="U892" s="7" t="n">
        <v>12</v>
      </c>
      <c r="V892" s="9" t="n">
        <v>0</v>
      </c>
    </row>
    <row r="893">
      <c r="A893" s="7" t="s">
        <v>77</v>
      </c>
      <c r="B893" s="7" t="s">
        <v>41</v>
      </c>
      <c r="C893" s="7"/>
      <c r="D893" s="7" t="s">
        <v>31</v>
      </c>
      <c r="E893" s="8" t="n">
        <v>46023</v>
      </c>
      <c r="F893" s="7" t="n">
        <v>0</v>
      </c>
      <c r="H893" s="7" t="n">
        <v>47645</v>
      </c>
      <c r="I893" s="7" t="n">
        <v>0</v>
      </c>
      <c r="L893" s="7"/>
      <c r="S893" s="7" t="n">
        <v>6</v>
      </c>
      <c r="T893" s="7" t="n">
        <v>12</v>
      </c>
      <c r="U893" s="7" t="n">
        <v>12</v>
      </c>
      <c r="V893" s="9" t="n">
        <v>0</v>
      </c>
    </row>
    <row r="894">
      <c r="A894" s="7" t="s">
        <v>77</v>
      </c>
      <c r="B894" s="7" t="s">
        <v>41</v>
      </c>
      <c r="C894" s="7"/>
      <c r="D894" s="7" t="s">
        <v>31</v>
      </c>
      <c r="E894" s="8" t="n">
        <v>46054</v>
      </c>
      <c r="F894" s="7" t="n">
        <v>0</v>
      </c>
      <c r="H894" s="7" t="n">
        <v>47645</v>
      </c>
      <c r="I894" s="7" t="n">
        <v>0</v>
      </c>
      <c r="L894" s="7"/>
      <c r="S894" s="7" t="n">
        <v>6</v>
      </c>
      <c r="T894" s="7" t="n">
        <v>12</v>
      </c>
      <c r="U894" s="7" t="n">
        <v>12</v>
      </c>
      <c r="V894" s="9" t="n">
        <v>0</v>
      </c>
    </row>
    <row r="895">
      <c r="A895" s="7" t="s">
        <v>77</v>
      </c>
      <c r="B895" s="7" t="s">
        <v>41</v>
      </c>
      <c r="C895" s="7"/>
      <c r="D895" s="7" t="s">
        <v>31</v>
      </c>
      <c r="E895" s="8" t="n">
        <v>46082</v>
      </c>
      <c r="F895" s="7" t="n">
        <v>0</v>
      </c>
      <c r="H895" s="7" t="n">
        <v>47645</v>
      </c>
      <c r="I895" s="7" t="n">
        <v>0</v>
      </c>
      <c r="L895" s="7"/>
      <c r="S895" s="7" t="n">
        <v>6</v>
      </c>
      <c r="T895" s="7" t="n">
        <v>12</v>
      </c>
      <c r="U895" s="7" t="n">
        <v>12</v>
      </c>
      <c r="V895" s="9" t="n">
        <v>0</v>
      </c>
    </row>
    <row r="896">
      <c r="A896" s="7" t="s">
        <v>77</v>
      </c>
      <c r="B896" s="7" t="s">
        <v>41</v>
      </c>
      <c r="C896" s="7"/>
      <c r="D896" s="7" t="s">
        <v>31</v>
      </c>
      <c r="E896" s="8" t="n">
        <v>46113</v>
      </c>
      <c r="F896" s="7" t="n">
        <v>0</v>
      </c>
      <c r="H896" s="7" t="n">
        <v>47645</v>
      </c>
      <c r="I896" s="7" t="n">
        <v>0</v>
      </c>
      <c r="L896" s="7"/>
      <c r="S896" s="7" t="n">
        <v>6</v>
      </c>
      <c r="T896" s="7" t="n">
        <v>12</v>
      </c>
      <c r="U896" s="7" t="n">
        <v>12</v>
      </c>
      <c r="V896" s="9" t="n">
        <v>0</v>
      </c>
    </row>
    <row r="897">
      <c r="A897" s="7" t="s">
        <v>77</v>
      </c>
      <c r="B897" s="7" t="s">
        <v>41</v>
      </c>
      <c r="C897" s="7"/>
      <c r="D897" s="7" t="s">
        <v>31</v>
      </c>
      <c r="E897" s="8" t="n">
        <v>46143</v>
      </c>
      <c r="F897" s="7" t="n">
        <v>0</v>
      </c>
      <c r="H897" s="7" t="n">
        <v>47645</v>
      </c>
      <c r="I897" s="7" t="n">
        <v>0</v>
      </c>
      <c r="L897" s="7"/>
      <c r="S897" s="7" t="n">
        <v>6</v>
      </c>
      <c r="T897" s="7" t="n">
        <v>12</v>
      </c>
      <c r="U897" s="7" t="n">
        <v>12</v>
      </c>
      <c r="V897" s="9" t="n">
        <v>0</v>
      </c>
    </row>
    <row r="898">
      <c r="A898" s="7" t="s">
        <v>77</v>
      </c>
      <c r="B898" s="7" t="s">
        <v>41</v>
      </c>
      <c r="C898" s="7"/>
      <c r="D898" s="7" t="s">
        <v>31</v>
      </c>
      <c r="E898" s="8" t="n">
        <v>46174</v>
      </c>
      <c r="F898" s="7" t="n">
        <v>0</v>
      </c>
      <c r="H898" s="7" t="n">
        <v>47645</v>
      </c>
      <c r="I898" s="7" t="n">
        <v>0</v>
      </c>
      <c r="L898" s="7"/>
      <c r="S898" s="7" t="n">
        <v>6</v>
      </c>
      <c r="T898" s="7" t="n">
        <v>12</v>
      </c>
      <c r="U898" s="7" t="n">
        <v>12</v>
      </c>
      <c r="V898" s="9" t="n">
        <v>0</v>
      </c>
    </row>
    <row r="899">
      <c r="A899" s="7" t="s">
        <v>74</v>
      </c>
      <c r="B899" s="7" t="s">
        <v>41</v>
      </c>
      <c r="C899" s="7"/>
      <c r="D899" s="7" t="s">
        <v>31</v>
      </c>
      <c r="E899" s="8" t="n">
        <v>45870</v>
      </c>
      <c r="F899" s="7" t="n">
        <v>151590</v>
      </c>
      <c r="H899" s="7" t="n">
        <v>27890</v>
      </c>
      <c r="I899" s="7" t="n">
        <v>123700</v>
      </c>
      <c r="L899" s="7"/>
      <c r="S899" s="7" t="n">
        <v>3</v>
      </c>
      <c r="T899" s="7" t="n">
        <v>6</v>
      </c>
      <c r="U899" s="7" t="n">
        <v>6</v>
      </c>
      <c r="V899" s="9" t="n">
        <v>4.4352814628899244</v>
      </c>
    </row>
    <row r="900">
      <c r="A900" s="7" t="s">
        <v>74</v>
      </c>
      <c r="B900" s="7" t="s">
        <v>41</v>
      </c>
      <c r="C900" s="7"/>
      <c r="D900" s="7" t="s">
        <v>31</v>
      </c>
      <c r="E900" s="8" t="n">
        <v>45901</v>
      </c>
      <c r="F900" s="7" t="n">
        <v>123700</v>
      </c>
      <c r="H900" s="7" t="n">
        <v>27890</v>
      </c>
      <c r="I900" s="7" t="n">
        <v>95810</v>
      </c>
      <c r="L900" s="7"/>
      <c r="S900" s="7" t="n">
        <v>3</v>
      </c>
      <c r="T900" s="7" t="n">
        <v>6</v>
      </c>
      <c r="U900" s="7" t="n">
        <v>6</v>
      </c>
      <c r="V900" s="9" t="n">
        <v>3.4352814628899249</v>
      </c>
    </row>
    <row r="901">
      <c r="A901" s="7" t="s">
        <v>74</v>
      </c>
      <c r="B901" s="7" t="s">
        <v>41</v>
      </c>
      <c r="C901" s="7"/>
      <c r="D901" s="7" t="s">
        <v>31</v>
      </c>
      <c r="E901" s="8" t="n">
        <v>45931</v>
      </c>
      <c r="F901" s="7" t="n">
        <v>95810</v>
      </c>
      <c r="H901" s="7" t="n">
        <v>27890</v>
      </c>
      <c r="I901" s="7" t="n">
        <v>67920</v>
      </c>
      <c r="L901" s="7"/>
      <c r="S901" s="7" t="n">
        <v>3</v>
      </c>
      <c r="T901" s="7" t="n">
        <v>6</v>
      </c>
      <c r="U901" s="7" t="n">
        <v>6</v>
      </c>
      <c r="V901" s="9" t="n">
        <v>2.4352814628899249</v>
      </c>
    </row>
    <row r="902">
      <c r="A902" s="7" t="s">
        <v>74</v>
      </c>
      <c r="B902" s="7" t="s">
        <v>41</v>
      </c>
      <c r="C902" s="7"/>
      <c r="D902" s="7" t="s">
        <v>31</v>
      </c>
      <c r="E902" s="8" t="n">
        <v>45962</v>
      </c>
      <c r="F902" s="7" t="n">
        <v>67920</v>
      </c>
      <c r="H902" s="7" t="n">
        <v>27890</v>
      </c>
      <c r="I902" s="7" t="n">
        <v>40030</v>
      </c>
      <c r="L902" s="7"/>
      <c r="S902" s="7" t="n">
        <v>3</v>
      </c>
      <c r="T902" s="7" t="n">
        <v>6</v>
      </c>
      <c r="U902" s="7" t="n">
        <v>6</v>
      </c>
      <c r="V902" s="9" t="n">
        <v>1.4352814628899246</v>
      </c>
    </row>
    <row r="903">
      <c r="A903" s="7" t="s">
        <v>74</v>
      </c>
      <c r="B903" s="7" t="s">
        <v>41</v>
      </c>
      <c r="C903" s="7"/>
      <c r="D903" s="7" t="s">
        <v>31</v>
      </c>
      <c r="E903" s="8" t="n">
        <v>45992</v>
      </c>
      <c r="F903" s="7" t="n">
        <v>40030</v>
      </c>
      <c r="H903" s="7" t="n">
        <v>27890</v>
      </c>
      <c r="I903" s="7" t="n">
        <v>160538</v>
      </c>
      <c r="J903" s="7" t="s">
        <v>2</v>
      </c>
      <c r="K903" s="7" t="s">
        <v>2</v>
      </c>
      <c r="L903" s="7" t="s">
        <v>4</v>
      </c>
      <c r="M903" s="7" t="n">
        <v>148398</v>
      </c>
      <c r="N903" s="7" t="n">
        <v>45992</v>
      </c>
      <c r="S903" s="7" t="n">
        <v>3</v>
      </c>
      <c r="T903" s="7" t="n">
        <v>6</v>
      </c>
      <c r="U903" s="7" t="n">
        <v>6</v>
      </c>
      <c r="V903" s="9" t="n">
        <v>5.756113302258874</v>
      </c>
    </row>
    <row r="904">
      <c r="A904" s="7" t="s">
        <v>74</v>
      </c>
      <c r="B904" s="7" t="s">
        <v>41</v>
      </c>
      <c r="C904" s="7"/>
      <c r="D904" s="7" t="s">
        <v>31</v>
      </c>
      <c r="E904" s="8" t="n">
        <v>46023</v>
      </c>
      <c r="F904" s="7" t="n">
        <v>160538</v>
      </c>
      <c r="H904" s="7" t="n">
        <v>27890</v>
      </c>
      <c r="I904" s="7" t="n">
        <v>132648</v>
      </c>
      <c r="L904" s="7"/>
      <c r="S904" s="7" t="n">
        <v>3</v>
      </c>
      <c r="T904" s="7" t="n">
        <v>6</v>
      </c>
      <c r="U904" s="7" t="n">
        <v>6</v>
      </c>
      <c r="V904" s="9" t="n">
        <v>4.756113302258874</v>
      </c>
    </row>
    <row r="905">
      <c r="A905" s="7" t="s">
        <v>74</v>
      </c>
      <c r="B905" s="7" t="s">
        <v>41</v>
      </c>
      <c r="C905" s="7"/>
      <c r="D905" s="7" t="s">
        <v>31</v>
      </c>
      <c r="E905" s="8" t="n">
        <v>46054</v>
      </c>
      <c r="F905" s="7" t="n">
        <v>132648</v>
      </c>
      <c r="H905" s="7" t="n">
        <v>27890</v>
      </c>
      <c r="I905" s="7" t="n">
        <v>104758</v>
      </c>
      <c r="L905" s="7"/>
      <c r="S905" s="7" t="n">
        <v>3</v>
      </c>
      <c r="T905" s="7" t="n">
        <v>6</v>
      </c>
      <c r="U905" s="7" t="n">
        <v>6</v>
      </c>
      <c r="V905" s="9" t="n">
        <v>3.756113302258874</v>
      </c>
    </row>
    <row r="906">
      <c r="A906" s="7" t="s">
        <v>74</v>
      </c>
      <c r="B906" s="7" t="s">
        <v>41</v>
      </c>
      <c r="C906" s="7"/>
      <c r="D906" s="7" t="s">
        <v>31</v>
      </c>
      <c r="E906" s="8" t="n">
        <v>46082</v>
      </c>
      <c r="F906" s="7" t="n">
        <v>104758</v>
      </c>
      <c r="H906" s="7" t="n">
        <v>27890</v>
      </c>
      <c r="I906" s="7" t="n">
        <v>76868</v>
      </c>
      <c r="L906" s="7"/>
      <c r="S906" s="7" t="n">
        <v>3</v>
      </c>
      <c r="T906" s="7" t="n">
        <v>6</v>
      </c>
      <c r="U906" s="7" t="n">
        <v>6</v>
      </c>
      <c r="V906" s="9" t="n">
        <v>2.756113302258874</v>
      </c>
    </row>
    <row r="907">
      <c r="A907" s="7" t="s">
        <v>74</v>
      </c>
      <c r="B907" s="7" t="s">
        <v>41</v>
      </c>
      <c r="C907" s="7"/>
      <c r="D907" s="7" t="s">
        <v>31</v>
      </c>
      <c r="E907" s="8" t="n">
        <v>46113</v>
      </c>
      <c r="F907" s="7" t="n">
        <v>76868</v>
      </c>
      <c r="H907" s="7" t="n">
        <v>27890</v>
      </c>
      <c r="I907" s="7" t="n">
        <v>48978</v>
      </c>
      <c r="L907" s="7"/>
      <c r="S907" s="7" t="n">
        <v>3</v>
      </c>
      <c r="T907" s="7" t="n">
        <v>6</v>
      </c>
      <c r="U907" s="7" t="n">
        <v>6</v>
      </c>
      <c r="V907" s="9" t="n">
        <v>1.7561133022588742</v>
      </c>
    </row>
    <row r="908">
      <c r="A908" s="7" t="s">
        <v>74</v>
      </c>
      <c r="B908" s="7" t="s">
        <v>41</v>
      </c>
      <c r="C908" s="7"/>
      <c r="D908" s="7" t="s">
        <v>31</v>
      </c>
      <c r="E908" s="8" t="n">
        <v>46143</v>
      </c>
      <c r="F908" s="7" t="n">
        <v>48978</v>
      </c>
      <c r="H908" s="7" t="n">
        <v>27890</v>
      </c>
      <c r="I908" s="7" t="n">
        <v>21088</v>
      </c>
      <c r="L908" s="7"/>
      <c r="S908" s="7" t="n">
        <v>3</v>
      </c>
      <c r="T908" s="7" t="n">
        <v>6</v>
      </c>
      <c r="U908" s="7" t="n">
        <v>6</v>
      </c>
      <c r="V908" s="9" t="n">
        <v>0.75611330225887419</v>
      </c>
    </row>
    <row r="909">
      <c r="A909" s="7" t="s">
        <v>74</v>
      </c>
      <c r="B909" s="7" t="s">
        <v>41</v>
      </c>
      <c r="C909" s="7"/>
      <c r="D909" s="7" t="s">
        <v>31</v>
      </c>
      <c r="E909" s="8" t="n">
        <v>46174</v>
      </c>
      <c r="F909" s="7" t="n">
        <v>21088</v>
      </c>
      <c r="H909" s="7" t="n">
        <v>27890</v>
      </c>
      <c r="I909" s="7" t="n">
        <v>0</v>
      </c>
      <c r="L909" s="7"/>
      <c r="S909" s="7" t="n">
        <v>3</v>
      </c>
      <c r="T909" s="7" t="n">
        <v>6</v>
      </c>
      <c r="U909" s="7" t="n">
        <v>6</v>
      </c>
      <c r="V909" s="9" t="n">
        <v>0</v>
      </c>
    </row>
    <row r="910">
      <c r="A910" s="7" t="s">
        <v>74</v>
      </c>
      <c r="B910" s="7" t="s">
        <v>41</v>
      </c>
      <c r="C910" s="7"/>
      <c r="D910" s="7" t="s">
        <v>31</v>
      </c>
      <c r="E910" s="8" t="n">
        <v>46204</v>
      </c>
      <c r="F910" s="7" t="n">
        <v>0</v>
      </c>
      <c r="H910" s="7" t="n">
        <v>27890</v>
      </c>
      <c r="I910" s="7" t="n">
        <v>0</v>
      </c>
      <c r="L910" s="7"/>
      <c r="S910" s="7" t="n">
        <v>3</v>
      </c>
      <c r="T910" s="7" t="n">
        <v>6</v>
      </c>
      <c r="U910" s="7" t="n">
        <v>6</v>
      </c>
      <c r="V910" s="9" t="n">
        <v>0</v>
      </c>
    </row>
    <row r="911">
      <c r="A911" s="7" t="s">
        <v>74</v>
      </c>
      <c r="B911" s="7" t="s">
        <v>41</v>
      </c>
      <c r="C911" s="7"/>
      <c r="D911" s="7" t="s">
        <v>31</v>
      </c>
      <c r="E911" s="8" t="n">
        <v>46235</v>
      </c>
      <c r="F911" s="7" t="n">
        <v>0</v>
      </c>
      <c r="H911" s="7" t="n">
        <v>27890</v>
      </c>
      <c r="I911" s="7" t="n">
        <v>0</v>
      </c>
      <c r="L911" s="7"/>
      <c r="S911" s="7" t="n">
        <v>3</v>
      </c>
      <c r="T911" s="7" t="n">
        <v>6</v>
      </c>
      <c r="U911" s="7" t="n">
        <v>6</v>
      </c>
      <c r="V911" s="9" t="n">
        <v>0</v>
      </c>
    </row>
    <row r="912">
      <c r="A912" s="7" t="s">
        <v>166</v>
      </c>
      <c r="B912" s="7" t="s">
        <v>41</v>
      </c>
      <c r="C912" s="7"/>
      <c r="D912" s="7" t="s">
        <v>31</v>
      </c>
      <c r="E912" s="8" t="n">
        <v>45748</v>
      </c>
      <c r="F912" s="7" t="n">
        <v>89100</v>
      </c>
      <c r="H912" s="7" t="n">
        <v>23847</v>
      </c>
      <c r="I912" s="7" t="n">
        <v>65253</v>
      </c>
      <c r="L912" s="7"/>
      <c r="V912" s="9" t="n">
        <v>2.7363190338407346</v>
      </c>
    </row>
    <row r="913">
      <c r="A913" s="7" t="s">
        <v>166</v>
      </c>
      <c r="B913" s="7" t="s">
        <v>41</v>
      </c>
      <c r="C913" s="7"/>
      <c r="D913" s="7" t="s">
        <v>31</v>
      </c>
      <c r="E913" s="8" t="n">
        <v>45778</v>
      </c>
      <c r="F913" s="7" t="n">
        <v>65253</v>
      </c>
      <c r="H913" s="7" t="n">
        <v>23847</v>
      </c>
      <c r="I913" s="7" t="n">
        <v>41406</v>
      </c>
      <c r="L913" s="7"/>
      <c r="V913" s="9" t="n">
        <v>1.7363190338407346</v>
      </c>
    </row>
    <row r="914">
      <c r="A914" s="7" t="s">
        <v>166</v>
      </c>
      <c r="B914" s="7" t="s">
        <v>41</v>
      </c>
      <c r="C914" s="7"/>
      <c r="D914" s="7" t="s">
        <v>31</v>
      </c>
      <c r="E914" s="8" t="n">
        <v>45809</v>
      </c>
      <c r="F914" s="7" t="n">
        <v>41406</v>
      </c>
      <c r="H914" s="7" t="n">
        <v>23847</v>
      </c>
      <c r="I914" s="7" t="n">
        <v>17559</v>
      </c>
      <c r="L914" s="7"/>
      <c r="V914" s="9" t="n">
        <v>0.73631903384073472</v>
      </c>
    </row>
    <row r="915">
      <c r="A915" s="7" t="s">
        <v>166</v>
      </c>
      <c r="B915" s="7" t="s">
        <v>41</v>
      </c>
      <c r="C915" s="7"/>
      <c r="D915" s="7" t="s">
        <v>31</v>
      </c>
      <c r="E915" s="8" t="n">
        <v>45839</v>
      </c>
      <c r="F915" s="7" t="n">
        <v>17559</v>
      </c>
      <c r="H915" s="7" t="n">
        <v>23847</v>
      </c>
      <c r="I915" s="7" t="n">
        <v>51712</v>
      </c>
      <c r="L915" s="7"/>
      <c r="M915" s="7" t="n">
        <v>58000</v>
      </c>
      <c r="N915" s="7" t="n">
        <v>45839</v>
      </c>
      <c r="V915" s="9" t="n">
        <v>2.168490795487902</v>
      </c>
    </row>
    <row r="916">
      <c r="A916" s="7" t="s">
        <v>166</v>
      </c>
      <c r="B916" s="7" t="s">
        <v>41</v>
      </c>
      <c r="C916" s="7"/>
      <c r="D916" s="7" t="s">
        <v>31</v>
      </c>
      <c r="E916" s="8" t="n">
        <v>45870</v>
      </c>
      <c r="F916" s="7" t="n">
        <v>51712</v>
      </c>
      <c r="H916" s="7" t="n">
        <v>23847</v>
      </c>
      <c r="I916" s="7" t="n">
        <v>27865</v>
      </c>
      <c r="L916" s="7"/>
      <c r="V916" s="9" t="n">
        <v>1.168490795487902</v>
      </c>
    </row>
    <row r="917">
      <c r="A917" s="7" t="s">
        <v>166</v>
      </c>
      <c r="B917" s="7" t="s">
        <v>41</v>
      </c>
      <c r="C917" s="7"/>
      <c r="D917" s="7" t="s">
        <v>31</v>
      </c>
      <c r="E917" s="8" t="n">
        <v>45901</v>
      </c>
      <c r="F917" s="7" t="n">
        <v>27865</v>
      </c>
      <c r="H917" s="7" t="n">
        <v>23847</v>
      </c>
      <c r="I917" s="7" t="n">
        <v>4018</v>
      </c>
      <c r="L917" s="7"/>
      <c r="V917" s="9" t="n">
        <v>0.16849079548790205</v>
      </c>
    </row>
    <row r="918">
      <c r="A918" s="7" t="s">
        <v>166</v>
      </c>
      <c r="B918" s="7" t="s">
        <v>41</v>
      </c>
      <c r="C918" s="7"/>
      <c r="D918" s="7" t="s">
        <v>31</v>
      </c>
      <c r="E918" s="8" t="n">
        <v>45931</v>
      </c>
      <c r="F918" s="7" t="n">
        <v>4018</v>
      </c>
      <c r="H918" s="7" t="n">
        <v>23847</v>
      </c>
      <c r="I918" s="7" t="n">
        <v>0</v>
      </c>
      <c r="L918" s="7"/>
      <c r="V918" s="9" t="n">
        <v>0</v>
      </c>
    </row>
    <row r="919">
      <c r="A919" s="7" t="s">
        <v>166</v>
      </c>
      <c r="B919" s="7" t="s">
        <v>41</v>
      </c>
      <c r="C919" s="7"/>
      <c r="D919" s="7" t="s">
        <v>31</v>
      </c>
      <c r="E919" s="8" t="n">
        <v>45962</v>
      </c>
      <c r="F919" s="7" t="n">
        <v>0</v>
      </c>
      <c r="H919" s="7" t="n">
        <v>23847</v>
      </c>
      <c r="I919" s="7" t="n">
        <v>0</v>
      </c>
      <c r="L919" s="7"/>
      <c r="V919" s="9" t="n">
        <v>0</v>
      </c>
    </row>
    <row r="920">
      <c r="A920" s="7" t="s">
        <v>166</v>
      </c>
      <c r="B920" s="7" t="s">
        <v>41</v>
      </c>
      <c r="C920" s="7"/>
      <c r="D920" s="7" t="s">
        <v>31</v>
      </c>
      <c r="E920" s="8" t="n">
        <v>45992</v>
      </c>
      <c r="F920" s="7" t="n">
        <v>0</v>
      </c>
      <c r="H920" s="7" t="n">
        <v>23847</v>
      </c>
      <c r="I920" s="7" t="n">
        <v>0</v>
      </c>
      <c r="L920" s="7"/>
      <c r="V920" s="9" t="n">
        <v>0</v>
      </c>
    </row>
    <row r="921">
      <c r="A921" s="7" t="s">
        <v>75</v>
      </c>
      <c r="B921" s="7" t="s">
        <v>40</v>
      </c>
      <c r="C921" s="7" t="s">
        <v>39</v>
      </c>
      <c r="D921" s="7" t="s">
        <v>31</v>
      </c>
      <c r="E921" s="8" t="n">
        <v>45748</v>
      </c>
      <c r="F921" s="7" t="n">
        <v>67753</v>
      </c>
      <c r="H921" s="7" t="n">
        <v>12004</v>
      </c>
      <c r="I921" s="7" t="n">
        <v>55749</v>
      </c>
      <c r="L921" s="7"/>
      <c r="S921" s="7" t="n">
        <v>6</v>
      </c>
      <c r="T921" s="7" t="n">
        <v>12</v>
      </c>
      <c r="U921" s="7" t="n">
        <v>12</v>
      </c>
      <c r="V921" s="9" t="n">
        <v>4.6442019326891035</v>
      </c>
    </row>
    <row r="922">
      <c r="A922" s="7" t="s">
        <v>75</v>
      </c>
      <c r="B922" s="7" t="s">
        <v>40</v>
      </c>
      <c r="C922" s="7" t="s">
        <v>39</v>
      </c>
      <c r="D922" s="7" t="s">
        <v>31</v>
      </c>
      <c r="E922" s="8" t="n">
        <v>45778</v>
      </c>
      <c r="F922" s="7" t="n">
        <v>55749</v>
      </c>
      <c r="H922" s="7" t="n">
        <v>12394</v>
      </c>
      <c r="I922" s="7" t="n">
        <v>43355</v>
      </c>
      <c r="L922" s="7"/>
      <c r="S922" s="7" t="n">
        <v>6</v>
      </c>
      <c r="T922" s="7" t="n">
        <v>12</v>
      </c>
      <c r="U922" s="7" t="n">
        <v>12</v>
      </c>
      <c r="V922" s="9" t="n">
        <v>3.4980635791512023</v>
      </c>
    </row>
    <row r="923">
      <c r="A923" s="7" t="s">
        <v>75</v>
      </c>
      <c r="B923" s="7" t="s">
        <v>40</v>
      </c>
      <c r="C923" s="7" t="s">
        <v>39</v>
      </c>
      <c r="D923" s="7" t="s">
        <v>31</v>
      </c>
      <c r="E923" s="8" t="n">
        <v>45809</v>
      </c>
      <c r="F923" s="7" t="n">
        <v>43355</v>
      </c>
      <c r="H923" s="7" t="n">
        <v>12457</v>
      </c>
      <c r="I923" s="7" t="n">
        <v>30898</v>
      </c>
      <c r="L923" s="7"/>
      <c r="S923" s="7" t="n">
        <v>6</v>
      </c>
      <c r="T923" s="7" t="n">
        <v>12</v>
      </c>
      <c r="U923" s="7" t="n">
        <v>12</v>
      </c>
      <c r="V923" s="9" t="n">
        <v>2.4803724813357952</v>
      </c>
    </row>
    <row r="924">
      <c r="A924" s="7" t="s">
        <v>75</v>
      </c>
      <c r="B924" s="7" t="s">
        <v>40</v>
      </c>
      <c r="C924" s="7" t="s">
        <v>39</v>
      </c>
      <c r="D924" s="7" t="s">
        <v>31</v>
      </c>
      <c r="E924" s="8" t="n">
        <v>45839</v>
      </c>
      <c r="F924" s="7" t="n">
        <v>30898</v>
      </c>
      <c r="H924" s="7" t="n">
        <v>12339</v>
      </c>
      <c r="I924" s="7" t="n">
        <v>18559</v>
      </c>
      <c r="L924" s="7"/>
      <c r="S924" s="7" t="n">
        <v>6</v>
      </c>
      <c r="T924" s="7" t="n">
        <v>12</v>
      </c>
      <c r="U924" s="7" t="n">
        <v>12</v>
      </c>
      <c r="V924" s="9" t="n">
        <v>1.5040927141583598</v>
      </c>
    </row>
    <row r="925">
      <c r="A925" s="7" t="s">
        <v>75</v>
      </c>
      <c r="B925" s="7" t="s">
        <v>40</v>
      </c>
      <c r="C925" s="7" t="s">
        <v>39</v>
      </c>
      <c r="D925" s="7" t="s">
        <v>31</v>
      </c>
      <c r="E925" s="8" t="n">
        <v>45870</v>
      </c>
      <c r="F925" s="7" t="n">
        <v>18559</v>
      </c>
      <c r="H925" s="7" t="n">
        <v>11974</v>
      </c>
      <c r="I925" s="7" t="n">
        <v>6585</v>
      </c>
      <c r="L925" s="7"/>
      <c r="S925" s="7" t="n">
        <v>6</v>
      </c>
      <c r="T925" s="7" t="n">
        <v>12</v>
      </c>
      <c r="U925" s="7" t="n">
        <v>12</v>
      </c>
      <c r="V925" s="9" t="n">
        <v>0.54994154000334061</v>
      </c>
    </row>
    <row r="926">
      <c r="A926" s="7" t="s">
        <v>75</v>
      </c>
      <c r="B926" s="7" t="s">
        <v>40</v>
      </c>
      <c r="C926" s="7" t="s">
        <v>39</v>
      </c>
      <c r="D926" s="7" t="s">
        <v>31</v>
      </c>
      <c r="E926" s="8" t="n">
        <v>45901</v>
      </c>
      <c r="F926" s="7" t="n">
        <v>6585</v>
      </c>
      <c r="H926" s="7" t="n">
        <v>12139</v>
      </c>
      <c r="I926" s="7" t="n">
        <v>151722</v>
      </c>
      <c r="L926" s="7" t="s">
        <v>4</v>
      </c>
      <c r="M926" s="7" t="n">
        <v>157276</v>
      </c>
      <c r="S926" s="7" t="n">
        <v>6</v>
      </c>
      <c r="T926" s="7" t="n">
        <v>12</v>
      </c>
      <c r="U926" s="7" t="n">
        <v>12</v>
      </c>
      <c r="V926" s="9" t="n">
        <v>12.4987231238158</v>
      </c>
    </row>
    <row r="927">
      <c r="A927" s="7" t="s">
        <v>75</v>
      </c>
      <c r="B927" s="7" t="s">
        <v>40</v>
      </c>
      <c r="C927" s="7" t="s">
        <v>39</v>
      </c>
      <c r="D927" s="7" t="s">
        <v>31</v>
      </c>
      <c r="E927" s="8" t="n">
        <v>45931</v>
      </c>
      <c r="F927" s="7" t="n">
        <v>151722</v>
      </c>
      <c r="H927" s="7" t="n">
        <v>12218</v>
      </c>
      <c r="I927" s="7" t="n">
        <v>139504</v>
      </c>
      <c r="L927" s="7"/>
      <c r="S927" s="7" t="n">
        <v>6</v>
      </c>
      <c r="T927" s="7" t="n">
        <v>12</v>
      </c>
      <c r="U927" s="7" t="n">
        <v>12</v>
      </c>
      <c r="V927" s="9" t="n">
        <v>11.417908004583401</v>
      </c>
    </row>
    <row r="928">
      <c r="A928" s="7" t="s">
        <v>75</v>
      </c>
      <c r="B928" s="7" t="s">
        <v>40</v>
      </c>
      <c r="C928" s="7" t="s">
        <v>39</v>
      </c>
      <c r="D928" s="7" t="s">
        <v>31</v>
      </c>
      <c r="E928" s="8" t="n">
        <v>45962</v>
      </c>
      <c r="F928" s="7" t="n">
        <v>139504</v>
      </c>
      <c r="H928" s="7" t="n">
        <v>12254</v>
      </c>
      <c r="I928" s="7" t="n">
        <v>127250</v>
      </c>
      <c r="L928" s="7"/>
      <c r="S928" s="7" t="n">
        <v>6</v>
      </c>
      <c r="T928" s="7" t="n">
        <v>12</v>
      </c>
      <c r="U928" s="7" t="n">
        <v>12</v>
      </c>
      <c r="V928" s="9" t="n">
        <v>10.384364289211685</v>
      </c>
    </row>
    <row r="929">
      <c r="A929" s="7" t="s">
        <v>75</v>
      </c>
      <c r="B929" s="7" t="s">
        <v>40</v>
      </c>
      <c r="C929" s="7" t="s">
        <v>39</v>
      </c>
      <c r="D929" s="7" t="s">
        <v>31</v>
      </c>
      <c r="E929" s="8" t="n">
        <v>45992</v>
      </c>
      <c r="F929" s="7" t="n">
        <v>127250</v>
      </c>
      <c r="H929" s="7" t="n">
        <v>12230</v>
      </c>
      <c r="I929" s="7" t="n">
        <v>115020</v>
      </c>
      <c r="L929" s="7"/>
      <c r="S929" s="7" t="n">
        <v>6</v>
      </c>
      <c r="T929" s="7" t="n">
        <v>12</v>
      </c>
      <c r="U929" s="7" t="n">
        <v>12</v>
      </c>
      <c r="V929" s="9" t="n">
        <v>9.4047424366312349</v>
      </c>
    </row>
    <row r="930">
      <c r="A930" s="7" t="s">
        <v>75</v>
      </c>
      <c r="B930" s="7" t="s">
        <v>40</v>
      </c>
      <c r="C930" s="7" t="s">
        <v>39</v>
      </c>
      <c r="D930" s="7" t="s">
        <v>31</v>
      </c>
      <c r="E930" s="8" t="n">
        <v>46023</v>
      </c>
      <c r="F930" s="7" t="n">
        <v>115020</v>
      </c>
      <c r="H930" s="7" t="n">
        <v>12192</v>
      </c>
      <c r="I930" s="7" t="n">
        <v>102828</v>
      </c>
      <c r="L930" s="7"/>
      <c r="S930" s="7" t="n">
        <v>6</v>
      </c>
      <c r="T930" s="7" t="n">
        <v>12</v>
      </c>
      <c r="U930" s="7" t="n">
        <v>12</v>
      </c>
      <c r="V930" s="9" t="n">
        <v>8.434055118110237</v>
      </c>
    </row>
    <row r="931">
      <c r="A931" s="7" t="s">
        <v>75</v>
      </c>
      <c r="B931" s="7" t="s">
        <v>40</v>
      </c>
      <c r="C931" s="7" t="s">
        <v>39</v>
      </c>
      <c r="D931" s="7" t="s">
        <v>31</v>
      </c>
      <c r="E931" s="8" t="n">
        <v>46054</v>
      </c>
      <c r="F931" s="7" t="n">
        <v>102828</v>
      </c>
      <c r="H931" s="7" t="n">
        <v>12168</v>
      </c>
      <c r="I931" s="7" t="n">
        <v>90660</v>
      </c>
      <c r="L931" s="7"/>
      <c r="S931" s="7" t="n">
        <v>6</v>
      </c>
      <c r="T931" s="7" t="n">
        <v>12</v>
      </c>
      <c r="U931" s="7" t="n">
        <v>12</v>
      </c>
      <c r="V931" s="9" t="n">
        <v>7.4506903353057199</v>
      </c>
    </row>
    <row r="932">
      <c r="A932" s="7" t="s">
        <v>75</v>
      </c>
      <c r="B932" s="7" t="s">
        <v>40</v>
      </c>
      <c r="C932" s="7" t="s">
        <v>39</v>
      </c>
      <c r="D932" s="7" t="s">
        <v>31</v>
      </c>
      <c r="E932" s="8" t="n">
        <v>46082</v>
      </c>
      <c r="F932" s="7" t="n">
        <v>90660</v>
      </c>
      <c r="H932" s="7" t="n">
        <v>12200</v>
      </c>
      <c r="I932" s="7" t="n">
        <v>78460</v>
      </c>
      <c r="L932" s="7"/>
      <c r="S932" s="7" t="n">
        <v>6</v>
      </c>
      <c r="T932" s="7" t="n">
        <v>12</v>
      </c>
      <c r="U932" s="7" t="n">
        <v>12</v>
      </c>
      <c r="V932" s="9" t="n">
        <v>6.4311475409836065</v>
      </c>
    </row>
    <row r="933">
      <c r="A933" s="7" t="s">
        <v>75</v>
      </c>
      <c r="B933" s="7" t="s">
        <v>40</v>
      </c>
      <c r="C933" s="7" t="s">
        <v>39</v>
      </c>
      <c r="D933" s="7" t="s">
        <v>31</v>
      </c>
      <c r="E933" s="8" t="n">
        <v>46113</v>
      </c>
      <c r="F933" s="7" t="n">
        <v>78460</v>
      </c>
      <c r="H933" s="7" t="n">
        <v>12210</v>
      </c>
      <c r="I933" s="7" t="n">
        <v>146310</v>
      </c>
      <c r="L933" s="7" t="s">
        <v>4</v>
      </c>
      <c r="M933" s="7" t="n">
        <v>80060</v>
      </c>
      <c r="S933" s="7" t="n">
        <v>6</v>
      </c>
      <c r="T933" s="7" t="n">
        <v>12</v>
      </c>
      <c r="U933" s="7" t="n">
        <v>12</v>
      </c>
      <c r="V933" s="9" t="n">
        <v>11.982800982800983</v>
      </c>
    </row>
    <row r="934">
      <c r="A934" s="7" t="s">
        <v>75</v>
      </c>
      <c r="B934" s="7" t="s">
        <v>40</v>
      </c>
      <c r="C934" s="7" t="s">
        <v>39</v>
      </c>
      <c r="D934" s="7" t="s">
        <v>31</v>
      </c>
      <c r="E934" s="8" t="n">
        <v>46143</v>
      </c>
      <c r="F934" s="7" t="n">
        <v>146310</v>
      </c>
      <c r="H934" s="7" t="n">
        <v>12209</v>
      </c>
      <c r="I934" s="7" t="n">
        <v>134101</v>
      </c>
      <c r="L934" s="7"/>
      <c r="S934" s="7" t="n">
        <v>6</v>
      </c>
      <c r="T934" s="7" t="n">
        <v>12</v>
      </c>
      <c r="U934" s="7" t="n">
        <v>12</v>
      </c>
      <c r="V934" s="9" t="n">
        <v>10.983782455565567</v>
      </c>
    </row>
    <row r="935">
      <c r="A935" s="7" t="s">
        <v>75</v>
      </c>
      <c r="B935" s="7" t="s">
        <v>40</v>
      </c>
      <c r="C935" s="7" t="s">
        <v>39</v>
      </c>
      <c r="D935" s="7" t="s">
        <v>31</v>
      </c>
      <c r="E935" s="8" t="n">
        <v>46174</v>
      </c>
      <c r="F935" s="7" t="n">
        <v>134101</v>
      </c>
      <c r="H935" s="7" t="n">
        <v>12202</v>
      </c>
      <c r="I935" s="7" t="n">
        <v>121899</v>
      </c>
      <c r="L935" s="7"/>
      <c r="S935" s="7" t="n">
        <v>6</v>
      </c>
      <c r="T935" s="7" t="n">
        <v>12</v>
      </c>
      <c r="U935" s="7" t="n">
        <v>12</v>
      </c>
      <c r="V935" s="9" t="n">
        <v>9.9900835928536313</v>
      </c>
    </row>
    <row r="936">
      <c r="A936" s="7" t="s">
        <v>75</v>
      </c>
      <c r="B936" s="7" t="s">
        <v>40</v>
      </c>
      <c r="C936" s="7" t="s">
        <v>39</v>
      </c>
      <c r="D936" s="7" t="s">
        <v>31</v>
      </c>
      <c r="E936" s="8" t="n">
        <v>46204</v>
      </c>
      <c r="F936" s="7" t="n">
        <v>121899</v>
      </c>
      <c r="H936" s="7" t="n">
        <v>12197</v>
      </c>
      <c r="I936" s="7" t="n">
        <v>109702</v>
      </c>
      <c r="L936" s="7"/>
      <c r="S936" s="7" t="n">
        <v>6</v>
      </c>
      <c r="T936" s="7" t="n">
        <v>12</v>
      </c>
      <c r="U936" s="7" t="n">
        <v>12</v>
      </c>
      <c r="V936" s="9" t="n">
        <v>8.9941788964499469</v>
      </c>
    </row>
    <row r="937">
      <c r="A937" s="7" t="s">
        <v>75</v>
      </c>
      <c r="B937" s="7" t="s">
        <v>40</v>
      </c>
      <c r="C937" s="7" t="s">
        <v>39</v>
      </c>
      <c r="D937" s="7" t="s">
        <v>31</v>
      </c>
      <c r="E937" s="8" t="n">
        <v>46235</v>
      </c>
      <c r="F937" s="7" t="n">
        <v>109702</v>
      </c>
      <c r="H937" s="7" t="n">
        <v>12198</v>
      </c>
      <c r="I937" s="7" t="n">
        <v>97504</v>
      </c>
      <c r="L937" s="7"/>
      <c r="S937" s="7" t="n">
        <v>6</v>
      </c>
      <c r="T937" s="7" t="n">
        <v>12</v>
      </c>
      <c r="U937" s="7" t="n">
        <v>12</v>
      </c>
      <c r="V937" s="9" t="n">
        <v>7.9934415477947205</v>
      </c>
    </row>
    <row r="938">
      <c r="A938" s="7" t="s">
        <v>75</v>
      </c>
      <c r="B938" s="7" t="s">
        <v>40</v>
      </c>
      <c r="C938" s="7" t="s">
        <v>39</v>
      </c>
      <c r="D938" s="7" t="s">
        <v>31</v>
      </c>
      <c r="E938" s="8" t="n">
        <v>46266</v>
      </c>
      <c r="F938" s="7" t="n">
        <v>97504</v>
      </c>
      <c r="H938" s="7" t="n">
        <v>12203</v>
      </c>
      <c r="I938" s="7" t="n">
        <v>85301</v>
      </c>
      <c r="L938" s="7"/>
      <c r="S938" s="7" t="n">
        <v>6</v>
      </c>
      <c r="T938" s="7" t="n">
        <v>12</v>
      </c>
      <c r="U938" s="7" t="n">
        <v>12</v>
      </c>
      <c r="V938" s="9" t="n">
        <v>6.9901663525362618</v>
      </c>
    </row>
    <row r="939">
      <c r="A939" s="7" t="s">
        <v>76</v>
      </c>
      <c r="B939" s="7" t="s">
        <v>40</v>
      </c>
      <c r="C939" s="7" t="s">
        <v>39</v>
      </c>
      <c r="D939" s="7" t="s">
        <v>31</v>
      </c>
      <c r="E939" s="8" t="n">
        <v>45748</v>
      </c>
      <c r="H939" s="7" t="n">
        <v>3551</v>
      </c>
      <c r="I939" s="7" t="n">
        <v>0</v>
      </c>
      <c r="L939" s="7"/>
      <c r="V939" s="9" t="n">
        <v>0</v>
      </c>
    </row>
    <row r="940">
      <c r="A940" s="7" t="s">
        <v>76</v>
      </c>
      <c r="B940" s="7" t="s">
        <v>40</v>
      </c>
      <c r="C940" s="7" t="s">
        <v>39</v>
      </c>
      <c r="D940" s="7" t="s">
        <v>31</v>
      </c>
      <c r="E940" s="8" t="n">
        <v>45778</v>
      </c>
      <c r="H940" s="7" t="n">
        <v>3551</v>
      </c>
      <c r="I940" s="7" t="n">
        <v>0</v>
      </c>
      <c r="L940" s="7"/>
      <c r="V940" s="9" t="n">
        <v>0</v>
      </c>
    </row>
    <row r="941">
      <c r="A941" s="7" t="s">
        <v>76</v>
      </c>
      <c r="B941" s="7" t="s">
        <v>40</v>
      </c>
      <c r="C941" s="7" t="s">
        <v>39</v>
      </c>
      <c r="D941" s="7" t="s">
        <v>31</v>
      </c>
      <c r="E941" s="8" t="n">
        <v>45809</v>
      </c>
      <c r="H941" s="7" t="n">
        <v>3551</v>
      </c>
      <c r="I941" s="7" t="n">
        <v>0</v>
      </c>
      <c r="L941" s="7"/>
      <c r="V941" s="9" t="n">
        <v>0</v>
      </c>
    </row>
    <row r="942">
      <c r="A942" s="7" t="s">
        <v>76</v>
      </c>
      <c r="B942" s="7" t="s">
        <v>40</v>
      </c>
      <c r="C942" s="7" t="s">
        <v>39</v>
      </c>
      <c r="D942" s="7" t="s">
        <v>31</v>
      </c>
      <c r="E942" s="8" t="n">
        <v>45839</v>
      </c>
      <c r="H942" s="7" t="n">
        <v>3551</v>
      </c>
      <c r="I942" s="7" t="n">
        <v>0</v>
      </c>
      <c r="L942" s="7"/>
      <c r="V942" s="9" t="n">
        <v>0</v>
      </c>
    </row>
    <row r="943">
      <c r="A943" s="7" t="s">
        <v>76</v>
      </c>
      <c r="B943" s="7" t="s">
        <v>40</v>
      </c>
      <c r="C943" s="7" t="s">
        <v>39</v>
      </c>
      <c r="D943" s="7" t="s">
        <v>31</v>
      </c>
      <c r="E943" s="8" t="n">
        <v>45870</v>
      </c>
      <c r="H943" s="7" t="n">
        <v>3551</v>
      </c>
      <c r="I943" s="7" t="n">
        <v>0</v>
      </c>
      <c r="L943" s="7"/>
      <c r="V943" s="9" t="n">
        <v>0</v>
      </c>
    </row>
    <row r="944">
      <c r="A944" s="7" t="s">
        <v>76</v>
      </c>
      <c r="B944" s="7" t="s">
        <v>40</v>
      </c>
      <c r="C944" s="7" t="s">
        <v>39</v>
      </c>
      <c r="D944" s="7" t="s">
        <v>31</v>
      </c>
      <c r="E944" s="8" t="n">
        <v>45901</v>
      </c>
      <c r="H944" s="7" t="n">
        <v>3551</v>
      </c>
      <c r="I944" s="7" t="n">
        <v>0</v>
      </c>
      <c r="L944" s="7"/>
      <c r="V944" s="9" t="n">
        <v>0</v>
      </c>
    </row>
    <row r="945">
      <c r="A945" s="7" t="s">
        <v>76</v>
      </c>
      <c r="B945" s="7" t="s">
        <v>40</v>
      </c>
      <c r="C945" s="7" t="s">
        <v>39</v>
      </c>
      <c r="D945" s="7" t="s">
        <v>31</v>
      </c>
      <c r="E945" s="8" t="n">
        <v>45931</v>
      </c>
      <c r="H945" s="7" t="n">
        <v>3551</v>
      </c>
      <c r="I945" s="7" t="n">
        <v>0</v>
      </c>
      <c r="L945" s="7"/>
      <c r="V945" s="9" t="n">
        <v>0</v>
      </c>
    </row>
    <row r="946">
      <c r="A946" s="7" t="s">
        <v>76</v>
      </c>
      <c r="B946" s="7" t="s">
        <v>40</v>
      </c>
      <c r="C946" s="7" t="s">
        <v>39</v>
      </c>
      <c r="D946" s="7" t="s">
        <v>31</v>
      </c>
      <c r="E946" s="8" t="n">
        <v>45962</v>
      </c>
      <c r="H946" s="7" t="n">
        <v>3551</v>
      </c>
      <c r="I946" s="7" t="n">
        <v>0</v>
      </c>
      <c r="L946" s="7"/>
      <c r="V946" s="9" t="n">
        <v>0</v>
      </c>
    </row>
    <row r="947">
      <c r="A947" s="7" t="s">
        <v>76</v>
      </c>
      <c r="B947" s="7" t="s">
        <v>40</v>
      </c>
      <c r="C947" s="7" t="s">
        <v>39</v>
      </c>
      <c r="D947" s="7" t="s">
        <v>31</v>
      </c>
      <c r="E947" s="8" t="n">
        <v>45992</v>
      </c>
      <c r="H947" s="7" t="n">
        <v>3551</v>
      </c>
      <c r="I947" s="7" t="n">
        <v>0</v>
      </c>
      <c r="L947" s="7"/>
      <c r="V947" s="9" t="n">
        <v>0</v>
      </c>
    </row>
    <row r="948">
      <c r="A948" s="7" t="s">
        <v>76</v>
      </c>
      <c r="B948" s="7" t="s">
        <v>40</v>
      </c>
      <c r="C948" s="7" t="s">
        <v>39</v>
      </c>
      <c r="D948" s="7" t="s">
        <v>31</v>
      </c>
      <c r="E948" s="8" t="n">
        <v>46023</v>
      </c>
      <c r="H948" s="7" t="n">
        <v>1773</v>
      </c>
      <c r="I948" s="7" t="n">
        <v>0</v>
      </c>
      <c r="L948" s="7"/>
      <c r="V948" s="9" t="n">
        <v>0</v>
      </c>
    </row>
    <row r="949">
      <c r="A949" s="7" t="s">
        <v>76</v>
      </c>
      <c r="B949" s="7" t="s">
        <v>40</v>
      </c>
      <c r="C949" s="7" t="s">
        <v>39</v>
      </c>
      <c r="D949" s="7" t="s">
        <v>31</v>
      </c>
      <c r="E949" s="8" t="n">
        <v>46054</v>
      </c>
      <c r="H949" s="7" t="n">
        <v>1773</v>
      </c>
      <c r="I949" s="7" t="n">
        <v>0</v>
      </c>
      <c r="L949" s="7"/>
      <c r="V949" s="9" t="n">
        <v>0</v>
      </c>
    </row>
    <row r="950">
      <c r="A950" s="7" t="s">
        <v>76</v>
      </c>
      <c r="B950" s="7" t="s">
        <v>40</v>
      </c>
      <c r="C950" s="7" t="s">
        <v>39</v>
      </c>
      <c r="D950" s="7" t="s">
        <v>31</v>
      </c>
      <c r="E950" s="8" t="n">
        <v>46082</v>
      </c>
      <c r="H950" s="7" t="n">
        <v>1773</v>
      </c>
      <c r="I950" s="7" t="n">
        <v>0</v>
      </c>
      <c r="L950" s="7"/>
      <c r="V950" s="9" t="n">
        <v>0</v>
      </c>
    </row>
    <row r="951">
      <c r="A951" s="7" t="s">
        <v>76</v>
      </c>
      <c r="B951" s="7" t="s">
        <v>40</v>
      </c>
      <c r="C951" s="7" t="s">
        <v>39</v>
      </c>
      <c r="D951" s="7" t="s">
        <v>31</v>
      </c>
      <c r="E951" s="8" t="n">
        <v>46113</v>
      </c>
      <c r="H951" s="7" t="n">
        <v>1773</v>
      </c>
      <c r="I951" s="7" t="n">
        <v>0</v>
      </c>
      <c r="L951" s="7"/>
      <c r="V951" s="9" t="n">
        <v>0</v>
      </c>
    </row>
    <row r="952">
      <c r="A952" s="7" t="s">
        <v>76</v>
      </c>
      <c r="B952" s="7" t="s">
        <v>40</v>
      </c>
      <c r="C952" s="7" t="s">
        <v>39</v>
      </c>
      <c r="D952" s="7" t="s">
        <v>31</v>
      </c>
      <c r="E952" s="8" t="n">
        <v>46143</v>
      </c>
      <c r="H952" s="7" t="n">
        <v>1773</v>
      </c>
      <c r="I952" s="7" t="n">
        <v>0</v>
      </c>
      <c r="L952" s="7"/>
      <c r="V952" s="9" t="n">
        <v>0</v>
      </c>
    </row>
    <row r="953">
      <c r="A953" s="7" t="s">
        <v>76</v>
      </c>
      <c r="B953" s="7" t="s">
        <v>40</v>
      </c>
      <c r="C953" s="7" t="s">
        <v>39</v>
      </c>
      <c r="D953" s="7" t="s">
        <v>31</v>
      </c>
      <c r="E953" s="8" t="n">
        <v>46174</v>
      </c>
      <c r="H953" s="7" t="n">
        <v>1773</v>
      </c>
      <c r="I953" s="7" t="n">
        <v>0</v>
      </c>
      <c r="L953" s="7"/>
      <c r="V953" s="9" t="n">
        <v>0</v>
      </c>
    </row>
    <row r="954">
      <c r="A954" s="7" t="s">
        <v>76</v>
      </c>
      <c r="B954" s="7" t="s">
        <v>40</v>
      </c>
      <c r="C954" s="7" t="s">
        <v>39</v>
      </c>
      <c r="D954" s="7" t="s">
        <v>31</v>
      </c>
      <c r="E954" s="8" t="n">
        <v>46204</v>
      </c>
      <c r="H954" s="7" t="n">
        <v>1773</v>
      </c>
      <c r="I954" s="7" t="n">
        <v>0</v>
      </c>
      <c r="L954" s="7"/>
      <c r="V954" s="9" t="n">
        <v>0</v>
      </c>
    </row>
    <row r="955">
      <c r="A955" s="7" t="s">
        <v>76</v>
      </c>
      <c r="B955" s="7" t="s">
        <v>40</v>
      </c>
      <c r="C955" s="7" t="s">
        <v>39</v>
      </c>
      <c r="D955" s="7" t="s">
        <v>31</v>
      </c>
      <c r="E955" s="8" t="n">
        <v>46235</v>
      </c>
      <c r="H955" s="7" t="n">
        <v>1773</v>
      </c>
      <c r="I955" s="7" t="n">
        <v>0</v>
      </c>
      <c r="L955" s="7"/>
      <c r="V955" s="9" t="n">
        <v>0</v>
      </c>
    </row>
    <row r="956">
      <c r="A956" s="7" t="s">
        <v>76</v>
      </c>
      <c r="B956" s="7" t="s">
        <v>40</v>
      </c>
      <c r="C956" s="7" t="s">
        <v>39</v>
      </c>
      <c r="D956" s="7" t="s">
        <v>31</v>
      </c>
      <c r="E956" s="8" t="n">
        <v>46266</v>
      </c>
      <c r="H956" s="7" t="n">
        <v>1773</v>
      </c>
      <c r="I956" s="7" t="n">
        <v>0</v>
      </c>
      <c r="L956" s="7"/>
      <c r="V956" s="9" t="n">
        <v>0</v>
      </c>
    </row>
    <row r="957">
      <c r="A957" s="7" t="s">
        <v>76</v>
      </c>
      <c r="B957" s="7" t="s">
        <v>40</v>
      </c>
      <c r="C957" s="7" t="s">
        <v>39</v>
      </c>
      <c r="D957" s="7" t="s">
        <v>31</v>
      </c>
      <c r="E957" s="8" t="n">
        <v>46296</v>
      </c>
      <c r="H957" s="7" t="n">
        <v>1773</v>
      </c>
      <c r="I957" s="7" t="n">
        <v>0</v>
      </c>
      <c r="L957" s="7"/>
      <c r="V957" s="9" t="n">
        <v>0</v>
      </c>
    </row>
    <row r="958">
      <c r="A958" s="7" t="s">
        <v>76</v>
      </c>
      <c r="B958" s="7" t="s">
        <v>40</v>
      </c>
      <c r="C958" s="7" t="s">
        <v>39</v>
      </c>
      <c r="D958" s="7" t="s">
        <v>31</v>
      </c>
      <c r="E958" s="8" t="n">
        <v>46327</v>
      </c>
      <c r="H958" s="7" t="n">
        <v>1773</v>
      </c>
      <c r="I958" s="7" t="n">
        <v>0</v>
      </c>
      <c r="L958" s="7"/>
      <c r="V958" s="9" t="n">
        <v>0</v>
      </c>
    </row>
    <row r="959">
      <c r="A959" s="7" t="s">
        <v>76</v>
      </c>
      <c r="B959" s="7" t="s">
        <v>40</v>
      </c>
      <c r="C959" s="7" t="s">
        <v>39</v>
      </c>
      <c r="D959" s="7" t="s">
        <v>31</v>
      </c>
      <c r="E959" s="8" t="n">
        <v>46357</v>
      </c>
      <c r="H959" s="7" t="n">
        <v>1773</v>
      </c>
      <c r="I959" s="7" t="n">
        <v>0</v>
      </c>
      <c r="L959" s="7"/>
      <c r="V959" s="9" t="n">
        <v>0</v>
      </c>
    </row>
    <row r="960">
      <c r="A960" s="7" t="s">
        <v>166</v>
      </c>
      <c r="B960" s="7" t="s">
        <v>40</v>
      </c>
      <c r="C960" s="7" t="s">
        <v>39</v>
      </c>
      <c r="D960" s="7" t="s">
        <v>31</v>
      </c>
      <c r="E960" s="8" t="n">
        <v>45658</v>
      </c>
      <c r="H960" s="7" t="n">
        <v>7294</v>
      </c>
      <c r="I960" s="7" t="n">
        <v>0</v>
      </c>
      <c r="L960" s="7"/>
      <c r="V960" s="9" t="n">
        <v>0</v>
      </c>
    </row>
    <row r="961">
      <c r="A961" s="7" t="s">
        <v>166</v>
      </c>
      <c r="B961" s="7" t="s">
        <v>40</v>
      </c>
      <c r="C961" s="7" t="s">
        <v>39</v>
      </c>
      <c r="D961" s="7" t="s">
        <v>31</v>
      </c>
      <c r="E961" s="8" t="n">
        <v>45689</v>
      </c>
      <c r="H961" s="7" t="n">
        <v>7294</v>
      </c>
      <c r="I961" s="7" t="n">
        <v>0</v>
      </c>
      <c r="L961" s="7"/>
      <c r="V961" s="9" t="n">
        <v>0</v>
      </c>
    </row>
    <row r="962">
      <c r="A962" s="7" t="s">
        <v>166</v>
      </c>
      <c r="B962" s="7" t="s">
        <v>40</v>
      </c>
      <c r="C962" s="7" t="s">
        <v>39</v>
      </c>
      <c r="D962" s="7" t="s">
        <v>31</v>
      </c>
      <c r="E962" s="8" t="n">
        <v>45717</v>
      </c>
      <c r="H962" s="7" t="n">
        <v>7294</v>
      </c>
      <c r="I962" s="7" t="n">
        <v>0</v>
      </c>
      <c r="L962" s="7"/>
      <c r="V962" s="9" t="n">
        <v>0</v>
      </c>
    </row>
    <row r="963">
      <c r="A963" s="7" t="s">
        <v>166</v>
      </c>
      <c r="B963" s="7" t="s">
        <v>40</v>
      </c>
      <c r="C963" s="7" t="s">
        <v>39</v>
      </c>
      <c r="D963" s="7" t="s">
        <v>31</v>
      </c>
      <c r="E963" s="8" t="n">
        <v>45748</v>
      </c>
      <c r="F963" s="7" t="n">
        <v>4500</v>
      </c>
      <c r="H963" s="7" t="n">
        <v>7294</v>
      </c>
      <c r="I963" s="7" t="n">
        <v>0</v>
      </c>
      <c r="L963" s="7"/>
      <c r="S963" s="7" t="n">
        <v>9</v>
      </c>
      <c r="T963" s="7" t="n">
        <v>15</v>
      </c>
      <c r="U963" s="7" t="n">
        <v>15</v>
      </c>
      <c r="V963" s="9" t="n">
        <v>0</v>
      </c>
    </row>
    <row r="964">
      <c r="A964" s="7" t="s">
        <v>166</v>
      </c>
      <c r="B964" s="7" t="s">
        <v>40</v>
      </c>
      <c r="C964" s="7" t="s">
        <v>39</v>
      </c>
      <c r="D964" s="7" t="s">
        <v>31</v>
      </c>
      <c r="E964" s="8" t="n">
        <v>45778</v>
      </c>
      <c r="F964" s="7" t="n">
        <v>0</v>
      </c>
      <c r="H964" s="7" t="n">
        <v>7294</v>
      </c>
      <c r="I964" s="7" t="n">
        <v>0</v>
      </c>
      <c r="L964" s="7"/>
      <c r="S964" s="7" t="n">
        <v>9</v>
      </c>
      <c r="T964" s="7" t="n">
        <v>15</v>
      </c>
      <c r="U964" s="7" t="n">
        <v>15</v>
      </c>
      <c r="V964" s="9" t="n">
        <v>0</v>
      </c>
    </row>
    <row r="965">
      <c r="A965" s="7" t="s">
        <v>166</v>
      </c>
      <c r="B965" s="7" t="s">
        <v>40</v>
      </c>
      <c r="C965" s="7" t="s">
        <v>39</v>
      </c>
      <c r="D965" s="7" t="s">
        <v>31</v>
      </c>
      <c r="E965" s="8" t="n">
        <v>45809</v>
      </c>
      <c r="F965" s="7" t="n">
        <v>0</v>
      </c>
      <c r="H965" s="7" t="n">
        <v>7294</v>
      </c>
      <c r="I965" s="7" t="n">
        <v>0</v>
      </c>
      <c r="L965" s="7"/>
      <c r="S965" s="7" t="n">
        <v>9</v>
      </c>
      <c r="T965" s="7" t="n">
        <v>15</v>
      </c>
      <c r="U965" s="7" t="n">
        <v>15</v>
      </c>
      <c r="V965" s="9" t="n">
        <v>0</v>
      </c>
    </row>
    <row r="966">
      <c r="A966" s="7" t="s">
        <v>166</v>
      </c>
      <c r="B966" s="7" t="s">
        <v>40</v>
      </c>
      <c r="C966" s="7" t="s">
        <v>39</v>
      </c>
      <c r="D966" s="7" t="s">
        <v>31</v>
      </c>
      <c r="E966" s="8" t="n">
        <v>45839</v>
      </c>
      <c r="F966" s="7" t="n">
        <v>0</v>
      </c>
      <c r="H966" s="7" t="n">
        <v>7294</v>
      </c>
      <c r="I966" s="7" t="n">
        <v>0</v>
      </c>
      <c r="L966" s="7"/>
      <c r="S966" s="7" t="n">
        <v>9</v>
      </c>
      <c r="T966" s="7" t="n">
        <v>15</v>
      </c>
      <c r="U966" s="7" t="n">
        <v>15</v>
      </c>
      <c r="V966" s="9" t="n">
        <v>0</v>
      </c>
    </row>
    <row r="967">
      <c r="A967" s="7" t="s">
        <v>166</v>
      </c>
      <c r="B967" s="7" t="s">
        <v>40</v>
      </c>
      <c r="C967" s="7" t="s">
        <v>39</v>
      </c>
      <c r="D967" s="7" t="s">
        <v>31</v>
      </c>
      <c r="E967" s="8" t="n">
        <v>45870</v>
      </c>
      <c r="F967" s="7" t="n">
        <v>0</v>
      </c>
      <c r="H967" s="7" t="n">
        <v>7294</v>
      </c>
      <c r="I967" s="7" t="n">
        <v>0</v>
      </c>
      <c r="L967" s="7"/>
      <c r="S967" s="7" t="n">
        <v>9</v>
      </c>
      <c r="T967" s="7" t="n">
        <v>15</v>
      </c>
      <c r="U967" s="7" t="n">
        <v>15</v>
      </c>
      <c r="V967" s="9" t="n">
        <v>0</v>
      </c>
    </row>
    <row r="968">
      <c r="A968" s="7" t="s">
        <v>166</v>
      </c>
      <c r="B968" s="7" t="s">
        <v>40</v>
      </c>
      <c r="C968" s="7" t="s">
        <v>39</v>
      </c>
      <c r="D968" s="7" t="s">
        <v>31</v>
      </c>
      <c r="E968" s="8" t="n">
        <v>45901</v>
      </c>
      <c r="F968" s="7" t="n">
        <v>0</v>
      </c>
      <c r="H968" s="7" t="n">
        <v>7294</v>
      </c>
      <c r="I968" s="7" t="n">
        <v>0</v>
      </c>
      <c r="L968" s="7"/>
      <c r="S968" s="7" t="n">
        <v>9</v>
      </c>
      <c r="T968" s="7" t="n">
        <v>15</v>
      </c>
      <c r="U968" s="7" t="n">
        <v>15</v>
      </c>
      <c r="V968" s="9" t="n">
        <v>0</v>
      </c>
    </row>
    <row r="969">
      <c r="A969" s="7" t="s">
        <v>166</v>
      </c>
      <c r="B969" s="7" t="s">
        <v>40</v>
      </c>
      <c r="C969" s="7" t="s">
        <v>39</v>
      </c>
      <c r="D969" s="7" t="s">
        <v>31</v>
      </c>
      <c r="E969" s="8" t="n">
        <v>45931</v>
      </c>
      <c r="F969" s="7" t="n">
        <v>0</v>
      </c>
      <c r="H969" s="7" t="n">
        <v>7294</v>
      </c>
      <c r="I969" s="7" t="n">
        <v>0</v>
      </c>
      <c r="L969" s="7"/>
      <c r="S969" s="7" t="n">
        <v>9</v>
      </c>
      <c r="T969" s="7" t="n">
        <v>15</v>
      </c>
      <c r="U969" s="7" t="n">
        <v>15</v>
      </c>
      <c r="V969" s="9" t="n">
        <v>0</v>
      </c>
    </row>
    <row r="970">
      <c r="A970" s="7" t="s">
        <v>166</v>
      </c>
      <c r="B970" s="7" t="s">
        <v>40</v>
      </c>
      <c r="C970" s="7" t="s">
        <v>39</v>
      </c>
      <c r="D970" s="7" t="s">
        <v>31</v>
      </c>
      <c r="E970" s="8" t="n">
        <v>45962</v>
      </c>
      <c r="F970" s="7" t="n">
        <v>0</v>
      </c>
      <c r="H970" s="7" t="n">
        <v>7294</v>
      </c>
      <c r="I970" s="7" t="n">
        <v>0</v>
      </c>
      <c r="L970" s="7"/>
      <c r="S970" s="7" t="n">
        <v>9</v>
      </c>
      <c r="T970" s="7" t="n">
        <v>15</v>
      </c>
      <c r="U970" s="7" t="n">
        <v>15</v>
      </c>
      <c r="V970" s="9" t="n">
        <v>0</v>
      </c>
    </row>
    <row r="971">
      <c r="A971" s="7" t="s">
        <v>166</v>
      </c>
      <c r="B971" s="7" t="s">
        <v>40</v>
      </c>
      <c r="C971" s="7" t="s">
        <v>39</v>
      </c>
      <c r="D971" s="7" t="s">
        <v>31</v>
      </c>
      <c r="E971" s="8" t="n">
        <v>45992</v>
      </c>
      <c r="F971" s="7" t="n">
        <v>0</v>
      </c>
      <c r="H971" s="7" t="n">
        <v>7294</v>
      </c>
      <c r="I971" s="7" t="n">
        <v>0</v>
      </c>
      <c r="L971" s="7"/>
      <c r="S971" s="7" t="n">
        <v>9</v>
      </c>
      <c r="T971" s="7" t="n">
        <v>15</v>
      </c>
      <c r="U971" s="7" t="n">
        <v>15</v>
      </c>
      <c r="V971" s="9" t="n">
        <v>0</v>
      </c>
    </row>
    <row r="972">
      <c r="A972" s="7" t="s">
        <v>28</v>
      </c>
      <c r="B972" s="7" t="s">
        <v>29</v>
      </c>
      <c r="C972" s="7" t="s">
        <v>30</v>
      </c>
      <c r="D972" s="7" t="s">
        <v>31</v>
      </c>
      <c r="E972" s="8" t="n">
        <v>45839</v>
      </c>
      <c r="F972" s="7" t="n">
        <v>12652697</v>
      </c>
      <c r="H972" s="7" t="n">
        <v>1099123</v>
      </c>
      <c r="I972" s="7" t="n">
        <v>11553574</v>
      </c>
      <c r="L972" s="7"/>
      <c r="S972" s="7" t="n">
        <v>9</v>
      </c>
      <c r="T972" s="7" t="n">
        <v>14</v>
      </c>
      <c r="U972" s="7" t="n">
        <v>13</v>
      </c>
      <c r="V972" s="9" t="n">
        <v>10.511629726609305</v>
      </c>
    </row>
    <row r="973">
      <c r="A973" s="7" t="s">
        <v>28</v>
      </c>
      <c r="B973" s="7" t="s">
        <v>29</v>
      </c>
      <c r="C973" s="7" t="s">
        <v>30</v>
      </c>
      <c r="D973" s="7" t="s">
        <v>31</v>
      </c>
      <c r="E973" s="8" t="n">
        <v>45870</v>
      </c>
      <c r="F973" s="7" t="n">
        <v>11553574</v>
      </c>
      <c r="H973" s="7" t="n">
        <v>1099123</v>
      </c>
      <c r="I973" s="7" t="n">
        <v>16547451</v>
      </c>
      <c r="J973" s="7" t="s">
        <v>32</v>
      </c>
      <c r="K973" s="7" t="s">
        <v>3</v>
      </c>
      <c r="L973" s="7" t="s">
        <v>4</v>
      </c>
      <c r="M973" s="7" t="n">
        <v>6093000</v>
      </c>
      <c r="O973" s="7" t="n">
        <v>219348</v>
      </c>
      <c r="P973" s="7" t="n">
        <v>45870</v>
      </c>
      <c r="S973" s="7" t="n">
        <v>9</v>
      </c>
      <c r="T973" s="7" t="n">
        <v>14</v>
      </c>
      <c r="U973" s="7" t="n">
        <v>13</v>
      </c>
      <c r="V973" s="9" t="n">
        <v>15.055140325514069</v>
      </c>
    </row>
    <row r="974">
      <c r="A974" s="7" t="s">
        <v>28</v>
      </c>
      <c r="B974" s="7" t="s">
        <v>29</v>
      </c>
      <c r="C974" s="7" t="s">
        <v>30</v>
      </c>
      <c r="D974" s="7" t="s">
        <v>31</v>
      </c>
      <c r="E974" s="8" t="n">
        <v>45901</v>
      </c>
      <c r="F974" s="7" t="n">
        <v>16547451</v>
      </c>
      <c r="H974" s="7" t="n">
        <v>1099123</v>
      </c>
      <c r="I974" s="7" t="n">
        <v>17464328</v>
      </c>
      <c r="J974" s="7" t="s">
        <v>51</v>
      </c>
      <c r="K974" s="7" t="s">
        <v>146</v>
      </c>
      <c r="L974" s="7" t="s">
        <v>147</v>
      </c>
      <c r="M974" s="7" t="n">
        <v>2016000</v>
      </c>
      <c r="O974" s="7" t="n">
        <v>65722</v>
      </c>
      <c r="P974" s="7" t="n">
        <v>45901</v>
      </c>
      <c r="S974" s="7" t="n">
        <v>9</v>
      </c>
      <c r="T974" s="7" t="n">
        <v>14</v>
      </c>
      <c r="U974" s="7" t="n">
        <v>13</v>
      </c>
      <c r="V974" s="9" t="n">
        <v>15.889329947603681</v>
      </c>
    </row>
    <row r="975">
      <c r="A975" s="7" t="s">
        <v>28</v>
      </c>
      <c r="B975" s="7" t="s">
        <v>29</v>
      </c>
      <c r="C975" s="7" t="s">
        <v>30</v>
      </c>
      <c r="D975" s="7" t="s">
        <v>31</v>
      </c>
      <c r="E975" s="8" t="n">
        <v>45931</v>
      </c>
      <c r="F975" s="7" t="n">
        <v>17464328</v>
      </c>
      <c r="H975" s="7" t="n">
        <v>1099123</v>
      </c>
      <c r="I975" s="7" t="n">
        <v>16365205</v>
      </c>
      <c r="L975" s="7"/>
      <c r="S975" s="7" t="n">
        <v>9</v>
      </c>
      <c r="T975" s="7" t="n">
        <v>14</v>
      </c>
      <c r="U975" s="7" t="n">
        <v>13</v>
      </c>
      <c r="V975" s="9" t="n">
        <v>14.889329947603681</v>
      </c>
    </row>
    <row r="976">
      <c r="A976" s="7" t="s">
        <v>28</v>
      </c>
      <c r="B976" s="7" t="s">
        <v>29</v>
      </c>
      <c r="C976" s="7" t="s">
        <v>30</v>
      </c>
      <c r="D976" s="7" t="s">
        <v>31</v>
      </c>
      <c r="E976" s="8" t="n">
        <v>45962</v>
      </c>
      <c r="F976" s="7" t="n">
        <v>16365205</v>
      </c>
      <c r="H976" s="7" t="n">
        <v>1099123</v>
      </c>
      <c r="I976" s="7" t="n">
        <v>15266082</v>
      </c>
      <c r="L976" s="7"/>
      <c r="S976" s="7" t="n">
        <v>9</v>
      </c>
      <c r="T976" s="7" t="n">
        <v>14</v>
      </c>
      <c r="U976" s="7" t="n">
        <v>13</v>
      </c>
      <c r="V976" s="9" t="n">
        <v>13.889329947603681</v>
      </c>
    </row>
    <row r="977">
      <c r="A977" s="7" t="s">
        <v>28</v>
      </c>
      <c r="B977" s="7" t="s">
        <v>29</v>
      </c>
      <c r="C977" s="7" t="s">
        <v>30</v>
      </c>
      <c r="D977" s="7" t="s">
        <v>31</v>
      </c>
      <c r="E977" s="8" t="n">
        <v>45992</v>
      </c>
      <c r="F977" s="7" t="n">
        <v>15266082</v>
      </c>
      <c r="H977" s="7" t="n">
        <v>1099123</v>
      </c>
      <c r="I977" s="7" t="n">
        <v>14166959</v>
      </c>
      <c r="L977" s="7"/>
      <c r="S977" s="7" t="n">
        <v>9</v>
      </c>
      <c r="T977" s="7" t="n">
        <v>14</v>
      </c>
      <c r="U977" s="7" t="n">
        <v>13</v>
      </c>
      <c r="V977" s="9" t="n">
        <v>12.889329947603681</v>
      </c>
    </row>
    <row r="978">
      <c r="A978" s="7" t="s">
        <v>28</v>
      </c>
      <c r="B978" s="7" t="s">
        <v>29</v>
      </c>
      <c r="C978" s="7" t="s">
        <v>30</v>
      </c>
      <c r="D978" s="7" t="s">
        <v>31</v>
      </c>
      <c r="E978" s="8" t="n">
        <v>46023</v>
      </c>
      <c r="F978" s="7" t="n">
        <v>14166959</v>
      </c>
      <c r="H978" s="7" t="n">
        <v>1099123</v>
      </c>
      <c r="I978" s="7" t="n">
        <v>19774036</v>
      </c>
      <c r="J978" s="7" t="s">
        <v>2</v>
      </c>
      <c r="K978" s="7" t="s">
        <v>2</v>
      </c>
      <c r="L978" s="7" t="s">
        <v>4</v>
      </c>
      <c r="M978" s="7" t="n">
        <v>6706200</v>
      </c>
      <c r="O978" s="7" t="n">
        <v>241423</v>
      </c>
      <c r="P978" s="7" t="n">
        <v>46023</v>
      </c>
      <c r="S978" s="7" t="n">
        <v>9</v>
      </c>
      <c r="T978" s="7" t="n">
        <v>14</v>
      </c>
      <c r="U978" s="7" t="n">
        <v>13</v>
      </c>
      <c r="V978" s="9" t="n">
        <v>17.990739889894034</v>
      </c>
    </row>
    <row r="979">
      <c r="A979" s="7" t="s">
        <v>28</v>
      </c>
      <c r="B979" s="7" t="s">
        <v>29</v>
      </c>
      <c r="C979" s="7" t="s">
        <v>30</v>
      </c>
      <c r="D979" s="7" t="s">
        <v>31</v>
      </c>
      <c r="E979" s="8" t="n">
        <v>46054</v>
      </c>
      <c r="F979" s="7" t="n">
        <v>19774036</v>
      </c>
      <c r="H979" s="7" t="n">
        <v>1099123</v>
      </c>
      <c r="I979" s="7" t="n">
        <v>18674913</v>
      </c>
      <c r="L979" s="7"/>
      <c r="S979" s="7" t="n">
        <v>9</v>
      </c>
      <c r="T979" s="7" t="n">
        <v>14</v>
      </c>
      <c r="U979" s="7" t="n">
        <v>13</v>
      </c>
      <c r="V979" s="9" t="n">
        <v>16.990739889894034</v>
      </c>
    </row>
    <row r="980">
      <c r="A980" s="7" t="s">
        <v>28</v>
      </c>
      <c r="B980" s="7" t="s">
        <v>29</v>
      </c>
      <c r="C980" s="7" t="s">
        <v>30</v>
      </c>
      <c r="D980" s="7" t="s">
        <v>31</v>
      </c>
      <c r="E980" s="8" t="n">
        <v>46082</v>
      </c>
      <c r="F980" s="7" t="n">
        <v>18674913</v>
      </c>
      <c r="H980" s="7" t="n">
        <v>1099123</v>
      </c>
      <c r="I980" s="7" t="n">
        <v>17575790</v>
      </c>
      <c r="L980" s="7"/>
      <c r="S980" s="7" t="n">
        <v>9</v>
      </c>
      <c r="T980" s="7" t="n">
        <v>14</v>
      </c>
      <c r="U980" s="7" t="n">
        <v>13</v>
      </c>
      <c r="V980" s="9" t="n">
        <v>15.990739889894034</v>
      </c>
    </row>
    <row r="981">
      <c r="A981" s="7" t="s">
        <v>28</v>
      </c>
      <c r="B981" s="7" t="s">
        <v>29</v>
      </c>
      <c r="C981" s="7" t="s">
        <v>30</v>
      </c>
      <c r="D981" s="7" t="s">
        <v>31</v>
      </c>
      <c r="E981" s="8" t="n">
        <v>46113</v>
      </c>
      <c r="F981" s="7" t="n">
        <v>17575790</v>
      </c>
      <c r="H981" s="7" t="n">
        <v>1099123</v>
      </c>
      <c r="I981" s="7" t="n">
        <v>16476667</v>
      </c>
      <c r="L981" s="7"/>
      <c r="S981" s="7" t="n">
        <v>9</v>
      </c>
      <c r="T981" s="7" t="n">
        <v>14</v>
      </c>
      <c r="U981" s="7" t="n">
        <v>13</v>
      </c>
      <c r="V981" s="9" t="n">
        <v>14.990739889894034</v>
      </c>
    </row>
    <row r="982">
      <c r="A982" s="7" t="s">
        <v>28</v>
      </c>
      <c r="B982" s="7" t="s">
        <v>29</v>
      </c>
      <c r="C982" s="7" t="s">
        <v>30</v>
      </c>
      <c r="D982" s="7" t="s">
        <v>31</v>
      </c>
      <c r="E982" s="8" t="n">
        <v>46143</v>
      </c>
      <c r="F982" s="7" t="n">
        <v>16476667</v>
      </c>
      <c r="H982" s="7" t="n">
        <v>1099123</v>
      </c>
      <c r="I982" s="7" t="n">
        <v>15377544</v>
      </c>
      <c r="L982" s="7"/>
      <c r="S982" s="7" t="n">
        <v>9</v>
      </c>
      <c r="T982" s="7" t="n">
        <v>14</v>
      </c>
      <c r="U982" s="7" t="n">
        <v>13</v>
      </c>
      <c r="V982" s="9" t="n">
        <v>13.990739889894034</v>
      </c>
    </row>
    <row r="983">
      <c r="A983" s="7" t="s">
        <v>28</v>
      </c>
      <c r="B983" s="7" t="s">
        <v>29</v>
      </c>
      <c r="C983" s="7" t="s">
        <v>30</v>
      </c>
      <c r="D983" s="7" t="s">
        <v>31</v>
      </c>
      <c r="E983" s="8" t="n">
        <v>46174</v>
      </c>
      <c r="F983" s="7" t="n">
        <v>15377544</v>
      </c>
      <c r="H983" s="7" t="n">
        <v>1099123</v>
      </c>
      <c r="I983" s="7" t="n">
        <v>20360008</v>
      </c>
      <c r="J983" s="7" t="s">
        <v>2</v>
      </c>
      <c r="K983" s="7" t="s">
        <v>2</v>
      </c>
      <c r="L983" s="7" t="s">
        <v>4</v>
      </c>
      <c r="M983" s="7" t="n">
        <v>6081587</v>
      </c>
      <c r="O983" s="7" t="n">
        <v>218937</v>
      </c>
      <c r="P983" s="7" t="n">
        <v>46174</v>
      </c>
      <c r="S983" s="7" t="n">
        <v>9</v>
      </c>
      <c r="T983" s="7" t="n">
        <v>14</v>
      </c>
      <c r="U983" s="7" t="n">
        <v>13</v>
      </c>
      <c r="V983" s="9" t="n">
        <v>18.523866755586045</v>
      </c>
    </row>
    <row r="984">
      <c r="A984" s="7" t="s">
        <v>75</v>
      </c>
      <c r="B984" s="7" t="s">
        <v>29</v>
      </c>
      <c r="C984" s="7"/>
      <c r="D984" s="7" t="s">
        <v>31</v>
      </c>
      <c r="E984" s="8" t="n">
        <v>45748</v>
      </c>
      <c r="F984" s="7" t="n">
        <v>22567</v>
      </c>
      <c r="H984" s="7" t="n">
        <v>3689</v>
      </c>
      <c r="I984" s="7" t="n">
        <v>26270</v>
      </c>
      <c r="L984" s="7" t="s">
        <v>154</v>
      </c>
      <c r="M984" s="7" t="n">
        <v>7392</v>
      </c>
      <c r="S984" s="7" t="n">
        <v>7</v>
      </c>
      <c r="T984" s="7" t="n">
        <v>15</v>
      </c>
      <c r="U984" s="7" t="n">
        <v>15</v>
      </c>
      <c r="V984" s="9" t="n">
        <v>7.1211710490647873</v>
      </c>
    </row>
    <row r="985">
      <c r="A985" s="7" t="s">
        <v>75</v>
      </c>
      <c r="B985" s="7" t="s">
        <v>29</v>
      </c>
      <c r="C985" s="7"/>
      <c r="D985" s="7" t="s">
        <v>31</v>
      </c>
      <c r="E985" s="8" t="n">
        <v>45778</v>
      </c>
      <c r="F985" s="7" t="n">
        <v>26270</v>
      </c>
      <c r="H985" s="7" t="n">
        <v>3695</v>
      </c>
      <c r="I985" s="7" t="n">
        <v>29487</v>
      </c>
      <c r="L985" s="7" t="s">
        <v>154</v>
      </c>
      <c r="M985" s="7" t="n">
        <v>6912</v>
      </c>
      <c r="S985" s="7" t="n">
        <v>7</v>
      </c>
      <c r="T985" s="7" t="n">
        <v>15</v>
      </c>
      <c r="U985" s="7" t="n">
        <v>15</v>
      </c>
      <c r="V985" s="9" t="n">
        <v>7.9802435723951284</v>
      </c>
    </row>
    <row r="986">
      <c r="A986" s="7" t="s">
        <v>75</v>
      </c>
      <c r="B986" s="7" t="s">
        <v>29</v>
      </c>
      <c r="C986" s="7"/>
      <c r="D986" s="7" t="s">
        <v>31</v>
      </c>
      <c r="E986" s="8" t="n">
        <v>45809</v>
      </c>
      <c r="F986" s="7" t="n">
        <v>29487</v>
      </c>
      <c r="H986" s="7" t="n">
        <v>3681</v>
      </c>
      <c r="I986" s="7" t="n">
        <v>25806</v>
      </c>
      <c r="L986" s="7"/>
      <c r="S986" s="7" t="n">
        <v>7</v>
      </c>
      <c r="T986" s="7" t="n">
        <v>15</v>
      </c>
      <c r="U986" s="7" t="n">
        <v>15</v>
      </c>
      <c r="V986" s="9" t="n">
        <v>7.0105949470252646</v>
      </c>
    </row>
    <row r="987">
      <c r="A987" s="7" t="s">
        <v>75</v>
      </c>
      <c r="B987" s="7" t="s">
        <v>29</v>
      </c>
      <c r="C987" s="7"/>
      <c r="D987" s="7" t="s">
        <v>31</v>
      </c>
      <c r="E987" s="8" t="n">
        <v>45839</v>
      </c>
      <c r="F987" s="7" t="n">
        <v>25806</v>
      </c>
      <c r="H987" s="7" t="n">
        <v>3677</v>
      </c>
      <c r="I987" s="7" t="n">
        <v>30246</v>
      </c>
      <c r="L987" s="7" t="s">
        <v>154</v>
      </c>
      <c r="M987" s="7" t="n">
        <v>8117</v>
      </c>
      <c r="S987" s="7" t="n">
        <v>7</v>
      </c>
      <c r="T987" s="7" t="n">
        <v>15</v>
      </c>
      <c r="U987" s="7" t="n">
        <v>15</v>
      </c>
      <c r="V987" s="9" t="n">
        <v>8.2257274952406849</v>
      </c>
    </row>
    <row r="988">
      <c r="A988" s="7" t="s">
        <v>75</v>
      </c>
      <c r="B988" s="7" t="s">
        <v>29</v>
      </c>
      <c r="C988" s="7"/>
      <c r="D988" s="7" t="s">
        <v>31</v>
      </c>
      <c r="E988" s="8" t="n">
        <v>45870</v>
      </c>
      <c r="F988" s="7" t="n">
        <v>30246</v>
      </c>
      <c r="H988" s="7" t="n">
        <v>3677</v>
      </c>
      <c r="I988" s="7" t="n">
        <v>26569</v>
      </c>
      <c r="L988" s="7"/>
      <c r="S988" s="7" t="n">
        <v>7</v>
      </c>
      <c r="T988" s="7" t="n">
        <v>15</v>
      </c>
      <c r="U988" s="7" t="n">
        <v>15</v>
      </c>
      <c r="V988" s="9" t="n">
        <v>7.2257274952406849</v>
      </c>
    </row>
    <row r="989">
      <c r="A989" s="7" t="s">
        <v>75</v>
      </c>
      <c r="B989" s="7" t="s">
        <v>29</v>
      </c>
      <c r="C989" s="7"/>
      <c r="D989" s="7" t="s">
        <v>31</v>
      </c>
      <c r="E989" s="8" t="n">
        <v>45901</v>
      </c>
      <c r="F989" s="7" t="n">
        <v>26569</v>
      </c>
      <c r="H989" s="7" t="n">
        <v>3685</v>
      </c>
      <c r="I989" s="7" t="n">
        <v>22884</v>
      </c>
      <c r="L989" s="7"/>
      <c r="S989" s="7" t="n">
        <v>7</v>
      </c>
      <c r="T989" s="7" t="n">
        <v>15</v>
      </c>
      <c r="U989" s="7" t="n">
        <v>15</v>
      </c>
      <c r="V989" s="9" t="n">
        <v>6.2100407055630935</v>
      </c>
    </row>
    <row r="990">
      <c r="A990" s="7" t="s">
        <v>75</v>
      </c>
      <c r="B990" s="7" t="s">
        <v>29</v>
      </c>
      <c r="C990" s="7"/>
      <c r="D990" s="7" t="s">
        <v>31</v>
      </c>
      <c r="E990" s="8" t="n">
        <v>45931</v>
      </c>
      <c r="F990" s="7" t="n">
        <v>22884</v>
      </c>
      <c r="H990" s="7" t="n">
        <v>3684</v>
      </c>
      <c r="I990" s="7" t="n">
        <v>55218</v>
      </c>
      <c r="L990" s="7" t="s">
        <v>4</v>
      </c>
      <c r="M990" s="7" t="n">
        <v>36018</v>
      </c>
      <c r="S990" s="7" t="n">
        <v>7</v>
      </c>
      <c r="T990" s="7" t="n">
        <v>15</v>
      </c>
      <c r="U990" s="7" t="n">
        <v>15</v>
      </c>
      <c r="V990" s="9" t="n">
        <v>14.988599348534201</v>
      </c>
    </row>
    <row r="991">
      <c r="A991" s="7" t="s">
        <v>75</v>
      </c>
      <c r="B991" s="7" t="s">
        <v>29</v>
      </c>
      <c r="C991" s="7"/>
      <c r="D991" s="7" t="s">
        <v>31</v>
      </c>
      <c r="E991" s="8" t="n">
        <v>45962</v>
      </c>
      <c r="F991" s="7" t="n">
        <v>55218</v>
      </c>
      <c r="H991" s="7" t="n">
        <v>3683</v>
      </c>
      <c r="I991" s="7" t="n">
        <v>51535</v>
      </c>
      <c r="L991" s="7"/>
      <c r="S991" s="7" t="n">
        <v>7</v>
      </c>
      <c r="T991" s="7" t="n">
        <v>15</v>
      </c>
      <c r="U991" s="7" t="n">
        <v>15</v>
      </c>
      <c r="V991" s="9" t="n">
        <v>13.992669019820799</v>
      </c>
    </row>
    <row r="992">
      <c r="A992" s="7" t="s">
        <v>75</v>
      </c>
      <c r="B992" s="7" t="s">
        <v>29</v>
      </c>
      <c r="C992" s="7"/>
      <c r="D992" s="7" t="s">
        <v>31</v>
      </c>
      <c r="E992" s="8" t="n">
        <v>45992</v>
      </c>
      <c r="F992" s="7" t="n">
        <v>51535</v>
      </c>
      <c r="H992" s="7" t="n">
        <v>3681</v>
      </c>
      <c r="I992" s="7" t="n">
        <v>47854</v>
      </c>
      <c r="L992" s="7"/>
      <c r="S992" s="7" t="n">
        <v>7</v>
      </c>
      <c r="T992" s="7" t="n">
        <v>15</v>
      </c>
      <c r="U992" s="7" t="n">
        <v>15</v>
      </c>
      <c r="V992" s="9" t="n">
        <v>13.00027166530834</v>
      </c>
    </row>
    <row r="993">
      <c r="A993" s="7" t="s">
        <v>75</v>
      </c>
      <c r="B993" s="7" t="s">
        <v>29</v>
      </c>
      <c r="C993" s="7"/>
      <c r="D993" s="7" t="s">
        <v>31</v>
      </c>
      <c r="E993" s="8" t="n">
        <v>46023</v>
      </c>
      <c r="F993" s="7" t="n">
        <v>47854</v>
      </c>
      <c r="H993" s="7" t="n">
        <v>3681</v>
      </c>
      <c r="I993" s="7" t="n">
        <v>44173</v>
      </c>
      <c r="L993" s="7"/>
      <c r="S993" s="7" t="n">
        <v>7</v>
      </c>
      <c r="T993" s="7" t="n">
        <v>15</v>
      </c>
      <c r="U993" s="7" t="n">
        <v>15</v>
      </c>
      <c r="V993" s="9" t="n">
        <v>12.00027166530834</v>
      </c>
    </row>
    <row r="994">
      <c r="A994" s="7" t="s">
        <v>75</v>
      </c>
      <c r="B994" s="7" t="s">
        <v>29</v>
      </c>
      <c r="C994" s="7"/>
      <c r="D994" s="7" t="s">
        <v>31</v>
      </c>
      <c r="E994" s="8" t="n">
        <v>46054</v>
      </c>
      <c r="F994" s="7" t="n">
        <v>44173</v>
      </c>
      <c r="H994" s="7" t="n">
        <v>3682</v>
      </c>
      <c r="I994" s="7" t="n">
        <v>40491</v>
      </c>
      <c r="L994" s="7"/>
      <c r="S994" s="7" t="n">
        <v>7</v>
      </c>
      <c r="T994" s="7" t="n">
        <v>15</v>
      </c>
      <c r="U994" s="7" t="n">
        <v>15</v>
      </c>
      <c r="V994" s="9" t="n">
        <v>10.997012493210212</v>
      </c>
    </row>
    <row r="995">
      <c r="A995" s="7" t="s">
        <v>75</v>
      </c>
      <c r="B995" s="7" t="s">
        <v>29</v>
      </c>
      <c r="C995" s="7"/>
      <c r="D995" s="7" t="s">
        <v>31</v>
      </c>
      <c r="E995" s="8" t="n">
        <v>46082</v>
      </c>
      <c r="F995" s="7" t="n">
        <v>40491</v>
      </c>
      <c r="H995" s="7" t="n">
        <v>3683</v>
      </c>
      <c r="I995" s="7" t="n">
        <v>36808</v>
      </c>
      <c r="L995" s="7"/>
      <c r="S995" s="7" t="n">
        <v>7</v>
      </c>
      <c r="T995" s="7" t="n">
        <v>15</v>
      </c>
      <c r="U995" s="7" t="n">
        <v>15</v>
      </c>
      <c r="V995" s="9" t="n">
        <v>9.9940266087428729</v>
      </c>
    </row>
    <row r="996">
      <c r="A996" s="7" t="s">
        <v>75</v>
      </c>
      <c r="B996" s="7" t="s">
        <v>29</v>
      </c>
      <c r="C996" s="7"/>
      <c r="D996" s="7" t="s">
        <v>31</v>
      </c>
      <c r="E996" s="8" t="n">
        <v>46113</v>
      </c>
      <c r="F996" s="7" t="n">
        <v>36808</v>
      </c>
      <c r="H996" s="7" t="n">
        <v>3682</v>
      </c>
      <c r="I996" s="7" t="n">
        <v>33126</v>
      </c>
      <c r="L996" s="7"/>
      <c r="S996" s="7" t="n">
        <v>7</v>
      </c>
      <c r="T996" s="7" t="n">
        <v>15</v>
      </c>
      <c r="U996" s="7" t="n">
        <v>15</v>
      </c>
      <c r="V996" s="9" t="n">
        <v>8.996740901683868</v>
      </c>
    </row>
    <row r="997">
      <c r="A997" s="7" t="s">
        <v>75</v>
      </c>
      <c r="B997" s="7" t="s">
        <v>29</v>
      </c>
      <c r="C997" s="7"/>
      <c r="D997" s="7" t="s">
        <v>31</v>
      </c>
      <c r="E997" s="8" t="n">
        <v>46143</v>
      </c>
      <c r="F997" s="7" t="n">
        <v>33126</v>
      </c>
      <c r="H997" s="7" t="n">
        <v>3682</v>
      </c>
      <c r="I997" s="7" t="n">
        <v>29444</v>
      </c>
      <c r="L997" s="7"/>
      <c r="S997" s="7" t="n">
        <v>7</v>
      </c>
      <c r="T997" s="7" t="n">
        <v>15</v>
      </c>
      <c r="U997" s="7" t="n">
        <v>15</v>
      </c>
      <c r="V997" s="9" t="n">
        <v>7.9967409016838671</v>
      </c>
    </row>
    <row r="998">
      <c r="A998" s="7" t="s">
        <v>75</v>
      </c>
      <c r="B998" s="7" t="s">
        <v>29</v>
      </c>
      <c r="C998" s="7"/>
      <c r="D998" s="7" t="s">
        <v>31</v>
      </c>
      <c r="E998" s="8" t="n">
        <v>46174</v>
      </c>
      <c r="F998" s="7" t="n">
        <v>29444</v>
      </c>
      <c r="H998" s="7" t="n">
        <v>3682</v>
      </c>
      <c r="I998" s="7" t="n">
        <v>25762</v>
      </c>
      <c r="L998" s="7"/>
      <c r="S998" s="7" t="n">
        <v>7</v>
      </c>
      <c r="T998" s="7" t="n">
        <v>15</v>
      </c>
      <c r="U998" s="7" t="n">
        <v>15</v>
      </c>
      <c r="V998" s="9" t="n">
        <v>6.9967409016838671</v>
      </c>
    </row>
    <row r="999">
      <c r="A999" s="7" t="s">
        <v>75</v>
      </c>
      <c r="B999" s="7" t="s">
        <v>29</v>
      </c>
      <c r="C999" s="7"/>
      <c r="D999" s="7" t="s">
        <v>31</v>
      </c>
      <c r="E999" s="8" t="n">
        <v>46204</v>
      </c>
      <c r="F999" s="7" t="n">
        <v>25762</v>
      </c>
      <c r="H999" s="7" t="n">
        <v>3682</v>
      </c>
      <c r="I999" s="7" t="n">
        <v>55240</v>
      </c>
      <c r="L999" s="7" t="s">
        <v>4</v>
      </c>
      <c r="M999" s="7" t="n">
        <v>33160</v>
      </c>
      <c r="S999" s="7" t="n">
        <v>7</v>
      </c>
      <c r="T999" s="7" t="n">
        <v>15</v>
      </c>
      <c r="U999" s="7" t="n">
        <v>15</v>
      </c>
      <c r="V999" s="9" t="n">
        <v>15.002715915263444</v>
      </c>
    </row>
    <row r="1000">
      <c r="A1000" s="7" t="s">
        <v>75</v>
      </c>
      <c r="B1000" s="7" t="s">
        <v>29</v>
      </c>
      <c r="C1000" s="7"/>
      <c r="D1000" s="7" t="s">
        <v>31</v>
      </c>
      <c r="E1000" s="8" t="n">
        <v>46235</v>
      </c>
      <c r="F1000" s="7" t="n">
        <v>55240</v>
      </c>
      <c r="H1000" s="7" t="n">
        <v>3682</v>
      </c>
      <c r="I1000" s="7" t="n">
        <v>51558</v>
      </c>
      <c r="L1000" s="7"/>
      <c r="S1000" s="7" t="n">
        <v>7</v>
      </c>
      <c r="T1000" s="7" t="n">
        <v>15</v>
      </c>
      <c r="U1000" s="7" t="n">
        <v>15</v>
      </c>
      <c r="V1000" s="9" t="n">
        <v>14.002715915263444</v>
      </c>
    </row>
    <row r="1001">
      <c r="A1001" s="7" t="s">
        <v>75</v>
      </c>
      <c r="B1001" s="7" t="s">
        <v>29</v>
      </c>
      <c r="C1001" s="7"/>
      <c r="D1001" s="7" t="s">
        <v>31</v>
      </c>
      <c r="E1001" s="8" t="n">
        <v>46266</v>
      </c>
      <c r="F1001" s="7" t="n">
        <v>51558</v>
      </c>
      <c r="H1001" s="7" t="n">
        <v>3682</v>
      </c>
      <c r="I1001" s="7" t="n">
        <v>47876</v>
      </c>
      <c r="L1001" s="7"/>
      <c r="S1001" s="7" t="n">
        <v>7</v>
      </c>
      <c r="T1001" s="7" t="n">
        <v>15</v>
      </c>
      <c r="U1001" s="7" t="n">
        <v>15</v>
      </c>
      <c r="V1001" s="9" t="n">
        <v>13.002715915263444</v>
      </c>
    </row>
    <row r="1002">
      <c r="A1002" s="7" t="s">
        <v>76</v>
      </c>
      <c r="B1002" s="7" t="s">
        <v>29</v>
      </c>
      <c r="C1002" s="7"/>
      <c r="D1002" s="7" t="s">
        <v>31</v>
      </c>
      <c r="E1002" s="8" t="n">
        <v>45658</v>
      </c>
      <c r="H1002" s="7" t="n">
        <v>14208920</v>
      </c>
      <c r="I1002" s="7" t="n">
        <v>0</v>
      </c>
      <c r="L1002" s="7"/>
      <c r="S1002" s="7" t="n">
        <v>3</v>
      </c>
      <c r="T1002" s="7" t="n">
        <v>6</v>
      </c>
      <c r="U1002" s="7" t="n">
        <v>6</v>
      </c>
      <c r="V1002" s="9" t="n">
        <v>0</v>
      </c>
    </row>
    <row r="1003">
      <c r="A1003" s="7" t="s">
        <v>76</v>
      </c>
      <c r="B1003" s="7" t="s">
        <v>29</v>
      </c>
      <c r="C1003" s="7"/>
      <c r="D1003" s="7" t="s">
        <v>31</v>
      </c>
      <c r="E1003" s="8" t="n">
        <v>45689</v>
      </c>
      <c r="H1003" s="7" t="n">
        <v>14208920</v>
      </c>
      <c r="I1003" s="7" t="n">
        <v>0</v>
      </c>
      <c r="L1003" s="7"/>
      <c r="S1003" s="7" t="n">
        <v>3</v>
      </c>
      <c r="T1003" s="7" t="n">
        <v>6</v>
      </c>
      <c r="U1003" s="7" t="n">
        <v>6</v>
      </c>
      <c r="V1003" s="9" t="n">
        <v>0</v>
      </c>
    </row>
    <row r="1004">
      <c r="A1004" s="7" t="s">
        <v>76</v>
      </c>
      <c r="B1004" s="7" t="s">
        <v>29</v>
      </c>
      <c r="C1004" s="7"/>
      <c r="D1004" s="7" t="s">
        <v>31</v>
      </c>
      <c r="E1004" s="8" t="n">
        <v>45717</v>
      </c>
      <c r="H1004" s="7" t="n">
        <v>14208920</v>
      </c>
      <c r="I1004" s="7" t="n">
        <v>0</v>
      </c>
      <c r="L1004" s="7"/>
      <c r="S1004" s="7" t="n">
        <v>3</v>
      </c>
      <c r="T1004" s="7" t="n">
        <v>6</v>
      </c>
      <c r="U1004" s="7" t="n">
        <v>6</v>
      </c>
      <c r="V1004" s="9" t="n">
        <v>0</v>
      </c>
    </row>
    <row r="1005">
      <c r="A1005" s="7" t="s">
        <v>76</v>
      </c>
      <c r="B1005" s="7" t="s">
        <v>29</v>
      </c>
      <c r="C1005" s="7"/>
      <c r="D1005" s="7" t="s">
        <v>31</v>
      </c>
      <c r="E1005" s="8" t="n">
        <v>45748</v>
      </c>
      <c r="F1005" s="7" t="n">
        <v>181834416</v>
      </c>
      <c r="H1005" s="7" t="n">
        <v>14208920</v>
      </c>
      <c r="I1005" s="7" t="n">
        <v>167625496</v>
      </c>
      <c r="L1005" s="7"/>
      <c r="S1005" s="7" t="n">
        <v>3</v>
      </c>
      <c r="T1005" s="7" t="n">
        <v>6</v>
      </c>
      <c r="U1005" s="7" t="n">
        <v>6</v>
      </c>
      <c r="V1005" s="9" t="n">
        <v>11.797201757769063</v>
      </c>
    </row>
    <row r="1006">
      <c r="A1006" s="7" t="s">
        <v>76</v>
      </c>
      <c r="B1006" s="7" t="s">
        <v>29</v>
      </c>
      <c r="C1006" s="7"/>
      <c r="D1006" s="7" t="s">
        <v>31</v>
      </c>
      <c r="E1006" s="8" t="n">
        <v>45778</v>
      </c>
      <c r="F1006" s="7" t="n">
        <v>167625496</v>
      </c>
      <c r="H1006" s="7" t="n">
        <v>14208920</v>
      </c>
      <c r="I1006" s="7" t="n">
        <v>153416576</v>
      </c>
      <c r="L1006" s="7"/>
      <c r="S1006" s="7" t="n">
        <v>3</v>
      </c>
      <c r="T1006" s="7" t="n">
        <v>6</v>
      </c>
      <c r="U1006" s="7" t="n">
        <v>6</v>
      </c>
      <c r="V1006" s="9" t="n">
        <v>10.797201757769063</v>
      </c>
    </row>
    <row r="1007">
      <c r="A1007" s="7" t="s">
        <v>76</v>
      </c>
      <c r="B1007" s="7" t="s">
        <v>29</v>
      </c>
      <c r="C1007" s="7"/>
      <c r="D1007" s="7" t="s">
        <v>31</v>
      </c>
      <c r="E1007" s="8" t="n">
        <v>45809</v>
      </c>
      <c r="F1007" s="7" t="n">
        <v>153416576</v>
      </c>
      <c r="H1007" s="7" t="n">
        <v>14208920</v>
      </c>
      <c r="I1007" s="7" t="n">
        <v>153607656</v>
      </c>
      <c r="L1007" s="7" t="s">
        <v>154</v>
      </c>
      <c r="M1007" s="7" t="n">
        <v>14400000</v>
      </c>
      <c r="O1007" s="7" t="n">
        <v>432000</v>
      </c>
      <c r="P1007" s="7" t="n">
        <v>45809</v>
      </c>
      <c r="S1007" s="7" t="n">
        <v>3</v>
      </c>
      <c r="T1007" s="7" t="n">
        <v>6</v>
      </c>
      <c r="U1007" s="7" t="n">
        <v>6</v>
      </c>
      <c r="V1007" s="9" t="n">
        <v>10.810649648249129</v>
      </c>
    </row>
    <row r="1008">
      <c r="A1008" s="7" t="s">
        <v>76</v>
      </c>
      <c r="B1008" s="7" t="s">
        <v>29</v>
      </c>
      <c r="C1008" s="7"/>
      <c r="D1008" s="7" t="s">
        <v>31</v>
      </c>
      <c r="E1008" s="8" t="n">
        <v>45839</v>
      </c>
      <c r="F1008" s="7" t="n">
        <v>153607656</v>
      </c>
      <c r="H1008" s="7" t="n">
        <v>14208920</v>
      </c>
      <c r="I1008" s="7" t="n">
        <v>141016144</v>
      </c>
      <c r="J1008" s="7" t="s">
        <v>155</v>
      </c>
      <c r="K1008" s="7" t="s">
        <v>155</v>
      </c>
      <c r="L1008" s="7" t="s">
        <v>147</v>
      </c>
      <c r="M1008" s="7" t="n">
        <v>1617408</v>
      </c>
      <c r="O1008" s="7" t="n">
        <v>48522.239999999998</v>
      </c>
      <c r="P1008" s="7" t="n">
        <v>45839</v>
      </c>
      <c r="S1008" s="7" t="n">
        <v>3</v>
      </c>
      <c r="T1008" s="7" t="n">
        <v>6</v>
      </c>
      <c r="U1008" s="7" t="n">
        <v>6</v>
      </c>
      <c r="V1008" s="9" t="n">
        <v>9.9244801153078495</v>
      </c>
    </row>
    <row r="1009">
      <c r="A1009" s="7" t="s">
        <v>76</v>
      </c>
      <c r="B1009" s="7" t="s">
        <v>29</v>
      </c>
      <c r="C1009" s="7"/>
      <c r="D1009" s="7" t="s">
        <v>31</v>
      </c>
      <c r="E1009" s="8" t="n">
        <v>45870</v>
      </c>
      <c r="F1009" s="7" t="n">
        <v>141016144</v>
      </c>
      <c r="H1009" s="7" t="n">
        <v>14208920</v>
      </c>
      <c r="I1009" s="7" t="n">
        <v>126807224</v>
      </c>
      <c r="L1009" s="7"/>
      <c r="S1009" s="7" t="n">
        <v>3</v>
      </c>
      <c r="T1009" s="7" t="n">
        <v>6</v>
      </c>
      <c r="U1009" s="7" t="n">
        <v>6</v>
      </c>
      <c r="V1009" s="9" t="n">
        <v>8.9244801153078495</v>
      </c>
    </row>
    <row r="1010">
      <c r="A1010" s="7" t="s">
        <v>76</v>
      </c>
      <c r="B1010" s="7" t="s">
        <v>29</v>
      </c>
      <c r="C1010" s="7"/>
      <c r="D1010" s="7" t="s">
        <v>31</v>
      </c>
      <c r="E1010" s="8" t="n">
        <v>45901</v>
      </c>
      <c r="F1010" s="7" t="n">
        <v>126807224</v>
      </c>
      <c r="H1010" s="7" t="n">
        <v>14208920</v>
      </c>
      <c r="I1010" s="7" t="n">
        <v>148581168</v>
      </c>
      <c r="J1010" s="7" t="s">
        <v>156</v>
      </c>
      <c r="K1010" s="7" t="s">
        <v>156</v>
      </c>
      <c r="L1010" s="7" t="s">
        <v>147</v>
      </c>
      <c r="M1010" s="7" t="n">
        <v>35982864</v>
      </c>
      <c r="O1010" s="7" t="n">
        <v>1079485.92</v>
      </c>
      <c r="P1010" s="7" t="n">
        <v>45901</v>
      </c>
      <c r="S1010" s="7" t="n">
        <v>3</v>
      </c>
      <c r="T1010" s="7" t="n">
        <v>6</v>
      </c>
      <c r="U1010" s="7" t="n">
        <v>6</v>
      </c>
      <c r="V1010" s="9" t="n">
        <v>10.456893838518338</v>
      </c>
    </row>
    <row r="1011">
      <c r="A1011" s="7" t="s">
        <v>76</v>
      </c>
      <c r="B1011" s="7" t="s">
        <v>29</v>
      </c>
      <c r="C1011" s="7"/>
      <c r="D1011" s="7" t="s">
        <v>31</v>
      </c>
      <c r="E1011" s="8" t="n">
        <v>45931</v>
      </c>
      <c r="F1011" s="7" t="n">
        <v>148581168</v>
      </c>
      <c r="H1011" s="7" t="n">
        <v>14208920</v>
      </c>
      <c r="I1011" s="7" t="n">
        <v>167549848</v>
      </c>
      <c r="L1011" s="7" t="s">
        <v>147</v>
      </c>
      <c r="M1011" s="7" t="n">
        <v>33177600</v>
      </c>
      <c r="O1011" s="7" t="n">
        <v>995328</v>
      </c>
      <c r="P1011" s="7" t="n">
        <v>45931</v>
      </c>
      <c r="S1011" s="7" t="n">
        <v>3</v>
      </c>
      <c r="T1011" s="7" t="n">
        <v>6</v>
      </c>
      <c r="U1011" s="7" t="n">
        <v>6</v>
      </c>
      <c r="V1011" s="9" t="n">
        <v>11.791877778184409</v>
      </c>
    </row>
    <row r="1012">
      <c r="A1012" s="7" t="s">
        <v>76</v>
      </c>
      <c r="B1012" s="7" t="s">
        <v>29</v>
      </c>
      <c r="C1012" s="7"/>
      <c r="D1012" s="7" t="s">
        <v>31</v>
      </c>
      <c r="E1012" s="8" t="n">
        <v>45962</v>
      </c>
      <c r="F1012" s="7" t="n">
        <v>167549848</v>
      </c>
      <c r="H1012" s="7" t="n">
        <v>14208920</v>
      </c>
      <c r="I1012" s="7" t="n">
        <v>153340928</v>
      </c>
      <c r="L1012" s="7"/>
      <c r="S1012" s="7" t="n">
        <v>3</v>
      </c>
      <c r="T1012" s="7" t="n">
        <v>6</v>
      </c>
      <c r="U1012" s="7" t="n">
        <v>6</v>
      </c>
      <c r="V1012" s="9" t="n">
        <v>10.791877778184409</v>
      </c>
    </row>
    <row r="1013">
      <c r="A1013" s="7" t="s">
        <v>76</v>
      </c>
      <c r="B1013" s="7" t="s">
        <v>29</v>
      </c>
      <c r="C1013" s="7"/>
      <c r="D1013" s="7" t="s">
        <v>31</v>
      </c>
      <c r="E1013" s="8" t="n">
        <v>45992</v>
      </c>
      <c r="F1013" s="7" t="n">
        <v>153340928</v>
      </c>
      <c r="H1013" s="7" t="n">
        <v>14208920</v>
      </c>
      <c r="I1013" s="7" t="n">
        <v>139132008</v>
      </c>
      <c r="L1013" s="7"/>
      <c r="S1013" s="7" t="n">
        <v>3</v>
      </c>
      <c r="T1013" s="7" t="n">
        <v>6</v>
      </c>
      <c r="U1013" s="7" t="n">
        <v>6</v>
      </c>
      <c r="V1013" s="9" t="n">
        <v>9.7918777781844089</v>
      </c>
    </row>
    <row r="1014">
      <c r="A1014" s="7" t="s">
        <v>76</v>
      </c>
      <c r="B1014" s="7" t="s">
        <v>29</v>
      </c>
      <c r="C1014" s="7"/>
      <c r="D1014" s="7" t="s">
        <v>31</v>
      </c>
      <c r="E1014" s="8" t="n">
        <v>46023</v>
      </c>
      <c r="F1014" s="7" t="n">
        <v>139132008</v>
      </c>
      <c r="H1014" s="7" t="n">
        <v>16576898</v>
      </c>
      <c r="I1014" s="7" t="n">
        <v>122555110</v>
      </c>
      <c r="L1014" s="7"/>
      <c r="S1014" s="7" t="n">
        <v>3</v>
      </c>
      <c r="T1014" s="7" t="n">
        <v>6</v>
      </c>
      <c r="U1014" s="7" t="n">
        <v>6</v>
      </c>
      <c r="V1014" s="9" t="n">
        <v>7.3931268684889053</v>
      </c>
    </row>
    <row r="1015">
      <c r="A1015" s="7" t="s">
        <v>76</v>
      </c>
      <c r="B1015" s="7" t="s">
        <v>29</v>
      </c>
      <c r="C1015" s="7"/>
      <c r="D1015" s="7" t="s">
        <v>31</v>
      </c>
      <c r="E1015" s="8" t="n">
        <v>46054</v>
      </c>
      <c r="F1015" s="7" t="n">
        <v>122555110</v>
      </c>
      <c r="H1015" s="7" t="n">
        <v>16576898</v>
      </c>
      <c r="I1015" s="7" t="n">
        <v>105978212</v>
      </c>
      <c r="L1015" s="7"/>
      <c r="S1015" s="7" t="n">
        <v>3</v>
      </c>
      <c r="T1015" s="7" t="n">
        <v>6</v>
      </c>
      <c r="U1015" s="7" t="n">
        <v>6</v>
      </c>
      <c r="V1015" s="9" t="n">
        <v>6.3931268684889053</v>
      </c>
    </row>
    <row r="1016">
      <c r="A1016" s="7" t="s">
        <v>76</v>
      </c>
      <c r="B1016" s="7" t="s">
        <v>29</v>
      </c>
      <c r="C1016" s="7"/>
      <c r="D1016" s="7" t="s">
        <v>31</v>
      </c>
      <c r="E1016" s="8" t="n">
        <v>46082</v>
      </c>
      <c r="F1016" s="7" t="n">
        <v>105978212</v>
      </c>
      <c r="H1016" s="7" t="n">
        <v>16576898</v>
      </c>
      <c r="I1016" s="7" t="n">
        <v>89401314</v>
      </c>
      <c r="L1016" s="7"/>
      <c r="S1016" s="7" t="n">
        <v>3</v>
      </c>
      <c r="T1016" s="7" t="n">
        <v>6</v>
      </c>
      <c r="U1016" s="7" t="n">
        <v>6</v>
      </c>
      <c r="V1016" s="9" t="n">
        <v>5.3931268684889053</v>
      </c>
    </row>
    <row r="1017">
      <c r="A1017" s="7" t="s">
        <v>76</v>
      </c>
      <c r="B1017" s="7" t="s">
        <v>29</v>
      </c>
      <c r="C1017" s="7"/>
      <c r="D1017" s="7" t="s">
        <v>31</v>
      </c>
      <c r="E1017" s="8" t="n">
        <v>46113</v>
      </c>
      <c r="F1017" s="7" t="n">
        <v>89401314</v>
      </c>
      <c r="H1017" s="7" t="n">
        <v>16576898</v>
      </c>
      <c r="I1017" s="7" t="n">
        <v>72824416</v>
      </c>
      <c r="L1017" s="7"/>
      <c r="S1017" s="7" t="n">
        <v>3</v>
      </c>
      <c r="T1017" s="7" t="n">
        <v>6</v>
      </c>
      <c r="U1017" s="7" t="n">
        <v>6</v>
      </c>
      <c r="V1017" s="9" t="n">
        <v>4.3931268684889053</v>
      </c>
    </row>
    <row r="1018">
      <c r="A1018" s="7" t="s">
        <v>76</v>
      </c>
      <c r="B1018" s="7" t="s">
        <v>29</v>
      </c>
      <c r="C1018" s="7"/>
      <c r="D1018" s="7" t="s">
        <v>31</v>
      </c>
      <c r="E1018" s="8" t="n">
        <v>46143</v>
      </c>
      <c r="F1018" s="7" t="n">
        <v>72824416</v>
      </c>
      <c r="H1018" s="7" t="n">
        <v>16576898</v>
      </c>
      <c r="I1018" s="7" t="n">
        <v>56247518</v>
      </c>
      <c r="L1018" s="7"/>
      <c r="S1018" s="7" t="n">
        <v>3</v>
      </c>
      <c r="T1018" s="7" t="n">
        <v>6</v>
      </c>
      <c r="U1018" s="7" t="n">
        <v>6</v>
      </c>
      <c r="V1018" s="9" t="n">
        <v>3.3931268684889053</v>
      </c>
    </row>
    <row r="1019">
      <c r="A1019" s="7" t="s">
        <v>76</v>
      </c>
      <c r="B1019" s="7" t="s">
        <v>29</v>
      </c>
      <c r="C1019" s="7"/>
      <c r="D1019" s="7" t="s">
        <v>31</v>
      </c>
      <c r="E1019" s="8" t="n">
        <v>46174</v>
      </c>
      <c r="F1019" s="7" t="n">
        <v>56247518</v>
      </c>
      <c r="H1019" s="7" t="n">
        <v>16576898</v>
      </c>
      <c r="I1019" s="7" t="n">
        <v>39670620</v>
      </c>
      <c r="L1019" s="7"/>
      <c r="S1019" s="7" t="n">
        <v>3</v>
      </c>
      <c r="T1019" s="7" t="n">
        <v>6</v>
      </c>
      <c r="U1019" s="7" t="n">
        <v>6</v>
      </c>
      <c r="V1019" s="9" t="n">
        <v>2.3931268684889053</v>
      </c>
    </row>
    <row r="1020">
      <c r="A1020" s="7" t="s">
        <v>76</v>
      </c>
      <c r="B1020" s="7" t="s">
        <v>29</v>
      </c>
      <c r="C1020" s="7"/>
      <c r="D1020" s="7" t="s">
        <v>31</v>
      </c>
      <c r="E1020" s="8" t="n">
        <v>46204</v>
      </c>
      <c r="F1020" s="7" t="n">
        <v>39670620</v>
      </c>
      <c r="H1020" s="7" t="n">
        <v>16576898</v>
      </c>
      <c r="I1020" s="7" t="n">
        <v>23093722</v>
      </c>
      <c r="L1020" s="7"/>
      <c r="S1020" s="7" t="n">
        <v>3</v>
      </c>
      <c r="T1020" s="7" t="n">
        <v>6</v>
      </c>
      <c r="U1020" s="7" t="n">
        <v>6</v>
      </c>
      <c r="V1020" s="9" t="n">
        <v>1.3931268684889055</v>
      </c>
    </row>
    <row r="1021">
      <c r="A1021" s="7" t="s">
        <v>76</v>
      </c>
      <c r="B1021" s="7" t="s">
        <v>29</v>
      </c>
      <c r="C1021" s="7"/>
      <c r="D1021" s="7" t="s">
        <v>31</v>
      </c>
      <c r="E1021" s="8" t="n">
        <v>46235</v>
      </c>
      <c r="F1021" s="7" t="n">
        <v>23093722</v>
      </c>
      <c r="H1021" s="7" t="n">
        <v>16576898</v>
      </c>
      <c r="I1021" s="7" t="n">
        <v>6516824</v>
      </c>
      <c r="L1021" s="7"/>
      <c r="S1021" s="7" t="n">
        <v>3</v>
      </c>
      <c r="T1021" s="7" t="n">
        <v>6</v>
      </c>
      <c r="U1021" s="7" t="n">
        <v>6</v>
      </c>
      <c r="V1021" s="9" t="n">
        <v>0.39312686848890549</v>
      </c>
    </row>
    <row r="1022">
      <c r="A1022" s="7" t="s">
        <v>76</v>
      </c>
      <c r="B1022" s="7" t="s">
        <v>29</v>
      </c>
      <c r="C1022" s="7"/>
      <c r="D1022" s="7" t="s">
        <v>31</v>
      </c>
      <c r="E1022" s="8" t="n">
        <v>46266</v>
      </c>
      <c r="F1022" s="7" t="n">
        <v>6516824</v>
      </c>
      <c r="H1022" s="7" t="n">
        <v>16576898</v>
      </c>
      <c r="I1022" s="7" t="n">
        <v>0</v>
      </c>
      <c r="L1022" s="7"/>
      <c r="S1022" s="7" t="n">
        <v>3</v>
      </c>
      <c r="T1022" s="7" t="n">
        <v>6</v>
      </c>
      <c r="U1022" s="7" t="n">
        <v>6</v>
      </c>
      <c r="V1022" s="9" t="n">
        <v>0</v>
      </c>
    </row>
    <row r="1023">
      <c r="A1023" s="7" t="s">
        <v>76</v>
      </c>
      <c r="B1023" s="7" t="s">
        <v>29</v>
      </c>
      <c r="C1023" s="7"/>
      <c r="D1023" s="7" t="s">
        <v>31</v>
      </c>
      <c r="E1023" s="8" t="n">
        <v>46296</v>
      </c>
      <c r="F1023" s="7" t="n">
        <v>0</v>
      </c>
      <c r="H1023" s="7" t="n">
        <v>16576898</v>
      </c>
      <c r="I1023" s="7" t="n">
        <v>0</v>
      </c>
      <c r="L1023" s="7"/>
      <c r="S1023" s="7" t="n">
        <v>3</v>
      </c>
      <c r="T1023" s="7" t="n">
        <v>6</v>
      </c>
      <c r="U1023" s="7" t="n">
        <v>6</v>
      </c>
      <c r="V1023" s="9" t="n">
        <v>0</v>
      </c>
    </row>
    <row r="1024">
      <c r="A1024" s="7" t="s">
        <v>76</v>
      </c>
      <c r="B1024" s="7" t="s">
        <v>29</v>
      </c>
      <c r="C1024" s="7"/>
      <c r="D1024" s="7" t="s">
        <v>31</v>
      </c>
      <c r="E1024" s="8" t="n">
        <v>46327</v>
      </c>
      <c r="F1024" s="7" t="n">
        <v>0</v>
      </c>
      <c r="H1024" s="7" t="n">
        <v>16576898</v>
      </c>
      <c r="I1024" s="7" t="n">
        <v>0</v>
      </c>
      <c r="L1024" s="7"/>
      <c r="S1024" s="7" t="n">
        <v>3</v>
      </c>
      <c r="T1024" s="7" t="n">
        <v>6</v>
      </c>
      <c r="U1024" s="7" t="n">
        <v>6</v>
      </c>
      <c r="V1024" s="9" t="n">
        <v>0</v>
      </c>
    </row>
    <row r="1025">
      <c r="A1025" s="7" t="s">
        <v>76</v>
      </c>
      <c r="B1025" s="7" t="s">
        <v>29</v>
      </c>
      <c r="C1025" s="7"/>
      <c r="D1025" s="7" t="s">
        <v>31</v>
      </c>
      <c r="E1025" s="8" t="n">
        <v>46357</v>
      </c>
      <c r="F1025" s="7" t="n">
        <v>0</v>
      </c>
      <c r="H1025" s="7" t="n">
        <v>16576898</v>
      </c>
      <c r="I1025" s="7" t="n">
        <v>0</v>
      </c>
      <c r="L1025" s="7"/>
      <c r="S1025" s="7" t="n">
        <v>3</v>
      </c>
      <c r="T1025" s="7" t="n">
        <v>6</v>
      </c>
      <c r="U1025" s="7" t="n">
        <v>6</v>
      </c>
      <c r="V1025" s="9" t="n">
        <v>0</v>
      </c>
    </row>
    <row r="1026">
      <c r="A1026" s="7" t="s">
        <v>72</v>
      </c>
      <c r="B1026" s="7" t="s">
        <v>29</v>
      </c>
      <c r="C1026" s="7"/>
      <c r="D1026" s="7" t="s">
        <v>31</v>
      </c>
      <c r="E1026" s="8" t="n">
        <v>45689</v>
      </c>
      <c r="F1026" s="7" t="n">
        <v>17368146</v>
      </c>
      <c r="H1026" s="7" t="n">
        <v>2556052</v>
      </c>
      <c r="I1026" s="7" t="n">
        <v>14812094</v>
      </c>
      <c r="L1026" s="7"/>
      <c r="S1026" s="7" t="n">
        <v>6</v>
      </c>
      <c r="T1026" s="7" t="n">
        <v>12</v>
      </c>
      <c r="U1026" s="7" t="n">
        <v>12</v>
      </c>
      <c r="V1026" s="9" t="n">
        <v>5.7949110581474867</v>
      </c>
    </row>
    <row r="1027">
      <c r="A1027" s="7" t="s">
        <v>72</v>
      </c>
      <c r="B1027" s="7" t="s">
        <v>29</v>
      </c>
      <c r="C1027" s="7"/>
      <c r="D1027" s="7" t="s">
        <v>31</v>
      </c>
      <c r="E1027" s="8" t="n">
        <v>45717</v>
      </c>
      <c r="H1027" s="7" t="n">
        <v>2556052</v>
      </c>
      <c r="I1027" s="7" t="n">
        <v>0</v>
      </c>
      <c r="L1027" s="7"/>
      <c r="S1027" s="7" t="n">
        <v>6</v>
      </c>
      <c r="T1027" s="7" t="n">
        <v>12</v>
      </c>
      <c r="U1027" s="7" t="n">
        <v>12</v>
      </c>
      <c r="V1027" s="9" t="n">
        <v>0</v>
      </c>
    </row>
    <row r="1028">
      <c r="A1028" s="7" t="s">
        <v>72</v>
      </c>
      <c r="B1028" s="7" t="s">
        <v>29</v>
      </c>
      <c r="C1028" s="7"/>
      <c r="D1028" s="7" t="s">
        <v>31</v>
      </c>
      <c r="E1028" s="8" t="n">
        <v>45748</v>
      </c>
      <c r="H1028" s="7" t="n">
        <v>2556052</v>
      </c>
      <c r="I1028" s="7" t="n">
        <v>4139948</v>
      </c>
      <c r="J1028" s="7" t="s">
        <v>161</v>
      </c>
      <c r="K1028" s="7" t="s">
        <v>3</v>
      </c>
      <c r="L1028" s="7" t="s">
        <v>153</v>
      </c>
      <c r="M1028" s="7" t="n">
        <v>6696000</v>
      </c>
      <c r="O1028" s="7" t="n">
        <v>224986</v>
      </c>
      <c r="P1028" s="7" t="n">
        <v>45748</v>
      </c>
      <c r="S1028" s="7" t="n">
        <v>6</v>
      </c>
      <c r="T1028" s="7" t="n">
        <v>12</v>
      </c>
      <c r="U1028" s="7" t="n">
        <v>12</v>
      </c>
      <c r="V1028" s="9" t="n">
        <v>1.6196650146397649</v>
      </c>
    </row>
    <row r="1029">
      <c r="A1029" s="7" t="s">
        <v>72</v>
      </c>
      <c r="B1029" s="7" t="s">
        <v>29</v>
      </c>
      <c r="C1029" s="7"/>
      <c r="D1029" s="7" t="s">
        <v>31</v>
      </c>
      <c r="E1029" s="8" t="n">
        <v>45778</v>
      </c>
      <c r="H1029" s="7" t="n">
        <v>2556052</v>
      </c>
      <c r="I1029" s="7" t="n">
        <v>0</v>
      </c>
      <c r="L1029" s="7"/>
      <c r="S1029" s="7" t="n">
        <v>6</v>
      </c>
      <c r="T1029" s="7" t="n">
        <v>12</v>
      </c>
      <c r="U1029" s="7" t="n">
        <v>12</v>
      </c>
      <c r="V1029" s="9" t="n">
        <v>0</v>
      </c>
    </row>
    <row r="1030">
      <c r="A1030" s="7" t="s">
        <v>72</v>
      </c>
      <c r="B1030" s="7" t="s">
        <v>29</v>
      </c>
      <c r="C1030" s="7"/>
      <c r="D1030" s="7" t="s">
        <v>31</v>
      </c>
      <c r="E1030" s="8" t="n">
        <v>45809</v>
      </c>
      <c r="H1030" s="7" t="n">
        <v>2556052</v>
      </c>
      <c r="I1030" s="7" t="n">
        <v>0</v>
      </c>
      <c r="L1030" s="7"/>
      <c r="S1030" s="7" t="n">
        <v>6</v>
      </c>
      <c r="T1030" s="7" t="n">
        <v>12</v>
      </c>
      <c r="U1030" s="7" t="n">
        <v>12</v>
      </c>
      <c r="V1030" s="9" t="n">
        <v>0</v>
      </c>
    </row>
    <row r="1031">
      <c r="A1031" s="7" t="s">
        <v>72</v>
      </c>
      <c r="B1031" s="7" t="s">
        <v>29</v>
      </c>
      <c r="C1031" s="7"/>
      <c r="D1031" s="7" t="s">
        <v>31</v>
      </c>
      <c r="E1031" s="8" t="n">
        <v>45839</v>
      </c>
      <c r="H1031" s="7" t="n">
        <v>2556052</v>
      </c>
      <c r="I1031" s="7" t="n">
        <v>0</v>
      </c>
      <c r="L1031" s="7"/>
      <c r="S1031" s="7" t="n">
        <v>6</v>
      </c>
      <c r="T1031" s="7" t="n">
        <v>12</v>
      </c>
      <c r="U1031" s="7" t="n">
        <v>12</v>
      </c>
      <c r="V1031" s="9" t="n">
        <v>0</v>
      </c>
    </row>
    <row r="1032">
      <c r="A1032" s="7" t="s">
        <v>72</v>
      </c>
      <c r="B1032" s="7" t="s">
        <v>29</v>
      </c>
      <c r="C1032" s="7"/>
      <c r="D1032" s="7" t="s">
        <v>31</v>
      </c>
      <c r="E1032" s="8" t="n">
        <v>45870</v>
      </c>
      <c r="H1032" s="7" t="n">
        <v>2556052</v>
      </c>
      <c r="I1032" s="7" t="n">
        <v>0</v>
      </c>
      <c r="J1032" s="7" t="s">
        <v>51</v>
      </c>
      <c r="K1032" s="7" t="s">
        <v>146</v>
      </c>
      <c r="L1032" s="7" t="s">
        <v>154</v>
      </c>
      <c r="M1032" s="7" t="n">
        <v>2160000</v>
      </c>
      <c r="O1032" s="7" t="n">
        <v>72576</v>
      </c>
      <c r="P1032" s="7" t="n">
        <v>45870</v>
      </c>
      <c r="S1032" s="7" t="n">
        <v>6</v>
      </c>
      <c r="T1032" s="7" t="n">
        <v>12</v>
      </c>
      <c r="U1032" s="7" t="n">
        <v>12</v>
      </c>
      <c r="V1032" s="9" t="n">
        <v>0</v>
      </c>
    </row>
    <row r="1033">
      <c r="A1033" s="7" t="s">
        <v>72</v>
      </c>
      <c r="B1033" s="7" t="s">
        <v>29</v>
      </c>
      <c r="C1033" s="7"/>
      <c r="D1033" s="7" t="s">
        <v>31</v>
      </c>
      <c r="E1033" s="8" t="n">
        <v>45901</v>
      </c>
      <c r="H1033" s="7" t="n">
        <v>2556052</v>
      </c>
      <c r="I1033" s="7" t="n">
        <v>0</v>
      </c>
      <c r="L1033" s="7"/>
      <c r="S1033" s="7" t="n">
        <v>6</v>
      </c>
      <c r="T1033" s="7" t="n">
        <v>12</v>
      </c>
      <c r="U1033" s="7" t="n">
        <v>12</v>
      </c>
      <c r="V1033" s="9" t="n">
        <v>0</v>
      </c>
    </row>
    <row r="1034">
      <c r="A1034" s="7" t="s">
        <v>72</v>
      </c>
      <c r="B1034" s="7" t="s">
        <v>29</v>
      </c>
      <c r="C1034" s="7"/>
      <c r="D1034" s="7" t="s">
        <v>31</v>
      </c>
      <c r="E1034" s="8" t="n">
        <v>45931</v>
      </c>
      <c r="H1034" s="7" t="n">
        <v>2556052</v>
      </c>
      <c r="I1034" s="7" t="n">
        <v>0</v>
      </c>
      <c r="L1034" s="7"/>
      <c r="S1034" s="7" t="n">
        <v>6</v>
      </c>
      <c r="T1034" s="7" t="n">
        <v>12</v>
      </c>
      <c r="U1034" s="7" t="n">
        <v>12</v>
      </c>
      <c r="V1034" s="9" t="n">
        <v>0</v>
      </c>
    </row>
    <row r="1035">
      <c r="A1035" s="7" t="s">
        <v>72</v>
      </c>
      <c r="B1035" s="7" t="s">
        <v>29</v>
      </c>
      <c r="C1035" s="7"/>
      <c r="D1035" s="7" t="s">
        <v>31</v>
      </c>
      <c r="E1035" s="8" t="n">
        <v>45962</v>
      </c>
      <c r="H1035" s="7" t="n">
        <v>2556052</v>
      </c>
      <c r="I1035" s="7" t="n">
        <v>0</v>
      </c>
      <c r="L1035" s="7"/>
      <c r="S1035" s="7" t="n">
        <v>6</v>
      </c>
      <c r="T1035" s="7" t="n">
        <v>12</v>
      </c>
      <c r="U1035" s="7" t="n">
        <v>12</v>
      </c>
      <c r="V1035" s="9" t="n">
        <v>0</v>
      </c>
    </row>
    <row r="1036">
      <c r="A1036" s="7" t="s">
        <v>72</v>
      </c>
      <c r="B1036" s="7" t="s">
        <v>29</v>
      </c>
      <c r="C1036" s="7"/>
      <c r="D1036" s="7" t="s">
        <v>31</v>
      </c>
      <c r="E1036" s="8" t="n">
        <v>45992</v>
      </c>
      <c r="H1036" s="7" t="n">
        <v>2556052</v>
      </c>
      <c r="I1036" s="7" t="n">
        <v>0</v>
      </c>
      <c r="L1036" s="7"/>
      <c r="S1036" s="7" t="n">
        <v>6</v>
      </c>
      <c r="T1036" s="7" t="n">
        <v>12</v>
      </c>
      <c r="U1036" s="7" t="n">
        <v>12</v>
      </c>
      <c r="V1036" s="9" t="n">
        <v>0</v>
      </c>
    </row>
    <row r="1037">
      <c r="A1037" s="7" t="s">
        <v>72</v>
      </c>
      <c r="B1037" s="7" t="s">
        <v>29</v>
      </c>
      <c r="C1037" s="7"/>
      <c r="D1037" s="7" t="s">
        <v>31</v>
      </c>
      <c r="E1037" s="8" t="n">
        <v>46023</v>
      </c>
      <c r="H1037" s="7" t="n">
        <v>2556052</v>
      </c>
      <c r="I1037" s="7" t="n">
        <v>15793376</v>
      </c>
      <c r="J1037" s="7" t="s">
        <v>2</v>
      </c>
      <c r="K1037" s="7" t="s">
        <v>2</v>
      </c>
      <c r="L1037" s="7" t="s">
        <v>4</v>
      </c>
      <c r="M1037" s="7" t="n">
        <v>18349428</v>
      </c>
      <c r="O1037" s="7" t="n">
        <v>616540</v>
      </c>
      <c r="P1037" s="7" t="n">
        <v>46023</v>
      </c>
      <c r="S1037" s="7" t="n">
        <v>6</v>
      </c>
      <c r="T1037" s="7" t="n">
        <v>12</v>
      </c>
      <c r="U1037" s="7" t="n">
        <v>12</v>
      </c>
      <c r="V1037" s="9" t="n">
        <v>6.1788163934067066</v>
      </c>
    </row>
    <row r="1038">
      <c r="A1038" s="7" t="s">
        <v>72</v>
      </c>
      <c r="B1038" s="7" t="s">
        <v>29</v>
      </c>
      <c r="C1038" s="7"/>
      <c r="D1038" s="7" t="s">
        <v>31</v>
      </c>
      <c r="E1038" s="8" t="n">
        <v>46054</v>
      </c>
      <c r="H1038" s="7" t="n">
        <v>2556052</v>
      </c>
      <c r="I1038" s="7" t="n">
        <v>0</v>
      </c>
      <c r="L1038" s="7"/>
      <c r="S1038" s="7" t="n">
        <v>6</v>
      </c>
      <c r="T1038" s="7" t="n">
        <v>12</v>
      </c>
      <c r="U1038" s="7" t="n">
        <v>12</v>
      </c>
      <c r="V1038" s="9" t="n">
        <v>0</v>
      </c>
    </row>
    <row r="1039">
      <c r="A1039" s="7" t="s">
        <v>72</v>
      </c>
      <c r="B1039" s="7" t="s">
        <v>29</v>
      </c>
      <c r="C1039" s="7"/>
      <c r="D1039" s="7" t="s">
        <v>31</v>
      </c>
      <c r="E1039" s="8" t="n">
        <v>46082</v>
      </c>
      <c r="H1039" s="7" t="n">
        <v>2556052</v>
      </c>
      <c r="I1039" s="7" t="n">
        <v>0</v>
      </c>
      <c r="L1039" s="7"/>
      <c r="S1039" s="7" t="n">
        <v>6</v>
      </c>
      <c r="T1039" s="7" t="n">
        <v>12</v>
      </c>
      <c r="U1039" s="7" t="n">
        <v>12</v>
      </c>
      <c r="V1039" s="9" t="n">
        <v>0</v>
      </c>
    </row>
    <row r="1040">
      <c r="A1040" s="7" t="s">
        <v>72</v>
      </c>
      <c r="B1040" s="7" t="s">
        <v>29</v>
      </c>
      <c r="C1040" s="7"/>
      <c r="D1040" s="7" t="s">
        <v>31</v>
      </c>
      <c r="E1040" s="8" t="n">
        <v>46113</v>
      </c>
      <c r="H1040" s="7" t="n">
        <v>2556052</v>
      </c>
      <c r="I1040" s="7" t="n">
        <v>0</v>
      </c>
      <c r="L1040" s="7"/>
      <c r="S1040" s="7" t="n">
        <v>6</v>
      </c>
      <c r="T1040" s="7" t="n">
        <v>12</v>
      </c>
      <c r="U1040" s="7" t="n">
        <v>12</v>
      </c>
      <c r="V1040" s="9" t="n">
        <v>0</v>
      </c>
    </row>
    <row r="1041">
      <c r="A1041" s="7" t="s">
        <v>72</v>
      </c>
      <c r="B1041" s="7" t="s">
        <v>29</v>
      </c>
      <c r="C1041" s="7"/>
      <c r="D1041" s="7" t="s">
        <v>31</v>
      </c>
      <c r="E1041" s="8" t="n">
        <v>46143</v>
      </c>
      <c r="H1041" s="7" t="n">
        <v>2556052</v>
      </c>
      <c r="I1041" s="7" t="n">
        <v>0</v>
      </c>
      <c r="L1041" s="7"/>
      <c r="S1041" s="7" t="n">
        <v>6</v>
      </c>
      <c r="T1041" s="7" t="n">
        <v>12</v>
      </c>
      <c r="U1041" s="7" t="n">
        <v>12</v>
      </c>
      <c r="V1041" s="9" t="n">
        <v>0</v>
      </c>
    </row>
    <row r="1042">
      <c r="A1042" s="7" t="s">
        <v>72</v>
      </c>
      <c r="B1042" s="7" t="s">
        <v>29</v>
      </c>
      <c r="C1042" s="7"/>
      <c r="D1042" s="7" t="s">
        <v>31</v>
      </c>
      <c r="E1042" s="8" t="n">
        <v>46174</v>
      </c>
      <c r="H1042" s="7" t="n">
        <v>2556052</v>
      </c>
      <c r="I1042" s="7" t="n">
        <v>0</v>
      </c>
      <c r="L1042" s="7"/>
      <c r="S1042" s="7" t="n">
        <v>6</v>
      </c>
      <c r="T1042" s="7" t="n">
        <v>12</v>
      </c>
      <c r="U1042" s="7" t="n">
        <v>12</v>
      </c>
      <c r="V1042" s="9" t="n">
        <v>0</v>
      </c>
    </row>
    <row r="1043">
      <c r="A1043" s="7" t="s">
        <v>72</v>
      </c>
      <c r="B1043" s="7" t="s">
        <v>29</v>
      </c>
      <c r="C1043" s="7"/>
      <c r="D1043" s="7" t="s">
        <v>31</v>
      </c>
      <c r="E1043" s="8" t="n">
        <v>46204</v>
      </c>
      <c r="H1043" s="7" t="n">
        <v>2556052</v>
      </c>
      <c r="I1043" s="7" t="n">
        <v>16740599</v>
      </c>
      <c r="J1043" s="7" t="s">
        <v>2</v>
      </c>
      <c r="K1043" s="7" t="s">
        <v>2</v>
      </c>
      <c r="L1043" s="7" t="s">
        <v>4</v>
      </c>
      <c r="M1043" s="7" t="n">
        <v>19296651</v>
      </c>
      <c r="O1043" s="7" t="n">
        <v>648368</v>
      </c>
      <c r="P1043" s="7" t="n">
        <v>46204</v>
      </c>
      <c r="S1043" s="7" t="n">
        <v>6</v>
      </c>
      <c r="T1043" s="7" t="n">
        <v>12</v>
      </c>
      <c r="U1043" s="7" t="n">
        <v>12</v>
      </c>
      <c r="V1043" s="9" t="n">
        <v>6.5493968823795443</v>
      </c>
    </row>
    <row r="1044">
      <c r="A1044" s="7" t="s">
        <v>72</v>
      </c>
      <c r="B1044" s="7" t="s">
        <v>29</v>
      </c>
      <c r="C1044" s="7"/>
      <c r="D1044" s="7" t="s">
        <v>31</v>
      </c>
      <c r="E1044" s="8" t="n">
        <v>46235</v>
      </c>
      <c r="H1044" s="7" t="n">
        <v>2556052</v>
      </c>
      <c r="I1044" s="7" t="n">
        <v>0</v>
      </c>
      <c r="L1044" s="7"/>
      <c r="S1044" s="7" t="n">
        <v>6</v>
      </c>
      <c r="T1044" s="7" t="n">
        <v>12</v>
      </c>
      <c r="U1044" s="7" t="n">
        <v>12</v>
      </c>
      <c r="V1044" s="9" t="n">
        <v>0</v>
      </c>
    </row>
    <row r="1045">
      <c r="A1045" s="7" t="s">
        <v>72</v>
      </c>
      <c r="B1045" s="7" t="s">
        <v>29</v>
      </c>
      <c r="C1045" s="7"/>
      <c r="D1045" s="7" t="s">
        <v>31</v>
      </c>
      <c r="E1045" s="8" t="n">
        <v>46266</v>
      </c>
      <c r="H1045" s="7" t="n">
        <v>2556052</v>
      </c>
      <c r="I1045" s="7" t="n">
        <v>0</v>
      </c>
      <c r="L1045" s="7"/>
      <c r="S1045" s="7" t="n">
        <v>6</v>
      </c>
      <c r="T1045" s="7" t="n">
        <v>12</v>
      </c>
      <c r="U1045" s="7" t="n">
        <v>12</v>
      </c>
      <c r="V1045" s="9" t="n">
        <v>0</v>
      </c>
    </row>
    <row r="1046">
      <c r="A1046" s="7" t="s">
        <v>72</v>
      </c>
      <c r="B1046" s="7" t="s">
        <v>29</v>
      </c>
      <c r="C1046" s="7"/>
      <c r="D1046" s="7" t="s">
        <v>31</v>
      </c>
      <c r="E1046" s="8" t="n">
        <v>46296</v>
      </c>
      <c r="H1046" s="7" t="n">
        <v>2556052</v>
      </c>
      <c r="I1046" s="7" t="n">
        <v>0</v>
      </c>
      <c r="L1046" s="7"/>
      <c r="S1046" s="7" t="n">
        <v>6</v>
      </c>
      <c r="T1046" s="7" t="n">
        <v>12</v>
      </c>
      <c r="U1046" s="7" t="n">
        <v>12</v>
      </c>
      <c r="V1046" s="9" t="n">
        <v>0</v>
      </c>
    </row>
    <row r="1047">
      <c r="A1047" s="7" t="s">
        <v>72</v>
      </c>
      <c r="B1047" s="7" t="s">
        <v>29</v>
      </c>
      <c r="C1047" s="7"/>
      <c r="D1047" s="7" t="s">
        <v>31</v>
      </c>
      <c r="E1047" s="8" t="n">
        <v>46327</v>
      </c>
      <c r="H1047" s="7" t="n">
        <v>2556052</v>
      </c>
      <c r="I1047" s="7" t="n">
        <v>0</v>
      </c>
      <c r="L1047" s="7"/>
      <c r="S1047" s="7" t="n">
        <v>6</v>
      </c>
      <c r="T1047" s="7" t="n">
        <v>12</v>
      </c>
      <c r="U1047" s="7" t="n">
        <v>12</v>
      </c>
      <c r="V1047" s="9" t="n">
        <v>0</v>
      </c>
    </row>
    <row r="1048">
      <c r="A1048" s="7" t="s">
        <v>72</v>
      </c>
      <c r="B1048" s="7" t="s">
        <v>29</v>
      </c>
      <c r="C1048" s="7"/>
      <c r="D1048" s="7" t="s">
        <v>31</v>
      </c>
      <c r="E1048" s="8" t="n">
        <v>46357</v>
      </c>
      <c r="H1048" s="7" t="n">
        <v>2556052</v>
      </c>
      <c r="I1048" s="7" t="n">
        <v>12870812</v>
      </c>
      <c r="J1048" s="7" t="s">
        <v>162</v>
      </c>
      <c r="K1048" s="7" t="s">
        <v>162</v>
      </c>
      <c r="L1048" s="7" t="s">
        <v>147</v>
      </c>
      <c r="M1048" s="7" t="n">
        <v>15426864</v>
      </c>
      <c r="O1048" s="7" t="n">
        <v>518343</v>
      </c>
      <c r="P1048" s="7" t="n">
        <v>46357</v>
      </c>
      <c r="S1048" s="7" t="n">
        <v>6</v>
      </c>
      <c r="T1048" s="7" t="n">
        <v>12</v>
      </c>
      <c r="U1048" s="7" t="n">
        <v>12</v>
      </c>
      <c r="V1048" s="9" t="n">
        <v>5.0354265093198416</v>
      </c>
    </row>
    <row r="1049">
      <c r="A1049" s="7" t="s">
        <v>77</v>
      </c>
      <c r="B1049" s="7" t="s">
        <v>29</v>
      </c>
      <c r="C1049" s="7"/>
      <c r="D1049" s="7" t="s">
        <v>31</v>
      </c>
      <c r="E1049" s="8" t="n">
        <v>45839</v>
      </c>
      <c r="F1049" s="7" t="n">
        <v>3400970</v>
      </c>
      <c r="H1049" s="7" t="n">
        <v>2035293</v>
      </c>
      <c r="I1049" s="7" t="n">
        <v>1365677</v>
      </c>
      <c r="L1049" s="7"/>
      <c r="S1049" s="7" t="n">
        <v>6</v>
      </c>
      <c r="T1049" s="7" t="n">
        <v>12</v>
      </c>
      <c r="U1049" s="7" t="n">
        <v>12</v>
      </c>
      <c r="V1049" s="9" t="n">
        <v>0.67099773840916266</v>
      </c>
    </row>
    <row r="1050">
      <c r="A1050" s="7" t="s">
        <v>77</v>
      </c>
      <c r="B1050" s="7" t="s">
        <v>29</v>
      </c>
      <c r="C1050" s="7"/>
      <c r="D1050" s="7" t="s">
        <v>31</v>
      </c>
      <c r="E1050" s="8" t="n">
        <v>45870</v>
      </c>
      <c r="F1050" s="7" t="n">
        <v>1365677</v>
      </c>
      <c r="H1050" s="7" t="n">
        <v>2035293</v>
      </c>
      <c r="I1050" s="7" t="n">
        <v>0</v>
      </c>
      <c r="L1050" s="7"/>
      <c r="S1050" s="7" t="n">
        <v>6</v>
      </c>
      <c r="T1050" s="7" t="n">
        <v>12</v>
      </c>
      <c r="U1050" s="7" t="n">
        <v>12</v>
      </c>
      <c r="V1050" s="9" t="n">
        <v>0</v>
      </c>
    </row>
    <row r="1051">
      <c r="A1051" s="7" t="s">
        <v>77</v>
      </c>
      <c r="B1051" s="7" t="s">
        <v>29</v>
      </c>
      <c r="C1051" s="7"/>
      <c r="D1051" s="7" t="s">
        <v>31</v>
      </c>
      <c r="E1051" s="8" t="n">
        <v>45901</v>
      </c>
      <c r="F1051" s="7" t="n">
        <v>0</v>
      </c>
      <c r="H1051" s="7" t="n">
        <v>2035293</v>
      </c>
      <c r="I1051" s="7" t="n">
        <v>7310307</v>
      </c>
      <c r="J1051" s="7" t="s">
        <v>51</v>
      </c>
      <c r="K1051" s="7" t="s">
        <v>146</v>
      </c>
      <c r="L1051" s="7" t="s">
        <v>154</v>
      </c>
      <c r="M1051" s="7" t="n">
        <v>9345600</v>
      </c>
      <c r="S1051" s="7" t="n">
        <v>6</v>
      </c>
      <c r="T1051" s="7" t="n">
        <v>12</v>
      </c>
      <c r="U1051" s="7" t="n">
        <v>12</v>
      </c>
      <c r="V1051" s="9" t="n">
        <v>3.5917713076200823</v>
      </c>
    </row>
    <row r="1052">
      <c r="A1052" s="7" t="s">
        <v>77</v>
      </c>
      <c r="B1052" s="7" t="s">
        <v>29</v>
      </c>
      <c r="C1052" s="7"/>
      <c r="D1052" s="7" t="s">
        <v>31</v>
      </c>
      <c r="E1052" s="8" t="n">
        <v>45931</v>
      </c>
      <c r="F1052" s="7" t="n">
        <v>7310307</v>
      </c>
      <c r="H1052" s="7" t="n">
        <v>2035293</v>
      </c>
      <c r="I1052" s="7" t="n">
        <v>5275014</v>
      </c>
      <c r="L1052" s="7"/>
      <c r="S1052" s="7" t="n">
        <v>6</v>
      </c>
      <c r="T1052" s="7" t="n">
        <v>12</v>
      </c>
      <c r="U1052" s="7" t="n">
        <v>12</v>
      </c>
      <c r="V1052" s="9" t="n">
        <v>2.5917713076200823</v>
      </c>
    </row>
    <row r="1053">
      <c r="A1053" s="7" t="s">
        <v>77</v>
      </c>
      <c r="B1053" s="7" t="s">
        <v>29</v>
      </c>
      <c r="C1053" s="7"/>
      <c r="D1053" s="7" t="s">
        <v>31</v>
      </c>
      <c r="E1053" s="8" t="n">
        <v>45962</v>
      </c>
      <c r="F1053" s="7" t="n">
        <v>5275014</v>
      </c>
      <c r="H1053" s="7" t="n">
        <v>2035293</v>
      </c>
      <c r="I1053" s="7" t="n">
        <v>24304579</v>
      </c>
      <c r="J1053" s="7" t="s">
        <v>155</v>
      </c>
      <c r="K1053" s="7" t="s">
        <v>155</v>
      </c>
      <c r="L1053" s="7" t="s">
        <v>147</v>
      </c>
      <c r="M1053" s="7" t="n">
        <v>21064858</v>
      </c>
      <c r="S1053" s="7" t="n">
        <v>6</v>
      </c>
      <c r="T1053" s="7" t="n">
        <v>12</v>
      </c>
      <c r="U1053" s="7" t="n">
        <v>12</v>
      </c>
      <c r="V1053" s="9" t="n">
        <v>11.9415627135749</v>
      </c>
    </row>
    <row r="1054">
      <c r="A1054" s="7" t="s">
        <v>77</v>
      </c>
      <c r="B1054" s="7" t="s">
        <v>29</v>
      </c>
      <c r="C1054" s="7"/>
      <c r="D1054" s="7" t="s">
        <v>31</v>
      </c>
      <c r="E1054" s="8" t="n">
        <v>45992</v>
      </c>
      <c r="F1054" s="7" t="n">
        <v>24304579</v>
      </c>
      <c r="H1054" s="7" t="n">
        <v>2035293</v>
      </c>
      <c r="I1054" s="7" t="n">
        <v>22269286</v>
      </c>
      <c r="L1054" s="7"/>
      <c r="S1054" s="7" t="n">
        <v>6</v>
      </c>
      <c r="T1054" s="7" t="n">
        <v>12</v>
      </c>
      <c r="U1054" s="7" t="n">
        <v>12</v>
      </c>
      <c r="V1054" s="9" t="n">
        <v>10.9415627135749</v>
      </c>
    </row>
    <row r="1055">
      <c r="A1055" s="7" t="s">
        <v>77</v>
      </c>
      <c r="B1055" s="7" t="s">
        <v>29</v>
      </c>
      <c r="C1055" s="7"/>
      <c r="D1055" s="7" t="s">
        <v>31</v>
      </c>
      <c r="E1055" s="8" t="n">
        <v>46023</v>
      </c>
      <c r="F1055" s="7" t="n">
        <v>22269286</v>
      </c>
      <c r="H1055" s="7" t="n">
        <v>2035293</v>
      </c>
      <c r="I1055" s="7" t="n">
        <v>20233993</v>
      </c>
      <c r="L1055" s="7"/>
      <c r="S1055" s="7" t="n">
        <v>6</v>
      </c>
      <c r="T1055" s="7" t="n">
        <v>12</v>
      </c>
      <c r="U1055" s="7" t="n">
        <v>12</v>
      </c>
      <c r="V1055" s="9" t="n">
        <v>9.9415627135748998</v>
      </c>
    </row>
    <row r="1056">
      <c r="A1056" s="7" t="s">
        <v>77</v>
      </c>
      <c r="B1056" s="7" t="s">
        <v>29</v>
      </c>
      <c r="C1056" s="7"/>
      <c r="D1056" s="7" t="s">
        <v>31</v>
      </c>
      <c r="E1056" s="8" t="n">
        <v>46054</v>
      </c>
      <c r="F1056" s="7" t="n">
        <v>20233993</v>
      </c>
      <c r="H1056" s="7" t="n">
        <v>2035293</v>
      </c>
      <c r="I1056" s="7" t="n">
        <v>18198700</v>
      </c>
      <c r="L1056" s="7"/>
      <c r="S1056" s="7" t="n">
        <v>6</v>
      </c>
      <c r="T1056" s="7" t="n">
        <v>12</v>
      </c>
      <c r="U1056" s="7" t="n">
        <v>12</v>
      </c>
      <c r="V1056" s="9" t="n">
        <v>8.9415627135748998</v>
      </c>
    </row>
    <row r="1057">
      <c r="A1057" s="7" t="s">
        <v>77</v>
      </c>
      <c r="B1057" s="7" t="s">
        <v>29</v>
      </c>
      <c r="C1057" s="7"/>
      <c r="D1057" s="7" t="s">
        <v>31</v>
      </c>
      <c r="E1057" s="8" t="n">
        <v>46082</v>
      </c>
      <c r="F1057" s="7" t="n">
        <v>18198700</v>
      </c>
      <c r="H1057" s="7" t="n">
        <v>2035293</v>
      </c>
      <c r="I1057" s="7" t="n">
        <v>16163407</v>
      </c>
      <c r="L1057" s="7"/>
      <c r="S1057" s="7" t="n">
        <v>6</v>
      </c>
      <c r="T1057" s="7" t="n">
        <v>12</v>
      </c>
      <c r="U1057" s="7" t="n">
        <v>12</v>
      </c>
      <c r="V1057" s="9" t="n">
        <v>7.9415627135749007</v>
      </c>
    </row>
    <row r="1058">
      <c r="A1058" s="7" t="s">
        <v>77</v>
      </c>
      <c r="B1058" s="7" t="s">
        <v>29</v>
      </c>
      <c r="C1058" s="7"/>
      <c r="D1058" s="7" t="s">
        <v>31</v>
      </c>
      <c r="E1058" s="8" t="n">
        <v>46113</v>
      </c>
      <c r="F1058" s="7" t="n">
        <v>16163407</v>
      </c>
      <c r="H1058" s="7" t="n">
        <v>2035293</v>
      </c>
      <c r="I1058" s="7" t="n">
        <v>14128114</v>
      </c>
      <c r="L1058" s="7"/>
      <c r="S1058" s="7" t="n">
        <v>6</v>
      </c>
      <c r="T1058" s="7" t="n">
        <v>12</v>
      </c>
      <c r="U1058" s="7" t="n">
        <v>12</v>
      </c>
      <c r="V1058" s="9" t="n">
        <v>6.9415627135749007</v>
      </c>
    </row>
    <row r="1059">
      <c r="A1059" s="7" t="s">
        <v>77</v>
      </c>
      <c r="B1059" s="7" t="s">
        <v>29</v>
      </c>
      <c r="C1059" s="7"/>
      <c r="D1059" s="7" t="s">
        <v>31</v>
      </c>
      <c r="E1059" s="8" t="n">
        <v>46143</v>
      </c>
      <c r="F1059" s="7" t="n">
        <v>14128114</v>
      </c>
      <c r="H1059" s="7" t="n">
        <v>2035293</v>
      </c>
      <c r="I1059" s="7" t="n">
        <v>12092821</v>
      </c>
      <c r="L1059" s="7"/>
      <c r="S1059" s="7" t="n">
        <v>6</v>
      </c>
      <c r="T1059" s="7" t="n">
        <v>12</v>
      </c>
      <c r="U1059" s="7" t="n">
        <v>12</v>
      </c>
      <c r="V1059" s="9" t="n">
        <v>5.9415627135749007</v>
      </c>
    </row>
    <row r="1060">
      <c r="A1060" s="7" t="s">
        <v>77</v>
      </c>
      <c r="B1060" s="7" t="s">
        <v>29</v>
      </c>
      <c r="C1060" s="7"/>
      <c r="D1060" s="7" t="s">
        <v>31</v>
      </c>
      <c r="E1060" s="8" t="n">
        <v>46174</v>
      </c>
      <c r="F1060" s="7" t="n">
        <v>12092821</v>
      </c>
      <c r="H1060" s="7" t="n">
        <v>2035293</v>
      </c>
      <c r="I1060" s="7" t="n">
        <v>10057528</v>
      </c>
      <c r="L1060" s="7"/>
      <c r="S1060" s="7" t="n">
        <v>6</v>
      </c>
      <c r="T1060" s="7" t="n">
        <v>12</v>
      </c>
      <c r="U1060" s="7" t="n">
        <v>12</v>
      </c>
      <c r="V1060" s="9" t="n">
        <v>4.9415627135749007</v>
      </c>
    </row>
    <row r="1061">
      <c r="A1061" s="7" t="s">
        <v>166</v>
      </c>
      <c r="B1061" s="7" t="s">
        <v>29</v>
      </c>
      <c r="C1061" s="7"/>
      <c r="D1061" s="7" t="s">
        <v>31</v>
      </c>
      <c r="E1061" s="8" t="n">
        <v>45748</v>
      </c>
      <c r="F1061" s="7" t="n">
        <v>7265492</v>
      </c>
      <c r="H1061" s="7" t="n">
        <v>329036</v>
      </c>
      <c r="I1061" s="7" t="n">
        <v>6936456</v>
      </c>
      <c r="L1061" s="7"/>
      <c r="S1061" s="7" t="n">
        <v>9</v>
      </c>
      <c r="T1061" s="7" t="n">
        <v>15</v>
      </c>
      <c r="U1061" s="7" t="n">
        <v>15</v>
      </c>
      <c r="V1061" s="9" t="n">
        <v>21.081146135985119</v>
      </c>
    </row>
    <row r="1062">
      <c r="A1062" s="7" t="s">
        <v>166</v>
      </c>
      <c r="B1062" s="7" t="s">
        <v>29</v>
      </c>
      <c r="C1062" s="7"/>
      <c r="D1062" s="7" t="s">
        <v>31</v>
      </c>
      <c r="E1062" s="8" t="n">
        <v>45778</v>
      </c>
      <c r="F1062" s="7" t="n">
        <v>6936456</v>
      </c>
      <c r="H1062" s="7" t="n">
        <v>329036</v>
      </c>
      <c r="I1062" s="7" t="n">
        <v>6607420</v>
      </c>
      <c r="L1062" s="7"/>
      <c r="S1062" s="7" t="n">
        <v>9</v>
      </c>
      <c r="T1062" s="7" t="n">
        <v>15</v>
      </c>
      <c r="U1062" s="7" t="n">
        <v>15</v>
      </c>
      <c r="V1062" s="9" t="n">
        <v>20.081146135985119</v>
      </c>
    </row>
    <row r="1063">
      <c r="A1063" s="7" t="s">
        <v>166</v>
      </c>
      <c r="B1063" s="7" t="s">
        <v>29</v>
      </c>
      <c r="C1063" s="7"/>
      <c r="D1063" s="7" t="s">
        <v>31</v>
      </c>
      <c r="E1063" s="8" t="n">
        <v>45809</v>
      </c>
      <c r="F1063" s="7" t="n">
        <v>6607420</v>
      </c>
      <c r="H1063" s="7" t="n">
        <v>329036</v>
      </c>
      <c r="I1063" s="7" t="n">
        <v>6278384</v>
      </c>
      <c r="L1063" s="7"/>
      <c r="S1063" s="7" t="n">
        <v>9</v>
      </c>
      <c r="T1063" s="7" t="n">
        <v>15</v>
      </c>
      <c r="U1063" s="7" t="n">
        <v>15</v>
      </c>
      <c r="V1063" s="9" t="n">
        <v>19.081146135985119</v>
      </c>
    </row>
    <row r="1064">
      <c r="A1064" s="7" t="s">
        <v>166</v>
      </c>
      <c r="B1064" s="7" t="s">
        <v>29</v>
      </c>
      <c r="C1064" s="7"/>
      <c r="D1064" s="7" t="s">
        <v>31</v>
      </c>
      <c r="E1064" s="8" t="n">
        <v>45839</v>
      </c>
      <c r="F1064" s="7" t="n">
        <v>6278384</v>
      </c>
      <c r="H1064" s="7" t="n">
        <v>329036</v>
      </c>
      <c r="I1064" s="7" t="n">
        <v>5949348</v>
      </c>
      <c r="L1064" s="7"/>
      <c r="S1064" s="7" t="n">
        <v>9</v>
      </c>
      <c r="T1064" s="7" t="n">
        <v>15</v>
      </c>
      <c r="U1064" s="7" t="n">
        <v>15</v>
      </c>
      <c r="V1064" s="9" t="n">
        <v>18.081146135985119</v>
      </c>
    </row>
    <row r="1065">
      <c r="A1065" s="7" t="s">
        <v>166</v>
      </c>
      <c r="B1065" s="7" t="s">
        <v>29</v>
      </c>
      <c r="C1065" s="7"/>
      <c r="D1065" s="7" t="s">
        <v>31</v>
      </c>
      <c r="E1065" s="8" t="n">
        <v>45870</v>
      </c>
      <c r="F1065" s="7" t="n">
        <v>5949348</v>
      </c>
      <c r="H1065" s="7" t="n">
        <v>329036</v>
      </c>
      <c r="I1065" s="7" t="n">
        <v>5620312</v>
      </c>
      <c r="L1065" s="7"/>
      <c r="S1065" s="7" t="n">
        <v>9</v>
      </c>
      <c r="T1065" s="7" t="n">
        <v>15</v>
      </c>
      <c r="U1065" s="7" t="n">
        <v>15</v>
      </c>
      <c r="V1065" s="9" t="n">
        <v>17.081146135985119</v>
      </c>
    </row>
    <row r="1066">
      <c r="A1066" s="7" t="s">
        <v>166</v>
      </c>
      <c r="B1066" s="7" t="s">
        <v>29</v>
      </c>
      <c r="C1066" s="7"/>
      <c r="D1066" s="7" t="s">
        <v>31</v>
      </c>
      <c r="E1066" s="8" t="n">
        <v>45901</v>
      </c>
      <c r="F1066" s="7" t="n">
        <v>5620312</v>
      </c>
      <c r="H1066" s="7" t="n">
        <v>329036</v>
      </c>
      <c r="I1066" s="7" t="n">
        <v>5291276</v>
      </c>
      <c r="L1066" s="7"/>
      <c r="S1066" s="7" t="n">
        <v>9</v>
      </c>
      <c r="T1066" s="7" t="n">
        <v>15</v>
      </c>
      <c r="U1066" s="7" t="n">
        <v>15</v>
      </c>
      <c r="V1066" s="9" t="n">
        <v>16.081146135985119</v>
      </c>
    </row>
    <row r="1067">
      <c r="A1067" s="7" t="s">
        <v>166</v>
      </c>
      <c r="B1067" s="7" t="s">
        <v>29</v>
      </c>
      <c r="C1067" s="7"/>
      <c r="D1067" s="7" t="s">
        <v>31</v>
      </c>
      <c r="E1067" s="8" t="n">
        <v>45931</v>
      </c>
      <c r="F1067" s="7" t="n">
        <v>5291276</v>
      </c>
      <c r="H1067" s="7" t="n">
        <v>329036</v>
      </c>
      <c r="I1067" s="7" t="n">
        <v>4962240</v>
      </c>
      <c r="L1067" s="7"/>
      <c r="S1067" s="7" t="n">
        <v>9</v>
      </c>
      <c r="T1067" s="7" t="n">
        <v>15</v>
      </c>
      <c r="U1067" s="7" t="n">
        <v>15</v>
      </c>
      <c r="V1067" s="9" t="n">
        <v>15.08114613598512</v>
      </c>
    </row>
    <row r="1068">
      <c r="A1068" s="7" t="s">
        <v>166</v>
      </c>
      <c r="B1068" s="7" t="s">
        <v>29</v>
      </c>
      <c r="C1068" s="7"/>
      <c r="D1068" s="7" t="s">
        <v>31</v>
      </c>
      <c r="E1068" s="8" t="n">
        <v>45962</v>
      </c>
      <c r="F1068" s="7" t="n">
        <v>4962240</v>
      </c>
      <c r="H1068" s="7" t="n">
        <v>329036</v>
      </c>
      <c r="I1068" s="7" t="n">
        <v>4633204</v>
      </c>
      <c r="L1068" s="7"/>
      <c r="S1068" s="7" t="n">
        <v>9</v>
      </c>
      <c r="T1068" s="7" t="n">
        <v>15</v>
      </c>
      <c r="U1068" s="7" t="n">
        <v>15</v>
      </c>
      <c r="V1068" s="9" t="n">
        <v>14.08114613598512</v>
      </c>
    </row>
    <row r="1069">
      <c r="A1069" s="7" t="s">
        <v>166</v>
      </c>
      <c r="B1069" s="7" t="s">
        <v>29</v>
      </c>
      <c r="C1069" s="7"/>
      <c r="D1069" s="7" t="s">
        <v>31</v>
      </c>
      <c r="E1069" s="8" t="n">
        <v>45992</v>
      </c>
      <c r="F1069" s="7" t="n">
        <v>4633204</v>
      </c>
      <c r="H1069" s="7" t="n">
        <v>329036</v>
      </c>
      <c r="I1069" s="7" t="n">
        <v>4304168</v>
      </c>
      <c r="L1069" s="7"/>
      <c r="S1069" s="7" t="n">
        <v>9</v>
      </c>
      <c r="T1069" s="7" t="n">
        <v>15</v>
      </c>
      <c r="U1069" s="7" t="n">
        <v>15</v>
      </c>
      <c r="V1069" s="9" t="n">
        <v>13.08114613598512</v>
      </c>
    </row>
    <row r="1070">
      <c r="A1070" s="7" t="s">
        <v>28</v>
      </c>
      <c r="B1070" s="7" t="s">
        <v>54</v>
      </c>
      <c r="C1070" s="7"/>
      <c r="D1070" s="7" t="s">
        <v>31</v>
      </c>
      <c r="E1070" s="8" t="n">
        <v>45839</v>
      </c>
      <c r="F1070" s="7" t="n">
        <v>193964</v>
      </c>
      <c r="H1070" s="7" t="n">
        <v>19077</v>
      </c>
      <c r="I1070" s="7" t="n">
        <v>174887</v>
      </c>
      <c r="L1070" s="7"/>
      <c r="S1070" s="7" t="n">
        <v>9</v>
      </c>
      <c r="T1070" s="7" t="n">
        <v>14</v>
      </c>
      <c r="U1070" s="7" t="n">
        <v>13</v>
      </c>
      <c r="V1070" s="9" t="n">
        <v>9.167426744246999</v>
      </c>
    </row>
    <row r="1071">
      <c r="A1071" s="7" t="s">
        <v>28</v>
      </c>
      <c r="B1071" s="7" t="s">
        <v>54</v>
      </c>
      <c r="C1071" s="7"/>
      <c r="D1071" s="7" t="s">
        <v>31</v>
      </c>
      <c r="E1071" s="8" t="n">
        <v>45870</v>
      </c>
      <c r="F1071" s="7" t="n">
        <v>174887</v>
      </c>
      <c r="H1071" s="7" t="n">
        <v>19077</v>
      </c>
      <c r="I1071" s="7" t="n">
        <v>674349</v>
      </c>
      <c r="J1071" s="7" t="s">
        <v>51</v>
      </c>
      <c r="K1071" s="7" t="s">
        <v>51</v>
      </c>
      <c r="L1071" s="7" t="s">
        <v>4</v>
      </c>
      <c r="M1071" s="7" t="n">
        <v>518539</v>
      </c>
      <c r="O1071" s="7" t="n">
        <v>136894</v>
      </c>
      <c r="P1071" s="7" t="n">
        <v>45870</v>
      </c>
      <c r="S1071" s="7" t="n">
        <v>9</v>
      </c>
      <c r="T1071" s="7" t="n">
        <v>14</v>
      </c>
      <c r="U1071" s="7" t="n">
        <v>13</v>
      </c>
      <c r="V1071" s="9" t="n">
        <v>35.348796980657333</v>
      </c>
    </row>
    <row r="1072">
      <c r="A1072" s="7" t="s">
        <v>28</v>
      </c>
      <c r="B1072" s="7" t="s">
        <v>54</v>
      </c>
      <c r="C1072" s="7"/>
      <c r="D1072" s="7" t="s">
        <v>31</v>
      </c>
      <c r="E1072" s="8" t="n">
        <v>45901</v>
      </c>
      <c r="F1072" s="7" t="n">
        <v>674349</v>
      </c>
      <c r="H1072" s="7" t="n">
        <v>19077</v>
      </c>
      <c r="I1072" s="7" t="n">
        <v>655272</v>
      </c>
      <c r="L1072" s="7"/>
      <c r="S1072" s="7" t="n">
        <v>9</v>
      </c>
      <c r="T1072" s="7" t="n">
        <v>14</v>
      </c>
      <c r="U1072" s="7" t="n">
        <v>13</v>
      </c>
      <c r="V1072" s="9" t="n">
        <v>34.348796980657333</v>
      </c>
    </row>
    <row r="1073">
      <c r="A1073" s="7" t="s">
        <v>28</v>
      </c>
      <c r="B1073" s="7" t="s">
        <v>54</v>
      </c>
      <c r="C1073" s="7"/>
      <c r="D1073" s="7" t="s">
        <v>31</v>
      </c>
      <c r="E1073" s="8" t="n">
        <v>45931</v>
      </c>
      <c r="F1073" s="7" t="n">
        <v>655272</v>
      </c>
      <c r="H1073" s="7" t="n">
        <v>19077</v>
      </c>
      <c r="I1073" s="7" t="n">
        <v>636195</v>
      </c>
      <c r="L1073" s="7"/>
      <c r="S1073" s="7" t="n">
        <v>9</v>
      </c>
      <c r="T1073" s="7" t="n">
        <v>14</v>
      </c>
      <c r="U1073" s="7" t="n">
        <v>13</v>
      </c>
      <c r="V1073" s="9" t="n">
        <v>33.348796980657333</v>
      </c>
    </row>
    <row r="1074">
      <c r="A1074" s="7" t="s">
        <v>28</v>
      </c>
      <c r="B1074" s="7" t="s">
        <v>54</v>
      </c>
      <c r="C1074" s="7"/>
      <c r="D1074" s="7" t="s">
        <v>31</v>
      </c>
      <c r="E1074" s="8" t="n">
        <v>45962</v>
      </c>
      <c r="F1074" s="7" t="n">
        <v>636195</v>
      </c>
      <c r="H1074" s="7" t="n">
        <v>19077</v>
      </c>
      <c r="I1074" s="7" t="n">
        <v>617118</v>
      </c>
      <c r="L1074" s="7"/>
      <c r="S1074" s="7" t="n">
        <v>9</v>
      </c>
      <c r="T1074" s="7" t="n">
        <v>14</v>
      </c>
      <c r="U1074" s="7" t="n">
        <v>13</v>
      </c>
      <c r="V1074" s="9" t="n">
        <v>32.348796980657333</v>
      </c>
    </row>
    <row r="1075">
      <c r="A1075" s="7" t="s">
        <v>28</v>
      </c>
      <c r="B1075" s="7" t="s">
        <v>54</v>
      </c>
      <c r="C1075" s="7"/>
      <c r="D1075" s="7" t="s">
        <v>31</v>
      </c>
      <c r="E1075" s="8" t="n">
        <v>45992</v>
      </c>
      <c r="F1075" s="7" t="n">
        <v>617118</v>
      </c>
      <c r="H1075" s="7" t="n">
        <v>19077</v>
      </c>
      <c r="I1075" s="7" t="n">
        <v>598041</v>
      </c>
      <c r="L1075" s="7"/>
      <c r="S1075" s="7" t="n">
        <v>9</v>
      </c>
      <c r="T1075" s="7" t="n">
        <v>14</v>
      </c>
      <c r="U1075" s="7" t="n">
        <v>13</v>
      </c>
      <c r="V1075" s="9" t="n">
        <v>31.348796980657337</v>
      </c>
    </row>
    <row r="1076">
      <c r="A1076" s="7" t="s">
        <v>28</v>
      </c>
      <c r="B1076" s="7" t="s">
        <v>54</v>
      </c>
      <c r="C1076" s="7"/>
      <c r="D1076" s="7" t="s">
        <v>31</v>
      </c>
      <c r="E1076" s="8" t="n">
        <v>46023</v>
      </c>
      <c r="F1076" s="7" t="n">
        <v>598041</v>
      </c>
      <c r="H1076" s="7" t="n">
        <v>19077</v>
      </c>
      <c r="I1076" s="7" t="n">
        <v>1087444</v>
      </c>
      <c r="J1076" s="7" t="s">
        <v>2</v>
      </c>
      <c r="K1076" s="7" t="s">
        <v>2</v>
      </c>
      <c r="L1076" s="7" t="s">
        <v>4</v>
      </c>
      <c r="M1076" s="7" t="n">
        <v>508480</v>
      </c>
      <c r="O1076" s="7" t="n">
        <v>134239</v>
      </c>
      <c r="P1076" s="7" t="n">
        <v>46023</v>
      </c>
      <c r="S1076" s="7" t="n">
        <v>9</v>
      </c>
      <c r="T1076" s="7" t="n">
        <v>14</v>
      </c>
      <c r="U1076" s="7" t="n">
        <v>13</v>
      </c>
      <c r="V1076" s="9" t="n">
        <v>57.002883052890915</v>
      </c>
    </row>
    <row r="1077">
      <c r="A1077" s="7" t="s">
        <v>28</v>
      </c>
      <c r="B1077" s="7" t="s">
        <v>54</v>
      </c>
      <c r="C1077" s="7"/>
      <c r="D1077" s="7" t="s">
        <v>31</v>
      </c>
      <c r="E1077" s="8" t="n">
        <v>46054</v>
      </c>
      <c r="F1077" s="7" t="n">
        <v>1087444</v>
      </c>
      <c r="H1077" s="7" t="n">
        <v>19077</v>
      </c>
      <c r="I1077" s="7" t="n">
        <v>1068367</v>
      </c>
      <c r="L1077" s="7"/>
      <c r="S1077" s="7" t="n">
        <v>9</v>
      </c>
      <c r="T1077" s="7" t="n">
        <v>14</v>
      </c>
      <c r="U1077" s="7" t="n">
        <v>13</v>
      </c>
      <c r="V1077" s="9" t="n">
        <v>56.002883052890915</v>
      </c>
    </row>
    <row r="1078">
      <c r="A1078" s="7" t="s">
        <v>28</v>
      </c>
      <c r="B1078" s="7" t="s">
        <v>54</v>
      </c>
      <c r="C1078" s="7"/>
      <c r="D1078" s="7" t="s">
        <v>31</v>
      </c>
      <c r="E1078" s="8" t="n">
        <v>46082</v>
      </c>
      <c r="F1078" s="7" t="n">
        <v>1068367</v>
      </c>
      <c r="H1078" s="7" t="n">
        <v>19077</v>
      </c>
      <c r="I1078" s="7" t="n">
        <v>1049290</v>
      </c>
      <c r="L1078" s="7"/>
      <c r="S1078" s="7" t="n">
        <v>9</v>
      </c>
      <c r="T1078" s="7" t="n">
        <v>14</v>
      </c>
      <c r="U1078" s="7" t="n">
        <v>13</v>
      </c>
      <c r="V1078" s="9" t="n">
        <v>55.002883052890915</v>
      </c>
    </row>
    <row r="1079">
      <c r="A1079" s="7" t="s">
        <v>28</v>
      </c>
      <c r="B1079" s="7" t="s">
        <v>54</v>
      </c>
      <c r="C1079" s="7"/>
      <c r="D1079" s="7" t="s">
        <v>31</v>
      </c>
      <c r="E1079" s="8" t="n">
        <v>46113</v>
      </c>
      <c r="F1079" s="7" t="n">
        <v>1049290</v>
      </c>
      <c r="H1079" s="7" t="n">
        <v>19077</v>
      </c>
      <c r="I1079" s="7" t="n">
        <v>1030213</v>
      </c>
      <c r="L1079" s="7"/>
      <c r="S1079" s="7" t="n">
        <v>9</v>
      </c>
      <c r="T1079" s="7" t="n">
        <v>14</v>
      </c>
      <c r="U1079" s="7" t="n">
        <v>13</v>
      </c>
      <c r="V1079" s="9" t="n">
        <v>54.002883052890915</v>
      </c>
    </row>
    <row r="1080">
      <c r="A1080" s="7" t="s">
        <v>28</v>
      </c>
      <c r="B1080" s="7" t="s">
        <v>54</v>
      </c>
      <c r="C1080" s="7"/>
      <c r="D1080" s="7" t="s">
        <v>31</v>
      </c>
      <c r="E1080" s="8" t="n">
        <v>46143</v>
      </c>
      <c r="F1080" s="7" t="n">
        <v>1030213</v>
      </c>
      <c r="H1080" s="7" t="n">
        <v>19077</v>
      </c>
      <c r="I1080" s="7" t="n">
        <v>1011136</v>
      </c>
      <c r="L1080" s="7"/>
      <c r="S1080" s="7" t="n">
        <v>9</v>
      </c>
      <c r="T1080" s="7" t="n">
        <v>14</v>
      </c>
      <c r="U1080" s="7" t="n">
        <v>13</v>
      </c>
      <c r="V1080" s="9" t="n">
        <v>53.002883052890915</v>
      </c>
    </row>
    <row r="1081">
      <c r="A1081" s="7" t="s">
        <v>28</v>
      </c>
      <c r="B1081" s="7" t="s">
        <v>54</v>
      </c>
      <c r="C1081" s="7"/>
      <c r="D1081" s="7" t="s">
        <v>31</v>
      </c>
      <c r="E1081" s="8" t="n">
        <v>46174</v>
      </c>
      <c r="F1081" s="7" t="n">
        <v>1011136</v>
      </c>
      <c r="H1081" s="7" t="n">
        <v>19077</v>
      </c>
      <c r="I1081" s="7" t="n">
        <v>1514641</v>
      </c>
      <c r="J1081" s="7" t="s">
        <v>2</v>
      </c>
      <c r="K1081" s="7" t="s">
        <v>2</v>
      </c>
      <c r="L1081" s="7" t="s">
        <v>4</v>
      </c>
      <c r="M1081" s="7" t="n">
        <v>522582</v>
      </c>
      <c r="O1081" s="7" t="n">
        <v>137962</v>
      </c>
      <c r="P1081" s="7" t="n">
        <v>46174</v>
      </c>
      <c r="S1081" s="7" t="n">
        <v>9</v>
      </c>
      <c r="T1081" s="7" t="n">
        <v>14</v>
      </c>
      <c r="U1081" s="7" t="n">
        <v>13</v>
      </c>
      <c r="V1081" s="9" t="n">
        <v>79.396183886355303</v>
      </c>
    </row>
    <row r="1082">
      <c r="A1082" s="7" t="s">
        <v>75</v>
      </c>
      <c r="B1082" s="7" t="s">
        <v>54</v>
      </c>
      <c r="C1082" s="7"/>
      <c r="D1082" s="7" t="s">
        <v>31</v>
      </c>
      <c r="E1082" s="8" t="n">
        <v>45748</v>
      </c>
      <c r="F1082" s="7" t="n">
        <v>38405</v>
      </c>
      <c r="H1082" s="7" t="n">
        <v>6731</v>
      </c>
      <c r="I1082" s="7" t="n">
        <v>31674</v>
      </c>
      <c r="L1082" s="7"/>
      <c r="S1082" s="7" t="n">
        <v>7</v>
      </c>
      <c r="T1082" s="7" t="n">
        <v>15</v>
      </c>
      <c r="U1082" s="7" t="n">
        <v>15</v>
      </c>
      <c r="V1082" s="9" t="n">
        <v>4.7056900906254642</v>
      </c>
    </row>
    <row r="1083">
      <c r="A1083" s="7" t="s">
        <v>75</v>
      </c>
      <c r="B1083" s="7" t="s">
        <v>54</v>
      </c>
      <c r="C1083" s="7"/>
      <c r="D1083" s="7" t="s">
        <v>31</v>
      </c>
      <c r="E1083" s="8" t="n">
        <v>45778</v>
      </c>
      <c r="F1083" s="7" t="n">
        <v>31674</v>
      </c>
      <c r="H1083" s="7" t="n">
        <v>6712</v>
      </c>
      <c r="I1083" s="7" t="n">
        <v>24962</v>
      </c>
      <c r="L1083" s="7"/>
      <c r="S1083" s="7" t="n">
        <v>7</v>
      </c>
      <c r="T1083" s="7" t="n">
        <v>15</v>
      </c>
      <c r="U1083" s="7" t="n">
        <v>15</v>
      </c>
      <c r="V1083" s="9" t="n">
        <v>3.7190107270560189</v>
      </c>
    </row>
    <row r="1084">
      <c r="A1084" s="7" t="s">
        <v>75</v>
      </c>
      <c r="B1084" s="7" t="s">
        <v>54</v>
      </c>
      <c r="C1084" s="7"/>
      <c r="D1084" s="7" t="s">
        <v>31</v>
      </c>
      <c r="E1084" s="8" t="n">
        <v>45809</v>
      </c>
      <c r="F1084" s="7" t="n">
        <v>24962</v>
      </c>
      <c r="H1084" s="7" t="n">
        <v>6694</v>
      </c>
      <c r="I1084" s="7" t="n">
        <v>18268</v>
      </c>
      <c r="L1084" s="7"/>
      <c r="S1084" s="7" t="n">
        <v>7</v>
      </c>
      <c r="T1084" s="7" t="n">
        <v>15</v>
      </c>
      <c r="U1084" s="7" t="n">
        <v>15</v>
      </c>
      <c r="V1084" s="9" t="n">
        <v>2.7290110546758291</v>
      </c>
    </row>
    <row r="1085">
      <c r="A1085" s="7" t="s">
        <v>75</v>
      </c>
      <c r="B1085" s="7" t="s">
        <v>54</v>
      </c>
      <c r="C1085" s="7"/>
      <c r="D1085" s="7" t="s">
        <v>31</v>
      </c>
      <c r="E1085" s="8" t="n">
        <v>45839</v>
      </c>
      <c r="F1085" s="7" t="n">
        <v>18268</v>
      </c>
      <c r="H1085" s="7" t="n">
        <v>6676</v>
      </c>
      <c r="I1085" s="7" t="n">
        <v>11592</v>
      </c>
      <c r="L1085" s="7"/>
      <c r="S1085" s="7" t="n">
        <v>7</v>
      </c>
      <c r="T1085" s="7" t="n">
        <v>15</v>
      </c>
      <c r="U1085" s="7" t="n">
        <v>15</v>
      </c>
      <c r="V1085" s="9" t="n">
        <v>1.7363690832834033</v>
      </c>
    </row>
    <row r="1086">
      <c r="A1086" s="7" t="s">
        <v>75</v>
      </c>
      <c r="B1086" s="7" t="s">
        <v>54</v>
      </c>
      <c r="C1086" s="7"/>
      <c r="D1086" s="7" t="s">
        <v>31</v>
      </c>
      <c r="E1086" s="8" t="n">
        <v>45870</v>
      </c>
      <c r="F1086" s="7" t="n">
        <v>11592</v>
      </c>
      <c r="H1086" s="7" t="n">
        <v>6657</v>
      </c>
      <c r="I1086" s="7" t="n">
        <v>4935</v>
      </c>
      <c r="L1086" s="7"/>
      <c r="S1086" s="7" t="n">
        <v>7</v>
      </c>
      <c r="T1086" s="7" t="n">
        <v>15</v>
      </c>
      <c r="U1086" s="7" t="n">
        <v>15</v>
      </c>
      <c r="V1086" s="9" t="n">
        <v>0.74132492113564674</v>
      </c>
    </row>
    <row r="1087">
      <c r="A1087" s="7" t="s">
        <v>75</v>
      </c>
      <c r="B1087" s="7" t="s">
        <v>54</v>
      </c>
      <c r="C1087" s="7"/>
      <c r="D1087" s="7" t="s">
        <v>31</v>
      </c>
      <c r="E1087" s="8" t="n">
        <v>45901</v>
      </c>
      <c r="F1087" s="7" t="n">
        <v>4935</v>
      </c>
      <c r="H1087" s="7" t="n">
        <v>6639</v>
      </c>
      <c r="I1087" s="7" t="n">
        <v>148296</v>
      </c>
      <c r="L1087" s="7" t="s">
        <v>147</v>
      </c>
      <c r="M1087" s="7" t="n">
        <v>150000</v>
      </c>
      <c r="S1087" s="7" t="n">
        <v>7</v>
      </c>
      <c r="T1087" s="7" t="n">
        <v>15</v>
      </c>
      <c r="U1087" s="7" t="n">
        <v>15</v>
      </c>
      <c r="V1087" s="9" t="n">
        <v>22.337098960686852</v>
      </c>
    </row>
    <row r="1088">
      <c r="A1088" s="7" t="s">
        <v>75</v>
      </c>
      <c r="B1088" s="7" t="s">
        <v>54</v>
      </c>
      <c r="C1088" s="7"/>
      <c r="D1088" s="7" t="s">
        <v>31</v>
      </c>
      <c r="E1088" s="8" t="n">
        <v>45931</v>
      </c>
      <c r="F1088" s="7" t="n">
        <v>148296</v>
      </c>
      <c r="H1088" s="7" t="n">
        <v>6621</v>
      </c>
      <c r="I1088" s="7" t="n">
        <v>141675</v>
      </c>
      <c r="L1088" s="7"/>
      <c r="S1088" s="7" t="n">
        <v>7</v>
      </c>
      <c r="T1088" s="7" t="n">
        <v>15</v>
      </c>
      <c r="U1088" s="7" t="n">
        <v>15</v>
      </c>
      <c r="V1088" s="9" t="n">
        <v>21.397825101948346</v>
      </c>
    </row>
    <row r="1089">
      <c r="A1089" s="7" t="s">
        <v>75</v>
      </c>
      <c r="B1089" s="7" t="s">
        <v>54</v>
      </c>
      <c r="C1089" s="7"/>
      <c r="D1089" s="7" t="s">
        <v>31</v>
      </c>
      <c r="E1089" s="8" t="n">
        <v>45962</v>
      </c>
      <c r="F1089" s="7" t="n">
        <v>141675</v>
      </c>
      <c r="H1089" s="7" t="n">
        <v>6602</v>
      </c>
      <c r="I1089" s="7" t="n">
        <v>135073</v>
      </c>
      <c r="L1089" s="7"/>
      <c r="S1089" s="7" t="n">
        <v>7</v>
      </c>
      <c r="T1089" s="7" t="n">
        <v>15</v>
      </c>
      <c r="U1089" s="7" t="n">
        <v>15</v>
      </c>
      <c r="V1089" s="9" t="n">
        <v>20.459406240533173</v>
      </c>
    </row>
    <row r="1090">
      <c r="A1090" s="7" t="s">
        <v>75</v>
      </c>
      <c r="B1090" s="7" t="s">
        <v>54</v>
      </c>
      <c r="C1090" s="7"/>
      <c r="D1090" s="7" t="s">
        <v>31</v>
      </c>
      <c r="E1090" s="8" t="n">
        <v>45992</v>
      </c>
      <c r="F1090" s="7" t="n">
        <v>135073</v>
      </c>
      <c r="H1090" s="7" t="n">
        <v>6584</v>
      </c>
      <c r="I1090" s="7" t="n">
        <v>128489</v>
      </c>
      <c r="L1090" s="7"/>
      <c r="S1090" s="7" t="n">
        <v>7</v>
      </c>
      <c r="T1090" s="7" t="n">
        <v>15</v>
      </c>
      <c r="U1090" s="7" t="n">
        <v>15</v>
      </c>
      <c r="V1090" s="9" t="n">
        <v>19.51534021871203</v>
      </c>
    </row>
    <row r="1091">
      <c r="A1091" s="7" t="s">
        <v>75</v>
      </c>
      <c r="B1091" s="7" t="s">
        <v>54</v>
      </c>
      <c r="C1091" s="7"/>
      <c r="D1091" s="7" t="s">
        <v>31</v>
      </c>
      <c r="E1091" s="8" t="n">
        <v>46023</v>
      </c>
      <c r="F1091" s="7" t="n">
        <v>128489</v>
      </c>
      <c r="H1091" s="7" t="n">
        <v>6566</v>
      </c>
      <c r="I1091" s="7" t="n">
        <v>121923</v>
      </c>
      <c r="L1091" s="7"/>
      <c r="S1091" s="7" t="n">
        <v>7</v>
      </c>
      <c r="T1091" s="7" t="n">
        <v>15</v>
      </c>
      <c r="U1091" s="7" t="n">
        <v>15</v>
      </c>
      <c r="V1091" s="9" t="n">
        <v>18.568839476088943</v>
      </c>
    </row>
    <row r="1092">
      <c r="A1092" s="7" t="s">
        <v>75</v>
      </c>
      <c r="B1092" s="7" t="s">
        <v>54</v>
      </c>
      <c r="C1092" s="7"/>
      <c r="D1092" s="7" t="s">
        <v>31</v>
      </c>
      <c r="E1092" s="8" t="n">
        <v>46054</v>
      </c>
      <c r="F1092" s="7" t="n">
        <v>121923</v>
      </c>
      <c r="H1092" s="7" t="n">
        <v>6547</v>
      </c>
      <c r="I1092" s="7" t="n">
        <v>115376</v>
      </c>
      <c r="L1092" s="7"/>
      <c r="S1092" s="7" t="n">
        <v>7</v>
      </c>
      <c r="T1092" s="7" t="n">
        <v>15</v>
      </c>
      <c r="U1092" s="7" t="n">
        <v>15</v>
      </c>
      <c r="V1092" s="9" t="n">
        <v>17.622727967007791</v>
      </c>
    </row>
    <row r="1093">
      <c r="A1093" s="7" t="s">
        <v>75</v>
      </c>
      <c r="B1093" s="7" t="s">
        <v>54</v>
      </c>
      <c r="C1093" s="7"/>
      <c r="D1093" s="7" t="s">
        <v>31</v>
      </c>
      <c r="E1093" s="8" t="n">
        <v>46082</v>
      </c>
      <c r="F1093" s="7" t="n">
        <v>115376</v>
      </c>
      <c r="H1093" s="7" t="n">
        <v>6529</v>
      </c>
      <c r="I1093" s="7" t="n">
        <v>108847</v>
      </c>
      <c r="L1093" s="7"/>
      <c r="S1093" s="7" t="n">
        <v>7</v>
      </c>
      <c r="T1093" s="7" t="n">
        <v>15</v>
      </c>
      <c r="U1093" s="7" t="n">
        <v>15</v>
      </c>
      <c r="V1093" s="9" t="n">
        <v>16.671312605299434</v>
      </c>
    </row>
    <row r="1094">
      <c r="A1094" s="7" t="s">
        <v>75</v>
      </c>
      <c r="B1094" s="7" t="s">
        <v>54</v>
      </c>
      <c r="C1094" s="7"/>
      <c r="D1094" s="7" t="s">
        <v>31</v>
      </c>
      <c r="E1094" s="8" t="n">
        <v>46113</v>
      </c>
      <c r="F1094" s="7" t="n">
        <v>108847</v>
      </c>
      <c r="H1094" s="7" t="n">
        <v>6511</v>
      </c>
      <c r="I1094" s="7" t="n">
        <v>102336</v>
      </c>
      <c r="L1094" s="7"/>
      <c r="S1094" s="7" t="n">
        <v>7</v>
      </c>
      <c r="T1094" s="7" t="n">
        <v>15</v>
      </c>
      <c r="U1094" s="7" t="n">
        <v>15</v>
      </c>
      <c r="V1094" s="9" t="n">
        <v>15.717401320841653</v>
      </c>
    </row>
    <row r="1095">
      <c r="A1095" s="7" t="s">
        <v>75</v>
      </c>
      <c r="B1095" s="7" t="s">
        <v>54</v>
      </c>
      <c r="C1095" s="7"/>
      <c r="D1095" s="7" t="s">
        <v>31</v>
      </c>
      <c r="E1095" s="8" t="n">
        <v>46143</v>
      </c>
      <c r="F1095" s="7" t="n">
        <v>102336</v>
      </c>
      <c r="H1095" s="7" t="n">
        <v>6492</v>
      </c>
      <c r="I1095" s="7" t="n">
        <v>95844</v>
      </c>
      <c r="L1095" s="7"/>
      <c r="S1095" s="7" t="n">
        <v>7</v>
      </c>
      <c r="T1095" s="7" t="n">
        <v>15</v>
      </c>
      <c r="U1095" s="7" t="n">
        <v>15</v>
      </c>
      <c r="V1095" s="9" t="n">
        <v>14.763401109057302</v>
      </c>
    </row>
    <row r="1096">
      <c r="A1096" s="7" t="s">
        <v>75</v>
      </c>
      <c r="B1096" s="7" t="s">
        <v>54</v>
      </c>
      <c r="C1096" s="7"/>
      <c r="D1096" s="7" t="s">
        <v>31</v>
      </c>
      <c r="E1096" s="8" t="n">
        <v>46174</v>
      </c>
      <c r="F1096" s="7" t="n">
        <v>95844</v>
      </c>
      <c r="H1096" s="7" t="n">
        <v>6474</v>
      </c>
      <c r="I1096" s="7" t="n">
        <v>89370</v>
      </c>
      <c r="L1096" s="7"/>
      <c r="S1096" s="7" t="n">
        <v>7</v>
      </c>
      <c r="T1096" s="7" t="n">
        <v>15</v>
      </c>
      <c r="U1096" s="7" t="n">
        <v>15</v>
      </c>
      <c r="V1096" s="9" t="n">
        <v>13.804448563484709</v>
      </c>
    </row>
    <row r="1097">
      <c r="A1097" s="7" t="s">
        <v>75</v>
      </c>
      <c r="B1097" s="7" t="s">
        <v>54</v>
      </c>
      <c r="C1097" s="7"/>
      <c r="D1097" s="7" t="s">
        <v>31</v>
      </c>
      <c r="E1097" s="8" t="n">
        <v>46204</v>
      </c>
      <c r="F1097" s="7" t="n">
        <v>89370</v>
      </c>
      <c r="H1097" s="7" t="n">
        <v>6456</v>
      </c>
      <c r="I1097" s="7" t="n">
        <v>82914</v>
      </c>
      <c r="L1097" s="7"/>
      <c r="S1097" s="7" t="n">
        <v>7</v>
      </c>
      <c r="T1097" s="7" t="n">
        <v>15</v>
      </c>
      <c r="U1097" s="7" t="n">
        <v>15</v>
      </c>
      <c r="V1097" s="9" t="n">
        <v>12.842936802973977</v>
      </c>
    </row>
    <row r="1098">
      <c r="A1098" s="7" t="s">
        <v>75</v>
      </c>
      <c r="B1098" s="7" t="s">
        <v>54</v>
      </c>
      <c r="C1098" s="7"/>
      <c r="D1098" s="7" t="s">
        <v>31</v>
      </c>
      <c r="E1098" s="8" t="n">
        <v>46235</v>
      </c>
      <c r="F1098" s="7" t="n">
        <v>82914</v>
      </c>
      <c r="H1098" s="7" t="n">
        <v>6437</v>
      </c>
      <c r="I1098" s="7" t="n">
        <v>76477</v>
      </c>
      <c r="L1098" s="7"/>
      <c r="S1098" s="7" t="n">
        <v>7</v>
      </c>
      <c r="T1098" s="7" t="n">
        <v>15</v>
      </c>
      <c r="U1098" s="7" t="n">
        <v>15</v>
      </c>
      <c r="V1098" s="9" t="n">
        <v>11.880845114183625</v>
      </c>
    </row>
    <row r="1099">
      <c r="A1099" s="7" t="s">
        <v>75</v>
      </c>
      <c r="B1099" s="7" t="s">
        <v>54</v>
      </c>
      <c r="C1099" s="7"/>
      <c r="D1099" s="7" t="s">
        <v>31</v>
      </c>
      <c r="E1099" s="8" t="n">
        <v>46266</v>
      </c>
      <c r="F1099" s="7" t="n">
        <v>76477</v>
      </c>
      <c r="H1099" s="7" t="n">
        <v>6419</v>
      </c>
      <c r="I1099" s="7" t="n">
        <v>70058</v>
      </c>
      <c r="L1099" s="7"/>
      <c r="S1099" s="7" t="n">
        <v>7</v>
      </c>
      <c r="T1099" s="7" t="n">
        <v>15</v>
      </c>
      <c r="U1099" s="7" t="n">
        <v>15</v>
      </c>
      <c r="V1099" s="9" t="n">
        <v>10.914161084281041</v>
      </c>
    </row>
    <row r="1100">
      <c r="A1100" s="7" t="s">
        <v>76</v>
      </c>
      <c r="B1100" s="7" t="s">
        <v>54</v>
      </c>
      <c r="C1100" s="7"/>
      <c r="D1100" s="7" t="s">
        <v>31</v>
      </c>
      <c r="E1100" s="8" t="n">
        <v>45748</v>
      </c>
      <c r="F1100" s="7" t="n">
        <v>595110</v>
      </c>
      <c r="H1100" s="7" t="n">
        <v>14352</v>
      </c>
      <c r="I1100" s="7" t="n">
        <v>580758</v>
      </c>
      <c r="L1100" s="7"/>
      <c r="S1100" s="7" t="n">
        <v>3</v>
      </c>
      <c r="T1100" s="7" t="n">
        <v>6</v>
      </c>
      <c r="U1100" s="7" t="n">
        <v>6</v>
      </c>
      <c r="V1100" s="9" t="n">
        <v>40.465301003344479</v>
      </c>
    </row>
    <row r="1101">
      <c r="A1101" s="7" t="s">
        <v>76</v>
      </c>
      <c r="B1101" s="7" t="s">
        <v>54</v>
      </c>
      <c r="C1101" s="7"/>
      <c r="D1101" s="7" t="s">
        <v>31</v>
      </c>
      <c r="E1101" s="8" t="n">
        <v>45778</v>
      </c>
      <c r="F1101" s="7" t="n">
        <v>580758</v>
      </c>
      <c r="H1101" s="7" t="n">
        <v>14352</v>
      </c>
      <c r="I1101" s="7" t="n">
        <v>566406</v>
      </c>
      <c r="L1101" s="7"/>
      <c r="S1101" s="7" t="n">
        <v>3</v>
      </c>
      <c r="T1101" s="7" t="n">
        <v>6</v>
      </c>
      <c r="U1101" s="7" t="n">
        <v>6</v>
      </c>
      <c r="V1101" s="9" t="n">
        <v>39.465301003344479</v>
      </c>
    </row>
    <row r="1102">
      <c r="A1102" s="7" t="s">
        <v>76</v>
      </c>
      <c r="B1102" s="7" t="s">
        <v>54</v>
      </c>
      <c r="C1102" s="7"/>
      <c r="D1102" s="7" t="s">
        <v>31</v>
      </c>
      <c r="E1102" s="8" t="n">
        <v>45809</v>
      </c>
      <c r="F1102" s="7" t="n">
        <v>566406</v>
      </c>
      <c r="H1102" s="7" t="n">
        <v>14352</v>
      </c>
      <c r="I1102" s="7" t="n">
        <v>552054</v>
      </c>
      <c r="L1102" s="7"/>
      <c r="S1102" s="7" t="n">
        <v>3</v>
      </c>
      <c r="T1102" s="7" t="n">
        <v>6</v>
      </c>
      <c r="U1102" s="7" t="n">
        <v>6</v>
      </c>
      <c r="V1102" s="9" t="n">
        <v>38.465301003344479</v>
      </c>
    </row>
    <row r="1103">
      <c r="A1103" s="7" t="s">
        <v>76</v>
      </c>
      <c r="B1103" s="7" t="s">
        <v>54</v>
      </c>
      <c r="C1103" s="7"/>
      <c r="D1103" s="7" t="s">
        <v>31</v>
      </c>
      <c r="E1103" s="8" t="n">
        <v>45839</v>
      </c>
      <c r="F1103" s="7" t="n">
        <v>552054</v>
      </c>
      <c r="H1103" s="7" t="n">
        <v>14352</v>
      </c>
      <c r="I1103" s="7" t="n">
        <v>537702</v>
      </c>
      <c r="L1103" s="7"/>
      <c r="S1103" s="7" t="n">
        <v>3</v>
      </c>
      <c r="T1103" s="7" t="n">
        <v>6</v>
      </c>
      <c r="U1103" s="7" t="n">
        <v>6</v>
      </c>
      <c r="V1103" s="9" t="n">
        <v>37.465301003344479</v>
      </c>
    </row>
    <row r="1104">
      <c r="A1104" s="7" t="s">
        <v>76</v>
      </c>
      <c r="B1104" s="7" t="s">
        <v>54</v>
      </c>
      <c r="C1104" s="7"/>
      <c r="D1104" s="7" t="s">
        <v>31</v>
      </c>
      <c r="E1104" s="8" t="n">
        <v>45870</v>
      </c>
      <c r="F1104" s="7" t="n">
        <v>537702</v>
      </c>
      <c r="H1104" s="7" t="n">
        <v>14352</v>
      </c>
      <c r="I1104" s="7" t="n">
        <v>523350</v>
      </c>
      <c r="L1104" s="7"/>
      <c r="S1104" s="7" t="n">
        <v>3</v>
      </c>
      <c r="T1104" s="7" t="n">
        <v>6</v>
      </c>
      <c r="U1104" s="7" t="n">
        <v>6</v>
      </c>
      <c r="V1104" s="9" t="n">
        <v>36.465301003344479</v>
      </c>
    </row>
    <row r="1105">
      <c r="A1105" s="7" t="s">
        <v>76</v>
      </c>
      <c r="B1105" s="7" t="s">
        <v>54</v>
      </c>
      <c r="C1105" s="7"/>
      <c r="D1105" s="7" t="s">
        <v>31</v>
      </c>
      <c r="E1105" s="8" t="n">
        <v>45901</v>
      </c>
      <c r="F1105" s="7" t="n">
        <v>523350</v>
      </c>
      <c r="H1105" s="7" t="n">
        <v>14352</v>
      </c>
      <c r="I1105" s="7" t="n">
        <v>508998</v>
      </c>
      <c r="L1105" s="7"/>
      <c r="S1105" s="7" t="n">
        <v>3</v>
      </c>
      <c r="T1105" s="7" t="n">
        <v>6</v>
      </c>
      <c r="U1105" s="7" t="n">
        <v>6</v>
      </c>
      <c r="V1105" s="9" t="n">
        <v>35.465301003344479</v>
      </c>
    </row>
    <row r="1106">
      <c r="A1106" s="7" t="s">
        <v>76</v>
      </c>
      <c r="B1106" s="7" t="s">
        <v>54</v>
      </c>
      <c r="C1106" s="7"/>
      <c r="D1106" s="7" t="s">
        <v>31</v>
      </c>
      <c r="E1106" s="8" t="n">
        <v>45931</v>
      </c>
      <c r="F1106" s="7" t="n">
        <v>508998</v>
      </c>
      <c r="H1106" s="7" t="n">
        <v>14352</v>
      </c>
      <c r="I1106" s="7" t="n">
        <v>494646</v>
      </c>
      <c r="L1106" s="7"/>
      <c r="S1106" s="7" t="n">
        <v>3</v>
      </c>
      <c r="T1106" s="7" t="n">
        <v>6</v>
      </c>
      <c r="U1106" s="7" t="n">
        <v>6</v>
      </c>
      <c r="V1106" s="9" t="n">
        <v>34.465301003344479</v>
      </c>
    </row>
    <row r="1107">
      <c r="A1107" s="7" t="s">
        <v>76</v>
      </c>
      <c r="B1107" s="7" t="s">
        <v>54</v>
      </c>
      <c r="C1107" s="7"/>
      <c r="D1107" s="7" t="s">
        <v>31</v>
      </c>
      <c r="E1107" s="8" t="n">
        <v>45962</v>
      </c>
      <c r="F1107" s="7" t="n">
        <v>494646</v>
      </c>
      <c r="H1107" s="7" t="n">
        <v>14352</v>
      </c>
      <c r="I1107" s="7" t="n">
        <v>480294</v>
      </c>
      <c r="L1107" s="7"/>
      <c r="S1107" s="7" t="n">
        <v>3</v>
      </c>
      <c r="T1107" s="7" t="n">
        <v>6</v>
      </c>
      <c r="U1107" s="7" t="n">
        <v>6</v>
      </c>
      <c r="V1107" s="9" t="n">
        <v>33.465301003344479</v>
      </c>
    </row>
    <row r="1108">
      <c r="A1108" s="7" t="s">
        <v>76</v>
      </c>
      <c r="B1108" s="7" t="s">
        <v>54</v>
      </c>
      <c r="C1108" s="7"/>
      <c r="D1108" s="7" t="s">
        <v>31</v>
      </c>
      <c r="E1108" s="8" t="n">
        <v>45992</v>
      </c>
      <c r="F1108" s="7" t="n">
        <v>480294</v>
      </c>
      <c r="H1108" s="7" t="n">
        <v>14352</v>
      </c>
      <c r="I1108" s="7" t="n">
        <v>465942</v>
      </c>
      <c r="L1108" s="7"/>
      <c r="S1108" s="7" t="n">
        <v>3</v>
      </c>
      <c r="T1108" s="7" t="n">
        <v>6</v>
      </c>
      <c r="U1108" s="7" t="n">
        <v>6</v>
      </c>
      <c r="V1108" s="9" t="n">
        <v>32.465301003344479</v>
      </c>
    </row>
    <row r="1109">
      <c r="A1109" s="7" t="s">
        <v>76</v>
      </c>
      <c r="B1109" s="7" t="s">
        <v>54</v>
      </c>
      <c r="C1109" s="7"/>
      <c r="D1109" s="7" t="s">
        <v>31</v>
      </c>
      <c r="E1109" s="8" t="n">
        <v>46023</v>
      </c>
      <c r="F1109" s="7" t="n">
        <v>465942</v>
      </c>
      <c r="H1109" s="7" t="n">
        <v>12437</v>
      </c>
      <c r="I1109" s="7" t="n">
        <v>453505</v>
      </c>
      <c r="L1109" s="7"/>
      <c r="S1109" s="7" t="n">
        <v>3</v>
      </c>
      <c r="T1109" s="7" t="n">
        <v>6</v>
      </c>
      <c r="U1109" s="7" t="n">
        <v>6</v>
      </c>
      <c r="V1109" s="9" t="n">
        <v>36.464179464501086</v>
      </c>
    </row>
    <row r="1110">
      <c r="A1110" s="7" t="s">
        <v>76</v>
      </c>
      <c r="B1110" s="7" t="s">
        <v>54</v>
      </c>
      <c r="C1110" s="7"/>
      <c r="D1110" s="7" t="s">
        <v>31</v>
      </c>
      <c r="E1110" s="8" t="n">
        <v>46054</v>
      </c>
      <c r="F1110" s="7" t="n">
        <v>453505</v>
      </c>
      <c r="H1110" s="7" t="n">
        <v>12437</v>
      </c>
      <c r="I1110" s="7" t="n">
        <v>441068</v>
      </c>
      <c r="L1110" s="7"/>
      <c r="S1110" s="7" t="n">
        <v>3</v>
      </c>
      <c r="T1110" s="7" t="n">
        <v>6</v>
      </c>
      <c r="U1110" s="7" t="n">
        <v>6</v>
      </c>
      <c r="V1110" s="9" t="n">
        <v>35.464179464501086</v>
      </c>
    </row>
    <row r="1111">
      <c r="A1111" s="7" t="s">
        <v>76</v>
      </c>
      <c r="B1111" s="7" t="s">
        <v>54</v>
      </c>
      <c r="C1111" s="7"/>
      <c r="D1111" s="7" t="s">
        <v>31</v>
      </c>
      <c r="E1111" s="8" t="n">
        <v>46082</v>
      </c>
      <c r="F1111" s="7" t="n">
        <v>441068</v>
      </c>
      <c r="H1111" s="7" t="n">
        <v>12437</v>
      </c>
      <c r="I1111" s="7" t="n">
        <v>428631</v>
      </c>
      <c r="L1111" s="7"/>
      <c r="S1111" s="7" t="n">
        <v>3</v>
      </c>
      <c r="T1111" s="7" t="n">
        <v>6</v>
      </c>
      <c r="U1111" s="7" t="n">
        <v>6</v>
      </c>
      <c r="V1111" s="9" t="n">
        <v>34.464179464501086</v>
      </c>
    </row>
    <row r="1112">
      <c r="A1112" s="7" t="s">
        <v>76</v>
      </c>
      <c r="B1112" s="7" t="s">
        <v>54</v>
      </c>
      <c r="C1112" s="7"/>
      <c r="D1112" s="7" t="s">
        <v>31</v>
      </c>
      <c r="E1112" s="8" t="n">
        <v>46113</v>
      </c>
      <c r="F1112" s="7" t="n">
        <v>428631</v>
      </c>
      <c r="H1112" s="7" t="n">
        <v>12437</v>
      </c>
      <c r="I1112" s="7" t="n">
        <v>416194</v>
      </c>
      <c r="L1112" s="7"/>
      <c r="S1112" s="7" t="n">
        <v>3</v>
      </c>
      <c r="T1112" s="7" t="n">
        <v>6</v>
      </c>
      <c r="U1112" s="7" t="n">
        <v>6</v>
      </c>
      <c r="V1112" s="9" t="n">
        <v>33.464179464501086</v>
      </c>
    </row>
    <row r="1113">
      <c r="A1113" s="7" t="s">
        <v>76</v>
      </c>
      <c r="B1113" s="7" t="s">
        <v>54</v>
      </c>
      <c r="C1113" s="7"/>
      <c r="D1113" s="7" t="s">
        <v>31</v>
      </c>
      <c r="E1113" s="8" t="n">
        <v>46143</v>
      </c>
      <c r="F1113" s="7" t="n">
        <v>416194</v>
      </c>
      <c r="H1113" s="7" t="n">
        <v>12437</v>
      </c>
      <c r="I1113" s="7" t="n">
        <v>403757</v>
      </c>
      <c r="L1113" s="7"/>
      <c r="S1113" s="7" t="n">
        <v>3</v>
      </c>
      <c r="T1113" s="7" t="n">
        <v>6</v>
      </c>
      <c r="U1113" s="7" t="n">
        <v>6</v>
      </c>
      <c r="V1113" s="9" t="n">
        <v>32.464179464501086</v>
      </c>
    </row>
    <row r="1114">
      <c r="A1114" s="7" t="s">
        <v>76</v>
      </c>
      <c r="B1114" s="7" t="s">
        <v>54</v>
      </c>
      <c r="C1114" s="7"/>
      <c r="D1114" s="7" t="s">
        <v>31</v>
      </c>
      <c r="E1114" s="8" t="n">
        <v>46174</v>
      </c>
      <c r="F1114" s="7" t="n">
        <v>403757</v>
      </c>
      <c r="H1114" s="7" t="n">
        <v>12437</v>
      </c>
      <c r="I1114" s="7" t="n">
        <v>391320</v>
      </c>
      <c r="L1114" s="7"/>
      <c r="S1114" s="7" t="n">
        <v>3</v>
      </c>
      <c r="T1114" s="7" t="n">
        <v>6</v>
      </c>
      <c r="U1114" s="7" t="n">
        <v>6</v>
      </c>
      <c r="V1114" s="9" t="n">
        <v>31.464179464501086</v>
      </c>
    </row>
    <row r="1115">
      <c r="A1115" s="7" t="s">
        <v>76</v>
      </c>
      <c r="B1115" s="7" t="s">
        <v>54</v>
      </c>
      <c r="C1115" s="7"/>
      <c r="D1115" s="7" t="s">
        <v>31</v>
      </c>
      <c r="E1115" s="8" t="n">
        <v>46204</v>
      </c>
      <c r="F1115" s="7" t="n">
        <v>391320</v>
      </c>
      <c r="H1115" s="7" t="n">
        <v>12437</v>
      </c>
      <c r="I1115" s="7" t="n">
        <v>378883</v>
      </c>
      <c r="L1115" s="7"/>
      <c r="S1115" s="7" t="n">
        <v>3</v>
      </c>
      <c r="T1115" s="7" t="n">
        <v>6</v>
      </c>
      <c r="U1115" s="7" t="n">
        <v>6</v>
      </c>
      <c r="V1115" s="9" t="n">
        <v>30.464179464501086</v>
      </c>
    </row>
    <row r="1116">
      <c r="A1116" s="7" t="s">
        <v>76</v>
      </c>
      <c r="B1116" s="7" t="s">
        <v>54</v>
      </c>
      <c r="C1116" s="7"/>
      <c r="D1116" s="7" t="s">
        <v>31</v>
      </c>
      <c r="E1116" s="8" t="n">
        <v>46235</v>
      </c>
      <c r="F1116" s="7" t="n">
        <v>378883</v>
      </c>
      <c r="H1116" s="7" t="n">
        <v>12437</v>
      </c>
      <c r="I1116" s="7" t="n">
        <v>366446</v>
      </c>
      <c r="L1116" s="7"/>
      <c r="S1116" s="7" t="n">
        <v>3</v>
      </c>
      <c r="T1116" s="7" t="n">
        <v>6</v>
      </c>
      <c r="U1116" s="7" t="n">
        <v>6</v>
      </c>
      <c r="V1116" s="9" t="n">
        <v>29.464179464501086</v>
      </c>
    </row>
    <row r="1117">
      <c r="A1117" s="7" t="s">
        <v>76</v>
      </c>
      <c r="B1117" s="7" t="s">
        <v>54</v>
      </c>
      <c r="C1117" s="7"/>
      <c r="D1117" s="7" t="s">
        <v>31</v>
      </c>
      <c r="E1117" s="8" t="n">
        <v>46266</v>
      </c>
      <c r="F1117" s="7" t="n">
        <v>366446</v>
      </c>
      <c r="H1117" s="7" t="n">
        <v>12437</v>
      </c>
      <c r="I1117" s="7" t="n">
        <v>354009</v>
      </c>
      <c r="L1117" s="7"/>
      <c r="S1117" s="7" t="n">
        <v>3</v>
      </c>
      <c r="T1117" s="7" t="n">
        <v>6</v>
      </c>
      <c r="U1117" s="7" t="n">
        <v>6</v>
      </c>
      <c r="V1117" s="9" t="n">
        <v>28.464179464501086</v>
      </c>
    </row>
    <row r="1118">
      <c r="A1118" s="7" t="s">
        <v>76</v>
      </c>
      <c r="B1118" s="7" t="s">
        <v>54</v>
      </c>
      <c r="C1118" s="7"/>
      <c r="D1118" s="7" t="s">
        <v>31</v>
      </c>
      <c r="E1118" s="8" t="n">
        <v>46296</v>
      </c>
      <c r="F1118" s="7" t="n">
        <v>354009</v>
      </c>
      <c r="H1118" s="7" t="n">
        <v>12437</v>
      </c>
      <c r="I1118" s="7" t="n">
        <v>341572</v>
      </c>
      <c r="L1118" s="7"/>
      <c r="S1118" s="7" t="n">
        <v>3</v>
      </c>
      <c r="T1118" s="7" t="n">
        <v>6</v>
      </c>
      <c r="U1118" s="7" t="n">
        <v>6</v>
      </c>
      <c r="V1118" s="9" t="n">
        <v>27.464179464501086</v>
      </c>
    </row>
    <row r="1119">
      <c r="A1119" s="7" t="s">
        <v>76</v>
      </c>
      <c r="B1119" s="7" t="s">
        <v>54</v>
      </c>
      <c r="C1119" s="7"/>
      <c r="D1119" s="7" t="s">
        <v>31</v>
      </c>
      <c r="E1119" s="8" t="n">
        <v>46327</v>
      </c>
      <c r="F1119" s="7" t="n">
        <v>341572</v>
      </c>
      <c r="H1119" s="7" t="n">
        <v>12437</v>
      </c>
      <c r="I1119" s="7" t="n">
        <v>329135</v>
      </c>
      <c r="L1119" s="7"/>
      <c r="S1119" s="7" t="n">
        <v>3</v>
      </c>
      <c r="T1119" s="7" t="n">
        <v>6</v>
      </c>
      <c r="U1119" s="7" t="n">
        <v>6</v>
      </c>
      <c r="V1119" s="9" t="n">
        <v>26.464179464501086</v>
      </c>
    </row>
    <row r="1120">
      <c r="A1120" s="7" t="s">
        <v>76</v>
      </c>
      <c r="B1120" s="7" t="s">
        <v>54</v>
      </c>
      <c r="C1120" s="7"/>
      <c r="D1120" s="7" t="s">
        <v>31</v>
      </c>
      <c r="E1120" s="8" t="n">
        <v>46357</v>
      </c>
      <c r="F1120" s="7" t="n">
        <v>329135</v>
      </c>
      <c r="H1120" s="7" t="n">
        <v>12437</v>
      </c>
      <c r="I1120" s="7" t="n">
        <v>316698</v>
      </c>
      <c r="L1120" s="7"/>
      <c r="S1120" s="7" t="n">
        <v>3</v>
      </c>
      <c r="T1120" s="7" t="n">
        <v>6</v>
      </c>
      <c r="U1120" s="7" t="n">
        <v>6</v>
      </c>
      <c r="V1120" s="9" t="n">
        <v>25.464179464501086</v>
      </c>
    </row>
    <row r="1121">
      <c r="A1121" s="7" t="s">
        <v>72</v>
      </c>
      <c r="B1121" s="7" t="s">
        <v>54</v>
      </c>
      <c r="C1121" s="7"/>
      <c r="D1121" s="7" t="s">
        <v>31</v>
      </c>
      <c r="E1121" s="8" t="n">
        <v>45689</v>
      </c>
      <c r="F1121" s="7" t="n">
        <v>100821</v>
      </c>
      <c r="H1121" s="7" t="n">
        <v>43147</v>
      </c>
      <c r="I1121" s="7" t="n">
        <v>57674</v>
      </c>
      <c r="L1121" s="7"/>
      <c r="S1121" s="7" t="n">
        <v>6</v>
      </c>
      <c r="T1121" s="7" t="n">
        <v>12</v>
      </c>
      <c r="U1121" s="7" t="n">
        <v>12</v>
      </c>
      <c r="V1121" s="9" t="n">
        <v>1.3366862122511414</v>
      </c>
    </row>
    <row r="1122">
      <c r="A1122" s="7" t="s">
        <v>72</v>
      </c>
      <c r="B1122" s="7" t="s">
        <v>54</v>
      </c>
      <c r="C1122" s="7"/>
      <c r="D1122" s="7" t="s">
        <v>31</v>
      </c>
      <c r="E1122" s="8" t="n">
        <v>45717</v>
      </c>
      <c r="F1122" s="7" t="n">
        <v>57674</v>
      </c>
      <c r="H1122" s="7" t="n">
        <v>43147</v>
      </c>
      <c r="I1122" s="7" t="n">
        <v>81487</v>
      </c>
      <c r="J1122" s="7" t="s">
        <v>161</v>
      </c>
      <c r="K1122" s="7" t="s">
        <v>3</v>
      </c>
      <c r="L1122" s="7" t="s">
        <v>153</v>
      </c>
      <c r="M1122" s="7" t="n">
        <v>66960</v>
      </c>
      <c r="O1122" s="7" t="n">
        <v>22499</v>
      </c>
      <c r="P1122" s="7" t="n">
        <v>45717</v>
      </c>
      <c r="S1122" s="7" t="n">
        <v>6</v>
      </c>
      <c r="T1122" s="7" t="n">
        <v>12</v>
      </c>
      <c r="U1122" s="7" t="n">
        <v>12</v>
      </c>
      <c r="V1122" s="9" t="n">
        <v>1.8885901684937538</v>
      </c>
    </row>
    <row r="1123">
      <c r="A1123" s="7" t="s">
        <v>72</v>
      </c>
      <c r="B1123" s="7" t="s">
        <v>54</v>
      </c>
      <c r="C1123" s="7"/>
      <c r="D1123" s="7" t="s">
        <v>31</v>
      </c>
      <c r="E1123" s="8" t="n">
        <v>45748</v>
      </c>
      <c r="F1123" s="7" t="n">
        <v>81487</v>
      </c>
      <c r="H1123" s="7" t="n">
        <v>43147</v>
      </c>
      <c r="I1123" s="7" t="n">
        <v>38340</v>
      </c>
      <c r="L1123" s="7"/>
      <c r="S1123" s="7" t="n">
        <v>6</v>
      </c>
      <c r="T1123" s="7" t="n">
        <v>12</v>
      </c>
      <c r="U1123" s="7" t="n">
        <v>12</v>
      </c>
      <c r="V1123" s="9" t="n">
        <v>0.88859016849375394</v>
      </c>
    </row>
    <row r="1124">
      <c r="A1124" s="7" t="s">
        <v>72</v>
      </c>
      <c r="B1124" s="7" t="s">
        <v>54</v>
      </c>
      <c r="C1124" s="7"/>
      <c r="D1124" s="7" t="s">
        <v>31</v>
      </c>
      <c r="E1124" s="8" t="n">
        <v>45778</v>
      </c>
      <c r="F1124" s="7" t="n">
        <v>38340</v>
      </c>
      <c r="H1124" s="7" t="n">
        <v>43147</v>
      </c>
      <c r="I1124" s="7" t="n">
        <v>0</v>
      </c>
      <c r="L1124" s="7"/>
      <c r="S1124" s="7" t="n">
        <v>6</v>
      </c>
      <c r="T1124" s="7" t="n">
        <v>12</v>
      </c>
      <c r="U1124" s="7" t="n">
        <v>12</v>
      </c>
      <c r="V1124" s="9" t="n">
        <v>0</v>
      </c>
    </row>
    <row r="1125">
      <c r="A1125" s="7" t="s">
        <v>72</v>
      </c>
      <c r="B1125" s="7" t="s">
        <v>54</v>
      </c>
      <c r="C1125" s="7"/>
      <c r="D1125" s="7" t="s">
        <v>31</v>
      </c>
      <c r="E1125" s="8" t="n">
        <v>45809</v>
      </c>
      <c r="F1125" s="7" t="n">
        <v>0</v>
      </c>
      <c r="H1125" s="7" t="n">
        <v>43147</v>
      </c>
      <c r="I1125" s="7" t="n">
        <v>0</v>
      </c>
      <c r="L1125" s="7"/>
      <c r="S1125" s="7" t="n">
        <v>6</v>
      </c>
      <c r="T1125" s="7" t="n">
        <v>12</v>
      </c>
      <c r="U1125" s="7" t="n">
        <v>12</v>
      </c>
      <c r="V1125" s="9" t="n">
        <v>0</v>
      </c>
    </row>
    <row r="1126">
      <c r="A1126" s="7" t="s">
        <v>72</v>
      </c>
      <c r="B1126" s="7" t="s">
        <v>54</v>
      </c>
      <c r="C1126" s="7"/>
      <c r="D1126" s="7" t="s">
        <v>31</v>
      </c>
      <c r="E1126" s="8" t="n">
        <v>45839</v>
      </c>
      <c r="F1126" s="7" t="n">
        <v>0</v>
      </c>
      <c r="H1126" s="7" t="n">
        <v>43147</v>
      </c>
      <c r="I1126" s="7" t="n">
        <v>0</v>
      </c>
      <c r="L1126" s="7"/>
      <c r="S1126" s="7" t="n">
        <v>6</v>
      </c>
      <c r="T1126" s="7" t="n">
        <v>12</v>
      </c>
      <c r="U1126" s="7" t="n">
        <v>12</v>
      </c>
      <c r="V1126" s="9" t="n">
        <v>0</v>
      </c>
    </row>
    <row r="1127">
      <c r="A1127" s="7" t="s">
        <v>72</v>
      </c>
      <c r="B1127" s="7" t="s">
        <v>54</v>
      </c>
      <c r="C1127" s="7"/>
      <c r="D1127" s="7" t="s">
        <v>31</v>
      </c>
      <c r="E1127" s="8" t="n">
        <v>45870</v>
      </c>
      <c r="F1127" s="7" t="n">
        <v>0</v>
      </c>
      <c r="H1127" s="7" t="n">
        <v>43147</v>
      </c>
      <c r="I1127" s="7" t="n">
        <v>0</v>
      </c>
      <c r="L1127" s="7"/>
      <c r="S1127" s="7" t="n">
        <v>6</v>
      </c>
      <c r="T1127" s="7" t="n">
        <v>12</v>
      </c>
      <c r="U1127" s="7" t="n">
        <v>12</v>
      </c>
      <c r="V1127" s="9" t="n">
        <v>0</v>
      </c>
    </row>
    <row r="1128">
      <c r="A1128" s="7" t="s">
        <v>72</v>
      </c>
      <c r="B1128" s="7" t="s">
        <v>54</v>
      </c>
      <c r="C1128" s="7"/>
      <c r="D1128" s="7" t="s">
        <v>31</v>
      </c>
      <c r="E1128" s="8" t="n">
        <v>45901</v>
      </c>
      <c r="F1128" s="7" t="n">
        <v>0</v>
      </c>
      <c r="H1128" s="7" t="n">
        <v>43147</v>
      </c>
      <c r="I1128" s="7" t="n">
        <v>0</v>
      </c>
      <c r="L1128" s="7"/>
      <c r="S1128" s="7" t="n">
        <v>6</v>
      </c>
      <c r="T1128" s="7" t="n">
        <v>12</v>
      </c>
      <c r="U1128" s="7" t="n">
        <v>12</v>
      </c>
      <c r="V1128" s="9" t="n">
        <v>0</v>
      </c>
    </row>
    <row r="1129">
      <c r="A1129" s="7" t="s">
        <v>72</v>
      </c>
      <c r="B1129" s="7" t="s">
        <v>54</v>
      </c>
      <c r="C1129" s="7"/>
      <c r="D1129" s="7" t="s">
        <v>31</v>
      </c>
      <c r="E1129" s="8" t="n">
        <v>45931</v>
      </c>
      <c r="F1129" s="7" t="n">
        <v>0</v>
      </c>
      <c r="H1129" s="7" t="n">
        <v>43147</v>
      </c>
      <c r="I1129" s="7" t="n">
        <v>19122</v>
      </c>
      <c r="J1129" s="7" t="s">
        <v>2</v>
      </c>
      <c r="K1129" s="7" t="s">
        <v>2</v>
      </c>
      <c r="L1129" s="7" t="s">
        <v>4</v>
      </c>
      <c r="M1129" s="7" t="n">
        <v>62269</v>
      </c>
      <c r="O1129" s="7" t="n">
        <v>20922</v>
      </c>
      <c r="P1129" s="7" t="n">
        <v>45931</v>
      </c>
      <c r="S1129" s="7" t="n">
        <v>6</v>
      </c>
      <c r="T1129" s="7" t="n">
        <v>12</v>
      </c>
      <c r="U1129" s="7" t="n">
        <v>12</v>
      </c>
      <c r="V1129" s="9" t="n">
        <v>0.44318260829258116</v>
      </c>
    </row>
    <row r="1130">
      <c r="A1130" s="7" t="s">
        <v>72</v>
      </c>
      <c r="B1130" s="7" t="s">
        <v>54</v>
      </c>
      <c r="C1130" s="7"/>
      <c r="D1130" s="7" t="s">
        <v>31</v>
      </c>
      <c r="E1130" s="8" t="n">
        <v>45962</v>
      </c>
      <c r="F1130" s="7" t="n">
        <v>19122</v>
      </c>
      <c r="H1130" s="7" t="n">
        <v>43147</v>
      </c>
      <c r="I1130" s="7" t="n">
        <v>0</v>
      </c>
      <c r="L1130" s="7"/>
      <c r="S1130" s="7" t="n">
        <v>6</v>
      </c>
      <c r="T1130" s="7" t="n">
        <v>12</v>
      </c>
      <c r="U1130" s="7" t="n">
        <v>12</v>
      </c>
      <c r="V1130" s="9" t="n">
        <v>0</v>
      </c>
    </row>
    <row r="1131">
      <c r="A1131" s="7" t="s">
        <v>72</v>
      </c>
      <c r="B1131" s="7" t="s">
        <v>54</v>
      </c>
      <c r="C1131" s="7"/>
      <c r="D1131" s="7" t="s">
        <v>31</v>
      </c>
      <c r="E1131" s="8" t="n">
        <v>45992</v>
      </c>
      <c r="F1131" s="7" t="n">
        <v>0</v>
      </c>
      <c r="H1131" s="7" t="n">
        <v>43147</v>
      </c>
      <c r="I1131" s="7" t="n">
        <v>0</v>
      </c>
      <c r="L1131" s="7"/>
      <c r="S1131" s="7" t="n">
        <v>6</v>
      </c>
      <c r="T1131" s="7" t="n">
        <v>12</v>
      </c>
      <c r="U1131" s="7" t="n">
        <v>12</v>
      </c>
      <c r="V1131" s="9" t="n">
        <v>0</v>
      </c>
    </row>
    <row r="1132">
      <c r="A1132" s="7" t="s">
        <v>72</v>
      </c>
      <c r="B1132" s="7" t="s">
        <v>54</v>
      </c>
      <c r="C1132" s="7"/>
      <c r="D1132" s="7" t="s">
        <v>31</v>
      </c>
      <c r="E1132" s="8" t="n">
        <v>46023</v>
      </c>
      <c r="F1132" s="7" t="n">
        <v>0</v>
      </c>
      <c r="H1132" s="7" t="n">
        <v>43147</v>
      </c>
      <c r="I1132" s="7" t="n">
        <v>0</v>
      </c>
      <c r="L1132" s="7"/>
      <c r="S1132" s="7" t="n">
        <v>6</v>
      </c>
      <c r="T1132" s="7" t="n">
        <v>12</v>
      </c>
      <c r="U1132" s="7" t="n">
        <v>12</v>
      </c>
      <c r="V1132" s="9" t="n">
        <v>0</v>
      </c>
    </row>
    <row r="1133">
      <c r="A1133" s="7" t="s">
        <v>72</v>
      </c>
      <c r="B1133" s="7" t="s">
        <v>54</v>
      </c>
      <c r="C1133" s="7"/>
      <c r="D1133" s="7" t="s">
        <v>31</v>
      </c>
      <c r="E1133" s="8" t="n">
        <v>46054</v>
      </c>
      <c r="F1133" s="7" t="n">
        <v>0</v>
      </c>
      <c r="H1133" s="7" t="n">
        <v>43147</v>
      </c>
      <c r="I1133" s="7" t="n">
        <v>0</v>
      </c>
      <c r="L1133" s="7"/>
      <c r="S1133" s="7" t="n">
        <v>6</v>
      </c>
      <c r="T1133" s="7" t="n">
        <v>12</v>
      </c>
      <c r="U1133" s="7" t="n">
        <v>12</v>
      </c>
      <c r="V1133" s="9" t="n">
        <v>0</v>
      </c>
    </row>
    <row r="1134">
      <c r="A1134" s="7" t="s">
        <v>72</v>
      </c>
      <c r="B1134" s="7" t="s">
        <v>54</v>
      </c>
      <c r="C1134" s="7"/>
      <c r="D1134" s="7" t="s">
        <v>31</v>
      </c>
      <c r="E1134" s="8" t="n">
        <v>46082</v>
      </c>
      <c r="F1134" s="7" t="n">
        <v>0</v>
      </c>
      <c r="H1134" s="7" t="n">
        <v>43147</v>
      </c>
      <c r="I1134" s="7" t="n">
        <v>0</v>
      </c>
      <c r="L1134" s="7"/>
      <c r="S1134" s="7" t="n">
        <v>6</v>
      </c>
      <c r="T1134" s="7" t="n">
        <v>12</v>
      </c>
      <c r="U1134" s="7" t="n">
        <v>12</v>
      </c>
      <c r="V1134" s="9" t="n">
        <v>0</v>
      </c>
    </row>
    <row r="1135">
      <c r="A1135" s="7" t="s">
        <v>72</v>
      </c>
      <c r="B1135" s="7" t="s">
        <v>54</v>
      </c>
      <c r="C1135" s="7"/>
      <c r="D1135" s="7" t="s">
        <v>31</v>
      </c>
      <c r="E1135" s="8" t="n">
        <v>46113</v>
      </c>
      <c r="F1135" s="7" t="n">
        <v>0</v>
      </c>
      <c r="H1135" s="7" t="n">
        <v>43147</v>
      </c>
      <c r="I1135" s="7" t="n">
        <v>0</v>
      </c>
      <c r="L1135" s="7"/>
      <c r="S1135" s="7" t="n">
        <v>6</v>
      </c>
      <c r="T1135" s="7" t="n">
        <v>12</v>
      </c>
      <c r="U1135" s="7" t="n">
        <v>12</v>
      </c>
      <c r="V1135" s="9" t="n">
        <v>0</v>
      </c>
    </row>
    <row r="1136">
      <c r="A1136" s="7" t="s">
        <v>72</v>
      </c>
      <c r="B1136" s="7" t="s">
        <v>54</v>
      </c>
      <c r="C1136" s="7"/>
      <c r="D1136" s="7" t="s">
        <v>31</v>
      </c>
      <c r="E1136" s="8" t="n">
        <v>46143</v>
      </c>
      <c r="F1136" s="7" t="n">
        <v>0</v>
      </c>
      <c r="H1136" s="7" t="n">
        <v>43147</v>
      </c>
      <c r="I1136" s="7" t="n">
        <v>23773</v>
      </c>
      <c r="J1136" s="7" t="s">
        <v>2</v>
      </c>
      <c r="K1136" s="7" t="s">
        <v>2</v>
      </c>
      <c r="L1136" s="7" t="s">
        <v>4</v>
      </c>
      <c r="M1136" s="7" t="n">
        <v>66920</v>
      </c>
      <c r="O1136" s="7" t="n">
        <v>22485</v>
      </c>
      <c r="P1136" s="7" t="n">
        <v>46143</v>
      </c>
      <c r="S1136" s="7" t="n">
        <v>6</v>
      </c>
      <c r="T1136" s="7" t="n">
        <v>12</v>
      </c>
      <c r="U1136" s="7" t="n">
        <v>12</v>
      </c>
      <c r="V1136" s="9" t="n">
        <v>0.55097689294736596</v>
      </c>
    </row>
    <row r="1137">
      <c r="A1137" s="7" t="s">
        <v>72</v>
      </c>
      <c r="B1137" s="7" t="s">
        <v>54</v>
      </c>
      <c r="C1137" s="7"/>
      <c r="D1137" s="7" t="s">
        <v>31</v>
      </c>
      <c r="E1137" s="8" t="n">
        <v>46174</v>
      </c>
      <c r="F1137" s="7" t="n">
        <v>23773</v>
      </c>
      <c r="H1137" s="7" t="n">
        <v>43147</v>
      </c>
      <c r="I1137" s="7" t="n">
        <v>0</v>
      </c>
      <c r="L1137" s="7"/>
      <c r="S1137" s="7" t="n">
        <v>6</v>
      </c>
      <c r="T1137" s="7" t="n">
        <v>12</v>
      </c>
      <c r="U1137" s="7" t="n">
        <v>12</v>
      </c>
      <c r="V1137" s="9" t="n">
        <v>0</v>
      </c>
    </row>
    <row r="1138">
      <c r="A1138" s="7" t="s">
        <v>72</v>
      </c>
      <c r="B1138" s="7" t="s">
        <v>54</v>
      </c>
      <c r="C1138" s="7"/>
      <c r="D1138" s="7" t="s">
        <v>31</v>
      </c>
      <c r="E1138" s="8" t="n">
        <v>46204</v>
      </c>
      <c r="F1138" s="7" t="n">
        <v>0</v>
      </c>
      <c r="H1138" s="7" t="n">
        <v>43147</v>
      </c>
      <c r="I1138" s="7" t="n">
        <v>0</v>
      </c>
      <c r="L1138" s="7"/>
      <c r="S1138" s="7" t="n">
        <v>6</v>
      </c>
      <c r="T1138" s="7" t="n">
        <v>12</v>
      </c>
      <c r="U1138" s="7" t="n">
        <v>12</v>
      </c>
      <c r="V1138" s="9" t="n">
        <v>0</v>
      </c>
    </row>
    <row r="1139">
      <c r="A1139" s="7" t="s">
        <v>72</v>
      </c>
      <c r="B1139" s="7" t="s">
        <v>54</v>
      </c>
      <c r="C1139" s="7"/>
      <c r="D1139" s="7" t="s">
        <v>31</v>
      </c>
      <c r="E1139" s="8" t="n">
        <v>46235</v>
      </c>
      <c r="F1139" s="7" t="n">
        <v>0</v>
      </c>
      <c r="H1139" s="7" t="n">
        <v>43147</v>
      </c>
      <c r="I1139" s="7" t="n">
        <v>0</v>
      </c>
      <c r="L1139" s="7"/>
      <c r="S1139" s="7" t="n">
        <v>6</v>
      </c>
      <c r="T1139" s="7" t="n">
        <v>12</v>
      </c>
      <c r="U1139" s="7" t="n">
        <v>12</v>
      </c>
      <c r="V1139" s="9" t="n">
        <v>0</v>
      </c>
    </row>
    <row r="1140">
      <c r="A1140" s="7" t="s">
        <v>72</v>
      </c>
      <c r="B1140" s="7" t="s">
        <v>54</v>
      </c>
      <c r="C1140" s="7"/>
      <c r="D1140" s="7" t="s">
        <v>31</v>
      </c>
      <c r="E1140" s="8" t="n">
        <v>46266</v>
      </c>
      <c r="F1140" s="7" t="n">
        <v>0</v>
      </c>
      <c r="H1140" s="7" t="n">
        <v>43147</v>
      </c>
      <c r="I1140" s="7" t="n">
        <v>0</v>
      </c>
      <c r="L1140" s="7"/>
      <c r="S1140" s="7" t="n">
        <v>6</v>
      </c>
      <c r="T1140" s="7" t="n">
        <v>12</v>
      </c>
      <c r="U1140" s="7" t="n">
        <v>12</v>
      </c>
      <c r="V1140" s="9" t="n">
        <v>0</v>
      </c>
    </row>
    <row r="1141">
      <c r="A1141" s="7" t="s">
        <v>72</v>
      </c>
      <c r="B1141" s="7" t="s">
        <v>54</v>
      </c>
      <c r="C1141" s="7"/>
      <c r="D1141" s="7" t="s">
        <v>31</v>
      </c>
      <c r="E1141" s="8" t="n">
        <v>46296</v>
      </c>
      <c r="F1141" s="7" t="n">
        <v>0</v>
      </c>
      <c r="H1141" s="7" t="n">
        <v>43147</v>
      </c>
      <c r="I1141" s="7" t="n">
        <v>0</v>
      </c>
      <c r="L1141" s="7"/>
      <c r="S1141" s="7" t="n">
        <v>6</v>
      </c>
      <c r="T1141" s="7" t="n">
        <v>12</v>
      </c>
      <c r="U1141" s="7" t="n">
        <v>12</v>
      </c>
      <c r="V1141" s="9" t="n">
        <v>0</v>
      </c>
    </row>
    <row r="1142">
      <c r="A1142" s="7" t="s">
        <v>72</v>
      </c>
      <c r="B1142" s="7" t="s">
        <v>54</v>
      </c>
      <c r="C1142" s="7"/>
      <c r="D1142" s="7" t="s">
        <v>31</v>
      </c>
      <c r="E1142" s="8" t="n">
        <v>46327</v>
      </c>
      <c r="F1142" s="7" t="n">
        <v>0</v>
      </c>
      <c r="H1142" s="7" t="n">
        <v>43147</v>
      </c>
      <c r="I1142" s="7" t="n">
        <v>0</v>
      </c>
      <c r="L1142" s="7"/>
      <c r="S1142" s="7" t="n">
        <v>6</v>
      </c>
      <c r="T1142" s="7" t="n">
        <v>12</v>
      </c>
      <c r="U1142" s="7" t="n">
        <v>12</v>
      </c>
      <c r="V1142" s="9" t="n">
        <v>0</v>
      </c>
    </row>
    <row r="1143">
      <c r="A1143" s="7" t="s">
        <v>72</v>
      </c>
      <c r="B1143" s="7" t="s">
        <v>54</v>
      </c>
      <c r="C1143" s="7"/>
      <c r="D1143" s="7" t="s">
        <v>31</v>
      </c>
      <c r="E1143" s="8" t="n">
        <v>46357</v>
      </c>
      <c r="F1143" s="7" t="n">
        <v>0</v>
      </c>
      <c r="H1143" s="7" t="n">
        <v>43147</v>
      </c>
      <c r="I1143" s="7" t="n">
        <v>24231</v>
      </c>
      <c r="J1143" s="7" t="s">
        <v>2</v>
      </c>
      <c r="K1143" s="7" t="s">
        <v>2</v>
      </c>
      <c r="L1143" s="7" t="s">
        <v>4</v>
      </c>
      <c r="M1143" s="7" t="n">
        <v>67378</v>
      </c>
      <c r="O1143" s="7" t="n">
        <v>22639</v>
      </c>
      <c r="P1143" s="7" t="n">
        <v>46357</v>
      </c>
      <c r="S1143" s="7" t="n">
        <v>6</v>
      </c>
      <c r="T1143" s="7" t="n">
        <v>12</v>
      </c>
      <c r="U1143" s="7" t="n">
        <v>12</v>
      </c>
      <c r="V1143" s="9" t="n">
        <v>0.56159176767793817</v>
      </c>
    </row>
    <row r="1144">
      <c r="A1144" s="7" t="s">
        <v>77</v>
      </c>
      <c r="B1144" s="7" t="s">
        <v>133</v>
      </c>
      <c r="C1144" s="7" t="s">
        <v>50</v>
      </c>
      <c r="D1144" s="7" t="s">
        <v>31</v>
      </c>
      <c r="E1144" s="8" t="n">
        <v>45839</v>
      </c>
      <c r="F1144" s="7" t="n">
        <v>542712</v>
      </c>
      <c r="H1144" s="7" t="n">
        <v>117973</v>
      </c>
      <c r="I1144" s="7" t="n">
        <v>424739</v>
      </c>
      <c r="L1144" s="7"/>
      <c r="S1144" s="7" t="n">
        <v>6</v>
      </c>
      <c r="T1144" s="7" t="n">
        <v>12</v>
      </c>
      <c r="U1144" s="7" t="n">
        <v>12</v>
      </c>
      <c r="V1144" s="9" t="n">
        <v>3.6003068498724282</v>
      </c>
    </row>
    <row r="1145">
      <c r="A1145" s="7" t="s">
        <v>77</v>
      </c>
      <c r="B1145" s="7" t="s">
        <v>133</v>
      </c>
      <c r="C1145" s="7" t="s">
        <v>50</v>
      </c>
      <c r="D1145" s="7" t="s">
        <v>31</v>
      </c>
      <c r="E1145" s="8" t="n">
        <v>45870</v>
      </c>
      <c r="F1145" s="7" t="n">
        <v>424739</v>
      </c>
      <c r="H1145" s="7" t="n">
        <v>117973</v>
      </c>
      <c r="I1145" s="7" t="n">
        <v>1785646</v>
      </c>
      <c r="J1145" s="7" t="s">
        <v>51</v>
      </c>
      <c r="K1145" s="7" t="s">
        <v>51</v>
      </c>
      <c r="L1145" s="7" t="s">
        <v>154</v>
      </c>
      <c r="M1145" s="7" t="n">
        <v>1478880</v>
      </c>
      <c r="P1145" s="7" t="n">
        <v>42217</v>
      </c>
      <c r="S1145" s="7" t="n">
        <v>6</v>
      </c>
      <c r="T1145" s="7" t="n">
        <v>12</v>
      </c>
      <c r="U1145" s="7" t="n">
        <v>12</v>
      </c>
      <c r="V1145" s="9" t="n">
        <v>15.136056555313504</v>
      </c>
    </row>
    <row r="1146">
      <c r="A1146" s="7" t="s">
        <v>77</v>
      </c>
      <c r="B1146" s="7" t="s">
        <v>133</v>
      </c>
      <c r="C1146" s="7" t="s">
        <v>50</v>
      </c>
      <c r="D1146" s="7" t="s">
        <v>31</v>
      </c>
      <c r="E1146" s="8" t="n">
        <v>45901</v>
      </c>
      <c r="F1146" s="7" t="n">
        <v>1785646</v>
      </c>
      <c r="H1146" s="7" t="n">
        <v>117973</v>
      </c>
      <c r="I1146" s="7" t="n">
        <v>1667673</v>
      </c>
      <c r="L1146" s="7"/>
      <c r="S1146" s="7" t="n">
        <v>6</v>
      </c>
      <c r="T1146" s="7" t="n">
        <v>12</v>
      </c>
      <c r="U1146" s="7" t="n">
        <v>12</v>
      </c>
      <c r="V1146" s="9" t="n">
        <v>14.136056555313504</v>
      </c>
    </row>
    <row r="1147">
      <c r="A1147" s="7" t="s">
        <v>77</v>
      </c>
      <c r="B1147" s="7" t="s">
        <v>133</v>
      </c>
      <c r="C1147" s="7" t="s">
        <v>50</v>
      </c>
      <c r="D1147" s="7" t="s">
        <v>31</v>
      </c>
      <c r="E1147" s="8" t="n">
        <v>45931</v>
      </c>
      <c r="F1147" s="7" t="n">
        <v>1667673</v>
      </c>
      <c r="H1147" s="7" t="n">
        <v>117973</v>
      </c>
      <c r="I1147" s="7" t="n">
        <v>1549700</v>
      </c>
      <c r="L1147" s="7"/>
      <c r="S1147" s="7" t="n">
        <v>6</v>
      </c>
      <c r="T1147" s="7" t="n">
        <v>12</v>
      </c>
      <c r="U1147" s="7" t="n">
        <v>12</v>
      </c>
      <c r="V1147" s="9" t="n">
        <v>13.136056555313504</v>
      </c>
    </row>
    <row r="1148">
      <c r="A1148" s="7" t="s">
        <v>77</v>
      </c>
      <c r="B1148" s="7" t="s">
        <v>133</v>
      </c>
      <c r="C1148" s="7" t="s">
        <v>50</v>
      </c>
      <c r="D1148" s="7" t="s">
        <v>31</v>
      </c>
      <c r="E1148" s="8" t="n">
        <v>45962</v>
      </c>
      <c r="F1148" s="7" t="n">
        <v>1549700</v>
      </c>
      <c r="H1148" s="7" t="n">
        <v>117973</v>
      </c>
      <c r="I1148" s="7" t="n">
        <v>1431727</v>
      </c>
      <c r="L1148" s="7"/>
      <c r="S1148" s="7" t="n">
        <v>6</v>
      </c>
      <c r="T1148" s="7" t="n">
        <v>12</v>
      </c>
      <c r="U1148" s="7" t="n">
        <v>12</v>
      </c>
      <c r="V1148" s="9" t="n">
        <v>12.136056555313504</v>
      </c>
    </row>
    <row r="1149">
      <c r="A1149" s="7" t="s">
        <v>77</v>
      </c>
      <c r="B1149" s="7" t="s">
        <v>133</v>
      </c>
      <c r="C1149" s="7" t="s">
        <v>50</v>
      </c>
      <c r="D1149" s="7" t="s">
        <v>31</v>
      </c>
      <c r="E1149" s="8" t="n">
        <v>45992</v>
      </c>
      <c r="F1149" s="7" t="n">
        <v>1431727</v>
      </c>
      <c r="H1149" s="7" t="n">
        <v>117973</v>
      </c>
      <c r="I1149" s="7" t="n">
        <v>1313754</v>
      </c>
      <c r="L1149" s="7"/>
      <c r="S1149" s="7" t="n">
        <v>6</v>
      </c>
      <c r="T1149" s="7" t="n">
        <v>12</v>
      </c>
      <c r="U1149" s="7" t="n">
        <v>12</v>
      </c>
      <c r="V1149" s="9" t="n">
        <v>11.136056555313504</v>
      </c>
    </row>
    <row r="1150">
      <c r="A1150" s="7" t="s">
        <v>77</v>
      </c>
      <c r="B1150" s="7" t="s">
        <v>133</v>
      </c>
      <c r="C1150" s="7" t="s">
        <v>50</v>
      </c>
      <c r="D1150" s="7" t="s">
        <v>31</v>
      </c>
      <c r="E1150" s="8" t="n">
        <v>46023</v>
      </c>
      <c r="F1150" s="7" t="n">
        <v>1313754</v>
      </c>
      <c r="H1150" s="7" t="n">
        <v>117973</v>
      </c>
      <c r="I1150" s="7" t="n">
        <v>1402803</v>
      </c>
      <c r="J1150" s="7" t="s">
        <v>168</v>
      </c>
      <c r="K1150" s="7" t="s">
        <v>168</v>
      </c>
      <c r="L1150" s="7" t="s">
        <v>147</v>
      </c>
      <c r="M1150" s="7" t="n">
        <v>207022</v>
      </c>
      <c r="S1150" s="7" t="n">
        <v>6</v>
      </c>
      <c r="T1150" s="7" t="n">
        <v>12</v>
      </c>
      <c r="U1150" s="7" t="n">
        <v>12</v>
      </c>
      <c r="V1150" s="9" t="n">
        <v>11.890881811940019</v>
      </c>
    </row>
    <row r="1151">
      <c r="A1151" s="7" t="s">
        <v>77</v>
      </c>
      <c r="B1151" s="7" t="s">
        <v>133</v>
      </c>
      <c r="C1151" s="7" t="s">
        <v>50</v>
      </c>
      <c r="D1151" s="7" t="s">
        <v>31</v>
      </c>
      <c r="E1151" s="8" t="n">
        <v>46054</v>
      </c>
      <c r="F1151" s="7" t="n">
        <v>1402803</v>
      </c>
      <c r="H1151" s="7" t="n">
        <v>117973</v>
      </c>
      <c r="I1151" s="7" t="n">
        <v>1284830</v>
      </c>
      <c r="L1151" s="7"/>
      <c r="S1151" s="7" t="n">
        <v>6</v>
      </c>
      <c r="T1151" s="7" t="n">
        <v>12</v>
      </c>
      <c r="U1151" s="7" t="n">
        <v>12</v>
      </c>
      <c r="V1151" s="9" t="n">
        <v>10.890881811940019</v>
      </c>
    </row>
    <row r="1152">
      <c r="A1152" s="7" t="s">
        <v>77</v>
      </c>
      <c r="B1152" s="7" t="s">
        <v>133</v>
      </c>
      <c r="C1152" s="7" t="s">
        <v>50</v>
      </c>
      <c r="D1152" s="7" t="s">
        <v>31</v>
      </c>
      <c r="E1152" s="8" t="n">
        <v>46082</v>
      </c>
      <c r="F1152" s="7" t="n">
        <v>1284830</v>
      </c>
      <c r="H1152" s="7" t="n">
        <v>117973</v>
      </c>
      <c r="I1152" s="7" t="n">
        <v>1166857</v>
      </c>
      <c r="L1152" s="7"/>
      <c r="S1152" s="7" t="n">
        <v>6</v>
      </c>
      <c r="T1152" s="7" t="n">
        <v>12</v>
      </c>
      <c r="U1152" s="7" t="n">
        <v>12</v>
      </c>
      <c r="V1152" s="9" t="n">
        <v>9.8908818119400195</v>
      </c>
    </row>
    <row r="1153">
      <c r="A1153" s="7" t="s">
        <v>77</v>
      </c>
      <c r="B1153" s="7" t="s">
        <v>133</v>
      </c>
      <c r="C1153" s="7" t="s">
        <v>50</v>
      </c>
      <c r="D1153" s="7" t="s">
        <v>31</v>
      </c>
      <c r="E1153" s="8" t="n">
        <v>46113</v>
      </c>
      <c r="F1153" s="7" t="n">
        <v>1166857</v>
      </c>
      <c r="H1153" s="7" t="n">
        <v>117973</v>
      </c>
      <c r="I1153" s="7" t="n">
        <v>1048884</v>
      </c>
      <c r="L1153" s="7"/>
      <c r="S1153" s="7" t="n">
        <v>6</v>
      </c>
      <c r="T1153" s="7" t="n">
        <v>12</v>
      </c>
      <c r="U1153" s="7" t="n">
        <v>12</v>
      </c>
      <c r="V1153" s="9" t="n">
        <v>8.8908818119400195</v>
      </c>
    </row>
    <row r="1154">
      <c r="A1154" s="7" t="s">
        <v>77</v>
      </c>
      <c r="B1154" s="7" t="s">
        <v>133</v>
      </c>
      <c r="C1154" s="7" t="s">
        <v>50</v>
      </c>
      <c r="D1154" s="7" t="s">
        <v>31</v>
      </c>
      <c r="E1154" s="8" t="n">
        <v>46143</v>
      </c>
      <c r="F1154" s="7" t="n">
        <v>1048884</v>
      </c>
      <c r="H1154" s="7" t="n">
        <v>117973</v>
      </c>
      <c r="I1154" s="7" t="n">
        <v>930911</v>
      </c>
      <c r="L1154" s="7"/>
      <c r="S1154" s="7" t="n">
        <v>6</v>
      </c>
      <c r="T1154" s="7" t="n">
        <v>12</v>
      </c>
      <c r="U1154" s="7" t="n">
        <v>12</v>
      </c>
      <c r="V1154" s="9" t="n">
        <v>7.8908818119400204</v>
      </c>
    </row>
    <row r="1155">
      <c r="A1155" s="7" t="s">
        <v>77</v>
      </c>
      <c r="B1155" s="7" t="s">
        <v>133</v>
      </c>
      <c r="C1155" s="7" t="s">
        <v>50</v>
      </c>
      <c r="D1155" s="7" t="s">
        <v>31</v>
      </c>
      <c r="E1155" s="8" t="n">
        <v>46174</v>
      </c>
      <c r="F1155" s="7" t="n">
        <v>930911</v>
      </c>
      <c r="H1155" s="7" t="n">
        <v>117973</v>
      </c>
      <c r="I1155" s="7" t="n">
        <v>812938</v>
      </c>
      <c r="L1155" s="7"/>
      <c r="S1155" s="7" t="n">
        <v>6</v>
      </c>
      <c r="T1155" s="7" t="n">
        <v>12</v>
      </c>
      <c r="U1155" s="7" t="n">
        <v>12</v>
      </c>
      <c r="V1155" s="9" t="n">
        <v>6.8908818119400204</v>
      </c>
    </row>
    <row r="1156">
      <c r="A1156" s="7" t="s">
        <v>74</v>
      </c>
      <c r="B1156" s="7" t="s">
        <v>54</v>
      </c>
      <c r="C1156" s="7" t="s">
        <v>50</v>
      </c>
      <c r="D1156" s="7" t="s">
        <v>31</v>
      </c>
      <c r="E1156" s="8" t="n">
        <v>45658</v>
      </c>
      <c r="H1156" s="7" t="n">
        <v>28000</v>
      </c>
      <c r="I1156" s="7" t="n">
        <v>0</v>
      </c>
      <c r="L1156" s="7"/>
      <c r="S1156" s="7" t="n">
        <v>3</v>
      </c>
      <c r="T1156" s="7" t="n">
        <v>6</v>
      </c>
      <c r="U1156" s="7" t="n">
        <v>6</v>
      </c>
      <c r="V1156" s="9" t="n">
        <v>0</v>
      </c>
    </row>
    <row r="1157">
      <c r="A1157" s="7" t="s">
        <v>74</v>
      </c>
      <c r="B1157" s="7" t="s">
        <v>54</v>
      </c>
      <c r="C1157" s="7" t="s">
        <v>50</v>
      </c>
      <c r="D1157" s="7" t="s">
        <v>31</v>
      </c>
      <c r="E1157" s="8" t="n">
        <v>45689</v>
      </c>
      <c r="H1157" s="7" t="n">
        <v>28000</v>
      </c>
      <c r="I1157" s="7" t="n">
        <v>0</v>
      </c>
      <c r="L1157" s="7"/>
      <c r="S1157" s="7" t="n">
        <v>3</v>
      </c>
      <c r="T1157" s="7" t="n">
        <v>6</v>
      </c>
      <c r="U1157" s="7" t="n">
        <v>6</v>
      </c>
      <c r="V1157" s="9" t="n">
        <v>0</v>
      </c>
    </row>
    <row r="1158">
      <c r="A1158" s="7" t="s">
        <v>74</v>
      </c>
      <c r="B1158" s="7" t="s">
        <v>54</v>
      </c>
      <c r="C1158" s="7" t="s">
        <v>50</v>
      </c>
      <c r="D1158" s="7" t="s">
        <v>31</v>
      </c>
      <c r="E1158" s="8" t="n">
        <v>45717</v>
      </c>
      <c r="H1158" s="7" t="n">
        <v>28000</v>
      </c>
      <c r="I1158" s="7" t="n">
        <v>0</v>
      </c>
      <c r="L1158" s="7"/>
      <c r="S1158" s="7" t="n">
        <v>3</v>
      </c>
      <c r="T1158" s="7" t="n">
        <v>6</v>
      </c>
      <c r="U1158" s="7" t="n">
        <v>6</v>
      </c>
      <c r="V1158" s="9" t="n">
        <v>0</v>
      </c>
    </row>
    <row r="1159">
      <c r="A1159" s="7" t="s">
        <v>74</v>
      </c>
      <c r="B1159" s="7" t="s">
        <v>54</v>
      </c>
      <c r="C1159" s="7" t="s">
        <v>50</v>
      </c>
      <c r="D1159" s="7" t="s">
        <v>31</v>
      </c>
      <c r="E1159" s="8" t="n">
        <v>45748</v>
      </c>
      <c r="H1159" s="7" t="n">
        <v>28000</v>
      </c>
      <c r="I1159" s="7" t="n">
        <v>0</v>
      </c>
      <c r="L1159" s="7"/>
      <c r="S1159" s="7" t="n">
        <v>3</v>
      </c>
      <c r="T1159" s="7" t="n">
        <v>6</v>
      </c>
      <c r="U1159" s="7" t="n">
        <v>6</v>
      </c>
      <c r="V1159" s="9" t="n">
        <v>0</v>
      </c>
    </row>
    <row r="1160">
      <c r="A1160" s="7" t="s">
        <v>74</v>
      </c>
      <c r="B1160" s="7" t="s">
        <v>54</v>
      </c>
      <c r="C1160" s="7" t="s">
        <v>50</v>
      </c>
      <c r="D1160" s="7" t="s">
        <v>31</v>
      </c>
      <c r="E1160" s="8" t="n">
        <v>45778</v>
      </c>
      <c r="H1160" s="7" t="n">
        <v>28000</v>
      </c>
      <c r="I1160" s="7" t="n">
        <v>0</v>
      </c>
      <c r="L1160" s="7"/>
      <c r="S1160" s="7" t="n">
        <v>3</v>
      </c>
      <c r="T1160" s="7" t="n">
        <v>6</v>
      </c>
      <c r="U1160" s="7" t="n">
        <v>6</v>
      </c>
      <c r="V1160" s="9" t="n">
        <v>0</v>
      </c>
    </row>
    <row r="1161">
      <c r="A1161" s="7" t="s">
        <v>74</v>
      </c>
      <c r="B1161" s="7" t="s">
        <v>54</v>
      </c>
      <c r="C1161" s="7" t="s">
        <v>50</v>
      </c>
      <c r="D1161" s="7" t="s">
        <v>31</v>
      </c>
      <c r="E1161" s="8" t="n">
        <v>45809</v>
      </c>
      <c r="H1161" s="7" t="n">
        <v>28000</v>
      </c>
      <c r="I1161" s="7" t="n">
        <v>0</v>
      </c>
      <c r="L1161" s="7"/>
      <c r="S1161" s="7" t="n">
        <v>3</v>
      </c>
      <c r="T1161" s="7" t="n">
        <v>6</v>
      </c>
      <c r="U1161" s="7" t="n">
        <v>6</v>
      </c>
      <c r="V1161" s="9" t="n">
        <v>0</v>
      </c>
    </row>
    <row r="1162">
      <c r="A1162" s="7" t="s">
        <v>74</v>
      </c>
      <c r="B1162" s="7" t="s">
        <v>54</v>
      </c>
      <c r="C1162" s="7" t="s">
        <v>50</v>
      </c>
      <c r="D1162" s="7" t="s">
        <v>31</v>
      </c>
      <c r="E1162" s="8" t="n">
        <v>45839</v>
      </c>
      <c r="H1162" s="7" t="n">
        <v>28000</v>
      </c>
      <c r="I1162" s="7" t="n">
        <v>0</v>
      </c>
      <c r="L1162" s="7"/>
      <c r="S1162" s="7" t="n">
        <v>3</v>
      </c>
      <c r="T1162" s="7" t="n">
        <v>6</v>
      </c>
      <c r="U1162" s="7" t="n">
        <v>6</v>
      </c>
      <c r="V1162" s="9" t="n">
        <v>0</v>
      </c>
    </row>
    <row r="1163">
      <c r="A1163" s="7" t="s">
        <v>74</v>
      </c>
      <c r="B1163" s="7" t="s">
        <v>54</v>
      </c>
      <c r="C1163" s="7" t="s">
        <v>50</v>
      </c>
      <c r="D1163" s="7" t="s">
        <v>31</v>
      </c>
      <c r="E1163" s="8" t="n">
        <v>45870</v>
      </c>
      <c r="F1163" s="7" t="n">
        <v>5304</v>
      </c>
      <c r="H1163" s="7" t="n">
        <v>28000</v>
      </c>
      <c r="I1163" s="7" t="n">
        <v>0</v>
      </c>
      <c r="L1163" s="7"/>
      <c r="S1163" s="7" t="n">
        <v>3</v>
      </c>
      <c r="T1163" s="7" t="n">
        <v>6</v>
      </c>
      <c r="U1163" s="7" t="n">
        <v>6</v>
      </c>
      <c r="V1163" s="9" t="n">
        <v>0</v>
      </c>
    </row>
    <row r="1164">
      <c r="A1164" s="7" t="s">
        <v>74</v>
      </c>
      <c r="B1164" s="7" t="s">
        <v>54</v>
      </c>
      <c r="C1164" s="7" t="s">
        <v>50</v>
      </c>
      <c r="D1164" s="7" t="s">
        <v>31</v>
      </c>
      <c r="E1164" s="8" t="n">
        <v>45901</v>
      </c>
      <c r="F1164" s="7" t="n">
        <v>0</v>
      </c>
      <c r="H1164" s="7" t="n">
        <v>28000</v>
      </c>
      <c r="I1164" s="7" t="n">
        <v>0</v>
      </c>
      <c r="L1164" s="7"/>
      <c r="S1164" s="7" t="n">
        <v>3</v>
      </c>
      <c r="T1164" s="7" t="n">
        <v>6</v>
      </c>
      <c r="U1164" s="7" t="n">
        <v>6</v>
      </c>
      <c r="V1164" s="9" t="n">
        <v>0</v>
      </c>
    </row>
    <row r="1165">
      <c r="A1165" s="7" t="s">
        <v>74</v>
      </c>
      <c r="B1165" s="7" t="s">
        <v>54</v>
      </c>
      <c r="C1165" s="7" t="s">
        <v>50</v>
      </c>
      <c r="D1165" s="7" t="s">
        <v>31</v>
      </c>
      <c r="E1165" s="8" t="n">
        <v>45931</v>
      </c>
      <c r="F1165" s="7" t="n">
        <v>0</v>
      </c>
      <c r="H1165" s="7" t="n">
        <v>28000</v>
      </c>
      <c r="I1165" s="7" t="n">
        <v>0</v>
      </c>
      <c r="L1165" s="7"/>
      <c r="S1165" s="7" t="n">
        <v>3</v>
      </c>
      <c r="T1165" s="7" t="n">
        <v>6</v>
      </c>
      <c r="U1165" s="7" t="n">
        <v>6</v>
      </c>
      <c r="V1165" s="9" t="n">
        <v>0</v>
      </c>
    </row>
    <row r="1166">
      <c r="A1166" s="7" t="s">
        <v>74</v>
      </c>
      <c r="B1166" s="7" t="s">
        <v>54</v>
      </c>
      <c r="C1166" s="7" t="s">
        <v>50</v>
      </c>
      <c r="D1166" s="7" t="s">
        <v>31</v>
      </c>
      <c r="E1166" s="8" t="n">
        <v>45962</v>
      </c>
      <c r="F1166" s="7" t="n">
        <v>0</v>
      </c>
      <c r="H1166" s="7" t="n">
        <v>28000</v>
      </c>
      <c r="I1166" s="7" t="n">
        <v>0</v>
      </c>
      <c r="L1166" s="7"/>
      <c r="S1166" s="7" t="n">
        <v>3</v>
      </c>
      <c r="T1166" s="7" t="n">
        <v>6</v>
      </c>
      <c r="U1166" s="7" t="n">
        <v>6</v>
      </c>
      <c r="V1166" s="9" t="n">
        <v>0</v>
      </c>
    </row>
    <row r="1167">
      <c r="A1167" s="7" t="s">
        <v>74</v>
      </c>
      <c r="B1167" s="7" t="s">
        <v>54</v>
      </c>
      <c r="C1167" s="7" t="s">
        <v>50</v>
      </c>
      <c r="D1167" s="7" t="s">
        <v>31</v>
      </c>
      <c r="E1167" s="8" t="n">
        <v>45992</v>
      </c>
      <c r="F1167" s="7" t="n">
        <v>0</v>
      </c>
      <c r="H1167" s="7" t="n">
        <v>28000</v>
      </c>
      <c r="I1167" s="7" t="n">
        <v>124714</v>
      </c>
      <c r="J1167" s="7" t="s">
        <v>2</v>
      </c>
      <c r="K1167" s="7" t="s">
        <v>2</v>
      </c>
      <c r="L1167" s="7" t="s">
        <v>4</v>
      </c>
      <c r="M1167" s="7" t="n">
        <v>152714</v>
      </c>
      <c r="S1167" s="7" t="n">
        <v>3</v>
      </c>
      <c r="T1167" s="7" t="n">
        <v>6</v>
      </c>
      <c r="U1167" s="7" t="n">
        <v>6</v>
      </c>
      <c r="V1167" s="9" t="n">
        <v>4.4540714285714289</v>
      </c>
    </row>
    <row r="1168">
      <c r="A1168" s="7" t="s">
        <v>74</v>
      </c>
      <c r="B1168" s="7" t="s">
        <v>54</v>
      </c>
      <c r="C1168" s="7" t="s">
        <v>50</v>
      </c>
      <c r="D1168" s="7" t="s">
        <v>31</v>
      </c>
      <c r="E1168" s="8" t="n">
        <v>46023</v>
      </c>
      <c r="F1168" s="7" t="n">
        <v>124714</v>
      </c>
      <c r="H1168" s="7" t="n">
        <v>28000</v>
      </c>
      <c r="I1168" s="7" t="n">
        <v>96714</v>
      </c>
      <c r="L1168" s="7"/>
      <c r="S1168" s="7" t="n">
        <v>3</v>
      </c>
      <c r="T1168" s="7" t="n">
        <v>6</v>
      </c>
      <c r="U1168" s="7" t="n">
        <v>6</v>
      </c>
      <c r="V1168" s="9" t="n">
        <v>3.4540714285714285</v>
      </c>
    </row>
    <row r="1169">
      <c r="A1169" s="7" t="s">
        <v>74</v>
      </c>
      <c r="B1169" s="7" t="s">
        <v>54</v>
      </c>
      <c r="C1169" s="7" t="s">
        <v>50</v>
      </c>
      <c r="D1169" s="7" t="s">
        <v>31</v>
      </c>
      <c r="E1169" s="8" t="n">
        <v>46054</v>
      </c>
      <c r="F1169" s="7" t="n">
        <v>96714</v>
      </c>
      <c r="H1169" s="7" t="n">
        <v>28000</v>
      </c>
      <c r="I1169" s="7" t="n">
        <v>68714</v>
      </c>
      <c r="L1169" s="7"/>
      <c r="S1169" s="7" t="n">
        <v>3</v>
      </c>
      <c r="T1169" s="7" t="n">
        <v>6</v>
      </c>
      <c r="U1169" s="7" t="n">
        <v>6</v>
      </c>
      <c r="V1169" s="9" t="n">
        <v>2.4540714285714285</v>
      </c>
    </row>
    <row r="1170">
      <c r="A1170" s="7" t="s">
        <v>74</v>
      </c>
      <c r="B1170" s="7" t="s">
        <v>54</v>
      </c>
      <c r="C1170" s="7" t="s">
        <v>50</v>
      </c>
      <c r="D1170" s="7" t="s">
        <v>31</v>
      </c>
      <c r="E1170" s="8" t="n">
        <v>46082</v>
      </c>
      <c r="F1170" s="7" t="n">
        <v>68714</v>
      </c>
      <c r="H1170" s="7" t="n">
        <v>28000</v>
      </c>
      <c r="I1170" s="7" t="n">
        <v>40714</v>
      </c>
      <c r="L1170" s="7"/>
      <c r="S1170" s="7" t="n">
        <v>3</v>
      </c>
      <c r="T1170" s="7" t="n">
        <v>6</v>
      </c>
      <c r="U1170" s="7" t="n">
        <v>6</v>
      </c>
      <c r="V1170" s="9" t="n">
        <v>1.4540714285714287</v>
      </c>
    </row>
    <row r="1171">
      <c r="A1171" s="7" t="s">
        <v>74</v>
      </c>
      <c r="B1171" s="7" t="s">
        <v>54</v>
      </c>
      <c r="C1171" s="7" t="s">
        <v>50</v>
      </c>
      <c r="D1171" s="7" t="s">
        <v>31</v>
      </c>
      <c r="E1171" s="8" t="n">
        <v>46113</v>
      </c>
      <c r="F1171" s="7" t="n">
        <v>40714</v>
      </c>
      <c r="H1171" s="7" t="n">
        <v>28000</v>
      </c>
      <c r="I1171" s="7" t="n">
        <v>12714</v>
      </c>
      <c r="L1171" s="7"/>
      <c r="S1171" s="7" t="n">
        <v>3</v>
      </c>
      <c r="T1171" s="7" t="n">
        <v>6</v>
      </c>
      <c r="U1171" s="7" t="n">
        <v>6</v>
      </c>
      <c r="V1171" s="9" t="n">
        <v>0.45407142857142857</v>
      </c>
    </row>
    <row r="1172">
      <c r="A1172" s="7" t="s">
        <v>74</v>
      </c>
      <c r="B1172" s="7" t="s">
        <v>54</v>
      </c>
      <c r="C1172" s="7" t="s">
        <v>50</v>
      </c>
      <c r="D1172" s="7" t="s">
        <v>31</v>
      </c>
      <c r="E1172" s="8" t="n">
        <v>46143</v>
      </c>
      <c r="F1172" s="7" t="n">
        <v>12714</v>
      </c>
      <c r="H1172" s="7" t="n">
        <v>28000</v>
      </c>
      <c r="I1172" s="7" t="n">
        <v>0</v>
      </c>
      <c r="L1172" s="7"/>
      <c r="S1172" s="7" t="n">
        <v>3</v>
      </c>
      <c r="T1172" s="7" t="n">
        <v>6</v>
      </c>
      <c r="U1172" s="7" t="n">
        <v>6</v>
      </c>
      <c r="V1172" s="9" t="n">
        <v>0</v>
      </c>
    </row>
    <row r="1173">
      <c r="A1173" s="7" t="s">
        <v>74</v>
      </c>
      <c r="B1173" s="7" t="s">
        <v>54</v>
      </c>
      <c r="C1173" s="7" t="s">
        <v>50</v>
      </c>
      <c r="D1173" s="7" t="s">
        <v>31</v>
      </c>
      <c r="E1173" s="8" t="n">
        <v>46174</v>
      </c>
      <c r="F1173" s="7" t="n">
        <v>0</v>
      </c>
      <c r="H1173" s="7" t="n">
        <v>28000</v>
      </c>
      <c r="I1173" s="7" t="n">
        <v>0</v>
      </c>
      <c r="L1173" s="7"/>
      <c r="S1173" s="7" t="n">
        <v>3</v>
      </c>
      <c r="T1173" s="7" t="n">
        <v>6</v>
      </c>
      <c r="U1173" s="7" t="n">
        <v>6</v>
      </c>
      <c r="V1173" s="9" t="n">
        <v>0</v>
      </c>
    </row>
    <row r="1174">
      <c r="A1174" s="7" t="s">
        <v>74</v>
      </c>
      <c r="B1174" s="7" t="s">
        <v>54</v>
      </c>
      <c r="C1174" s="7" t="s">
        <v>50</v>
      </c>
      <c r="D1174" s="7" t="s">
        <v>31</v>
      </c>
      <c r="E1174" s="8" t="n">
        <v>46204</v>
      </c>
      <c r="F1174" s="7" t="n">
        <v>0</v>
      </c>
      <c r="H1174" s="7" t="n">
        <v>28000</v>
      </c>
      <c r="I1174" s="7" t="n">
        <v>0</v>
      </c>
      <c r="L1174" s="7"/>
      <c r="S1174" s="7" t="n">
        <v>3</v>
      </c>
      <c r="T1174" s="7" t="n">
        <v>6</v>
      </c>
      <c r="U1174" s="7" t="n">
        <v>6</v>
      </c>
      <c r="V1174" s="9" t="n">
        <v>0</v>
      </c>
    </row>
    <row r="1175">
      <c r="A1175" s="7" t="s">
        <v>74</v>
      </c>
      <c r="B1175" s="7" t="s">
        <v>54</v>
      </c>
      <c r="C1175" s="7" t="s">
        <v>50</v>
      </c>
      <c r="D1175" s="7" t="s">
        <v>31</v>
      </c>
      <c r="E1175" s="8" t="n">
        <v>46235</v>
      </c>
      <c r="F1175" s="7" t="n">
        <v>0</v>
      </c>
      <c r="H1175" s="7" t="n">
        <v>28000</v>
      </c>
      <c r="I1175" s="7" t="n">
        <v>0</v>
      </c>
      <c r="L1175" s="7"/>
      <c r="S1175" s="7" t="n">
        <v>3</v>
      </c>
      <c r="T1175" s="7" t="n">
        <v>6</v>
      </c>
      <c r="U1175" s="7" t="n">
        <v>6</v>
      </c>
      <c r="V1175" s="9" t="n">
        <v>0</v>
      </c>
    </row>
    <row r="1176">
      <c r="A1176" s="7" t="s">
        <v>166</v>
      </c>
      <c r="B1176" s="7" t="s">
        <v>54</v>
      </c>
      <c r="C1176" s="7" t="s">
        <v>50</v>
      </c>
      <c r="D1176" s="7" t="s">
        <v>31</v>
      </c>
      <c r="E1176" s="8" t="n">
        <v>45748</v>
      </c>
      <c r="F1176" s="7" t="n">
        <v>226023</v>
      </c>
      <c r="H1176" s="7" t="n">
        <v>22398</v>
      </c>
      <c r="I1176" s="7" t="n">
        <v>203625</v>
      </c>
      <c r="L1176" s="7"/>
      <c r="S1176" s="7" t="n">
        <v>9</v>
      </c>
      <c r="T1176" s="7" t="n">
        <v>15</v>
      </c>
      <c r="U1176" s="7" t="n">
        <v>15</v>
      </c>
      <c r="V1176" s="9" t="n">
        <v>9.0912135012054645</v>
      </c>
    </row>
    <row r="1177">
      <c r="A1177" s="7" t="s">
        <v>166</v>
      </c>
      <c r="B1177" s="7" t="s">
        <v>54</v>
      </c>
      <c r="C1177" s="7" t="s">
        <v>50</v>
      </c>
      <c r="D1177" s="7" t="s">
        <v>31</v>
      </c>
      <c r="E1177" s="8" t="n">
        <v>45778</v>
      </c>
      <c r="F1177" s="7" t="n">
        <v>203625</v>
      </c>
      <c r="H1177" s="7" t="n">
        <v>22398</v>
      </c>
      <c r="I1177" s="7" t="n">
        <v>181227</v>
      </c>
      <c r="L1177" s="7"/>
      <c r="S1177" s="7" t="n">
        <v>9</v>
      </c>
      <c r="T1177" s="7" t="n">
        <v>15</v>
      </c>
      <c r="U1177" s="7" t="n">
        <v>15</v>
      </c>
      <c r="V1177" s="9" t="n">
        <v>8.0912135012054645</v>
      </c>
    </row>
    <row r="1178">
      <c r="A1178" s="7" t="s">
        <v>166</v>
      </c>
      <c r="B1178" s="7" t="s">
        <v>54</v>
      </c>
      <c r="C1178" s="7" t="s">
        <v>50</v>
      </c>
      <c r="D1178" s="7" t="s">
        <v>31</v>
      </c>
      <c r="E1178" s="8" t="n">
        <v>45809</v>
      </c>
      <c r="F1178" s="7" t="n">
        <v>181227</v>
      </c>
      <c r="H1178" s="7" t="n">
        <v>22398</v>
      </c>
      <c r="I1178" s="7" t="n">
        <v>304989</v>
      </c>
      <c r="L1178" s="7"/>
      <c r="M1178" s="7" t="n">
        <v>146160</v>
      </c>
      <c r="S1178" s="7" t="n">
        <v>9</v>
      </c>
      <c r="T1178" s="7" t="n">
        <v>15</v>
      </c>
      <c r="U1178" s="7" t="n">
        <v>15</v>
      </c>
      <c r="V1178" s="9" t="n">
        <v>13.616796142512724</v>
      </c>
    </row>
    <row r="1179">
      <c r="A1179" s="7" t="s">
        <v>166</v>
      </c>
      <c r="B1179" s="7" t="s">
        <v>54</v>
      </c>
      <c r="C1179" s="7" t="s">
        <v>50</v>
      </c>
      <c r="D1179" s="7" t="s">
        <v>31</v>
      </c>
      <c r="E1179" s="8" t="n">
        <v>45839</v>
      </c>
      <c r="F1179" s="7" t="n">
        <v>304989</v>
      </c>
      <c r="H1179" s="7" t="n">
        <v>22398</v>
      </c>
      <c r="I1179" s="7" t="n">
        <v>282591</v>
      </c>
      <c r="L1179" s="7"/>
      <c r="S1179" s="7" t="n">
        <v>9</v>
      </c>
      <c r="T1179" s="7" t="n">
        <v>15</v>
      </c>
      <c r="U1179" s="7" t="n">
        <v>15</v>
      </c>
      <c r="V1179" s="9" t="n">
        <v>12.616796142512724</v>
      </c>
    </row>
    <row r="1180">
      <c r="A1180" s="7" t="s">
        <v>166</v>
      </c>
      <c r="B1180" s="7" t="s">
        <v>54</v>
      </c>
      <c r="C1180" s="7" t="s">
        <v>50</v>
      </c>
      <c r="D1180" s="7" t="s">
        <v>31</v>
      </c>
      <c r="E1180" s="8" t="n">
        <v>45870</v>
      </c>
      <c r="F1180" s="7" t="n">
        <v>282591</v>
      </c>
      <c r="H1180" s="7" t="n">
        <v>22398</v>
      </c>
      <c r="I1180" s="7" t="n">
        <v>260193</v>
      </c>
      <c r="L1180" s="7"/>
      <c r="S1180" s="7" t="n">
        <v>9</v>
      </c>
      <c r="T1180" s="7" t="n">
        <v>15</v>
      </c>
      <c r="U1180" s="7" t="n">
        <v>15</v>
      </c>
      <c r="V1180" s="9" t="n">
        <v>11.616796142512724</v>
      </c>
    </row>
    <row r="1181">
      <c r="A1181" s="7" t="s">
        <v>166</v>
      </c>
      <c r="B1181" s="7" t="s">
        <v>54</v>
      </c>
      <c r="C1181" s="7" t="s">
        <v>50</v>
      </c>
      <c r="D1181" s="7" t="s">
        <v>31</v>
      </c>
      <c r="E1181" s="8" t="n">
        <v>45901</v>
      </c>
      <c r="F1181" s="7" t="n">
        <v>260193</v>
      </c>
      <c r="H1181" s="7" t="n">
        <v>22398</v>
      </c>
      <c r="I1181" s="7" t="n">
        <v>237795</v>
      </c>
      <c r="L1181" s="7"/>
      <c r="S1181" s="7" t="n">
        <v>9</v>
      </c>
      <c r="T1181" s="7" t="n">
        <v>15</v>
      </c>
      <c r="U1181" s="7" t="n">
        <v>15</v>
      </c>
      <c r="V1181" s="9" t="n">
        <v>10.616796142512724</v>
      </c>
    </row>
    <row r="1182">
      <c r="A1182" s="7" t="s">
        <v>166</v>
      </c>
      <c r="B1182" s="7" t="s">
        <v>54</v>
      </c>
      <c r="C1182" s="7" t="s">
        <v>50</v>
      </c>
      <c r="D1182" s="7" t="s">
        <v>31</v>
      </c>
      <c r="E1182" s="8" t="n">
        <v>45931</v>
      </c>
      <c r="F1182" s="7" t="n">
        <v>237795</v>
      </c>
      <c r="H1182" s="7" t="n">
        <v>22398</v>
      </c>
      <c r="I1182" s="7" t="n">
        <v>215397</v>
      </c>
      <c r="L1182" s="7"/>
      <c r="S1182" s="7" t="n">
        <v>9</v>
      </c>
      <c r="T1182" s="7" t="n">
        <v>15</v>
      </c>
      <c r="U1182" s="7" t="n">
        <v>15</v>
      </c>
      <c r="V1182" s="9" t="n">
        <v>9.6167961425127242</v>
      </c>
    </row>
    <row r="1183">
      <c r="A1183" s="7" t="s">
        <v>166</v>
      </c>
      <c r="B1183" s="7" t="s">
        <v>54</v>
      </c>
      <c r="C1183" s="7" t="s">
        <v>50</v>
      </c>
      <c r="D1183" s="7" t="s">
        <v>31</v>
      </c>
      <c r="E1183" s="8" t="n">
        <v>45962</v>
      </c>
      <c r="F1183" s="7" t="n">
        <v>215397</v>
      </c>
      <c r="H1183" s="7" t="n">
        <v>22398</v>
      </c>
      <c r="I1183" s="7" t="n">
        <v>192999</v>
      </c>
      <c r="L1183" s="7"/>
      <c r="S1183" s="7" t="n">
        <v>9</v>
      </c>
      <c r="T1183" s="7" t="n">
        <v>15</v>
      </c>
      <c r="U1183" s="7" t="n">
        <v>15</v>
      </c>
      <c r="V1183" s="9" t="n">
        <v>8.6167961425127242</v>
      </c>
    </row>
    <row r="1184">
      <c r="A1184" s="7" t="s">
        <v>166</v>
      </c>
      <c r="B1184" s="7" t="s">
        <v>54</v>
      </c>
      <c r="C1184" s="7" t="s">
        <v>50</v>
      </c>
      <c r="D1184" s="7" t="s">
        <v>31</v>
      </c>
      <c r="E1184" s="8" t="n">
        <v>45992</v>
      </c>
      <c r="F1184" s="7" t="n">
        <v>192999</v>
      </c>
      <c r="H1184" s="7" t="n">
        <v>22398</v>
      </c>
      <c r="I1184" s="7" t="n">
        <v>170601</v>
      </c>
      <c r="L1184" s="7"/>
      <c r="S1184" s="7" t="n">
        <v>9</v>
      </c>
      <c r="T1184" s="7" t="n">
        <v>15</v>
      </c>
      <c r="U1184" s="7" t="n">
        <v>15</v>
      </c>
      <c r="V1184" s="9" t="n">
        <v>7.6167961425127242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1.81640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54</v>
      </c>
      <c r="C2" s="10"/>
      <c r="D2" s="10" t="s">
        <v>31</v>
      </c>
      <c r="E2" s="11" t="n">
        <v>45839</v>
      </c>
      <c r="F2" t="n">
        <v>193964</v>
      </c>
      <c r="H2" t="n">
        <v>19077</v>
      </c>
      <c r="I2" t="n">
        <v>174887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9.167426744246999</v>
      </c>
    </row>
    <row r="3">
      <c r="A3" s="10" t="s">
        <v>28</v>
      </c>
      <c r="B3" s="10" t="s">
        <v>54</v>
      </c>
      <c r="C3" s="10"/>
      <c r="D3" s="10" t="s">
        <v>31</v>
      </c>
      <c r="E3" s="11" t="n">
        <v>45870</v>
      </c>
      <c r="F3" t="n">
        <v>174887</v>
      </c>
      <c r="H3" t="n">
        <v>19077</v>
      </c>
      <c r="I3" t="n">
        <v>674349</v>
      </c>
      <c r="J3" s="10" t="s">
        <v>51</v>
      </c>
      <c r="K3" s="10" t="s">
        <v>51</v>
      </c>
      <c r="L3" s="10" t="s">
        <v>4</v>
      </c>
      <c r="M3" t="n">
        <v>518539</v>
      </c>
      <c r="O3" t="n">
        <v>136894</v>
      </c>
      <c r="P3" s="11" t="n">
        <v>45870</v>
      </c>
      <c r="S3" t="n">
        <v>9</v>
      </c>
      <c r="T3" t="n">
        <v>14</v>
      </c>
      <c r="U3" t="n">
        <v>13</v>
      </c>
      <c r="V3" t="n">
        <v>35.348796980657333</v>
      </c>
    </row>
    <row r="4">
      <c r="A4" s="10" t="s">
        <v>28</v>
      </c>
      <c r="B4" s="10" t="s">
        <v>54</v>
      </c>
      <c r="C4" s="10"/>
      <c r="D4" s="10" t="s">
        <v>31</v>
      </c>
      <c r="E4" s="11" t="n">
        <v>45901</v>
      </c>
      <c r="F4" t="n">
        <v>674349</v>
      </c>
      <c r="H4" t="n">
        <v>19077</v>
      </c>
      <c r="I4" t="n">
        <v>655272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34.348796980657333</v>
      </c>
    </row>
    <row r="5">
      <c r="A5" s="10" t="s">
        <v>28</v>
      </c>
      <c r="B5" s="10" t="s">
        <v>54</v>
      </c>
      <c r="C5" s="10"/>
      <c r="D5" s="10" t="s">
        <v>31</v>
      </c>
      <c r="E5" s="11" t="n">
        <v>45931</v>
      </c>
      <c r="F5" t="n">
        <v>655272</v>
      </c>
      <c r="H5" t="n">
        <v>19077</v>
      </c>
      <c r="I5" t="n">
        <v>636195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33.348796980657333</v>
      </c>
    </row>
    <row r="6">
      <c r="A6" s="10" t="s">
        <v>28</v>
      </c>
      <c r="B6" s="10" t="s">
        <v>54</v>
      </c>
      <c r="C6" s="10"/>
      <c r="D6" s="10" t="s">
        <v>31</v>
      </c>
      <c r="E6" s="11" t="n">
        <v>45962</v>
      </c>
      <c r="F6" t="n">
        <v>636195</v>
      </c>
      <c r="H6" t="n">
        <v>19077</v>
      </c>
      <c r="I6" t="n">
        <v>617118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32.348796980657333</v>
      </c>
    </row>
    <row r="7">
      <c r="A7" s="10" t="s">
        <v>28</v>
      </c>
      <c r="B7" s="10" t="s">
        <v>54</v>
      </c>
      <c r="C7" s="10"/>
      <c r="D7" s="10" t="s">
        <v>31</v>
      </c>
      <c r="E7" s="11" t="n">
        <v>45992</v>
      </c>
      <c r="F7" t="n">
        <v>617118</v>
      </c>
      <c r="H7" t="n">
        <v>19077</v>
      </c>
      <c r="I7" t="n">
        <v>598041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31.348796980657337</v>
      </c>
    </row>
    <row r="8">
      <c r="A8" s="10" t="s">
        <v>28</v>
      </c>
      <c r="B8" s="10" t="s">
        <v>54</v>
      </c>
      <c r="C8" s="10"/>
      <c r="D8" s="10" t="s">
        <v>31</v>
      </c>
      <c r="E8" s="11" t="n">
        <v>46023</v>
      </c>
      <c r="F8" t="n">
        <v>598041</v>
      </c>
      <c r="H8" t="n">
        <v>19077</v>
      </c>
      <c r="I8" t="n">
        <v>1087444</v>
      </c>
      <c r="J8" s="10" t="s">
        <v>2</v>
      </c>
      <c r="K8" s="10" t="s">
        <v>2</v>
      </c>
      <c r="L8" s="10" t="s">
        <v>4</v>
      </c>
      <c r="M8" t="n">
        <v>508480</v>
      </c>
      <c r="O8" t="n">
        <v>134239</v>
      </c>
      <c r="P8" s="11" t="n">
        <v>46023</v>
      </c>
      <c r="S8" t="n">
        <v>9</v>
      </c>
      <c r="T8" t="n">
        <v>14</v>
      </c>
      <c r="U8" t="n">
        <v>13</v>
      </c>
      <c r="V8" t="n">
        <v>57.002883052890915</v>
      </c>
    </row>
    <row r="9">
      <c r="A9" s="10" t="s">
        <v>28</v>
      </c>
      <c r="B9" s="10" t="s">
        <v>54</v>
      </c>
      <c r="C9" s="10"/>
      <c r="D9" s="10" t="s">
        <v>31</v>
      </c>
      <c r="E9" s="11" t="n">
        <v>46054</v>
      </c>
      <c r="F9" t="n">
        <v>1087444</v>
      </c>
      <c r="H9" t="n">
        <v>19077</v>
      </c>
      <c r="I9" t="n">
        <v>1068367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56.002883052890915</v>
      </c>
    </row>
    <row r="10">
      <c r="A10" s="10" t="s">
        <v>28</v>
      </c>
      <c r="B10" s="10" t="s">
        <v>54</v>
      </c>
      <c r="C10" s="10"/>
      <c r="D10" s="10" t="s">
        <v>31</v>
      </c>
      <c r="E10" s="11" t="n">
        <v>46082</v>
      </c>
      <c r="F10" t="n">
        <v>1068367</v>
      </c>
      <c r="H10" t="n">
        <v>19077</v>
      </c>
      <c r="I10" t="n">
        <v>1049290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55.002883052890915</v>
      </c>
    </row>
    <row r="11">
      <c r="A11" s="10" t="s">
        <v>28</v>
      </c>
      <c r="B11" s="10" t="s">
        <v>54</v>
      </c>
      <c r="C11" s="10"/>
      <c r="D11" s="10" t="s">
        <v>31</v>
      </c>
      <c r="E11" s="11" t="n">
        <v>46113</v>
      </c>
      <c r="F11" t="n">
        <v>1049290</v>
      </c>
      <c r="H11" t="n">
        <v>19077</v>
      </c>
      <c r="I11" t="n">
        <v>1030213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54.002883052890915</v>
      </c>
    </row>
    <row r="12">
      <c r="A12" s="10" t="s">
        <v>28</v>
      </c>
      <c r="B12" s="10" t="s">
        <v>54</v>
      </c>
      <c r="C12" s="10"/>
      <c r="D12" s="10" t="s">
        <v>31</v>
      </c>
      <c r="E12" s="11" t="n">
        <v>46143</v>
      </c>
      <c r="F12" t="n">
        <v>1030213</v>
      </c>
      <c r="H12" t="n">
        <v>19077</v>
      </c>
      <c r="I12" t="n">
        <v>1011136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53.002883052890915</v>
      </c>
    </row>
    <row r="13">
      <c r="A13" s="10" t="s">
        <v>28</v>
      </c>
      <c r="B13" s="10" t="s">
        <v>54</v>
      </c>
      <c r="C13" s="10"/>
      <c r="D13" s="10" t="s">
        <v>31</v>
      </c>
      <c r="E13" s="11" t="n">
        <v>46174</v>
      </c>
      <c r="F13" t="n">
        <v>1011136</v>
      </c>
      <c r="H13" t="n">
        <v>19077</v>
      </c>
      <c r="I13" t="n">
        <v>1514641</v>
      </c>
      <c r="J13" s="10" t="s">
        <v>2</v>
      </c>
      <c r="K13" s="10" t="s">
        <v>2</v>
      </c>
      <c r="L13" s="10" t="s">
        <v>4</v>
      </c>
      <c r="M13" t="n">
        <v>522582</v>
      </c>
      <c r="O13" t="n">
        <v>137962</v>
      </c>
      <c r="P13" s="11" t="n">
        <v>46174</v>
      </c>
      <c r="S13" t="n">
        <v>9</v>
      </c>
      <c r="T13" t="n">
        <v>14</v>
      </c>
      <c r="U13" t="n">
        <v>13</v>
      </c>
      <c r="V13" t="n">
        <v>79.396183886355303</v>
      </c>
    </row>
    <row r="14">
      <c r="A14" s="10" t="s">
        <v>75</v>
      </c>
      <c r="B14" s="10" t="s">
        <v>54</v>
      </c>
      <c r="C14" s="10"/>
      <c r="D14" s="10" t="s">
        <v>31</v>
      </c>
      <c r="E14" s="11" t="n">
        <v>45748</v>
      </c>
      <c r="F14" t="n">
        <v>38405</v>
      </c>
      <c r="H14" t="n">
        <v>6731</v>
      </c>
      <c r="I14" t="n">
        <v>31674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4.7056900906254642</v>
      </c>
    </row>
    <row r="15">
      <c r="A15" s="10" t="s">
        <v>75</v>
      </c>
      <c r="B15" s="10" t="s">
        <v>54</v>
      </c>
      <c r="C15" s="10"/>
      <c r="D15" s="10" t="s">
        <v>31</v>
      </c>
      <c r="E15" s="11" t="n">
        <v>45778</v>
      </c>
      <c r="F15" t="n">
        <v>31674</v>
      </c>
      <c r="H15" t="n">
        <v>6712</v>
      </c>
      <c r="I15" t="n">
        <v>24962</v>
      </c>
      <c r="J15" s="10"/>
      <c r="K15" s="10"/>
      <c r="L15" s="10"/>
      <c r="P15" s="11"/>
      <c r="S15" t="n">
        <v>7</v>
      </c>
      <c r="T15" t="n">
        <v>15</v>
      </c>
      <c r="U15" t="n">
        <v>15</v>
      </c>
      <c r="V15" t="n">
        <v>3.7190107270560189</v>
      </c>
    </row>
    <row r="16">
      <c r="A16" s="10" t="s">
        <v>75</v>
      </c>
      <c r="B16" s="10" t="s">
        <v>54</v>
      </c>
      <c r="C16" s="10"/>
      <c r="D16" s="10" t="s">
        <v>31</v>
      </c>
      <c r="E16" s="11" t="n">
        <v>45809</v>
      </c>
      <c r="F16" t="n">
        <v>24962</v>
      </c>
      <c r="H16" t="n">
        <v>6694</v>
      </c>
      <c r="I16" t="n">
        <v>18268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2.7290110546758291</v>
      </c>
    </row>
    <row r="17">
      <c r="A17" s="10" t="s">
        <v>75</v>
      </c>
      <c r="B17" s="10" t="s">
        <v>54</v>
      </c>
      <c r="C17" s="10"/>
      <c r="D17" s="10" t="s">
        <v>31</v>
      </c>
      <c r="E17" s="11" t="n">
        <v>45839</v>
      </c>
      <c r="F17" t="n">
        <v>18268</v>
      </c>
      <c r="H17" t="n">
        <v>6676</v>
      </c>
      <c r="I17" t="n">
        <v>11592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1.7363690832834033</v>
      </c>
    </row>
    <row r="18">
      <c r="A18" s="10" t="s">
        <v>75</v>
      </c>
      <c r="B18" s="10" t="s">
        <v>54</v>
      </c>
      <c r="C18" s="10"/>
      <c r="D18" s="10" t="s">
        <v>31</v>
      </c>
      <c r="E18" s="11" t="n">
        <v>45870</v>
      </c>
      <c r="F18" t="n">
        <v>11592</v>
      </c>
      <c r="H18" t="n">
        <v>6657</v>
      </c>
      <c r="I18" t="n">
        <v>4935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0.74132492113564674</v>
      </c>
    </row>
    <row r="19">
      <c r="A19" s="10" t="s">
        <v>75</v>
      </c>
      <c r="B19" s="10" t="s">
        <v>54</v>
      </c>
      <c r="C19" s="10"/>
      <c r="D19" s="10" t="s">
        <v>31</v>
      </c>
      <c r="E19" s="11" t="n">
        <v>45901</v>
      </c>
      <c r="F19" t="n">
        <v>4935</v>
      </c>
      <c r="H19" t="n">
        <v>6639</v>
      </c>
      <c r="I19" t="n">
        <v>148296</v>
      </c>
      <c r="J19" s="10"/>
      <c r="K19" s="10"/>
      <c r="L19" s="10" t="s">
        <v>147</v>
      </c>
      <c r="M19" t="n">
        <v>150000</v>
      </c>
      <c r="P19" s="11"/>
      <c r="S19" t="n">
        <v>7</v>
      </c>
      <c r="T19" t="n">
        <v>15</v>
      </c>
      <c r="U19" t="n">
        <v>15</v>
      </c>
      <c r="V19" t="n">
        <v>22.337098960686852</v>
      </c>
    </row>
    <row r="20">
      <c r="A20" s="10" t="s">
        <v>75</v>
      </c>
      <c r="B20" s="10" t="s">
        <v>54</v>
      </c>
      <c r="C20" s="10"/>
      <c r="D20" s="10" t="s">
        <v>31</v>
      </c>
      <c r="E20" s="11" t="n">
        <v>45931</v>
      </c>
      <c r="F20" t="n">
        <v>148296</v>
      </c>
      <c r="H20" t="n">
        <v>6621</v>
      </c>
      <c r="I20" t="n">
        <v>141675</v>
      </c>
      <c r="J20" s="10"/>
      <c r="K20" s="10"/>
      <c r="L20" s="10"/>
      <c r="P20" s="11"/>
      <c r="S20" t="n">
        <v>7</v>
      </c>
      <c r="T20" t="n">
        <v>15</v>
      </c>
      <c r="U20" t="n">
        <v>15</v>
      </c>
      <c r="V20" t="n">
        <v>21.397825101948346</v>
      </c>
    </row>
    <row r="21">
      <c r="A21" s="10" t="s">
        <v>75</v>
      </c>
      <c r="B21" s="10" t="s">
        <v>54</v>
      </c>
      <c r="C21" s="10"/>
      <c r="D21" s="10" t="s">
        <v>31</v>
      </c>
      <c r="E21" s="11" t="n">
        <v>45962</v>
      </c>
      <c r="F21" t="n">
        <v>141675</v>
      </c>
      <c r="H21" t="n">
        <v>6602</v>
      </c>
      <c r="I21" t="n">
        <v>135073</v>
      </c>
      <c r="J21" s="10"/>
      <c r="K21" s="10"/>
      <c r="L21" s="10"/>
      <c r="P21" s="11"/>
      <c r="S21" t="n">
        <v>7</v>
      </c>
      <c r="T21" t="n">
        <v>15</v>
      </c>
      <c r="U21" t="n">
        <v>15</v>
      </c>
      <c r="V21" t="n">
        <v>20.459406240533173</v>
      </c>
    </row>
    <row r="22">
      <c r="A22" s="10" t="s">
        <v>75</v>
      </c>
      <c r="B22" s="10" t="s">
        <v>54</v>
      </c>
      <c r="C22" s="10"/>
      <c r="D22" s="10" t="s">
        <v>31</v>
      </c>
      <c r="E22" s="11" t="n">
        <v>45992</v>
      </c>
      <c r="F22" t="n">
        <v>135073</v>
      </c>
      <c r="H22" t="n">
        <v>6584</v>
      </c>
      <c r="I22" t="n">
        <v>128489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19.51534021871203</v>
      </c>
    </row>
    <row r="23">
      <c r="A23" s="10" t="s">
        <v>75</v>
      </c>
      <c r="B23" s="10" t="s">
        <v>54</v>
      </c>
      <c r="C23" s="10"/>
      <c r="D23" s="10" t="s">
        <v>31</v>
      </c>
      <c r="E23" s="11" t="n">
        <v>46023</v>
      </c>
      <c r="F23" t="n">
        <v>128489</v>
      </c>
      <c r="H23" t="n">
        <v>6566</v>
      </c>
      <c r="I23" t="n">
        <v>121923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18.568839476088943</v>
      </c>
    </row>
    <row r="24">
      <c r="A24" s="10" t="s">
        <v>75</v>
      </c>
      <c r="B24" s="10" t="s">
        <v>54</v>
      </c>
      <c r="C24" s="10"/>
      <c r="D24" s="10" t="s">
        <v>31</v>
      </c>
      <c r="E24" s="11" t="n">
        <v>46054</v>
      </c>
      <c r="F24" t="n">
        <v>121923</v>
      </c>
      <c r="H24" t="n">
        <v>6547</v>
      </c>
      <c r="I24" t="n">
        <v>115376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17.622727967007791</v>
      </c>
    </row>
    <row r="25">
      <c r="A25" s="10" t="s">
        <v>75</v>
      </c>
      <c r="B25" s="10" t="s">
        <v>54</v>
      </c>
      <c r="C25" s="10"/>
      <c r="D25" s="10" t="s">
        <v>31</v>
      </c>
      <c r="E25" s="11" t="n">
        <v>46082</v>
      </c>
      <c r="F25" t="n">
        <v>115376</v>
      </c>
      <c r="H25" t="n">
        <v>6529</v>
      </c>
      <c r="I25" t="n">
        <v>108847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16.671312605299434</v>
      </c>
    </row>
    <row r="26">
      <c r="A26" s="10" t="s">
        <v>75</v>
      </c>
      <c r="B26" s="10" t="s">
        <v>54</v>
      </c>
      <c r="C26" s="10"/>
      <c r="D26" s="10" t="s">
        <v>31</v>
      </c>
      <c r="E26" s="11" t="n">
        <v>46113</v>
      </c>
      <c r="F26" t="n">
        <v>108847</v>
      </c>
      <c r="H26" t="n">
        <v>6511</v>
      </c>
      <c r="I26" t="n">
        <v>102336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15.717401320841653</v>
      </c>
    </row>
    <row r="27">
      <c r="A27" s="10" t="s">
        <v>75</v>
      </c>
      <c r="B27" s="10" t="s">
        <v>54</v>
      </c>
      <c r="C27" s="10"/>
      <c r="D27" s="10" t="s">
        <v>31</v>
      </c>
      <c r="E27" s="11" t="n">
        <v>46143</v>
      </c>
      <c r="F27" t="n">
        <v>102336</v>
      </c>
      <c r="H27" t="n">
        <v>6492</v>
      </c>
      <c r="I27" t="n">
        <v>95844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14.763401109057302</v>
      </c>
    </row>
    <row r="28">
      <c r="A28" s="10" t="s">
        <v>75</v>
      </c>
      <c r="B28" s="10" t="s">
        <v>54</v>
      </c>
      <c r="C28" s="10"/>
      <c r="D28" s="10" t="s">
        <v>31</v>
      </c>
      <c r="E28" s="11" t="n">
        <v>46174</v>
      </c>
      <c r="F28" t="n">
        <v>95844</v>
      </c>
      <c r="H28" t="n">
        <v>6474</v>
      </c>
      <c r="I28" t="n">
        <v>89370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13.804448563484709</v>
      </c>
    </row>
    <row r="29">
      <c r="A29" s="10" t="s">
        <v>75</v>
      </c>
      <c r="B29" s="10" t="s">
        <v>54</v>
      </c>
      <c r="C29" s="10"/>
      <c r="D29" s="10" t="s">
        <v>31</v>
      </c>
      <c r="E29" s="11" t="n">
        <v>46204</v>
      </c>
      <c r="F29" t="n">
        <v>89370</v>
      </c>
      <c r="H29" t="n">
        <v>6456</v>
      </c>
      <c r="I29" t="n">
        <v>82914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12.842936802973977</v>
      </c>
    </row>
    <row r="30">
      <c r="A30" s="10" t="s">
        <v>75</v>
      </c>
      <c r="B30" s="10" t="s">
        <v>54</v>
      </c>
      <c r="C30" s="10"/>
      <c r="D30" s="10" t="s">
        <v>31</v>
      </c>
      <c r="E30" s="11" t="n">
        <v>46235</v>
      </c>
      <c r="F30" t="n">
        <v>82914</v>
      </c>
      <c r="H30" t="n">
        <v>6437</v>
      </c>
      <c r="I30" t="n">
        <v>76477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11.880845114183625</v>
      </c>
    </row>
    <row r="31">
      <c r="A31" s="10" t="s">
        <v>75</v>
      </c>
      <c r="B31" s="10" t="s">
        <v>54</v>
      </c>
      <c r="C31" s="10"/>
      <c r="D31" s="10" t="s">
        <v>31</v>
      </c>
      <c r="E31" s="11" t="n">
        <v>46266</v>
      </c>
      <c r="F31" t="n">
        <v>76477</v>
      </c>
      <c r="H31" t="n">
        <v>6419</v>
      </c>
      <c r="I31" t="n">
        <v>70058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10.914161084281041</v>
      </c>
    </row>
    <row r="32">
      <c r="A32" s="10" t="s">
        <v>76</v>
      </c>
      <c r="B32" s="10" t="s">
        <v>54</v>
      </c>
      <c r="C32" s="10"/>
      <c r="D32" s="10" t="s">
        <v>31</v>
      </c>
      <c r="E32" s="11" t="n">
        <v>45748</v>
      </c>
      <c r="F32" t="n">
        <v>595110</v>
      </c>
      <c r="H32" t="n">
        <v>14352</v>
      </c>
      <c r="I32" t="n">
        <v>580758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40.465301003344479</v>
      </c>
    </row>
    <row r="33">
      <c r="A33" s="10" t="s">
        <v>76</v>
      </c>
      <c r="B33" s="10" t="s">
        <v>54</v>
      </c>
      <c r="C33" s="10"/>
      <c r="D33" s="10" t="s">
        <v>31</v>
      </c>
      <c r="E33" s="11" t="n">
        <v>45778</v>
      </c>
      <c r="F33" t="n">
        <v>580758</v>
      </c>
      <c r="H33" t="n">
        <v>14352</v>
      </c>
      <c r="I33" t="n">
        <v>566406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39.465301003344479</v>
      </c>
    </row>
    <row r="34">
      <c r="A34" s="10" t="s">
        <v>76</v>
      </c>
      <c r="B34" s="10" t="s">
        <v>54</v>
      </c>
      <c r="C34" s="10"/>
      <c r="D34" s="10" t="s">
        <v>31</v>
      </c>
      <c r="E34" s="11" t="n">
        <v>45809</v>
      </c>
      <c r="F34" t="n">
        <v>566406</v>
      </c>
      <c r="H34" t="n">
        <v>14352</v>
      </c>
      <c r="I34" t="n">
        <v>552054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38.465301003344479</v>
      </c>
    </row>
    <row r="35">
      <c r="A35" s="10" t="s">
        <v>76</v>
      </c>
      <c r="B35" s="10" t="s">
        <v>54</v>
      </c>
      <c r="C35" s="10"/>
      <c r="D35" s="10" t="s">
        <v>31</v>
      </c>
      <c r="E35" s="11" t="n">
        <v>45839</v>
      </c>
      <c r="F35" t="n">
        <v>552054</v>
      </c>
      <c r="H35" t="n">
        <v>14352</v>
      </c>
      <c r="I35" t="n">
        <v>537702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37.465301003344479</v>
      </c>
    </row>
    <row r="36">
      <c r="A36" s="10" t="s">
        <v>76</v>
      </c>
      <c r="B36" s="10" t="s">
        <v>54</v>
      </c>
      <c r="C36" s="10"/>
      <c r="D36" s="10" t="s">
        <v>31</v>
      </c>
      <c r="E36" s="11" t="n">
        <v>45870</v>
      </c>
      <c r="F36" t="n">
        <v>537702</v>
      </c>
      <c r="H36" t="n">
        <v>14352</v>
      </c>
      <c r="I36" t="n">
        <v>523350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36.465301003344479</v>
      </c>
    </row>
    <row r="37">
      <c r="A37" s="10" t="s">
        <v>76</v>
      </c>
      <c r="B37" s="10" t="s">
        <v>54</v>
      </c>
      <c r="C37" s="10"/>
      <c r="D37" s="10" t="s">
        <v>31</v>
      </c>
      <c r="E37" s="11" t="n">
        <v>45901</v>
      </c>
      <c r="F37" t="n">
        <v>523350</v>
      </c>
      <c r="H37" t="n">
        <v>14352</v>
      </c>
      <c r="I37" t="n">
        <v>508998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35.465301003344479</v>
      </c>
    </row>
    <row r="38">
      <c r="A38" s="10" t="s">
        <v>76</v>
      </c>
      <c r="B38" s="10" t="s">
        <v>54</v>
      </c>
      <c r="C38" s="10"/>
      <c r="D38" s="10" t="s">
        <v>31</v>
      </c>
      <c r="E38" s="11" t="n">
        <v>45931</v>
      </c>
      <c r="F38" t="n">
        <v>508998</v>
      </c>
      <c r="H38" t="n">
        <v>14352</v>
      </c>
      <c r="I38" t="n">
        <v>494646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34.465301003344479</v>
      </c>
    </row>
    <row r="39">
      <c r="A39" s="10" t="s">
        <v>76</v>
      </c>
      <c r="B39" s="10" t="s">
        <v>54</v>
      </c>
      <c r="C39" s="10"/>
      <c r="D39" s="10" t="s">
        <v>31</v>
      </c>
      <c r="E39" s="11" t="n">
        <v>45962</v>
      </c>
      <c r="F39" t="n">
        <v>494646</v>
      </c>
      <c r="H39" t="n">
        <v>14352</v>
      </c>
      <c r="I39" t="n">
        <v>480294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33.465301003344479</v>
      </c>
    </row>
    <row r="40">
      <c r="A40" s="10" t="s">
        <v>76</v>
      </c>
      <c r="B40" s="10" t="s">
        <v>54</v>
      </c>
      <c r="C40" s="10"/>
      <c r="D40" s="10" t="s">
        <v>31</v>
      </c>
      <c r="E40" s="11" t="n">
        <v>45992</v>
      </c>
      <c r="F40" t="n">
        <v>480294</v>
      </c>
      <c r="H40" t="n">
        <v>14352</v>
      </c>
      <c r="I40" t="n">
        <v>465942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32.465301003344479</v>
      </c>
    </row>
    <row r="41">
      <c r="A41" s="10" t="s">
        <v>76</v>
      </c>
      <c r="B41" s="10" t="s">
        <v>54</v>
      </c>
      <c r="C41" s="10"/>
      <c r="D41" s="10" t="s">
        <v>31</v>
      </c>
      <c r="E41" s="11" t="n">
        <v>46023</v>
      </c>
      <c r="F41" t="n">
        <v>465942</v>
      </c>
      <c r="H41" t="n">
        <v>12437</v>
      </c>
      <c r="I41" t="n">
        <v>453505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36.464179464501086</v>
      </c>
    </row>
    <row r="42">
      <c r="A42" s="10" t="s">
        <v>76</v>
      </c>
      <c r="B42" s="10" t="s">
        <v>54</v>
      </c>
      <c r="C42" s="10"/>
      <c r="D42" s="10" t="s">
        <v>31</v>
      </c>
      <c r="E42" s="11" t="n">
        <v>46054</v>
      </c>
      <c r="F42" t="n">
        <v>453505</v>
      </c>
      <c r="H42" t="n">
        <v>12437</v>
      </c>
      <c r="I42" t="n">
        <v>441068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35.464179464501086</v>
      </c>
    </row>
    <row r="43">
      <c r="A43" s="10" t="s">
        <v>76</v>
      </c>
      <c r="B43" s="10" t="s">
        <v>54</v>
      </c>
      <c r="C43" s="10"/>
      <c r="D43" s="10" t="s">
        <v>31</v>
      </c>
      <c r="E43" s="11" t="n">
        <v>46082</v>
      </c>
      <c r="F43" t="n">
        <v>441068</v>
      </c>
      <c r="H43" t="n">
        <v>12437</v>
      </c>
      <c r="I43" t="n">
        <v>428631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34.464179464501086</v>
      </c>
    </row>
    <row r="44">
      <c r="A44" s="10" t="s">
        <v>76</v>
      </c>
      <c r="B44" s="10" t="s">
        <v>54</v>
      </c>
      <c r="C44" s="10"/>
      <c r="D44" s="10" t="s">
        <v>31</v>
      </c>
      <c r="E44" s="11" t="n">
        <v>46113</v>
      </c>
      <c r="F44" t="n">
        <v>428631</v>
      </c>
      <c r="H44" t="n">
        <v>12437</v>
      </c>
      <c r="I44" t="n">
        <v>416194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33.464179464501086</v>
      </c>
    </row>
    <row r="45">
      <c r="A45" s="10" t="s">
        <v>76</v>
      </c>
      <c r="B45" s="10" t="s">
        <v>54</v>
      </c>
      <c r="C45" s="10"/>
      <c r="D45" s="10" t="s">
        <v>31</v>
      </c>
      <c r="E45" s="11" t="n">
        <v>46143</v>
      </c>
      <c r="F45" t="n">
        <v>416194</v>
      </c>
      <c r="H45" t="n">
        <v>12437</v>
      </c>
      <c r="I45" t="n">
        <v>403757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32.464179464501086</v>
      </c>
    </row>
    <row r="46">
      <c r="A46" s="10" t="s">
        <v>76</v>
      </c>
      <c r="B46" s="10" t="s">
        <v>54</v>
      </c>
      <c r="C46" s="10"/>
      <c r="D46" s="10" t="s">
        <v>31</v>
      </c>
      <c r="E46" s="11" t="n">
        <v>46174</v>
      </c>
      <c r="F46" t="n">
        <v>403757</v>
      </c>
      <c r="H46" t="n">
        <v>12437</v>
      </c>
      <c r="I46" t="n">
        <v>391320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31.464179464501086</v>
      </c>
    </row>
    <row r="47">
      <c r="A47" s="10" t="s">
        <v>76</v>
      </c>
      <c r="B47" s="10" t="s">
        <v>54</v>
      </c>
      <c r="C47" s="10"/>
      <c r="D47" s="10" t="s">
        <v>31</v>
      </c>
      <c r="E47" s="11" t="n">
        <v>46204</v>
      </c>
      <c r="F47" t="n">
        <v>391320</v>
      </c>
      <c r="H47" t="n">
        <v>12437</v>
      </c>
      <c r="I47" t="n">
        <v>378883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30.464179464501086</v>
      </c>
    </row>
    <row r="48">
      <c r="A48" s="10" t="s">
        <v>76</v>
      </c>
      <c r="B48" s="10" t="s">
        <v>54</v>
      </c>
      <c r="C48" s="10"/>
      <c r="D48" s="10" t="s">
        <v>31</v>
      </c>
      <c r="E48" s="11" t="n">
        <v>46235</v>
      </c>
      <c r="F48" t="n">
        <v>378883</v>
      </c>
      <c r="H48" t="n">
        <v>12437</v>
      </c>
      <c r="I48" t="n">
        <v>366446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29.464179464501086</v>
      </c>
    </row>
    <row r="49">
      <c r="A49" s="10" t="s">
        <v>76</v>
      </c>
      <c r="B49" s="10" t="s">
        <v>54</v>
      </c>
      <c r="C49" s="10"/>
      <c r="D49" s="10" t="s">
        <v>31</v>
      </c>
      <c r="E49" s="11" t="n">
        <v>46266</v>
      </c>
      <c r="F49" t="n">
        <v>366446</v>
      </c>
      <c r="H49" t="n">
        <v>12437</v>
      </c>
      <c r="I49" t="n">
        <v>354009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28.464179464501086</v>
      </c>
    </row>
    <row r="50">
      <c r="A50" s="10" t="s">
        <v>76</v>
      </c>
      <c r="B50" s="10" t="s">
        <v>54</v>
      </c>
      <c r="C50" s="10"/>
      <c r="D50" s="10" t="s">
        <v>31</v>
      </c>
      <c r="E50" s="11" t="n">
        <v>46296</v>
      </c>
      <c r="F50" t="n">
        <v>354009</v>
      </c>
      <c r="H50" t="n">
        <v>12437</v>
      </c>
      <c r="I50" t="n">
        <v>341572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27.464179464501086</v>
      </c>
    </row>
    <row r="51">
      <c r="A51" s="10" t="s">
        <v>76</v>
      </c>
      <c r="B51" s="10" t="s">
        <v>54</v>
      </c>
      <c r="C51" s="10"/>
      <c r="D51" s="10" t="s">
        <v>31</v>
      </c>
      <c r="E51" s="11" t="n">
        <v>46327</v>
      </c>
      <c r="F51" t="n">
        <v>341572</v>
      </c>
      <c r="H51" t="n">
        <v>12437</v>
      </c>
      <c r="I51" t="n">
        <v>329135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26.464179464501086</v>
      </c>
    </row>
    <row r="52">
      <c r="A52" s="10" t="s">
        <v>76</v>
      </c>
      <c r="B52" s="10" t="s">
        <v>54</v>
      </c>
      <c r="C52" s="10"/>
      <c r="D52" s="10" t="s">
        <v>31</v>
      </c>
      <c r="E52" s="11" t="n">
        <v>46357</v>
      </c>
      <c r="F52" t="n">
        <v>329135</v>
      </c>
      <c r="H52" t="n">
        <v>12437</v>
      </c>
      <c r="I52" t="n">
        <v>316698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25.464179464501086</v>
      </c>
    </row>
    <row r="53">
      <c r="A53" s="10" t="s">
        <v>72</v>
      </c>
      <c r="B53" s="10" t="s">
        <v>54</v>
      </c>
      <c r="C53" s="10"/>
      <c r="D53" s="10" t="s">
        <v>31</v>
      </c>
      <c r="E53" s="11" t="n">
        <v>45689</v>
      </c>
      <c r="F53" t="n">
        <v>100821</v>
      </c>
      <c r="H53" t="n">
        <v>43147</v>
      </c>
      <c r="I53" t="n">
        <v>57674</v>
      </c>
      <c r="J53" s="10"/>
      <c r="K53" s="10"/>
      <c r="L53" s="10"/>
      <c r="P53" s="11"/>
      <c r="S53" t="n">
        <v>6</v>
      </c>
      <c r="T53" t="n">
        <v>12</v>
      </c>
      <c r="U53" t="n">
        <v>12</v>
      </c>
      <c r="V53" t="n">
        <v>1.3366862122511414</v>
      </c>
    </row>
    <row r="54">
      <c r="A54" s="10" t="s">
        <v>72</v>
      </c>
      <c r="B54" s="10" t="s">
        <v>54</v>
      </c>
      <c r="C54" s="10"/>
      <c r="D54" s="10" t="s">
        <v>31</v>
      </c>
      <c r="E54" s="11" t="n">
        <v>45717</v>
      </c>
      <c r="F54" t="n">
        <v>57674</v>
      </c>
      <c r="H54" t="n">
        <v>43147</v>
      </c>
      <c r="I54" t="n">
        <v>81487</v>
      </c>
      <c r="J54" s="10" t="s">
        <v>161</v>
      </c>
      <c r="K54" s="10" t="s">
        <v>3</v>
      </c>
      <c r="L54" s="10" t="s">
        <v>153</v>
      </c>
      <c r="M54" t="n">
        <v>66960</v>
      </c>
      <c r="O54" t="n">
        <v>22499</v>
      </c>
      <c r="P54" s="11" t="n">
        <v>45717</v>
      </c>
      <c r="S54" t="n">
        <v>6</v>
      </c>
      <c r="T54" t="n">
        <v>12</v>
      </c>
      <c r="U54" t="n">
        <v>12</v>
      </c>
      <c r="V54" t="n">
        <v>1.8885901684937538</v>
      </c>
    </row>
    <row r="55">
      <c r="A55" s="10" t="s">
        <v>72</v>
      </c>
      <c r="B55" s="10" t="s">
        <v>54</v>
      </c>
      <c r="C55" s="10"/>
      <c r="D55" s="10" t="s">
        <v>31</v>
      </c>
      <c r="E55" s="11" t="n">
        <v>45748</v>
      </c>
      <c r="F55" t="n">
        <v>81487</v>
      </c>
      <c r="H55" t="n">
        <v>43147</v>
      </c>
      <c r="I55" t="n">
        <v>38340</v>
      </c>
      <c r="J55" s="10"/>
      <c r="K55" s="10"/>
      <c r="L55" s="10"/>
      <c r="P55" s="11"/>
      <c r="S55" t="n">
        <v>6</v>
      </c>
      <c r="T55" t="n">
        <v>12</v>
      </c>
      <c r="U55" t="n">
        <v>12</v>
      </c>
      <c r="V55" t="n">
        <v>0.88859016849375394</v>
      </c>
    </row>
    <row r="56">
      <c r="A56" s="10" t="s">
        <v>72</v>
      </c>
      <c r="B56" s="10" t="s">
        <v>54</v>
      </c>
      <c r="C56" s="10"/>
      <c r="D56" s="10" t="s">
        <v>31</v>
      </c>
      <c r="E56" s="11" t="n">
        <v>45778</v>
      </c>
      <c r="F56" t="n">
        <v>38340</v>
      </c>
      <c r="H56" t="n">
        <v>43147</v>
      </c>
      <c r="I56" t="n">
        <v>0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0</v>
      </c>
    </row>
    <row r="57">
      <c r="A57" s="10" t="s">
        <v>72</v>
      </c>
      <c r="B57" s="10" t="s">
        <v>54</v>
      </c>
      <c r="C57" s="10"/>
      <c r="D57" s="10" t="s">
        <v>31</v>
      </c>
      <c r="E57" s="11" t="n">
        <v>45809</v>
      </c>
      <c r="F57" t="n">
        <v>0</v>
      </c>
      <c r="H57" t="n">
        <v>43147</v>
      </c>
      <c r="I57" t="n">
        <v>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0</v>
      </c>
    </row>
    <row r="58">
      <c r="A58" s="10" t="s">
        <v>72</v>
      </c>
      <c r="B58" s="10" t="s">
        <v>54</v>
      </c>
      <c r="C58" s="10"/>
      <c r="D58" s="10" t="s">
        <v>31</v>
      </c>
      <c r="E58" s="11" t="n">
        <v>45839</v>
      </c>
      <c r="F58" t="n">
        <v>0</v>
      </c>
      <c r="H58" t="n">
        <v>43147</v>
      </c>
      <c r="I58" t="n">
        <v>0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0</v>
      </c>
    </row>
    <row r="59">
      <c r="A59" s="10" t="s">
        <v>72</v>
      </c>
      <c r="B59" s="10" t="s">
        <v>54</v>
      </c>
      <c r="C59" s="10"/>
      <c r="D59" s="10" t="s">
        <v>31</v>
      </c>
      <c r="E59" s="11" t="n">
        <v>45870</v>
      </c>
      <c r="F59" t="n">
        <v>0</v>
      </c>
      <c r="H59" t="n">
        <v>43147</v>
      </c>
      <c r="I59" t="n">
        <v>0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0</v>
      </c>
    </row>
    <row r="60">
      <c r="A60" s="10" t="s">
        <v>72</v>
      </c>
      <c r="B60" s="10" t="s">
        <v>54</v>
      </c>
      <c r="C60" s="10"/>
      <c r="D60" s="10" t="s">
        <v>31</v>
      </c>
      <c r="E60" s="11" t="n">
        <v>45901</v>
      </c>
      <c r="F60" t="n">
        <v>0</v>
      </c>
      <c r="H60" t="n">
        <v>43147</v>
      </c>
      <c r="I60" t="n">
        <v>0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0</v>
      </c>
    </row>
    <row r="61">
      <c r="A61" s="10" t="s">
        <v>72</v>
      </c>
      <c r="B61" s="10" t="s">
        <v>54</v>
      </c>
      <c r="C61" s="10"/>
      <c r="D61" s="10" t="s">
        <v>31</v>
      </c>
      <c r="E61" s="11" t="n">
        <v>45931</v>
      </c>
      <c r="F61" t="n">
        <v>0</v>
      </c>
      <c r="H61" t="n">
        <v>43147</v>
      </c>
      <c r="I61" t="n">
        <v>19122</v>
      </c>
      <c r="J61" s="10" t="s">
        <v>2</v>
      </c>
      <c r="K61" s="10" t="s">
        <v>2</v>
      </c>
      <c r="L61" s="10" t="s">
        <v>4</v>
      </c>
      <c r="M61" t="n">
        <v>62269</v>
      </c>
      <c r="O61" t="n">
        <v>20922</v>
      </c>
      <c r="P61" s="11" t="n">
        <v>45931</v>
      </c>
      <c r="S61" t="n">
        <v>6</v>
      </c>
      <c r="T61" t="n">
        <v>12</v>
      </c>
      <c r="U61" t="n">
        <v>12</v>
      </c>
      <c r="V61" t="n">
        <v>0.44318260829258116</v>
      </c>
    </row>
    <row r="62">
      <c r="A62" s="10" t="s">
        <v>72</v>
      </c>
      <c r="B62" s="10" t="s">
        <v>54</v>
      </c>
      <c r="C62" s="10"/>
      <c r="D62" s="10" t="s">
        <v>31</v>
      </c>
      <c r="E62" s="11" t="n">
        <v>45962</v>
      </c>
      <c r="F62" t="n">
        <v>19122</v>
      </c>
      <c r="H62" t="n">
        <v>43147</v>
      </c>
      <c r="I62" t="n">
        <v>0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0</v>
      </c>
    </row>
    <row r="63">
      <c r="A63" s="10" t="s">
        <v>72</v>
      </c>
      <c r="B63" s="10" t="s">
        <v>54</v>
      </c>
      <c r="C63" s="10"/>
      <c r="D63" s="10" t="s">
        <v>31</v>
      </c>
      <c r="E63" s="11" t="n">
        <v>45992</v>
      </c>
      <c r="F63" t="n">
        <v>0</v>
      </c>
      <c r="H63" t="n">
        <v>43147</v>
      </c>
      <c r="I63" t="n">
        <v>0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0</v>
      </c>
    </row>
    <row r="64">
      <c r="A64" s="10" t="s">
        <v>72</v>
      </c>
      <c r="B64" s="10" t="s">
        <v>54</v>
      </c>
      <c r="C64" s="10"/>
      <c r="D64" s="10" t="s">
        <v>31</v>
      </c>
      <c r="E64" s="11" t="n">
        <v>46023</v>
      </c>
      <c r="F64" t="n">
        <v>0</v>
      </c>
      <c r="H64" t="n">
        <v>43147</v>
      </c>
      <c r="I64" t="n">
        <v>0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0</v>
      </c>
    </row>
    <row r="65">
      <c r="A65" s="10" t="s">
        <v>72</v>
      </c>
      <c r="B65" s="10" t="s">
        <v>54</v>
      </c>
      <c r="C65" s="10"/>
      <c r="D65" s="10" t="s">
        <v>31</v>
      </c>
      <c r="E65" s="11" t="n">
        <v>46054</v>
      </c>
      <c r="F65" t="n">
        <v>0</v>
      </c>
      <c r="H65" t="n">
        <v>43147</v>
      </c>
      <c r="I65" t="n">
        <v>0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0</v>
      </c>
    </row>
    <row r="66">
      <c r="A66" s="10" t="s">
        <v>72</v>
      </c>
      <c r="B66" s="10" t="s">
        <v>54</v>
      </c>
      <c r="C66" s="10"/>
      <c r="D66" s="10" t="s">
        <v>31</v>
      </c>
      <c r="E66" s="11" t="n">
        <v>46082</v>
      </c>
      <c r="F66" t="n">
        <v>0</v>
      </c>
      <c r="H66" t="n">
        <v>43147</v>
      </c>
      <c r="I66" t="n">
        <v>0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0</v>
      </c>
    </row>
    <row r="67">
      <c r="A67" s="10" t="s">
        <v>72</v>
      </c>
      <c r="B67" s="10" t="s">
        <v>54</v>
      </c>
      <c r="C67" s="10"/>
      <c r="D67" s="10" t="s">
        <v>31</v>
      </c>
      <c r="E67" s="11" t="n">
        <v>46113</v>
      </c>
      <c r="F67" t="n">
        <v>0</v>
      </c>
      <c r="H67" t="n">
        <v>43147</v>
      </c>
      <c r="I67" t="n">
        <v>0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0</v>
      </c>
    </row>
    <row r="68">
      <c r="A68" s="10" t="s">
        <v>72</v>
      </c>
      <c r="B68" s="10" t="s">
        <v>54</v>
      </c>
      <c r="C68" s="10"/>
      <c r="D68" s="10" t="s">
        <v>31</v>
      </c>
      <c r="E68" s="11" t="n">
        <v>46143</v>
      </c>
      <c r="F68" t="n">
        <v>0</v>
      </c>
      <c r="H68" t="n">
        <v>43147</v>
      </c>
      <c r="I68" t="n">
        <v>23773</v>
      </c>
      <c r="J68" s="10" t="s">
        <v>2</v>
      </c>
      <c r="K68" s="10" t="s">
        <v>2</v>
      </c>
      <c r="L68" s="10" t="s">
        <v>4</v>
      </c>
      <c r="M68" t="n">
        <v>66920</v>
      </c>
      <c r="O68" t="n">
        <v>22485</v>
      </c>
      <c r="P68" s="11" t="n">
        <v>46143</v>
      </c>
      <c r="S68" t="n">
        <v>6</v>
      </c>
      <c r="T68" t="n">
        <v>12</v>
      </c>
      <c r="U68" t="n">
        <v>12</v>
      </c>
      <c r="V68" t="n">
        <v>0.55097689294736596</v>
      </c>
    </row>
    <row r="69">
      <c r="A69" s="10" t="s">
        <v>72</v>
      </c>
      <c r="B69" s="10" t="s">
        <v>54</v>
      </c>
      <c r="C69" s="10"/>
      <c r="D69" s="10" t="s">
        <v>31</v>
      </c>
      <c r="E69" s="11" t="n">
        <v>46174</v>
      </c>
      <c r="F69" t="n">
        <v>23773</v>
      </c>
      <c r="H69" t="n">
        <v>43147</v>
      </c>
      <c r="I69" t="n">
        <v>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0</v>
      </c>
    </row>
    <row r="70">
      <c r="A70" s="10" t="s">
        <v>72</v>
      </c>
      <c r="B70" s="10" t="s">
        <v>54</v>
      </c>
      <c r="C70" s="10"/>
      <c r="D70" s="10" t="s">
        <v>31</v>
      </c>
      <c r="E70" s="11" t="n">
        <v>46204</v>
      </c>
      <c r="F70" t="n">
        <v>0</v>
      </c>
      <c r="H70" t="n">
        <v>43147</v>
      </c>
      <c r="I70" t="n">
        <v>0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0</v>
      </c>
    </row>
    <row r="71">
      <c r="A71" s="10" t="s">
        <v>72</v>
      </c>
      <c r="B71" s="10" t="s">
        <v>54</v>
      </c>
      <c r="C71" s="10"/>
      <c r="D71" s="10" t="s">
        <v>31</v>
      </c>
      <c r="E71" s="11" t="n">
        <v>46235</v>
      </c>
      <c r="F71" t="n">
        <v>0</v>
      </c>
      <c r="H71" t="n">
        <v>43147</v>
      </c>
      <c r="I71" t="n">
        <v>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0</v>
      </c>
    </row>
    <row r="72">
      <c r="A72" s="10" t="s">
        <v>72</v>
      </c>
      <c r="B72" s="10" t="s">
        <v>54</v>
      </c>
      <c r="C72" s="10"/>
      <c r="D72" s="10" t="s">
        <v>31</v>
      </c>
      <c r="E72" s="11" t="n">
        <v>46266</v>
      </c>
      <c r="F72" t="n">
        <v>0</v>
      </c>
      <c r="H72" t="n">
        <v>43147</v>
      </c>
      <c r="I72" t="n">
        <v>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0</v>
      </c>
    </row>
    <row r="73">
      <c r="A73" s="10" t="s">
        <v>72</v>
      </c>
      <c r="B73" s="10" t="s">
        <v>54</v>
      </c>
      <c r="C73" s="10"/>
      <c r="D73" s="10" t="s">
        <v>31</v>
      </c>
      <c r="E73" s="11" t="n">
        <v>46296</v>
      </c>
      <c r="F73" t="n">
        <v>0</v>
      </c>
      <c r="H73" t="n">
        <v>43147</v>
      </c>
      <c r="I73" t="n">
        <v>0</v>
      </c>
      <c r="J73" s="10"/>
      <c r="K73" s="10"/>
      <c r="L73" s="10"/>
      <c r="P73" s="11"/>
      <c r="S73" t="n">
        <v>6</v>
      </c>
      <c r="T73" t="n">
        <v>12</v>
      </c>
      <c r="U73" t="n">
        <v>12</v>
      </c>
      <c r="V73" t="n">
        <v>0</v>
      </c>
    </row>
    <row r="74">
      <c r="A74" s="10" t="s">
        <v>72</v>
      </c>
      <c r="B74" s="10" t="s">
        <v>54</v>
      </c>
      <c r="C74" s="10"/>
      <c r="D74" s="10" t="s">
        <v>31</v>
      </c>
      <c r="E74" s="11" t="n">
        <v>46327</v>
      </c>
      <c r="F74" t="n">
        <v>0</v>
      </c>
      <c r="H74" t="n">
        <v>43147</v>
      </c>
      <c r="I74" t="n">
        <v>0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0</v>
      </c>
    </row>
    <row r="75">
      <c r="A75" s="10" t="s">
        <v>72</v>
      </c>
      <c r="B75" s="10" t="s">
        <v>54</v>
      </c>
      <c r="C75" s="10"/>
      <c r="D75" s="10" t="s">
        <v>31</v>
      </c>
      <c r="E75" s="11" t="n">
        <v>46357</v>
      </c>
      <c r="F75" t="n">
        <v>0</v>
      </c>
      <c r="H75" t="n">
        <v>43147</v>
      </c>
      <c r="I75" t="n">
        <v>24231</v>
      </c>
      <c r="J75" s="10" t="s">
        <v>2</v>
      </c>
      <c r="K75" s="10" t="s">
        <v>2</v>
      </c>
      <c r="L75" s="10" t="s">
        <v>4</v>
      </c>
      <c r="M75" t="n">
        <v>67378</v>
      </c>
      <c r="O75" t="n">
        <v>22639</v>
      </c>
      <c r="P75" s="11" t="n">
        <v>46357</v>
      </c>
      <c r="S75" t="n">
        <v>6</v>
      </c>
      <c r="T75" t="n">
        <v>12</v>
      </c>
      <c r="U75" t="n">
        <v>12</v>
      </c>
      <c r="V75" t="n">
        <v>0.56159176767793817</v>
      </c>
    </row>
    <row r="76">
      <c r="A76" s="10" t="s">
        <v>77</v>
      </c>
      <c r="B76" s="10" t="s">
        <v>133</v>
      </c>
      <c r="C76" s="10" t="s">
        <v>50</v>
      </c>
      <c r="D76" s="10" t="s">
        <v>31</v>
      </c>
      <c r="E76" s="11" t="n">
        <v>45839</v>
      </c>
      <c r="F76" t="n">
        <v>542712</v>
      </c>
      <c r="H76" t="n">
        <v>117973</v>
      </c>
      <c r="I76" t="n">
        <v>424739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3.6003068498724282</v>
      </c>
    </row>
    <row r="77">
      <c r="A77" s="10" t="s">
        <v>77</v>
      </c>
      <c r="B77" s="10" t="s">
        <v>133</v>
      </c>
      <c r="C77" s="10" t="s">
        <v>50</v>
      </c>
      <c r="D77" s="10" t="s">
        <v>31</v>
      </c>
      <c r="E77" s="11" t="n">
        <v>45870</v>
      </c>
      <c r="F77" t="n">
        <v>424739</v>
      </c>
      <c r="H77" t="n">
        <v>117973</v>
      </c>
      <c r="I77" t="n">
        <v>1785646</v>
      </c>
      <c r="J77" s="10" t="s">
        <v>51</v>
      </c>
      <c r="K77" s="10" t="s">
        <v>51</v>
      </c>
      <c r="L77" s="10" t="s">
        <v>154</v>
      </c>
      <c r="M77" t="n">
        <v>1478880</v>
      </c>
      <c r="P77" s="11" t="n">
        <v>42217</v>
      </c>
      <c r="S77" t="n">
        <v>6</v>
      </c>
      <c r="T77" t="n">
        <v>12</v>
      </c>
      <c r="U77" t="n">
        <v>12</v>
      </c>
      <c r="V77" t="n">
        <v>15.136056555313504</v>
      </c>
    </row>
    <row r="78">
      <c r="A78" s="10" t="s">
        <v>77</v>
      </c>
      <c r="B78" s="10" t="s">
        <v>133</v>
      </c>
      <c r="C78" s="10" t="s">
        <v>50</v>
      </c>
      <c r="D78" s="10" t="s">
        <v>31</v>
      </c>
      <c r="E78" s="11" t="n">
        <v>45901</v>
      </c>
      <c r="F78" t="n">
        <v>1785646</v>
      </c>
      <c r="H78" t="n">
        <v>117973</v>
      </c>
      <c r="I78" t="n">
        <v>1667673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14.136056555313504</v>
      </c>
    </row>
    <row r="79">
      <c r="A79" s="10" t="s">
        <v>77</v>
      </c>
      <c r="B79" s="10" t="s">
        <v>133</v>
      </c>
      <c r="C79" s="10" t="s">
        <v>50</v>
      </c>
      <c r="D79" s="10" t="s">
        <v>31</v>
      </c>
      <c r="E79" s="11" t="n">
        <v>45931</v>
      </c>
      <c r="F79" t="n">
        <v>1667673</v>
      </c>
      <c r="H79" t="n">
        <v>117973</v>
      </c>
      <c r="I79" t="n">
        <v>1549700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13.136056555313504</v>
      </c>
    </row>
    <row r="80">
      <c r="A80" s="10" t="s">
        <v>77</v>
      </c>
      <c r="B80" s="10" t="s">
        <v>133</v>
      </c>
      <c r="C80" s="10" t="s">
        <v>50</v>
      </c>
      <c r="D80" s="10" t="s">
        <v>31</v>
      </c>
      <c r="E80" s="11" t="n">
        <v>45962</v>
      </c>
      <c r="F80" t="n">
        <v>1549700</v>
      </c>
      <c r="H80" t="n">
        <v>117973</v>
      </c>
      <c r="I80" t="n">
        <v>1431727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12.136056555313504</v>
      </c>
    </row>
    <row r="81">
      <c r="A81" s="10" t="s">
        <v>77</v>
      </c>
      <c r="B81" s="10" t="s">
        <v>133</v>
      </c>
      <c r="C81" s="10" t="s">
        <v>50</v>
      </c>
      <c r="D81" s="10" t="s">
        <v>31</v>
      </c>
      <c r="E81" s="11" t="n">
        <v>45992</v>
      </c>
      <c r="F81" t="n">
        <v>1431727</v>
      </c>
      <c r="H81" t="n">
        <v>117973</v>
      </c>
      <c r="I81" t="n">
        <v>1313754</v>
      </c>
      <c r="J81" s="10"/>
      <c r="K81" s="10"/>
      <c r="L81" s="10"/>
      <c r="P81" s="11"/>
      <c r="S81" t="n">
        <v>6</v>
      </c>
      <c r="T81" t="n">
        <v>12</v>
      </c>
      <c r="U81" t="n">
        <v>12</v>
      </c>
      <c r="V81" t="n">
        <v>11.136056555313504</v>
      </c>
    </row>
    <row r="82">
      <c r="A82" s="10" t="s">
        <v>77</v>
      </c>
      <c r="B82" s="10" t="s">
        <v>133</v>
      </c>
      <c r="C82" s="10" t="s">
        <v>50</v>
      </c>
      <c r="D82" s="10" t="s">
        <v>31</v>
      </c>
      <c r="E82" s="11" t="n">
        <v>46023</v>
      </c>
      <c r="F82" t="n">
        <v>1313754</v>
      </c>
      <c r="H82" t="n">
        <v>117973</v>
      </c>
      <c r="I82" t="n">
        <v>1402803</v>
      </c>
      <c r="J82" s="10" t="s">
        <v>168</v>
      </c>
      <c r="K82" s="10" t="s">
        <v>168</v>
      </c>
      <c r="L82" s="10" t="s">
        <v>147</v>
      </c>
      <c r="M82" t="n">
        <v>207022</v>
      </c>
      <c r="P82" s="11"/>
      <c r="S82" t="n">
        <v>6</v>
      </c>
      <c r="T82" t="n">
        <v>12</v>
      </c>
      <c r="U82" t="n">
        <v>12</v>
      </c>
      <c r="V82" t="n">
        <v>11.890881811940019</v>
      </c>
    </row>
    <row r="83">
      <c r="A83" s="10" t="s">
        <v>77</v>
      </c>
      <c r="B83" s="10" t="s">
        <v>133</v>
      </c>
      <c r="C83" s="10" t="s">
        <v>50</v>
      </c>
      <c r="D83" s="10" t="s">
        <v>31</v>
      </c>
      <c r="E83" s="11" t="n">
        <v>46054</v>
      </c>
      <c r="F83" t="n">
        <v>1402803</v>
      </c>
      <c r="H83" t="n">
        <v>117973</v>
      </c>
      <c r="I83" t="n">
        <v>1284830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10.890881811940019</v>
      </c>
    </row>
    <row r="84">
      <c r="A84" s="10" t="s">
        <v>77</v>
      </c>
      <c r="B84" s="10" t="s">
        <v>133</v>
      </c>
      <c r="C84" s="10" t="s">
        <v>50</v>
      </c>
      <c r="D84" s="10" t="s">
        <v>31</v>
      </c>
      <c r="E84" s="11" t="n">
        <v>46082</v>
      </c>
      <c r="F84" t="n">
        <v>1284830</v>
      </c>
      <c r="H84" t="n">
        <v>117973</v>
      </c>
      <c r="I84" t="n">
        <v>1166857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9.8908818119400195</v>
      </c>
    </row>
    <row r="85">
      <c r="A85" s="10" t="s">
        <v>77</v>
      </c>
      <c r="B85" s="10" t="s">
        <v>133</v>
      </c>
      <c r="C85" s="10" t="s">
        <v>50</v>
      </c>
      <c r="D85" s="10" t="s">
        <v>31</v>
      </c>
      <c r="E85" s="11" t="n">
        <v>46113</v>
      </c>
      <c r="F85" t="n">
        <v>1166857</v>
      </c>
      <c r="H85" t="n">
        <v>117973</v>
      </c>
      <c r="I85" t="n">
        <v>1048884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8.8908818119400195</v>
      </c>
    </row>
    <row r="86">
      <c r="A86" s="10" t="s">
        <v>77</v>
      </c>
      <c r="B86" s="10" t="s">
        <v>133</v>
      </c>
      <c r="C86" s="10" t="s">
        <v>50</v>
      </c>
      <c r="D86" s="10" t="s">
        <v>31</v>
      </c>
      <c r="E86" s="11" t="n">
        <v>46143</v>
      </c>
      <c r="F86" t="n">
        <v>1048884</v>
      </c>
      <c r="H86" t="n">
        <v>117973</v>
      </c>
      <c r="I86" t="n">
        <v>930911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7.8908818119400204</v>
      </c>
    </row>
    <row r="87">
      <c r="A87" s="10" t="s">
        <v>77</v>
      </c>
      <c r="B87" s="10" t="s">
        <v>133</v>
      </c>
      <c r="C87" s="10" t="s">
        <v>50</v>
      </c>
      <c r="D87" s="10" t="s">
        <v>31</v>
      </c>
      <c r="E87" s="11" t="n">
        <v>46174</v>
      </c>
      <c r="F87" t="n">
        <v>930911</v>
      </c>
      <c r="H87" t="n">
        <v>117973</v>
      </c>
      <c r="I87" t="n">
        <v>812938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6.8908818119400204</v>
      </c>
    </row>
    <row r="88">
      <c r="A88" s="10" t="s">
        <v>74</v>
      </c>
      <c r="B88" s="10" t="s">
        <v>54</v>
      </c>
      <c r="C88" s="10" t="s">
        <v>50</v>
      </c>
      <c r="D88" s="10" t="s">
        <v>31</v>
      </c>
      <c r="E88" s="11" t="n">
        <v>45658</v>
      </c>
      <c r="H88" t="n">
        <v>28000</v>
      </c>
      <c r="I88" t="n">
        <v>0</v>
      </c>
      <c r="J88" s="10"/>
      <c r="K88" s="10"/>
      <c r="L88" s="10"/>
      <c r="P88" s="11"/>
      <c r="S88" t="n">
        <v>3</v>
      </c>
      <c r="T88" t="n">
        <v>6</v>
      </c>
      <c r="U88" t="n">
        <v>6</v>
      </c>
      <c r="V88" t="n">
        <v>0</v>
      </c>
    </row>
    <row r="89">
      <c r="A89" s="10" t="s">
        <v>74</v>
      </c>
      <c r="B89" s="10" t="s">
        <v>54</v>
      </c>
      <c r="C89" s="10" t="s">
        <v>50</v>
      </c>
      <c r="D89" s="10" t="s">
        <v>31</v>
      </c>
      <c r="E89" s="11" t="n">
        <v>45689</v>
      </c>
      <c r="H89" t="n">
        <v>28000</v>
      </c>
      <c r="I89" t="n">
        <v>0</v>
      </c>
      <c r="J89" s="10"/>
      <c r="K89" s="10"/>
      <c r="L89" s="10"/>
      <c r="P89" s="11"/>
      <c r="S89" t="n">
        <v>3</v>
      </c>
      <c r="T89" t="n">
        <v>6</v>
      </c>
      <c r="U89" t="n">
        <v>6</v>
      </c>
      <c r="V89" t="n">
        <v>0</v>
      </c>
    </row>
    <row r="90">
      <c r="A90" s="10" t="s">
        <v>74</v>
      </c>
      <c r="B90" s="10" t="s">
        <v>54</v>
      </c>
      <c r="C90" s="10" t="s">
        <v>50</v>
      </c>
      <c r="D90" s="10" t="s">
        <v>31</v>
      </c>
      <c r="E90" s="11" t="n">
        <v>45717</v>
      </c>
      <c r="H90" t="n">
        <v>28000</v>
      </c>
      <c r="I90" t="n">
        <v>0</v>
      </c>
      <c r="J90" s="10"/>
      <c r="K90" s="10"/>
      <c r="L90" s="10"/>
      <c r="P90" s="11"/>
      <c r="S90" t="n">
        <v>3</v>
      </c>
      <c r="T90" t="n">
        <v>6</v>
      </c>
      <c r="U90" t="n">
        <v>6</v>
      </c>
      <c r="V90" t="n">
        <v>0</v>
      </c>
    </row>
    <row r="91">
      <c r="A91" s="10" t="s">
        <v>74</v>
      </c>
      <c r="B91" s="10" t="s">
        <v>54</v>
      </c>
      <c r="C91" s="10" t="s">
        <v>50</v>
      </c>
      <c r="D91" s="10" t="s">
        <v>31</v>
      </c>
      <c r="E91" s="11" t="n">
        <v>45748</v>
      </c>
      <c r="H91" t="n">
        <v>28000</v>
      </c>
      <c r="I91" t="n">
        <v>0</v>
      </c>
      <c r="J91" s="10"/>
      <c r="K91" s="10"/>
      <c r="L91" s="10"/>
      <c r="P91" s="11"/>
      <c r="S91" t="n">
        <v>3</v>
      </c>
      <c r="T91" t="n">
        <v>6</v>
      </c>
      <c r="U91" t="n">
        <v>6</v>
      </c>
      <c r="V91" t="n">
        <v>0</v>
      </c>
    </row>
    <row r="92">
      <c r="A92" s="10" t="s">
        <v>74</v>
      </c>
      <c r="B92" s="10" t="s">
        <v>54</v>
      </c>
      <c r="C92" s="10" t="s">
        <v>50</v>
      </c>
      <c r="D92" s="10" t="s">
        <v>31</v>
      </c>
      <c r="E92" s="11" t="n">
        <v>45778</v>
      </c>
      <c r="H92" t="n">
        <v>28000</v>
      </c>
      <c r="I92" t="n">
        <v>0</v>
      </c>
      <c r="J92" s="10"/>
      <c r="K92" s="10"/>
      <c r="L92" s="10"/>
      <c r="P92" s="11"/>
      <c r="S92" t="n">
        <v>3</v>
      </c>
      <c r="T92" t="n">
        <v>6</v>
      </c>
      <c r="U92" t="n">
        <v>6</v>
      </c>
      <c r="V92" t="n">
        <v>0</v>
      </c>
    </row>
    <row r="93">
      <c r="A93" s="10" t="s">
        <v>74</v>
      </c>
      <c r="B93" s="10" t="s">
        <v>54</v>
      </c>
      <c r="C93" s="10" t="s">
        <v>50</v>
      </c>
      <c r="D93" s="10" t="s">
        <v>31</v>
      </c>
      <c r="E93" s="11" t="n">
        <v>45809</v>
      </c>
      <c r="H93" t="n">
        <v>28000</v>
      </c>
      <c r="I93" t="n">
        <v>0</v>
      </c>
      <c r="J93" s="10"/>
      <c r="K93" s="10"/>
      <c r="L93" s="10"/>
      <c r="P93" s="11"/>
      <c r="S93" t="n">
        <v>3</v>
      </c>
      <c r="T93" t="n">
        <v>6</v>
      </c>
      <c r="U93" t="n">
        <v>6</v>
      </c>
      <c r="V93" t="n">
        <v>0</v>
      </c>
    </row>
    <row r="94">
      <c r="A94" s="10" t="s">
        <v>74</v>
      </c>
      <c r="B94" s="10" t="s">
        <v>54</v>
      </c>
      <c r="C94" s="10" t="s">
        <v>50</v>
      </c>
      <c r="D94" s="10" t="s">
        <v>31</v>
      </c>
      <c r="E94" s="11" t="n">
        <v>45839</v>
      </c>
      <c r="H94" t="n">
        <v>28000</v>
      </c>
      <c r="I94" t="n">
        <v>0</v>
      </c>
      <c r="J94" s="10"/>
      <c r="K94" s="10"/>
      <c r="L94" s="10"/>
      <c r="P94" s="11"/>
      <c r="S94" t="n">
        <v>3</v>
      </c>
      <c r="T94" t="n">
        <v>6</v>
      </c>
      <c r="U94" t="n">
        <v>6</v>
      </c>
      <c r="V94" t="n">
        <v>0</v>
      </c>
    </row>
    <row r="95">
      <c r="A95" s="10" t="s">
        <v>74</v>
      </c>
      <c r="B95" s="10" t="s">
        <v>54</v>
      </c>
      <c r="C95" s="10" t="s">
        <v>50</v>
      </c>
      <c r="D95" s="10" t="s">
        <v>31</v>
      </c>
      <c r="E95" s="11" t="n">
        <v>45870</v>
      </c>
      <c r="F95" t="n">
        <v>5304</v>
      </c>
      <c r="H95" t="n">
        <v>28000</v>
      </c>
      <c r="I95" t="n">
        <v>0</v>
      </c>
      <c r="J95" s="10"/>
      <c r="K95" s="10"/>
      <c r="L95" s="10"/>
      <c r="P95" s="11"/>
      <c r="S95" t="n">
        <v>3</v>
      </c>
      <c r="T95" t="n">
        <v>6</v>
      </c>
      <c r="U95" t="n">
        <v>6</v>
      </c>
      <c r="V95" t="n">
        <v>0</v>
      </c>
    </row>
    <row r="96">
      <c r="A96" s="10" t="s">
        <v>74</v>
      </c>
      <c r="B96" s="10" t="s">
        <v>54</v>
      </c>
      <c r="C96" s="10" t="s">
        <v>50</v>
      </c>
      <c r="D96" s="10" t="s">
        <v>31</v>
      </c>
      <c r="E96" s="11" t="n">
        <v>45901</v>
      </c>
      <c r="F96" t="n">
        <v>0</v>
      </c>
      <c r="H96" t="n">
        <v>28000</v>
      </c>
      <c r="I96" t="n">
        <v>0</v>
      </c>
      <c r="J96" s="10"/>
      <c r="K96" s="10"/>
      <c r="L96" s="10"/>
      <c r="P96" s="11"/>
      <c r="S96" t="n">
        <v>3</v>
      </c>
      <c r="T96" t="n">
        <v>6</v>
      </c>
      <c r="U96" t="n">
        <v>6</v>
      </c>
      <c r="V96" t="n">
        <v>0</v>
      </c>
    </row>
    <row r="97">
      <c r="A97" s="10" t="s">
        <v>74</v>
      </c>
      <c r="B97" s="10" t="s">
        <v>54</v>
      </c>
      <c r="C97" s="10" t="s">
        <v>50</v>
      </c>
      <c r="D97" s="10" t="s">
        <v>31</v>
      </c>
      <c r="E97" s="11" t="n">
        <v>45931</v>
      </c>
      <c r="F97" t="n">
        <v>0</v>
      </c>
      <c r="H97" t="n">
        <v>28000</v>
      </c>
      <c r="I97" t="n">
        <v>0</v>
      </c>
      <c r="J97" s="10"/>
      <c r="K97" s="10"/>
      <c r="L97" s="10"/>
      <c r="P97" s="11"/>
      <c r="S97" t="n">
        <v>3</v>
      </c>
      <c r="T97" t="n">
        <v>6</v>
      </c>
      <c r="U97" t="n">
        <v>6</v>
      </c>
      <c r="V97" t="n">
        <v>0</v>
      </c>
    </row>
    <row r="98">
      <c r="A98" s="10" t="s">
        <v>74</v>
      </c>
      <c r="B98" s="10" t="s">
        <v>54</v>
      </c>
      <c r="C98" s="10" t="s">
        <v>50</v>
      </c>
      <c r="D98" s="10" t="s">
        <v>31</v>
      </c>
      <c r="E98" s="11" t="n">
        <v>45962</v>
      </c>
      <c r="F98" t="n">
        <v>0</v>
      </c>
      <c r="H98" t="n">
        <v>28000</v>
      </c>
      <c r="I98" t="n">
        <v>0</v>
      </c>
      <c r="J98" s="10"/>
      <c r="K98" s="10"/>
      <c r="L98" s="10"/>
      <c r="P98" s="11"/>
      <c r="S98" t="n">
        <v>3</v>
      </c>
      <c r="T98" t="n">
        <v>6</v>
      </c>
      <c r="U98" t="n">
        <v>6</v>
      </c>
      <c r="V98" t="n">
        <v>0</v>
      </c>
    </row>
    <row r="99">
      <c r="A99" s="10" t="s">
        <v>74</v>
      </c>
      <c r="B99" s="10" t="s">
        <v>54</v>
      </c>
      <c r="C99" s="10" t="s">
        <v>50</v>
      </c>
      <c r="D99" s="10" t="s">
        <v>31</v>
      </c>
      <c r="E99" s="11" t="n">
        <v>45992</v>
      </c>
      <c r="F99" t="n">
        <v>0</v>
      </c>
      <c r="H99" t="n">
        <v>28000</v>
      </c>
      <c r="I99" t="n">
        <v>124714</v>
      </c>
      <c r="J99" s="10" t="s">
        <v>2</v>
      </c>
      <c r="K99" s="10" t="s">
        <v>2</v>
      </c>
      <c r="L99" s="10" t="s">
        <v>4</v>
      </c>
      <c r="M99" t="n">
        <v>152714</v>
      </c>
      <c r="P99" s="11"/>
      <c r="S99" t="n">
        <v>3</v>
      </c>
      <c r="T99" t="n">
        <v>6</v>
      </c>
      <c r="U99" t="n">
        <v>6</v>
      </c>
      <c r="V99" t="n">
        <v>4.4540714285714289</v>
      </c>
    </row>
    <row r="100">
      <c r="A100" s="10" t="s">
        <v>74</v>
      </c>
      <c r="B100" s="10" t="s">
        <v>54</v>
      </c>
      <c r="C100" s="10" t="s">
        <v>50</v>
      </c>
      <c r="D100" s="10" t="s">
        <v>31</v>
      </c>
      <c r="E100" s="11" t="n">
        <v>46023</v>
      </c>
      <c r="F100" t="n">
        <v>124714</v>
      </c>
      <c r="H100" t="n">
        <v>28000</v>
      </c>
      <c r="I100" t="n">
        <v>96714</v>
      </c>
      <c r="J100" s="10"/>
      <c r="K100" s="10"/>
      <c r="L100" s="10"/>
      <c r="P100" s="11"/>
      <c r="S100" t="n">
        <v>3</v>
      </c>
      <c r="T100" t="n">
        <v>6</v>
      </c>
      <c r="U100" t="n">
        <v>6</v>
      </c>
      <c r="V100" t="n">
        <v>3.4540714285714285</v>
      </c>
    </row>
    <row r="101">
      <c r="A101" s="10" t="s">
        <v>74</v>
      </c>
      <c r="B101" s="10" t="s">
        <v>54</v>
      </c>
      <c r="C101" s="10" t="s">
        <v>50</v>
      </c>
      <c r="D101" s="10" t="s">
        <v>31</v>
      </c>
      <c r="E101" s="11" t="n">
        <v>46054</v>
      </c>
      <c r="F101" t="n">
        <v>96714</v>
      </c>
      <c r="H101" t="n">
        <v>28000</v>
      </c>
      <c r="I101" t="n">
        <v>68714</v>
      </c>
      <c r="J101" s="10"/>
      <c r="K101" s="10"/>
      <c r="L101" s="10"/>
      <c r="P101" s="11"/>
      <c r="S101" t="n">
        <v>3</v>
      </c>
      <c r="T101" t="n">
        <v>6</v>
      </c>
      <c r="U101" t="n">
        <v>6</v>
      </c>
      <c r="V101" t="n">
        <v>2.4540714285714285</v>
      </c>
    </row>
    <row r="102">
      <c r="A102" s="10" t="s">
        <v>74</v>
      </c>
      <c r="B102" s="10" t="s">
        <v>54</v>
      </c>
      <c r="C102" s="10" t="s">
        <v>50</v>
      </c>
      <c r="D102" s="10" t="s">
        <v>31</v>
      </c>
      <c r="E102" s="11" t="n">
        <v>46082</v>
      </c>
      <c r="F102" t="n">
        <v>68714</v>
      </c>
      <c r="H102" t="n">
        <v>28000</v>
      </c>
      <c r="I102" t="n">
        <v>40714</v>
      </c>
      <c r="J102" s="10"/>
      <c r="K102" s="10"/>
      <c r="L102" s="10"/>
      <c r="P102" s="11"/>
      <c r="S102" t="n">
        <v>3</v>
      </c>
      <c r="T102" t="n">
        <v>6</v>
      </c>
      <c r="U102" t="n">
        <v>6</v>
      </c>
      <c r="V102" t="n">
        <v>1.4540714285714287</v>
      </c>
    </row>
    <row r="103">
      <c r="A103" s="10" t="s">
        <v>74</v>
      </c>
      <c r="B103" s="10" t="s">
        <v>54</v>
      </c>
      <c r="C103" s="10" t="s">
        <v>50</v>
      </c>
      <c r="D103" s="10" t="s">
        <v>31</v>
      </c>
      <c r="E103" s="11" t="n">
        <v>46113</v>
      </c>
      <c r="F103" t="n">
        <v>40714</v>
      </c>
      <c r="H103" t="n">
        <v>28000</v>
      </c>
      <c r="I103" t="n">
        <v>12714</v>
      </c>
      <c r="J103" s="10"/>
      <c r="K103" s="10"/>
      <c r="L103" s="10"/>
      <c r="P103" s="11"/>
      <c r="S103" t="n">
        <v>3</v>
      </c>
      <c r="T103" t="n">
        <v>6</v>
      </c>
      <c r="U103" t="n">
        <v>6</v>
      </c>
      <c r="V103" t="n">
        <v>0.45407142857142857</v>
      </c>
    </row>
    <row r="104">
      <c r="A104" s="10" t="s">
        <v>74</v>
      </c>
      <c r="B104" s="10" t="s">
        <v>54</v>
      </c>
      <c r="C104" s="10" t="s">
        <v>50</v>
      </c>
      <c r="D104" s="10" t="s">
        <v>31</v>
      </c>
      <c r="E104" s="11" t="n">
        <v>46143</v>
      </c>
      <c r="F104" t="n">
        <v>12714</v>
      </c>
      <c r="H104" t="n">
        <v>28000</v>
      </c>
      <c r="I104" t="n">
        <v>0</v>
      </c>
      <c r="J104" s="10"/>
      <c r="K104" s="10"/>
      <c r="L104" s="10"/>
      <c r="P104" s="11"/>
      <c r="S104" t="n">
        <v>3</v>
      </c>
      <c r="T104" t="n">
        <v>6</v>
      </c>
      <c r="U104" t="n">
        <v>6</v>
      </c>
      <c r="V104" t="n">
        <v>0</v>
      </c>
    </row>
    <row r="105">
      <c r="A105" s="10" t="s">
        <v>74</v>
      </c>
      <c r="B105" s="10" t="s">
        <v>54</v>
      </c>
      <c r="C105" s="10" t="s">
        <v>50</v>
      </c>
      <c r="D105" s="10" t="s">
        <v>31</v>
      </c>
      <c r="E105" s="11" t="n">
        <v>46174</v>
      </c>
      <c r="F105" t="n">
        <v>0</v>
      </c>
      <c r="H105" t="n">
        <v>28000</v>
      </c>
      <c r="I105" t="n">
        <v>0</v>
      </c>
      <c r="J105" s="10"/>
      <c r="K105" s="10"/>
      <c r="L105" s="10"/>
      <c r="P105" s="11"/>
      <c r="S105" t="n">
        <v>3</v>
      </c>
      <c r="T105" t="n">
        <v>6</v>
      </c>
      <c r="U105" t="n">
        <v>6</v>
      </c>
      <c r="V105" t="n">
        <v>0</v>
      </c>
    </row>
    <row r="106">
      <c r="A106" s="10" t="s">
        <v>74</v>
      </c>
      <c r="B106" s="10" t="s">
        <v>54</v>
      </c>
      <c r="C106" s="10" t="s">
        <v>50</v>
      </c>
      <c r="D106" s="10" t="s">
        <v>31</v>
      </c>
      <c r="E106" s="11" t="n">
        <v>46204</v>
      </c>
      <c r="F106" t="n">
        <v>0</v>
      </c>
      <c r="H106" t="n">
        <v>28000</v>
      </c>
      <c r="I106" t="n">
        <v>0</v>
      </c>
      <c r="J106" s="10"/>
      <c r="K106" s="10"/>
      <c r="L106" s="10"/>
      <c r="P106" s="11"/>
      <c r="S106" t="n">
        <v>3</v>
      </c>
      <c r="T106" t="n">
        <v>6</v>
      </c>
      <c r="U106" t="n">
        <v>6</v>
      </c>
      <c r="V106" t="n">
        <v>0</v>
      </c>
    </row>
    <row r="107">
      <c r="A107" s="10" t="s">
        <v>74</v>
      </c>
      <c r="B107" s="10" t="s">
        <v>54</v>
      </c>
      <c r="C107" s="10" t="s">
        <v>50</v>
      </c>
      <c r="D107" s="10" t="s">
        <v>31</v>
      </c>
      <c r="E107" s="11" t="n">
        <v>46235</v>
      </c>
      <c r="F107" t="n">
        <v>0</v>
      </c>
      <c r="H107" t="n">
        <v>28000</v>
      </c>
      <c r="I107" t="n">
        <v>0</v>
      </c>
      <c r="J107" s="10"/>
      <c r="K107" s="10"/>
      <c r="L107" s="10"/>
      <c r="P107" s="11"/>
      <c r="S107" t="n">
        <v>3</v>
      </c>
      <c r="T107" t="n">
        <v>6</v>
      </c>
      <c r="U107" t="n">
        <v>6</v>
      </c>
      <c r="V107" t="n">
        <v>0</v>
      </c>
    </row>
    <row r="108">
      <c r="A108" s="10" t="s">
        <v>166</v>
      </c>
      <c r="B108" s="10" t="s">
        <v>54</v>
      </c>
      <c r="C108" s="10" t="s">
        <v>50</v>
      </c>
      <c r="D108" s="10" t="s">
        <v>31</v>
      </c>
      <c r="E108" s="11" t="n">
        <v>45748</v>
      </c>
      <c r="F108" t="n">
        <v>226023</v>
      </c>
      <c r="H108" t="n">
        <v>22398</v>
      </c>
      <c r="I108" t="n">
        <v>203625</v>
      </c>
      <c r="J108" s="10"/>
      <c r="K108" s="10"/>
      <c r="L108" s="10"/>
      <c r="P108" s="11"/>
      <c r="S108" t="n">
        <v>9</v>
      </c>
      <c r="T108" t="n">
        <v>15</v>
      </c>
      <c r="U108" t="n">
        <v>15</v>
      </c>
      <c r="V108" t="n">
        <v>9.0912135012054645</v>
      </c>
    </row>
    <row r="109">
      <c r="A109" s="10" t="s">
        <v>166</v>
      </c>
      <c r="B109" s="10" t="s">
        <v>54</v>
      </c>
      <c r="C109" s="10" t="s">
        <v>50</v>
      </c>
      <c r="D109" s="10" t="s">
        <v>31</v>
      </c>
      <c r="E109" s="11" t="n">
        <v>45778</v>
      </c>
      <c r="F109" t="n">
        <v>203625</v>
      </c>
      <c r="H109" t="n">
        <v>22398</v>
      </c>
      <c r="I109" t="n">
        <v>181227</v>
      </c>
      <c r="J109" s="10"/>
      <c r="K109" s="10"/>
      <c r="L109" s="10"/>
      <c r="P109" s="11"/>
      <c r="S109" t="n">
        <v>9</v>
      </c>
      <c r="T109" t="n">
        <v>15</v>
      </c>
      <c r="U109" t="n">
        <v>15</v>
      </c>
      <c r="V109" t="n">
        <v>8.0912135012054645</v>
      </c>
    </row>
    <row r="110">
      <c r="A110" s="10" t="s">
        <v>166</v>
      </c>
      <c r="B110" s="10" t="s">
        <v>54</v>
      </c>
      <c r="C110" s="10" t="s">
        <v>50</v>
      </c>
      <c r="D110" s="10" t="s">
        <v>31</v>
      </c>
      <c r="E110" s="11" t="n">
        <v>45809</v>
      </c>
      <c r="F110" t="n">
        <v>181227</v>
      </c>
      <c r="H110" t="n">
        <v>22398</v>
      </c>
      <c r="I110" t="n">
        <v>304989</v>
      </c>
      <c r="J110" s="10"/>
      <c r="K110" s="10"/>
      <c r="L110" s="10"/>
      <c r="M110" t="n">
        <v>146160</v>
      </c>
      <c r="P110" s="11"/>
      <c r="S110" t="n">
        <v>9</v>
      </c>
      <c r="T110" t="n">
        <v>15</v>
      </c>
      <c r="U110" t="n">
        <v>15</v>
      </c>
      <c r="V110" t="n">
        <v>13.616796142512724</v>
      </c>
    </row>
    <row r="111">
      <c r="A111" s="10" t="s">
        <v>166</v>
      </c>
      <c r="B111" s="10" t="s">
        <v>54</v>
      </c>
      <c r="C111" s="10" t="s">
        <v>50</v>
      </c>
      <c r="D111" s="10" t="s">
        <v>31</v>
      </c>
      <c r="E111" s="11" t="n">
        <v>45839</v>
      </c>
      <c r="F111" t="n">
        <v>304989</v>
      </c>
      <c r="H111" t="n">
        <v>22398</v>
      </c>
      <c r="I111" t="n">
        <v>282591</v>
      </c>
      <c r="J111" s="10"/>
      <c r="K111" s="10"/>
      <c r="L111" s="10"/>
      <c r="P111" s="11"/>
      <c r="S111" t="n">
        <v>9</v>
      </c>
      <c r="T111" t="n">
        <v>15</v>
      </c>
      <c r="U111" t="n">
        <v>15</v>
      </c>
      <c r="V111" t="n">
        <v>12.616796142512724</v>
      </c>
    </row>
    <row r="112">
      <c r="A112" s="10" t="s">
        <v>166</v>
      </c>
      <c r="B112" s="10" t="s">
        <v>54</v>
      </c>
      <c r="C112" s="10" t="s">
        <v>50</v>
      </c>
      <c r="D112" s="10" t="s">
        <v>31</v>
      </c>
      <c r="E112" s="11" t="n">
        <v>45870</v>
      </c>
      <c r="F112" t="n">
        <v>282591</v>
      </c>
      <c r="H112" t="n">
        <v>22398</v>
      </c>
      <c r="I112" t="n">
        <v>260193</v>
      </c>
      <c r="J112" s="10"/>
      <c r="K112" s="10"/>
      <c r="L112" s="10"/>
      <c r="P112" s="11"/>
      <c r="S112" t="n">
        <v>9</v>
      </c>
      <c r="T112" t="n">
        <v>15</v>
      </c>
      <c r="U112" t="n">
        <v>15</v>
      </c>
      <c r="V112" t="n">
        <v>11.616796142512724</v>
      </c>
    </row>
    <row r="113">
      <c r="A113" s="10" t="s">
        <v>166</v>
      </c>
      <c r="B113" s="10" t="s">
        <v>54</v>
      </c>
      <c r="C113" s="10" t="s">
        <v>50</v>
      </c>
      <c r="D113" s="10" t="s">
        <v>31</v>
      </c>
      <c r="E113" s="11" t="n">
        <v>45901</v>
      </c>
      <c r="F113" t="n">
        <v>260193</v>
      </c>
      <c r="H113" t="n">
        <v>22398</v>
      </c>
      <c r="I113" t="n">
        <v>237795</v>
      </c>
      <c r="J113" s="10"/>
      <c r="K113" s="10"/>
      <c r="L113" s="10"/>
      <c r="P113" s="11"/>
      <c r="S113" t="n">
        <v>9</v>
      </c>
      <c r="T113" t="n">
        <v>15</v>
      </c>
      <c r="U113" t="n">
        <v>15</v>
      </c>
      <c r="V113" t="n">
        <v>10.616796142512724</v>
      </c>
    </row>
    <row r="114">
      <c r="A114" s="10" t="s">
        <v>166</v>
      </c>
      <c r="B114" s="10" t="s">
        <v>54</v>
      </c>
      <c r="C114" s="10" t="s">
        <v>50</v>
      </c>
      <c r="D114" s="10" t="s">
        <v>31</v>
      </c>
      <c r="E114" s="11" t="n">
        <v>45931</v>
      </c>
      <c r="F114" t="n">
        <v>237795</v>
      </c>
      <c r="H114" t="n">
        <v>22398</v>
      </c>
      <c r="I114" t="n">
        <v>215397</v>
      </c>
      <c r="J114" s="10"/>
      <c r="K114" s="10"/>
      <c r="L114" s="10"/>
      <c r="P114" s="11"/>
      <c r="S114" t="n">
        <v>9</v>
      </c>
      <c r="T114" t="n">
        <v>15</v>
      </c>
      <c r="U114" t="n">
        <v>15</v>
      </c>
      <c r="V114" t="n">
        <v>9.6167961425127242</v>
      </c>
    </row>
    <row r="115">
      <c r="A115" s="10" t="s">
        <v>166</v>
      </c>
      <c r="B115" s="10" t="s">
        <v>54</v>
      </c>
      <c r="C115" s="10" t="s">
        <v>50</v>
      </c>
      <c r="D115" s="10" t="s">
        <v>31</v>
      </c>
      <c r="E115" s="11" t="n">
        <v>45962</v>
      </c>
      <c r="F115" t="n">
        <v>215397</v>
      </c>
      <c r="H115" t="n">
        <v>22398</v>
      </c>
      <c r="I115" t="n">
        <v>192999</v>
      </c>
      <c r="J115" s="10"/>
      <c r="K115" s="10"/>
      <c r="L115" s="10"/>
      <c r="P115" s="11"/>
      <c r="S115" t="n">
        <v>9</v>
      </c>
      <c r="T115" t="n">
        <v>15</v>
      </c>
      <c r="U115" t="n">
        <v>15</v>
      </c>
      <c r="V115" t="n">
        <v>8.6167961425127242</v>
      </c>
    </row>
    <row r="116">
      <c r="A116" s="10" t="s">
        <v>166</v>
      </c>
      <c r="B116" s="10" t="s">
        <v>54</v>
      </c>
      <c r="C116" s="10" t="s">
        <v>50</v>
      </c>
      <c r="D116" s="10" t="s">
        <v>31</v>
      </c>
      <c r="E116" s="11" t="n">
        <v>45992</v>
      </c>
      <c r="F116" t="n">
        <v>192999</v>
      </c>
      <c r="H116" t="n">
        <v>22398</v>
      </c>
      <c r="I116" t="n">
        <v>170601</v>
      </c>
      <c r="J116" s="10"/>
      <c r="K116" s="10"/>
      <c r="L116" s="10"/>
      <c r="P116" s="11"/>
      <c r="S116" t="n">
        <v>9</v>
      </c>
      <c r="T116" t="n">
        <v>15</v>
      </c>
      <c r="U116" t="n">
        <v>15</v>
      </c>
      <c r="V116" t="n">
        <v>7.6167961425127242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25.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29</v>
      </c>
      <c r="C2" s="10" t="s">
        <v>30</v>
      </c>
      <c r="D2" s="10" t="s">
        <v>31</v>
      </c>
      <c r="E2" s="11" t="n">
        <v>45839</v>
      </c>
      <c r="F2" t="n">
        <v>12652697</v>
      </c>
      <c r="H2" t="n">
        <v>1099123</v>
      </c>
      <c r="I2" t="n">
        <v>11553574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10.511629726609305</v>
      </c>
    </row>
    <row r="3">
      <c r="A3" s="10" t="s">
        <v>28</v>
      </c>
      <c r="B3" s="10" t="s">
        <v>29</v>
      </c>
      <c r="C3" s="10" t="s">
        <v>30</v>
      </c>
      <c r="D3" s="10" t="s">
        <v>31</v>
      </c>
      <c r="E3" s="11" t="n">
        <v>45870</v>
      </c>
      <c r="F3" t="n">
        <v>11553574</v>
      </c>
      <c r="H3" t="n">
        <v>1099123</v>
      </c>
      <c r="I3" t="n">
        <v>16547451</v>
      </c>
      <c r="J3" s="10" t="s">
        <v>32</v>
      </c>
      <c r="K3" s="10" t="s">
        <v>3</v>
      </c>
      <c r="L3" s="10" t="s">
        <v>4</v>
      </c>
      <c r="M3" t="n">
        <v>6093000</v>
      </c>
      <c r="O3" t="n">
        <v>219348</v>
      </c>
      <c r="P3" s="11" t="n">
        <v>45870</v>
      </c>
      <c r="S3" t="n">
        <v>9</v>
      </c>
      <c r="T3" t="n">
        <v>14</v>
      </c>
      <c r="U3" t="n">
        <v>13</v>
      </c>
      <c r="V3" t="n">
        <v>15.055140325514069</v>
      </c>
    </row>
    <row r="4">
      <c r="A4" s="10" t="s">
        <v>28</v>
      </c>
      <c r="B4" s="10" t="s">
        <v>29</v>
      </c>
      <c r="C4" s="10" t="s">
        <v>30</v>
      </c>
      <c r="D4" s="10" t="s">
        <v>31</v>
      </c>
      <c r="E4" s="11" t="n">
        <v>45901</v>
      </c>
      <c r="F4" t="n">
        <v>16547451</v>
      </c>
      <c r="H4" t="n">
        <v>1099123</v>
      </c>
      <c r="I4" t="n">
        <v>17464328</v>
      </c>
      <c r="J4" s="10" t="s">
        <v>51</v>
      </c>
      <c r="K4" s="10" t="s">
        <v>146</v>
      </c>
      <c r="L4" s="10" t="s">
        <v>147</v>
      </c>
      <c r="M4" t="n">
        <v>2016000</v>
      </c>
      <c r="O4" t="n">
        <v>65722</v>
      </c>
      <c r="P4" s="11" t="n">
        <v>45901</v>
      </c>
      <c r="S4" t="n">
        <v>9</v>
      </c>
      <c r="T4" t="n">
        <v>14</v>
      </c>
      <c r="U4" t="n">
        <v>13</v>
      </c>
      <c r="V4" t="n">
        <v>15.889329947603681</v>
      </c>
    </row>
    <row r="5">
      <c r="A5" s="10" t="s">
        <v>28</v>
      </c>
      <c r="B5" s="10" t="s">
        <v>29</v>
      </c>
      <c r="C5" s="10" t="s">
        <v>30</v>
      </c>
      <c r="D5" s="10" t="s">
        <v>31</v>
      </c>
      <c r="E5" s="11" t="n">
        <v>45931</v>
      </c>
      <c r="F5" t="n">
        <v>17464328</v>
      </c>
      <c r="H5" t="n">
        <v>1099123</v>
      </c>
      <c r="I5" t="n">
        <v>16365205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14.889329947603681</v>
      </c>
    </row>
    <row r="6">
      <c r="A6" s="10" t="s">
        <v>28</v>
      </c>
      <c r="B6" s="10" t="s">
        <v>29</v>
      </c>
      <c r="C6" s="10" t="s">
        <v>30</v>
      </c>
      <c r="D6" s="10" t="s">
        <v>31</v>
      </c>
      <c r="E6" s="11" t="n">
        <v>45962</v>
      </c>
      <c r="F6" t="n">
        <v>16365205</v>
      </c>
      <c r="H6" t="n">
        <v>1099123</v>
      </c>
      <c r="I6" t="n">
        <v>15266082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13.889329947603681</v>
      </c>
    </row>
    <row r="7">
      <c r="A7" s="10" t="s">
        <v>28</v>
      </c>
      <c r="B7" s="10" t="s">
        <v>29</v>
      </c>
      <c r="C7" s="10" t="s">
        <v>30</v>
      </c>
      <c r="D7" s="10" t="s">
        <v>31</v>
      </c>
      <c r="E7" s="11" t="n">
        <v>45992</v>
      </c>
      <c r="F7" t="n">
        <v>15266082</v>
      </c>
      <c r="H7" t="n">
        <v>1099123</v>
      </c>
      <c r="I7" t="n">
        <v>14166959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12.889329947603681</v>
      </c>
    </row>
    <row r="8">
      <c r="A8" s="10" t="s">
        <v>28</v>
      </c>
      <c r="B8" s="10" t="s">
        <v>29</v>
      </c>
      <c r="C8" s="10" t="s">
        <v>30</v>
      </c>
      <c r="D8" s="10" t="s">
        <v>31</v>
      </c>
      <c r="E8" s="11" t="n">
        <v>46023</v>
      </c>
      <c r="F8" t="n">
        <v>14166959</v>
      </c>
      <c r="H8" t="n">
        <v>1099123</v>
      </c>
      <c r="I8" t="n">
        <v>19774036</v>
      </c>
      <c r="J8" s="10" t="s">
        <v>2</v>
      </c>
      <c r="K8" s="10" t="s">
        <v>2</v>
      </c>
      <c r="L8" s="10" t="s">
        <v>4</v>
      </c>
      <c r="M8" t="n">
        <v>6706200</v>
      </c>
      <c r="O8" t="n">
        <v>241423</v>
      </c>
      <c r="P8" s="11" t="n">
        <v>46023</v>
      </c>
      <c r="S8" t="n">
        <v>9</v>
      </c>
      <c r="T8" t="n">
        <v>14</v>
      </c>
      <c r="U8" t="n">
        <v>13</v>
      </c>
      <c r="V8" t="n">
        <v>17.990739889894034</v>
      </c>
    </row>
    <row r="9">
      <c r="A9" s="10" t="s">
        <v>28</v>
      </c>
      <c r="B9" s="10" t="s">
        <v>29</v>
      </c>
      <c r="C9" s="10" t="s">
        <v>30</v>
      </c>
      <c r="D9" s="10" t="s">
        <v>31</v>
      </c>
      <c r="E9" s="11" t="n">
        <v>46054</v>
      </c>
      <c r="F9" t="n">
        <v>19774036</v>
      </c>
      <c r="H9" t="n">
        <v>1099123</v>
      </c>
      <c r="I9" t="n">
        <v>18674913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16.990739889894034</v>
      </c>
    </row>
    <row r="10">
      <c r="A10" s="10" t="s">
        <v>28</v>
      </c>
      <c r="B10" s="10" t="s">
        <v>29</v>
      </c>
      <c r="C10" s="10" t="s">
        <v>30</v>
      </c>
      <c r="D10" s="10" t="s">
        <v>31</v>
      </c>
      <c r="E10" s="11" t="n">
        <v>46082</v>
      </c>
      <c r="F10" t="n">
        <v>18674913</v>
      </c>
      <c r="H10" t="n">
        <v>1099123</v>
      </c>
      <c r="I10" t="n">
        <v>17575790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15.990739889894034</v>
      </c>
    </row>
    <row r="11">
      <c r="A11" s="10" t="s">
        <v>28</v>
      </c>
      <c r="B11" s="10" t="s">
        <v>29</v>
      </c>
      <c r="C11" s="10" t="s">
        <v>30</v>
      </c>
      <c r="D11" s="10" t="s">
        <v>31</v>
      </c>
      <c r="E11" s="11" t="n">
        <v>46113</v>
      </c>
      <c r="F11" t="n">
        <v>17575790</v>
      </c>
      <c r="H11" t="n">
        <v>1099123</v>
      </c>
      <c r="I11" t="n">
        <v>16476667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14.990739889894034</v>
      </c>
    </row>
    <row r="12">
      <c r="A12" s="10" t="s">
        <v>28</v>
      </c>
      <c r="B12" s="10" t="s">
        <v>29</v>
      </c>
      <c r="C12" s="10" t="s">
        <v>30</v>
      </c>
      <c r="D12" s="10" t="s">
        <v>31</v>
      </c>
      <c r="E12" s="11" t="n">
        <v>46143</v>
      </c>
      <c r="F12" t="n">
        <v>16476667</v>
      </c>
      <c r="H12" t="n">
        <v>1099123</v>
      </c>
      <c r="I12" t="n">
        <v>15377544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13.990739889894034</v>
      </c>
    </row>
    <row r="13">
      <c r="A13" s="10" t="s">
        <v>28</v>
      </c>
      <c r="B13" s="10" t="s">
        <v>29</v>
      </c>
      <c r="C13" s="10" t="s">
        <v>30</v>
      </c>
      <c r="D13" s="10" t="s">
        <v>31</v>
      </c>
      <c r="E13" s="11" t="n">
        <v>46174</v>
      </c>
      <c r="F13" t="n">
        <v>15377544</v>
      </c>
      <c r="H13" t="n">
        <v>1099123</v>
      </c>
      <c r="I13" t="n">
        <v>20360008</v>
      </c>
      <c r="J13" s="10" t="s">
        <v>2</v>
      </c>
      <c r="K13" s="10" t="s">
        <v>2</v>
      </c>
      <c r="L13" s="10" t="s">
        <v>4</v>
      </c>
      <c r="M13" t="n">
        <v>6081587</v>
      </c>
      <c r="O13" t="n">
        <v>218937</v>
      </c>
      <c r="P13" s="11" t="n">
        <v>46174</v>
      </c>
      <c r="S13" t="n">
        <v>9</v>
      </c>
      <c r="T13" t="n">
        <v>14</v>
      </c>
      <c r="U13" t="n">
        <v>13</v>
      </c>
      <c r="V13" t="n">
        <v>18.523866755586045</v>
      </c>
    </row>
    <row r="14">
      <c r="A14" s="10" t="s">
        <v>75</v>
      </c>
      <c r="B14" s="10" t="s">
        <v>29</v>
      </c>
      <c r="C14" s="10"/>
      <c r="D14" s="10" t="s">
        <v>31</v>
      </c>
      <c r="E14" s="11" t="n">
        <v>45748</v>
      </c>
      <c r="F14" t="n">
        <v>22567</v>
      </c>
      <c r="H14" t="n">
        <v>3689</v>
      </c>
      <c r="I14" t="n">
        <v>26270</v>
      </c>
      <c r="J14" s="10"/>
      <c r="K14" s="10"/>
      <c r="L14" s="10" t="s">
        <v>154</v>
      </c>
      <c r="M14" t="n">
        <v>7392</v>
      </c>
      <c r="P14" s="11"/>
      <c r="S14" t="n">
        <v>7</v>
      </c>
      <c r="T14" t="n">
        <v>15</v>
      </c>
      <c r="U14" t="n">
        <v>15</v>
      </c>
      <c r="V14" t="n">
        <v>7.1211710490647873</v>
      </c>
    </row>
    <row r="15">
      <c r="A15" s="10" t="s">
        <v>75</v>
      </c>
      <c r="B15" s="10" t="s">
        <v>29</v>
      </c>
      <c r="C15" s="10"/>
      <c r="D15" s="10" t="s">
        <v>31</v>
      </c>
      <c r="E15" s="11" t="n">
        <v>45778</v>
      </c>
      <c r="F15" t="n">
        <v>26270</v>
      </c>
      <c r="H15" t="n">
        <v>3695</v>
      </c>
      <c r="I15" t="n">
        <v>29487</v>
      </c>
      <c r="J15" s="10"/>
      <c r="K15" s="10"/>
      <c r="L15" s="10" t="s">
        <v>154</v>
      </c>
      <c r="M15" t="n">
        <v>6912</v>
      </c>
      <c r="P15" s="11"/>
      <c r="S15" t="n">
        <v>7</v>
      </c>
      <c r="T15" t="n">
        <v>15</v>
      </c>
      <c r="U15" t="n">
        <v>15</v>
      </c>
      <c r="V15" t="n">
        <v>7.9802435723951284</v>
      </c>
    </row>
    <row r="16">
      <c r="A16" s="10" t="s">
        <v>75</v>
      </c>
      <c r="B16" s="10" t="s">
        <v>29</v>
      </c>
      <c r="C16" s="10"/>
      <c r="D16" s="10" t="s">
        <v>31</v>
      </c>
      <c r="E16" s="11" t="n">
        <v>45809</v>
      </c>
      <c r="F16" t="n">
        <v>29487</v>
      </c>
      <c r="H16" t="n">
        <v>3681</v>
      </c>
      <c r="I16" t="n">
        <v>25806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7.0105949470252646</v>
      </c>
    </row>
    <row r="17">
      <c r="A17" s="10" t="s">
        <v>75</v>
      </c>
      <c r="B17" s="10" t="s">
        <v>29</v>
      </c>
      <c r="C17" s="10"/>
      <c r="D17" s="10" t="s">
        <v>31</v>
      </c>
      <c r="E17" s="11" t="n">
        <v>45839</v>
      </c>
      <c r="F17" t="n">
        <v>25806</v>
      </c>
      <c r="H17" t="n">
        <v>3677</v>
      </c>
      <c r="I17" t="n">
        <v>30246</v>
      </c>
      <c r="J17" s="10"/>
      <c r="K17" s="10"/>
      <c r="L17" s="10" t="s">
        <v>154</v>
      </c>
      <c r="M17" t="n">
        <v>8117</v>
      </c>
      <c r="P17" s="11"/>
      <c r="S17" t="n">
        <v>7</v>
      </c>
      <c r="T17" t="n">
        <v>15</v>
      </c>
      <c r="U17" t="n">
        <v>15</v>
      </c>
      <c r="V17" t="n">
        <v>8.2257274952406849</v>
      </c>
    </row>
    <row r="18">
      <c r="A18" s="10" t="s">
        <v>75</v>
      </c>
      <c r="B18" s="10" t="s">
        <v>29</v>
      </c>
      <c r="C18" s="10"/>
      <c r="D18" s="10" t="s">
        <v>31</v>
      </c>
      <c r="E18" s="11" t="n">
        <v>45870</v>
      </c>
      <c r="F18" t="n">
        <v>30246</v>
      </c>
      <c r="H18" t="n">
        <v>3677</v>
      </c>
      <c r="I18" t="n">
        <v>26569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7.2257274952406849</v>
      </c>
    </row>
    <row r="19">
      <c r="A19" s="10" t="s">
        <v>75</v>
      </c>
      <c r="B19" s="10" t="s">
        <v>29</v>
      </c>
      <c r="C19" s="10"/>
      <c r="D19" s="10" t="s">
        <v>31</v>
      </c>
      <c r="E19" s="11" t="n">
        <v>45901</v>
      </c>
      <c r="F19" t="n">
        <v>26569</v>
      </c>
      <c r="H19" t="n">
        <v>3685</v>
      </c>
      <c r="I19" t="n">
        <v>22884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6.2100407055630935</v>
      </c>
    </row>
    <row r="20">
      <c r="A20" s="10" t="s">
        <v>75</v>
      </c>
      <c r="B20" s="10" t="s">
        <v>29</v>
      </c>
      <c r="C20" s="10"/>
      <c r="D20" s="10" t="s">
        <v>31</v>
      </c>
      <c r="E20" s="11" t="n">
        <v>45931</v>
      </c>
      <c r="F20" t="n">
        <v>22884</v>
      </c>
      <c r="H20" t="n">
        <v>3684</v>
      </c>
      <c r="I20" t="n">
        <v>55218</v>
      </c>
      <c r="J20" s="10"/>
      <c r="K20" s="10"/>
      <c r="L20" s="10" t="s">
        <v>4</v>
      </c>
      <c r="M20" t="n">
        <v>36018</v>
      </c>
      <c r="P20" s="11"/>
      <c r="S20" t="n">
        <v>7</v>
      </c>
      <c r="T20" t="n">
        <v>15</v>
      </c>
      <c r="U20" t="n">
        <v>15</v>
      </c>
      <c r="V20" t="n">
        <v>14.988599348534201</v>
      </c>
    </row>
    <row r="21">
      <c r="A21" s="10" t="s">
        <v>75</v>
      </c>
      <c r="B21" s="10" t="s">
        <v>29</v>
      </c>
      <c r="C21" s="10"/>
      <c r="D21" s="10" t="s">
        <v>31</v>
      </c>
      <c r="E21" s="11" t="n">
        <v>45962</v>
      </c>
      <c r="F21" t="n">
        <v>55218</v>
      </c>
      <c r="H21" t="n">
        <v>3683</v>
      </c>
      <c r="I21" t="n">
        <v>51535</v>
      </c>
      <c r="J21" s="10"/>
      <c r="K21" s="10"/>
      <c r="L21" s="10"/>
      <c r="P21" s="11"/>
      <c r="S21" t="n">
        <v>7</v>
      </c>
      <c r="T21" t="n">
        <v>15</v>
      </c>
      <c r="U21" t="n">
        <v>15</v>
      </c>
      <c r="V21" t="n">
        <v>13.992669019820799</v>
      </c>
    </row>
    <row r="22">
      <c r="A22" s="10" t="s">
        <v>75</v>
      </c>
      <c r="B22" s="10" t="s">
        <v>29</v>
      </c>
      <c r="C22" s="10"/>
      <c r="D22" s="10" t="s">
        <v>31</v>
      </c>
      <c r="E22" s="11" t="n">
        <v>45992</v>
      </c>
      <c r="F22" t="n">
        <v>51535</v>
      </c>
      <c r="H22" t="n">
        <v>3681</v>
      </c>
      <c r="I22" t="n">
        <v>47854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13.00027166530834</v>
      </c>
    </row>
    <row r="23">
      <c r="A23" s="10" t="s">
        <v>75</v>
      </c>
      <c r="B23" s="10" t="s">
        <v>29</v>
      </c>
      <c r="C23" s="10"/>
      <c r="D23" s="10" t="s">
        <v>31</v>
      </c>
      <c r="E23" s="11" t="n">
        <v>46023</v>
      </c>
      <c r="F23" t="n">
        <v>47854</v>
      </c>
      <c r="H23" t="n">
        <v>3681</v>
      </c>
      <c r="I23" t="n">
        <v>44173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12.00027166530834</v>
      </c>
    </row>
    <row r="24">
      <c r="A24" s="10" t="s">
        <v>75</v>
      </c>
      <c r="B24" s="10" t="s">
        <v>29</v>
      </c>
      <c r="C24" s="10"/>
      <c r="D24" s="10" t="s">
        <v>31</v>
      </c>
      <c r="E24" s="11" t="n">
        <v>46054</v>
      </c>
      <c r="F24" t="n">
        <v>44173</v>
      </c>
      <c r="H24" t="n">
        <v>3682</v>
      </c>
      <c r="I24" t="n">
        <v>40491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10.997012493210212</v>
      </c>
    </row>
    <row r="25">
      <c r="A25" s="10" t="s">
        <v>75</v>
      </c>
      <c r="B25" s="10" t="s">
        <v>29</v>
      </c>
      <c r="C25" s="10"/>
      <c r="D25" s="10" t="s">
        <v>31</v>
      </c>
      <c r="E25" s="11" t="n">
        <v>46082</v>
      </c>
      <c r="F25" t="n">
        <v>40491</v>
      </c>
      <c r="H25" t="n">
        <v>3683</v>
      </c>
      <c r="I25" t="n">
        <v>36808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9.9940266087428729</v>
      </c>
    </row>
    <row r="26">
      <c r="A26" s="10" t="s">
        <v>75</v>
      </c>
      <c r="B26" s="10" t="s">
        <v>29</v>
      </c>
      <c r="C26" s="10"/>
      <c r="D26" s="10" t="s">
        <v>31</v>
      </c>
      <c r="E26" s="11" t="n">
        <v>46113</v>
      </c>
      <c r="F26" t="n">
        <v>36808</v>
      </c>
      <c r="H26" t="n">
        <v>3682</v>
      </c>
      <c r="I26" t="n">
        <v>33126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8.996740901683868</v>
      </c>
    </row>
    <row r="27">
      <c r="A27" s="10" t="s">
        <v>75</v>
      </c>
      <c r="B27" s="10" t="s">
        <v>29</v>
      </c>
      <c r="C27" s="10"/>
      <c r="D27" s="10" t="s">
        <v>31</v>
      </c>
      <c r="E27" s="11" t="n">
        <v>46143</v>
      </c>
      <c r="F27" t="n">
        <v>33126</v>
      </c>
      <c r="H27" t="n">
        <v>3682</v>
      </c>
      <c r="I27" t="n">
        <v>29444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7.9967409016838671</v>
      </c>
    </row>
    <row r="28">
      <c r="A28" s="10" t="s">
        <v>75</v>
      </c>
      <c r="B28" s="10" t="s">
        <v>29</v>
      </c>
      <c r="C28" s="10"/>
      <c r="D28" s="10" t="s">
        <v>31</v>
      </c>
      <c r="E28" s="11" t="n">
        <v>46174</v>
      </c>
      <c r="F28" t="n">
        <v>29444</v>
      </c>
      <c r="H28" t="n">
        <v>3682</v>
      </c>
      <c r="I28" t="n">
        <v>25762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6.9967409016838671</v>
      </c>
    </row>
    <row r="29">
      <c r="A29" s="10" t="s">
        <v>75</v>
      </c>
      <c r="B29" s="10" t="s">
        <v>29</v>
      </c>
      <c r="C29" s="10"/>
      <c r="D29" s="10" t="s">
        <v>31</v>
      </c>
      <c r="E29" s="11" t="n">
        <v>46204</v>
      </c>
      <c r="F29" t="n">
        <v>25762</v>
      </c>
      <c r="H29" t="n">
        <v>3682</v>
      </c>
      <c r="I29" t="n">
        <v>55240</v>
      </c>
      <c r="J29" s="10"/>
      <c r="K29" s="10"/>
      <c r="L29" s="10" t="s">
        <v>4</v>
      </c>
      <c r="M29" t="n">
        <v>33160</v>
      </c>
      <c r="P29" s="11"/>
      <c r="S29" t="n">
        <v>7</v>
      </c>
      <c r="T29" t="n">
        <v>15</v>
      </c>
      <c r="U29" t="n">
        <v>15</v>
      </c>
      <c r="V29" t="n">
        <v>15.002715915263444</v>
      </c>
    </row>
    <row r="30">
      <c r="A30" s="10" t="s">
        <v>75</v>
      </c>
      <c r="B30" s="10" t="s">
        <v>29</v>
      </c>
      <c r="C30" s="10"/>
      <c r="D30" s="10" t="s">
        <v>31</v>
      </c>
      <c r="E30" s="11" t="n">
        <v>46235</v>
      </c>
      <c r="F30" t="n">
        <v>55240</v>
      </c>
      <c r="H30" t="n">
        <v>3682</v>
      </c>
      <c r="I30" t="n">
        <v>51558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14.002715915263444</v>
      </c>
    </row>
    <row r="31">
      <c r="A31" s="10" t="s">
        <v>75</v>
      </c>
      <c r="B31" s="10" t="s">
        <v>29</v>
      </c>
      <c r="C31" s="10"/>
      <c r="D31" s="10" t="s">
        <v>31</v>
      </c>
      <c r="E31" s="11" t="n">
        <v>46266</v>
      </c>
      <c r="F31" t="n">
        <v>51558</v>
      </c>
      <c r="H31" t="n">
        <v>3682</v>
      </c>
      <c r="I31" t="n">
        <v>47876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13.002715915263444</v>
      </c>
    </row>
    <row r="32">
      <c r="A32" s="10" t="s">
        <v>76</v>
      </c>
      <c r="B32" s="10" t="s">
        <v>29</v>
      </c>
      <c r="C32" s="10"/>
      <c r="D32" s="10" t="s">
        <v>31</v>
      </c>
      <c r="E32" s="11" t="n">
        <v>45658</v>
      </c>
      <c r="H32" t="n">
        <v>14208920</v>
      </c>
      <c r="I32" t="n">
        <v>0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29</v>
      </c>
      <c r="C33" s="10"/>
      <c r="D33" s="10" t="s">
        <v>31</v>
      </c>
      <c r="E33" s="11" t="n">
        <v>45689</v>
      </c>
      <c r="H33" t="n">
        <v>14208920</v>
      </c>
      <c r="I33" t="n">
        <v>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29</v>
      </c>
      <c r="C34" s="10"/>
      <c r="D34" s="10" t="s">
        <v>31</v>
      </c>
      <c r="E34" s="11" t="n">
        <v>45717</v>
      </c>
      <c r="H34" t="n">
        <v>14208920</v>
      </c>
      <c r="I34" t="n">
        <v>0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29</v>
      </c>
      <c r="C35" s="10"/>
      <c r="D35" s="10" t="s">
        <v>31</v>
      </c>
      <c r="E35" s="11" t="n">
        <v>45748</v>
      </c>
      <c r="F35" t="n">
        <v>181834416</v>
      </c>
      <c r="H35" t="n">
        <v>14208920</v>
      </c>
      <c r="I35" t="n">
        <v>167625496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11.797201757769063</v>
      </c>
    </row>
    <row r="36">
      <c r="A36" s="10" t="s">
        <v>76</v>
      </c>
      <c r="B36" s="10" t="s">
        <v>29</v>
      </c>
      <c r="C36" s="10"/>
      <c r="D36" s="10" t="s">
        <v>31</v>
      </c>
      <c r="E36" s="11" t="n">
        <v>45778</v>
      </c>
      <c r="F36" t="n">
        <v>167625496</v>
      </c>
      <c r="H36" t="n">
        <v>14208920</v>
      </c>
      <c r="I36" t="n">
        <v>153416576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10.797201757769063</v>
      </c>
    </row>
    <row r="37">
      <c r="A37" s="10" t="s">
        <v>76</v>
      </c>
      <c r="B37" s="10" t="s">
        <v>29</v>
      </c>
      <c r="C37" s="10"/>
      <c r="D37" s="10" t="s">
        <v>31</v>
      </c>
      <c r="E37" s="11" t="n">
        <v>45809</v>
      </c>
      <c r="F37" t="n">
        <v>153416576</v>
      </c>
      <c r="H37" t="n">
        <v>14208920</v>
      </c>
      <c r="I37" t="n">
        <v>153607656</v>
      </c>
      <c r="J37" s="10"/>
      <c r="K37" s="10"/>
      <c r="L37" s="10" t="s">
        <v>154</v>
      </c>
      <c r="M37" t="n">
        <v>14400000</v>
      </c>
      <c r="O37" t="n">
        <v>432000</v>
      </c>
      <c r="P37" s="11" t="n">
        <v>45809</v>
      </c>
      <c r="S37" t="n">
        <v>3</v>
      </c>
      <c r="T37" t="n">
        <v>6</v>
      </c>
      <c r="U37" t="n">
        <v>6</v>
      </c>
      <c r="V37" t="n">
        <v>10.810649648249129</v>
      </c>
    </row>
    <row r="38">
      <c r="A38" s="10" t="s">
        <v>76</v>
      </c>
      <c r="B38" s="10" t="s">
        <v>29</v>
      </c>
      <c r="C38" s="10"/>
      <c r="D38" s="10" t="s">
        <v>31</v>
      </c>
      <c r="E38" s="11" t="n">
        <v>45839</v>
      </c>
      <c r="F38" t="n">
        <v>153607656</v>
      </c>
      <c r="H38" t="n">
        <v>14208920</v>
      </c>
      <c r="I38" t="n">
        <v>141016144</v>
      </c>
      <c r="J38" s="10" t="s">
        <v>155</v>
      </c>
      <c r="K38" s="10" t="s">
        <v>155</v>
      </c>
      <c r="L38" s="10" t="s">
        <v>147</v>
      </c>
      <c r="M38" t="n">
        <v>1617408</v>
      </c>
      <c r="O38" t="n">
        <v>48522.239999999998</v>
      </c>
      <c r="P38" s="11" t="n">
        <v>45839</v>
      </c>
      <c r="S38" t="n">
        <v>3</v>
      </c>
      <c r="T38" t="n">
        <v>6</v>
      </c>
      <c r="U38" t="n">
        <v>6</v>
      </c>
      <c r="V38" t="n">
        <v>9.9244801153078495</v>
      </c>
    </row>
    <row r="39">
      <c r="A39" s="10" t="s">
        <v>76</v>
      </c>
      <c r="B39" s="10" t="s">
        <v>29</v>
      </c>
      <c r="C39" s="10"/>
      <c r="D39" s="10" t="s">
        <v>31</v>
      </c>
      <c r="E39" s="11" t="n">
        <v>45870</v>
      </c>
      <c r="F39" t="n">
        <v>141016144</v>
      </c>
      <c r="H39" t="n">
        <v>14208920</v>
      </c>
      <c r="I39" t="n">
        <v>126807224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8.9244801153078495</v>
      </c>
    </row>
    <row r="40">
      <c r="A40" s="10" t="s">
        <v>76</v>
      </c>
      <c r="B40" s="10" t="s">
        <v>29</v>
      </c>
      <c r="C40" s="10"/>
      <c r="D40" s="10" t="s">
        <v>31</v>
      </c>
      <c r="E40" s="11" t="n">
        <v>45901</v>
      </c>
      <c r="F40" t="n">
        <v>126807224</v>
      </c>
      <c r="H40" t="n">
        <v>14208920</v>
      </c>
      <c r="I40" t="n">
        <v>148581168</v>
      </c>
      <c r="J40" s="10" t="s">
        <v>156</v>
      </c>
      <c r="K40" s="10" t="s">
        <v>156</v>
      </c>
      <c r="L40" s="10" t="s">
        <v>147</v>
      </c>
      <c r="M40" t="n">
        <v>35982864</v>
      </c>
      <c r="O40" t="n">
        <v>1079485.92</v>
      </c>
      <c r="P40" s="11" t="n">
        <v>45901</v>
      </c>
      <c r="S40" t="n">
        <v>3</v>
      </c>
      <c r="T40" t="n">
        <v>6</v>
      </c>
      <c r="U40" t="n">
        <v>6</v>
      </c>
      <c r="V40" t="n">
        <v>10.456893838518338</v>
      </c>
    </row>
    <row r="41">
      <c r="A41" s="10" t="s">
        <v>76</v>
      </c>
      <c r="B41" s="10" t="s">
        <v>29</v>
      </c>
      <c r="C41" s="10"/>
      <c r="D41" s="10" t="s">
        <v>31</v>
      </c>
      <c r="E41" s="11" t="n">
        <v>45931</v>
      </c>
      <c r="F41" t="n">
        <v>148581168</v>
      </c>
      <c r="H41" t="n">
        <v>14208920</v>
      </c>
      <c r="I41" t="n">
        <v>167549848</v>
      </c>
      <c r="J41" s="10"/>
      <c r="K41" s="10"/>
      <c r="L41" s="10" t="s">
        <v>147</v>
      </c>
      <c r="M41" t="n">
        <v>33177600</v>
      </c>
      <c r="O41" t="n">
        <v>995328</v>
      </c>
      <c r="P41" s="11" t="n">
        <v>45931</v>
      </c>
      <c r="S41" t="n">
        <v>3</v>
      </c>
      <c r="T41" t="n">
        <v>6</v>
      </c>
      <c r="U41" t="n">
        <v>6</v>
      </c>
      <c r="V41" t="n">
        <v>11.791877778184409</v>
      </c>
    </row>
    <row r="42">
      <c r="A42" s="10" t="s">
        <v>76</v>
      </c>
      <c r="B42" s="10" t="s">
        <v>29</v>
      </c>
      <c r="C42" s="10"/>
      <c r="D42" s="10" t="s">
        <v>31</v>
      </c>
      <c r="E42" s="11" t="n">
        <v>45962</v>
      </c>
      <c r="F42" t="n">
        <v>167549848</v>
      </c>
      <c r="H42" t="n">
        <v>14208920</v>
      </c>
      <c r="I42" t="n">
        <v>153340928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10.791877778184409</v>
      </c>
    </row>
    <row r="43">
      <c r="A43" s="10" t="s">
        <v>76</v>
      </c>
      <c r="B43" s="10" t="s">
        <v>29</v>
      </c>
      <c r="C43" s="10"/>
      <c r="D43" s="10" t="s">
        <v>31</v>
      </c>
      <c r="E43" s="11" t="n">
        <v>45992</v>
      </c>
      <c r="F43" t="n">
        <v>153340928</v>
      </c>
      <c r="H43" t="n">
        <v>14208920</v>
      </c>
      <c r="I43" t="n">
        <v>139132008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9.7918777781844089</v>
      </c>
    </row>
    <row r="44">
      <c r="A44" s="10" t="s">
        <v>76</v>
      </c>
      <c r="B44" s="10" t="s">
        <v>29</v>
      </c>
      <c r="C44" s="10"/>
      <c r="D44" s="10" t="s">
        <v>31</v>
      </c>
      <c r="E44" s="11" t="n">
        <v>46023</v>
      </c>
      <c r="F44" t="n">
        <v>139132008</v>
      </c>
      <c r="H44" t="n">
        <v>16576898</v>
      </c>
      <c r="I44" t="n">
        <v>122555110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7.3931268684889053</v>
      </c>
    </row>
    <row r="45">
      <c r="A45" s="10" t="s">
        <v>76</v>
      </c>
      <c r="B45" s="10" t="s">
        <v>29</v>
      </c>
      <c r="C45" s="10"/>
      <c r="D45" s="10" t="s">
        <v>31</v>
      </c>
      <c r="E45" s="11" t="n">
        <v>46054</v>
      </c>
      <c r="F45" t="n">
        <v>122555110</v>
      </c>
      <c r="H45" t="n">
        <v>16576898</v>
      </c>
      <c r="I45" t="n">
        <v>105978212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6.3931268684889053</v>
      </c>
    </row>
    <row r="46">
      <c r="A46" s="10" t="s">
        <v>76</v>
      </c>
      <c r="B46" s="10" t="s">
        <v>29</v>
      </c>
      <c r="C46" s="10"/>
      <c r="D46" s="10" t="s">
        <v>31</v>
      </c>
      <c r="E46" s="11" t="n">
        <v>46082</v>
      </c>
      <c r="F46" t="n">
        <v>105978212</v>
      </c>
      <c r="H46" t="n">
        <v>16576898</v>
      </c>
      <c r="I46" t="n">
        <v>89401314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5.3931268684889053</v>
      </c>
    </row>
    <row r="47">
      <c r="A47" s="10" t="s">
        <v>76</v>
      </c>
      <c r="B47" s="10" t="s">
        <v>29</v>
      </c>
      <c r="C47" s="10"/>
      <c r="D47" s="10" t="s">
        <v>31</v>
      </c>
      <c r="E47" s="11" t="n">
        <v>46113</v>
      </c>
      <c r="F47" t="n">
        <v>89401314</v>
      </c>
      <c r="H47" t="n">
        <v>16576898</v>
      </c>
      <c r="I47" t="n">
        <v>72824416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4.3931268684889053</v>
      </c>
    </row>
    <row r="48">
      <c r="A48" s="10" t="s">
        <v>76</v>
      </c>
      <c r="B48" s="10" t="s">
        <v>29</v>
      </c>
      <c r="C48" s="10"/>
      <c r="D48" s="10" t="s">
        <v>31</v>
      </c>
      <c r="E48" s="11" t="n">
        <v>46143</v>
      </c>
      <c r="F48" t="n">
        <v>72824416</v>
      </c>
      <c r="H48" t="n">
        <v>16576898</v>
      </c>
      <c r="I48" t="n">
        <v>56247518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3.3931268684889053</v>
      </c>
    </row>
    <row r="49">
      <c r="A49" s="10" t="s">
        <v>76</v>
      </c>
      <c r="B49" s="10" t="s">
        <v>29</v>
      </c>
      <c r="C49" s="10"/>
      <c r="D49" s="10" t="s">
        <v>31</v>
      </c>
      <c r="E49" s="11" t="n">
        <v>46174</v>
      </c>
      <c r="F49" t="n">
        <v>56247518</v>
      </c>
      <c r="H49" t="n">
        <v>16576898</v>
      </c>
      <c r="I49" t="n">
        <v>39670620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2.3931268684889053</v>
      </c>
    </row>
    <row r="50">
      <c r="A50" s="10" t="s">
        <v>76</v>
      </c>
      <c r="B50" s="10" t="s">
        <v>29</v>
      </c>
      <c r="C50" s="10"/>
      <c r="D50" s="10" t="s">
        <v>31</v>
      </c>
      <c r="E50" s="11" t="n">
        <v>46204</v>
      </c>
      <c r="F50" t="n">
        <v>39670620</v>
      </c>
      <c r="H50" t="n">
        <v>16576898</v>
      </c>
      <c r="I50" t="n">
        <v>23093722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1.3931268684889055</v>
      </c>
    </row>
    <row r="51">
      <c r="A51" s="10" t="s">
        <v>76</v>
      </c>
      <c r="B51" s="10" t="s">
        <v>29</v>
      </c>
      <c r="C51" s="10"/>
      <c r="D51" s="10" t="s">
        <v>31</v>
      </c>
      <c r="E51" s="11" t="n">
        <v>46235</v>
      </c>
      <c r="F51" t="n">
        <v>23093722</v>
      </c>
      <c r="H51" t="n">
        <v>16576898</v>
      </c>
      <c r="I51" t="n">
        <v>6516824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0.39312686848890549</v>
      </c>
    </row>
    <row r="52">
      <c r="A52" s="10" t="s">
        <v>76</v>
      </c>
      <c r="B52" s="10" t="s">
        <v>29</v>
      </c>
      <c r="C52" s="10"/>
      <c r="D52" s="10" t="s">
        <v>31</v>
      </c>
      <c r="E52" s="11" t="n">
        <v>46266</v>
      </c>
      <c r="F52" t="n">
        <v>6516824</v>
      </c>
      <c r="H52" t="n">
        <v>16576898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76</v>
      </c>
      <c r="B53" s="10" t="s">
        <v>29</v>
      </c>
      <c r="C53" s="10"/>
      <c r="D53" s="10" t="s">
        <v>31</v>
      </c>
      <c r="E53" s="11" t="n">
        <v>46296</v>
      </c>
      <c r="F53" t="n">
        <v>0</v>
      </c>
      <c r="H53" t="n">
        <v>16576898</v>
      </c>
      <c r="I53" t="n">
        <v>0</v>
      </c>
      <c r="J53" s="10"/>
      <c r="K53" s="10"/>
      <c r="L53" s="10"/>
      <c r="P53" s="11"/>
      <c r="S53" t="n">
        <v>3</v>
      </c>
      <c r="T53" t="n">
        <v>6</v>
      </c>
      <c r="U53" t="n">
        <v>6</v>
      </c>
      <c r="V53" t="n">
        <v>0</v>
      </c>
    </row>
    <row r="54">
      <c r="A54" s="10" t="s">
        <v>76</v>
      </c>
      <c r="B54" s="10" t="s">
        <v>29</v>
      </c>
      <c r="C54" s="10"/>
      <c r="D54" s="10" t="s">
        <v>31</v>
      </c>
      <c r="E54" s="11" t="n">
        <v>46327</v>
      </c>
      <c r="F54" t="n">
        <v>0</v>
      </c>
      <c r="H54" t="n">
        <v>16576898</v>
      </c>
      <c r="I54" t="n">
        <v>0</v>
      </c>
      <c r="J54" s="10"/>
      <c r="K54" s="10"/>
      <c r="L54" s="10"/>
      <c r="P54" s="11"/>
      <c r="S54" t="n">
        <v>3</v>
      </c>
      <c r="T54" t="n">
        <v>6</v>
      </c>
      <c r="U54" t="n">
        <v>6</v>
      </c>
      <c r="V54" t="n">
        <v>0</v>
      </c>
    </row>
    <row r="55">
      <c r="A55" s="10" t="s">
        <v>76</v>
      </c>
      <c r="B55" s="10" t="s">
        <v>29</v>
      </c>
      <c r="C55" s="10"/>
      <c r="D55" s="10" t="s">
        <v>31</v>
      </c>
      <c r="E55" s="11" t="n">
        <v>46357</v>
      </c>
      <c r="F55" t="n">
        <v>0</v>
      </c>
      <c r="H55" t="n">
        <v>16576898</v>
      </c>
      <c r="I55" t="n">
        <v>0</v>
      </c>
      <c r="J55" s="10"/>
      <c r="K55" s="10"/>
      <c r="L55" s="10"/>
      <c r="P55" s="11"/>
      <c r="S55" t="n">
        <v>3</v>
      </c>
      <c r="T55" t="n">
        <v>6</v>
      </c>
      <c r="U55" t="n">
        <v>6</v>
      </c>
      <c r="V55" t="n">
        <v>0</v>
      </c>
    </row>
    <row r="56">
      <c r="A56" s="10" t="s">
        <v>72</v>
      </c>
      <c r="B56" s="10" t="s">
        <v>29</v>
      </c>
      <c r="C56" s="10"/>
      <c r="D56" s="10" t="s">
        <v>31</v>
      </c>
      <c r="E56" s="11" t="n">
        <v>45689</v>
      </c>
      <c r="F56" t="n">
        <v>17368146</v>
      </c>
      <c r="H56" t="n">
        <v>2556052</v>
      </c>
      <c r="I56" t="n">
        <v>14812094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5.7949110581474867</v>
      </c>
    </row>
    <row r="57">
      <c r="A57" s="10" t="s">
        <v>72</v>
      </c>
      <c r="B57" s="10" t="s">
        <v>29</v>
      </c>
      <c r="C57" s="10"/>
      <c r="D57" s="10" t="s">
        <v>31</v>
      </c>
      <c r="E57" s="11" t="n">
        <v>45717</v>
      </c>
      <c r="H57" t="n">
        <v>2556052</v>
      </c>
      <c r="I57" t="n">
        <v>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0</v>
      </c>
    </row>
    <row r="58">
      <c r="A58" s="10" t="s">
        <v>72</v>
      </c>
      <c r="B58" s="10" t="s">
        <v>29</v>
      </c>
      <c r="C58" s="10"/>
      <c r="D58" s="10" t="s">
        <v>31</v>
      </c>
      <c r="E58" s="11" t="n">
        <v>45748</v>
      </c>
      <c r="H58" t="n">
        <v>2556052</v>
      </c>
      <c r="I58" t="n">
        <v>4139948</v>
      </c>
      <c r="J58" s="10" t="s">
        <v>161</v>
      </c>
      <c r="K58" s="10" t="s">
        <v>3</v>
      </c>
      <c r="L58" s="10" t="s">
        <v>153</v>
      </c>
      <c r="M58" t="n">
        <v>6696000</v>
      </c>
      <c r="O58" t="n">
        <v>224986</v>
      </c>
      <c r="P58" s="11" t="n">
        <v>45748</v>
      </c>
      <c r="S58" t="n">
        <v>6</v>
      </c>
      <c r="T58" t="n">
        <v>12</v>
      </c>
      <c r="U58" t="n">
        <v>12</v>
      </c>
      <c r="V58" t="n">
        <v>1.6196650146397649</v>
      </c>
    </row>
    <row r="59">
      <c r="A59" s="10" t="s">
        <v>72</v>
      </c>
      <c r="B59" s="10" t="s">
        <v>29</v>
      </c>
      <c r="C59" s="10"/>
      <c r="D59" s="10" t="s">
        <v>31</v>
      </c>
      <c r="E59" s="11" t="n">
        <v>45778</v>
      </c>
      <c r="H59" t="n">
        <v>2556052</v>
      </c>
      <c r="I59" t="n">
        <v>0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0</v>
      </c>
    </row>
    <row r="60">
      <c r="A60" s="10" t="s">
        <v>72</v>
      </c>
      <c r="B60" s="10" t="s">
        <v>29</v>
      </c>
      <c r="C60" s="10"/>
      <c r="D60" s="10" t="s">
        <v>31</v>
      </c>
      <c r="E60" s="11" t="n">
        <v>45809</v>
      </c>
      <c r="H60" t="n">
        <v>2556052</v>
      </c>
      <c r="I60" t="n">
        <v>0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0</v>
      </c>
    </row>
    <row r="61">
      <c r="A61" s="10" t="s">
        <v>72</v>
      </c>
      <c r="B61" s="10" t="s">
        <v>29</v>
      </c>
      <c r="C61" s="10"/>
      <c r="D61" s="10" t="s">
        <v>31</v>
      </c>
      <c r="E61" s="11" t="n">
        <v>45839</v>
      </c>
      <c r="H61" t="n">
        <v>2556052</v>
      </c>
      <c r="I61" t="n">
        <v>0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0</v>
      </c>
    </row>
    <row r="62">
      <c r="A62" s="10" t="s">
        <v>72</v>
      </c>
      <c r="B62" s="10" t="s">
        <v>29</v>
      </c>
      <c r="C62" s="10"/>
      <c r="D62" s="10" t="s">
        <v>31</v>
      </c>
      <c r="E62" s="11" t="n">
        <v>45870</v>
      </c>
      <c r="H62" t="n">
        <v>2556052</v>
      </c>
      <c r="I62" t="n">
        <v>0</v>
      </c>
      <c r="J62" s="10" t="s">
        <v>51</v>
      </c>
      <c r="K62" s="10" t="s">
        <v>146</v>
      </c>
      <c r="L62" s="10" t="s">
        <v>154</v>
      </c>
      <c r="M62" t="n">
        <v>2160000</v>
      </c>
      <c r="O62" t="n">
        <v>72576</v>
      </c>
      <c r="P62" s="11" t="n">
        <v>45870</v>
      </c>
      <c r="S62" t="n">
        <v>6</v>
      </c>
      <c r="T62" t="n">
        <v>12</v>
      </c>
      <c r="U62" t="n">
        <v>12</v>
      </c>
      <c r="V62" t="n">
        <v>0</v>
      </c>
    </row>
    <row r="63">
      <c r="A63" s="10" t="s">
        <v>72</v>
      </c>
      <c r="B63" s="10" t="s">
        <v>29</v>
      </c>
      <c r="C63" s="10"/>
      <c r="D63" s="10" t="s">
        <v>31</v>
      </c>
      <c r="E63" s="11" t="n">
        <v>45901</v>
      </c>
      <c r="H63" t="n">
        <v>2556052</v>
      </c>
      <c r="I63" t="n">
        <v>0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0</v>
      </c>
    </row>
    <row r="64">
      <c r="A64" s="10" t="s">
        <v>72</v>
      </c>
      <c r="B64" s="10" t="s">
        <v>29</v>
      </c>
      <c r="C64" s="10"/>
      <c r="D64" s="10" t="s">
        <v>31</v>
      </c>
      <c r="E64" s="11" t="n">
        <v>45931</v>
      </c>
      <c r="H64" t="n">
        <v>2556052</v>
      </c>
      <c r="I64" t="n">
        <v>0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0</v>
      </c>
    </row>
    <row r="65">
      <c r="A65" s="10" t="s">
        <v>72</v>
      </c>
      <c r="B65" s="10" t="s">
        <v>29</v>
      </c>
      <c r="C65" s="10"/>
      <c r="D65" s="10" t="s">
        <v>31</v>
      </c>
      <c r="E65" s="11" t="n">
        <v>45962</v>
      </c>
      <c r="H65" t="n">
        <v>2556052</v>
      </c>
      <c r="I65" t="n">
        <v>0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0</v>
      </c>
    </row>
    <row r="66">
      <c r="A66" s="10" t="s">
        <v>72</v>
      </c>
      <c r="B66" s="10" t="s">
        <v>29</v>
      </c>
      <c r="C66" s="10"/>
      <c r="D66" s="10" t="s">
        <v>31</v>
      </c>
      <c r="E66" s="11" t="n">
        <v>45992</v>
      </c>
      <c r="H66" t="n">
        <v>2556052</v>
      </c>
      <c r="I66" t="n">
        <v>0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0</v>
      </c>
    </row>
    <row r="67">
      <c r="A67" s="10" t="s">
        <v>72</v>
      </c>
      <c r="B67" s="10" t="s">
        <v>29</v>
      </c>
      <c r="C67" s="10"/>
      <c r="D67" s="10" t="s">
        <v>31</v>
      </c>
      <c r="E67" s="11" t="n">
        <v>46023</v>
      </c>
      <c r="H67" t="n">
        <v>2556052</v>
      </c>
      <c r="I67" t="n">
        <v>15793376</v>
      </c>
      <c r="J67" s="10" t="s">
        <v>2</v>
      </c>
      <c r="K67" s="10" t="s">
        <v>2</v>
      </c>
      <c r="L67" s="10" t="s">
        <v>4</v>
      </c>
      <c r="M67" t="n">
        <v>18349428</v>
      </c>
      <c r="O67" t="n">
        <v>616540</v>
      </c>
      <c r="P67" s="11" t="n">
        <v>46023</v>
      </c>
      <c r="S67" t="n">
        <v>6</v>
      </c>
      <c r="T67" t="n">
        <v>12</v>
      </c>
      <c r="U67" t="n">
        <v>12</v>
      </c>
      <c r="V67" t="n">
        <v>6.1788163934067066</v>
      </c>
    </row>
    <row r="68">
      <c r="A68" s="10" t="s">
        <v>72</v>
      </c>
      <c r="B68" s="10" t="s">
        <v>29</v>
      </c>
      <c r="C68" s="10"/>
      <c r="D68" s="10" t="s">
        <v>31</v>
      </c>
      <c r="E68" s="11" t="n">
        <v>46054</v>
      </c>
      <c r="H68" t="n">
        <v>2556052</v>
      </c>
      <c r="I68" t="n">
        <v>0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0</v>
      </c>
    </row>
    <row r="69">
      <c r="A69" s="10" t="s">
        <v>72</v>
      </c>
      <c r="B69" s="10" t="s">
        <v>29</v>
      </c>
      <c r="C69" s="10"/>
      <c r="D69" s="10" t="s">
        <v>31</v>
      </c>
      <c r="E69" s="11" t="n">
        <v>46082</v>
      </c>
      <c r="H69" t="n">
        <v>2556052</v>
      </c>
      <c r="I69" t="n">
        <v>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0</v>
      </c>
    </row>
    <row r="70">
      <c r="A70" s="10" t="s">
        <v>72</v>
      </c>
      <c r="B70" s="10" t="s">
        <v>29</v>
      </c>
      <c r="C70" s="10"/>
      <c r="D70" s="10" t="s">
        <v>31</v>
      </c>
      <c r="E70" s="11" t="n">
        <v>46113</v>
      </c>
      <c r="H70" t="n">
        <v>2556052</v>
      </c>
      <c r="I70" t="n">
        <v>0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0</v>
      </c>
    </row>
    <row r="71">
      <c r="A71" s="10" t="s">
        <v>72</v>
      </c>
      <c r="B71" s="10" t="s">
        <v>29</v>
      </c>
      <c r="C71" s="10"/>
      <c r="D71" s="10" t="s">
        <v>31</v>
      </c>
      <c r="E71" s="11" t="n">
        <v>46143</v>
      </c>
      <c r="H71" t="n">
        <v>2556052</v>
      </c>
      <c r="I71" t="n">
        <v>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0</v>
      </c>
    </row>
    <row r="72">
      <c r="A72" s="10" t="s">
        <v>72</v>
      </c>
      <c r="B72" s="10" t="s">
        <v>29</v>
      </c>
      <c r="C72" s="10"/>
      <c r="D72" s="10" t="s">
        <v>31</v>
      </c>
      <c r="E72" s="11" t="n">
        <v>46174</v>
      </c>
      <c r="H72" t="n">
        <v>2556052</v>
      </c>
      <c r="I72" t="n">
        <v>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0</v>
      </c>
    </row>
    <row r="73">
      <c r="A73" s="10" t="s">
        <v>72</v>
      </c>
      <c r="B73" s="10" t="s">
        <v>29</v>
      </c>
      <c r="C73" s="10"/>
      <c r="D73" s="10" t="s">
        <v>31</v>
      </c>
      <c r="E73" s="11" t="n">
        <v>46204</v>
      </c>
      <c r="H73" t="n">
        <v>2556052</v>
      </c>
      <c r="I73" t="n">
        <v>16740599</v>
      </c>
      <c r="J73" s="10" t="s">
        <v>2</v>
      </c>
      <c r="K73" s="10" t="s">
        <v>2</v>
      </c>
      <c r="L73" s="10" t="s">
        <v>4</v>
      </c>
      <c r="M73" t="n">
        <v>19296651</v>
      </c>
      <c r="O73" t="n">
        <v>648368</v>
      </c>
      <c r="P73" s="11" t="n">
        <v>46204</v>
      </c>
      <c r="S73" t="n">
        <v>6</v>
      </c>
      <c r="T73" t="n">
        <v>12</v>
      </c>
      <c r="U73" t="n">
        <v>12</v>
      </c>
      <c r="V73" t="n">
        <v>6.5493968823795443</v>
      </c>
    </row>
    <row r="74">
      <c r="A74" s="10" t="s">
        <v>72</v>
      </c>
      <c r="B74" s="10" t="s">
        <v>29</v>
      </c>
      <c r="C74" s="10"/>
      <c r="D74" s="10" t="s">
        <v>31</v>
      </c>
      <c r="E74" s="11" t="n">
        <v>46235</v>
      </c>
      <c r="H74" t="n">
        <v>2556052</v>
      </c>
      <c r="I74" t="n">
        <v>0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0</v>
      </c>
    </row>
    <row r="75">
      <c r="A75" s="10" t="s">
        <v>72</v>
      </c>
      <c r="B75" s="10" t="s">
        <v>29</v>
      </c>
      <c r="C75" s="10"/>
      <c r="D75" s="10" t="s">
        <v>31</v>
      </c>
      <c r="E75" s="11" t="n">
        <v>46266</v>
      </c>
      <c r="H75" t="n">
        <v>2556052</v>
      </c>
      <c r="I75" t="n">
        <v>0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0</v>
      </c>
    </row>
    <row r="76">
      <c r="A76" s="10" t="s">
        <v>72</v>
      </c>
      <c r="B76" s="10" t="s">
        <v>29</v>
      </c>
      <c r="C76" s="10"/>
      <c r="D76" s="10" t="s">
        <v>31</v>
      </c>
      <c r="E76" s="11" t="n">
        <v>46296</v>
      </c>
      <c r="H76" t="n">
        <v>2556052</v>
      </c>
      <c r="I76" t="n">
        <v>0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0</v>
      </c>
    </row>
    <row r="77">
      <c r="A77" s="10" t="s">
        <v>72</v>
      </c>
      <c r="B77" s="10" t="s">
        <v>29</v>
      </c>
      <c r="C77" s="10"/>
      <c r="D77" s="10" t="s">
        <v>31</v>
      </c>
      <c r="E77" s="11" t="n">
        <v>46327</v>
      </c>
      <c r="H77" t="n">
        <v>2556052</v>
      </c>
      <c r="I77" t="n">
        <v>0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0</v>
      </c>
    </row>
    <row r="78">
      <c r="A78" s="10" t="s">
        <v>72</v>
      </c>
      <c r="B78" s="10" t="s">
        <v>29</v>
      </c>
      <c r="C78" s="10"/>
      <c r="D78" s="10" t="s">
        <v>31</v>
      </c>
      <c r="E78" s="11" t="n">
        <v>46357</v>
      </c>
      <c r="H78" t="n">
        <v>2556052</v>
      </c>
      <c r="I78" t="n">
        <v>12870812</v>
      </c>
      <c r="J78" s="10" t="s">
        <v>162</v>
      </c>
      <c r="K78" s="10" t="s">
        <v>162</v>
      </c>
      <c r="L78" s="10" t="s">
        <v>147</v>
      </c>
      <c r="M78" t="n">
        <v>15426864</v>
      </c>
      <c r="O78" t="n">
        <v>518343</v>
      </c>
      <c r="P78" s="11" t="n">
        <v>46357</v>
      </c>
      <c r="S78" t="n">
        <v>6</v>
      </c>
      <c r="T78" t="n">
        <v>12</v>
      </c>
      <c r="U78" t="n">
        <v>12</v>
      </c>
      <c r="V78" t="n">
        <v>5.0354265093198416</v>
      </c>
    </row>
    <row r="79">
      <c r="A79" s="10" t="s">
        <v>77</v>
      </c>
      <c r="B79" s="10" t="s">
        <v>29</v>
      </c>
      <c r="C79" s="10"/>
      <c r="D79" s="10" t="s">
        <v>31</v>
      </c>
      <c r="E79" s="11" t="n">
        <v>45839</v>
      </c>
      <c r="F79" t="n">
        <v>3400970</v>
      </c>
      <c r="H79" t="n">
        <v>2035293</v>
      </c>
      <c r="I79" t="n">
        <v>1365677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0.67099773840916266</v>
      </c>
    </row>
    <row r="80">
      <c r="A80" s="10" t="s">
        <v>77</v>
      </c>
      <c r="B80" s="10" t="s">
        <v>29</v>
      </c>
      <c r="C80" s="10"/>
      <c r="D80" s="10" t="s">
        <v>31</v>
      </c>
      <c r="E80" s="11" t="n">
        <v>45870</v>
      </c>
      <c r="F80" t="n">
        <v>1365677</v>
      </c>
      <c r="H80" t="n">
        <v>2035293</v>
      </c>
      <c r="I80" t="n">
        <v>0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0</v>
      </c>
    </row>
    <row r="81">
      <c r="A81" s="10" t="s">
        <v>77</v>
      </c>
      <c r="B81" s="10" t="s">
        <v>29</v>
      </c>
      <c r="C81" s="10"/>
      <c r="D81" s="10" t="s">
        <v>31</v>
      </c>
      <c r="E81" s="11" t="n">
        <v>45901</v>
      </c>
      <c r="F81" t="n">
        <v>0</v>
      </c>
      <c r="H81" t="n">
        <v>2035293</v>
      </c>
      <c r="I81" t="n">
        <v>7310307</v>
      </c>
      <c r="J81" s="10" t="s">
        <v>51</v>
      </c>
      <c r="K81" s="10" t="s">
        <v>146</v>
      </c>
      <c r="L81" s="10" t="s">
        <v>154</v>
      </c>
      <c r="M81" t="n">
        <v>9345600</v>
      </c>
      <c r="P81" s="11"/>
      <c r="S81" t="n">
        <v>6</v>
      </c>
      <c r="T81" t="n">
        <v>12</v>
      </c>
      <c r="U81" t="n">
        <v>12</v>
      </c>
      <c r="V81" t="n">
        <v>3.5917713076200823</v>
      </c>
    </row>
    <row r="82">
      <c r="A82" s="10" t="s">
        <v>77</v>
      </c>
      <c r="B82" s="10" t="s">
        <v>29</v>
      </c>
      <c r="C82" s="10"/>
      <c r="D82" s="10" t="s">
        <v>31</v>
      </c>
      <c r="E82" s="11" t="n">
        <v>45931</v>
      </c>
      <c r="F82" t="n">
        <v>7310307</v>
      </c>
      <c r="H82" t="n">
        <v>2035293</v>
      </c>
      <c r="I82" t="n">
        <v>5275014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2.5917713076200823</v>
      </c>
    </row>
    <row r="83">
      <c r="A83" s="10" t="s">
        <v>77</v>
      </c>
      <c r="B83" s="10" t="s">
        <v>29</v>
      </c>
      <c r="C83" s="10"/>
      <c r="D83" s="10" t="s">
        <v>31</v>
      </c>
      <c r="E83" s="11" t="n">
        <v>45962</v>
      </c>
      <c r="F83" t="n">
        <v>5275014</v>
      </c>
      <c r="H83" t="n">
        <v>2035293</v>
      </c>
      <c r="I83" t="n">
        <v>24304579</v>
      </c>
      <c r="J83" s="10" t="s">
        <v>155</v>
      </c>
      <c r="K83" s="10" t="s">
        <v>155</v>
      </c>
      <c r="L83" s="10" t="s">
        <v>147</v>
      </c>
      <c r="M83" t="n">
        <v>21064858</v>
      </c>
      <c r="P83" s="11"/>
      <c r="S83" t="n">
        <v>6</v>
      </c>
      <c r="T83" t="n">
        <v>12</v>
      </c>
      <c r="U83" t="n">
        <v>12</v>
      </c>
      <c r="V83" t="n">
        <v>11.9415627135749</v>
      </c>
    </row>
    <row r="84">
      <c r="A84" s="10" t="s">
        <v>77</v>
      </c>
      <c r="B84" s="10" t="s">
        <v>29</v>
      </c>
      <c r="C84" s="10"/>
      <c r="D84" s="10" t="s">
        <v>31</v>
      </c>
      <c r="E84" s="11" t="n">
        <v>45992</v>
      </c>
      <c r="F84" t="n">
        <v>24304579</v>
      </c>
      <c r="H84" t="n">
        <v>2035293</v>
      </c>
      <c r="I84" t="n">
        <v>22269286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10.9415627135749</v>
      </c>
    </row>
    <row r="85">
      <c r="A85" s="10" t="s">
        <v>77</v>
      </c>
      <c r="B85" s="10" t="s">
        <v>29</v>
      </c>
      <c r="C85" s="10"/>
      <c r="D85" s="10" t="s">
        <v>31</v>
      </c>
      <c r="E85" s="11" t="n">
        <v>46023</v>
      </c>
      <c r="F85" t="n">
        <v>22269286</v>
      </c>
      <c r="H85" t="n">
        <v>2035293</v>
      </c>
      <c r="I85" t="n">
        <v>20233993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9.9415627135748998</v>
      </c>
    </row>
    <row r="86">
      <c r="A86" s="10" t="s">
        <v>77</v>
      </c>
      <c r="B86" s="10" t="s">
        <v>29</v>
      </c>
      <c r="C86" s="10"/>
      <c r="D86" s="10" t="s">
        <v>31</v>
      </c>
      <c r="E86" s="11" t="n">
        <v>46054</v>
      </c>
      <c r="F86" t="n">
        <v>20233993</v>
      </c>
      <c r="H86" t="n">
        <v>2035293</v>
      </c>
      <c r="I86" t="n">
        <v>18198700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8.9415627135748998</v>
      </c>
    </row>
    <row r="87">
      <c r="A87" s="10" t="s">
        <v>77</v>
      </c>
      <c r="B87" s="10" t="s">
        <v>29</v>
      </c>
      <c r="C87" s="10"/>
      <c r="D87" s="10" t="s">
        <v>31</v>
      </c>
      <c r="E87" s="11" t="n">
        <v>46082</v>
      </c>
      <c r="F87" t="n">
        <v>18198700</v>
      </c>
      <c r="H87" t="n">
        <v>2035293</v>
      </c>
      <c r="I87" t="n">
        <v>16163407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7.9415627135749007</v>
      </c>
    </row>
    <row r="88">
      <c r="A88" s="10" t="s">
        <v>77</v>
      </c>
      <c r="B88" s="10" t="s">
        <v>29</v>
      </c>
      <c r="C88" s="10"/>
      <c r="D88" s="10" t="s">
        <v>31</v>
      </c>
      <c r="E88" s="11" t="n">
        <v>46113</v>
      </c>
      <c r="F88" t="n">
        <v>16163407</v>
      </c>
      <c r="H88" t="n">
        <v>2035293</v>
      </c>
      <c r="I88" t="n">
        <v>14128114</v>
      </c>
      <c r="J88" s="10"/>
      <c r="K88" s="10"/>
      <c r="L88" s="10"/>
      <c r="P88" s="11"/>
      <c r="S88" t="n">
        <v>6</v>
      </c>
      <c r="T88" t="n">
        <v>12</v>
      </c>
      <c r="U88" t="n">
        <v>12</v>
      </c>
      <c r="V88" t="n">
        <v>6.9415627135749007</v>
      </c>
    </row>
    <row r="89">
      <c r="A89" s="10" t="s">
        <v>77</v>
      </c>
      <c r="B89" s="10" t="s">
        <v>29</v>
      </c>
      <c r="C89" s="10"/>
      <c r="D89" s="10" t="s">
        <v>31</v>
      </c>
      <c r="E89" s="11" t="n">
        <v>46143</v>
      </c>
      <c r="F89" t="n">
        <v>14128114</v>
      </c>
      <c r="H89" t="n">
        <v>2035293</v>
      </c>
      <c r="I89" t="n">
        <v>12092821</v>
      </c>
      <c r="J89" s="10"/>
      <c r="K89" s="10"/>
      <c r="L89" s="10"/>
      <c r="P89" s="11"/>
      <c r="S89" t="n">
        <v>6</v>
      </c>
      <c r="T89" t="n">
        <v>12</v>
      </c>
      <c r="U89" t="n">
        <v>12</v>
      </c>
      <c r="V89" t="n">
        <v>5.9415627135749007</v>
      </c>
    </row>
    <row r="90">
      <c r="A90" s="10" t="s">
        <v>77</v>
      </c>
      <c r="B90" s="10" t="s">
        <v>29</v>
      </c>
      <c r="C90" s="10"/>
      <c r="D90" s="10" t="s">
        <v>31</v>
      </c>
      <c r="E90" s="11" t="n">
        <v>46174</v>
      </c>
      <c r="F90" t="n">
        <v>12092821</v>
      </c>
      <c r="H90" t="n">
        <v>2035293</v>
      </c>
      <c r="I90" t="n">
        <v>10057528</v>
      </c>
      <c r="J90" s="10"/>
      <c r="K90" s="10"/>
      <c r="L90" s="10"/>
      <c r="P90" s="11"/>
      <c r="S90" t="n">
        <v>6</v>
      </c>
      <c r="T90" t="n">
        <v>12</v>
      </c>
      <c r="U90" t="n">
        <v>12</v>
      </c>
      <c r="V90" t="n">
        <v>4.9415627135749007</v>
      </c>
    </row>
    <row r="91">
      <c r="A91" s="10" t="s">
        <v>166</v>
      </c>
      <c r="B91" s="10" t="s">
        <v>29</v>
      </c>
      <c r="C91" s="10"/>
      <c r="D91" s="10" t="s">
        <v>31</v>
      </c>
      <c r="E91" s="11" t="n">
        <v>45748</v>
      </c>
      <c r="F91" t="n">
        <v>7265492</v>
      </c>
      <c r="H91" t="n">
        <v>329036</v>
      </c>
      <c r="I91" t="n">
        <v>6936456</v>
      </c>
      <c r="J91" s="10"/>
      <c r="K91" s="10"/>
      <c r="L91" s="10"/>
      <c r="P91" s="11"/>
      <c r="S91" t="n">
        <v>9</v>
      </c>
      <c r="T91" t="n">
        <v>15</v>
      </c>
      <c r="U91" t="n">
        <v>15</v>
      </c>
      <c r="V91" t="n">
        <v>21.081146135985119</v>
      </c>
    </row>
    <row r="92">
      <c r="A92" s="10" t="s">
        <v>166</v>
      </c>
      <c r="B92" s="10" t="s">
        <v>29</v>
      </c>
      <c r="C92" s="10"/>
      <c r="D92" s="10" t="s">
        <v>31</v>
      </c>
      <c r="E92" s="11" t="n">
        <v>45778</v>
      </c>
      <c r="F92" t="n">
        <v>6936456</v>
      </c>
      <c r="H92" t="n">
        <v>329036</v>
      </c>
      <c r="I92" t="n">
        <v>6607420</v>
      </c>
      <c r="J92" s="10"/>
      <c r="K92" s="10"/>
      <c r="L92" s="10"/>
      <c r="P92" s="11"/>
      <c r="S92" t="n">
        <v>9</v>
      </c>
      <c r="T92" t="n">
        <v>15</v>
      </c>
      <c r="U92" t="n">
        <v>15</v>
      </c>
      <c r="V92" t="n">
        <v>20.081146135985119</v>
      </c>
    </row>
    <row r="93">
      <c r="A93" s="10" t="s">
        <v>166</v>
      </c>
      <c r="B93" s="10" t="s">
        <v>29</v>
      </c>
      <c r="C93" s="10"/>
      <c r="D93" s="10" t="s">
        <v>31</v>
      </c>
      <c r="E93" s="11" t="n">
        <v>45809</v>
      </c>
      <c r="F93" t="n">
        <v>6607420</v>
      </c>
      <c r="H93" t="n">
        <v>329036</v>
      </c>
      <c r="I93" t="n">
        <v>6278384</v>
      </c>
      <c r="J93" s="10"/>
      <c r="K93" s="10"/>
      <c r="L93" s="10"/>
      <c r="P93" s="11"/>
      <c r="S93" t="n">
        <v>9</v>
      </c>
      <c r="T93" t="n">
        <v>15</v>
      </c>
      <c r="U93" t="n">
        <v>15</v>
      </c>
      <c r="V93" t="n">
        <v>19.081146135985119</v>
      </c>
    </row>
    <row r="94">
      <c r="A94" s="10" t="s">
        <v>166</v>
      </c>
      <c r="B94" s="10" t="s">
        <v>29</v>
      </c>
      <c r="C94" s="10"/>
      <c r="D94" s="10" t="s">
        <v>31</v>
      </c>
      <c r="E94" s="11" t="n">
        <v>45839</v>
      </c>
      <c r="F94" t="n">
        <v>6278384</v>
      </c>
      <c r="H94" t="n">
        <v>329036</v>
      </c>
      <c r="I94" t="n">
        <v>5949348</v>
      </c>
      <c r="J94" s="10"/>
      <c r="K94" s="10"/>
      <c r="L94" s="10"/>
      <c r="P94" s="11"/>
      <c r="S94" t="n">
        <v>9</v>
      </c>
      <c r="T94" t="n">
        <v>15</v>
      </c>
      <c r="U94" t="n">
        <v>15</v>
      </c>
      <c r="V94" t="n">
        <v>18.081146135985119</v>
      </c>
    </row>
    <row r="95">
      <c r="A95" s="10" t="s">
        <v>166</v>
      </c>
      <c r="B95" s="10" t="s">
        <v>29</v>
      </c>
      <c r="C95" s="10"/>
      <c r="D95" s="10" t="s">
        <v>31</v>
      </c>
      <c r="E95" s="11" t="n">
        <v>45870</v>
      </c>
      <c r="F95" t="n">
        <v>5949348</v>
      </c>
      <c r="H95" t="n">
        <v>329036</v>
      </c>
      <c r="I95" t="n">
        <v>5620312</v>
      </c>
      <c r="J95" s="10"/>
      <c r="K95" s="10"/>
      <c r="L95" s="10"/>
      <c r="P95" s="11"/>
      <c r="S95" t="n">
        <v>9</v>
      </c>
      <c r="T95" t="n">
        <v>15</v>
      </c>
      <c r="U95" t="n">
        <v>15</v>
      </c>
      <c r="V95" t="n">
        <v>17.081146135985119</v>
      </c>
    </row>
    <row r="96">
      <c r="A96" s="10" t="s">
        <v>166</v>
      </c>
      <c r="B96" s="10" t="s">
        <v>29</v>
      </c>
      <c r="C96" s="10"/>
      <c r="D96" s="10" t="s">
        <v>31</v>
      </c>
      <c r="E96" s="11" t="n">
        <v>45901</v>
      </c>
      <c r="F96" t="n">
        <v>5620312</v>
      </c>
      <c r="H96" t="n">
        <v>329036</v>
      </c>
      <c r="I96" t="n">
        <v>5291276</v>
      </c>
      <c r="J96" s="10"/>
      <c r="K96" s="10"/>
      <c r="L96" s="10"/>
      <c r="P96" s="11"/>
      <c r="S96" t="n">
        <v>9</v>
      </c>
      <c r="T96" t="n">
        <v>15</v>
      </c>
      <c r="U96" t="n">
        <v>15</v>
      </c>
      <c r="V96" t="n">
        <v>16.081146135985119</v>
      </c>
    </row>
    <row r="97">
      <c r="A97" s="10" t="s">
        <v>166</v>
      </c>
      <c r="B97" s="10" t="s">
        <v>29</v>
      </c>
      <c r="C97" s="10"/>
      <c r="D97" s="10" t="s">
        <v>31</v>
      </c>
      <c r="E97" s="11" t="n">
        <v>45931</v>
      </c>
      <c r="F97" t="n">
        <v>5291276</v>
      </c>
      <c r="H97" t="n">
        <v>329036</v>
      </c>
      <c r="I97" t="n">
        <v>4962240</v>
      </c>
      <c r="J97" s="10"/>
      <c r="K97" s="10"/>
      <c r="L97" s="10"/>
      <c r="P97" s="11"/>
      <c r="S97" t="n">
        <v>9</v>
      </c>
      <c r="T97" t="n">
        <v>15</v>
      </c>
      <c r="U97" t="n">
        <v>15</v>
      </c>
      <c r="V97" t="n">
        <v>15.08114613598512</v>
      </c>
    </row>
    <row r="98">
      <c r="A98" s="10" t="s">
        <v>166</v>
      </c>
      <c r="B98" s="10" t="s">
        <v>29</v>
      </c>
      <c r="C98" s="10"/>
      <c r="D98" s="10" t="s">
        <v>31</v>
      </c>
      <c r="E98" s="11" t="n">
        <v>45962</v>
      </c>
      <c r="F98" t="n">
        <v>4962240</v>
      </c>
      <c r="H98" t="n">
        <v>329036</v>
      </c>
      <c r="I98" t="n">
        <v>4633204</v>
      </c>
      <c r="J98" s="10"/>
      <c r="K98" s="10"/>
      <c r="L98" s="10"/>
      <c r="P98" s="11"/>
      <c r="S98" t="n">
        <v>9</v>
      </c>
      <c r="T98" t="n">
        <v>15</v>
      </c>
      <c r="U98" t="n">
        <v>15</v>
      </c>
      <c r="V98" t="n">
        <v>14.08114613598512</v>
      </c>
    </row>
    <row r="99">
      <c r="A99" s="10" t="s">
        <v>166</v>
      </c>
      <c r="B99" s="10" t="s">
        <v>29</v>
      </c>
      <c r="C99" s="10"/>
      <c r="D99" s="10" t="s">
        <v>31</v>
      </c>
      <c r="E99" s="11" t="n">
        <v>45992</v>
      </c>
      <c r="F99" t="n">
        <v>4633204</v>
      </c>
      <c r="H99" t="n">
        <v>329036</v>
      </c>
      <c r="I99" t="n">
        <v>4304168</v>
      </c>
      <c r="J99" s="10"/>
      <c r="K99" s="10"/>
      <c r="L99" s="10"/>
      <c r="P99" s="11"/>
      <c r="S99" t="n">
        <v>9</v>
      </c>
      <c r="T99" t="n">
        <v>15</v>
      </c>
      <c r="U99" t="n">
        <v>15</v>
      </c>
      <c r="V99" t="n">
        <v>13.08114613598512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8.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9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6.3632812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75</v>
      </c>
      <c r="B2" s="10" t="s">
        <v>40</v>
      </c>
      <c r="C2" s="10" t="s">
        <v>39</v>
      </c>
      <c r="D2" s="10" t="s">
        <v>31</v>
      </c>
      <c r="E2" s="11" t="n">
        <v>45748</v>
      </c>
      <c r="F2" t="n">
        <v>67753</v>
      </c>
      <c r="H2" t="n">
        <v>12004</v>
      </c>
      <c r="I2" t="n">
        <v>55749</v>
      </c>
      <c r="L2" s="10"/>
      <c r="S2" t="n">
        <v>6</v>
      </c>
      <c r="T2" t="n">
        <v>12</v>
      </c>
      <c r="U2" t="n">
        <v>12</v>
      </c>
      <c r="V2" t="n">
        <v>4.6442019326891035</v>
      </c>
    </row>
    <row r="3">
      <c r="A3" s="10" t="s">
        <v>75</v>
      </c>
      <c r="B3" s="10" t="s">
        <v>40</v>
      </c>
      <c r="C3" s="10" t="s">
        <v>39</v>
      </c>
      <c r="D3" s="10" t="s">
        <v>31</v>
      </c>
      <c r="E3" s="11" t="n">
        <v>45778</v>
      </c>
      <c r="F3" t="n">
        <v>55749</v>
      </c>
      <c r="H3" t="n">
        <v>12394</v>
      </c>
      <c r="I3" t="n">
        <v>43355</v>
      </c>
      <c r="L3" s="10"/>
      <c r="S3" t="n">
        <v>6</v>
      </c>
      <c r="T3" t="n">
        <v>12</v>
      </c>
      <c r="U3" t="n">
        <v>12</v>
      </c>
      <c r="V3" t="n">
        <v>3.4980635791512023</v>
      </c>
    </row>
    <row r="4">
      <c r="A4" s="10" t="s">
        <v>75</v>
      </c>
      <c r="B4" s="10" t="s">
        <v>40</v>
      </c>
      <c r="C4" s="10" t="s">
        <v>39</v>
      </c>
      <c r="D4" s="10" t="s">
        <v>31</v>
      </c>
      <c r="E4" s="11" t="n">
        <v>45809</v>
      </c>
      <c r="F4" t="n">
        <v>43355</v>
      </c>
      <c r="H4" t="n">
        <v>12457</v>
      </c>
      <c r="I4" t="n">
        <v>30898</v>
      </c>
      <c r="L4" s="10"/>
      <c r="S4" t="n">
        <v>6</v>
      </c>
      <c r="T4" t="n">
        <v>12</v>
      </c>
      <c r="U4" t="n">
        <v>12</v>
      </c>
      <c r="V4" t="n">
        <v>2.4803724813357952</v>
      </c>
    </row>
    <row r="5">
      <c r="A5" s="10" t="s">
        <v>75</v>
      </c>
      <c r="B5" s="10" t="s">
        <v>40</v>
      </c>
      <c r="C5" s="10" t="s">
        <v>39</v>
      </c>
      <c r="D5" s="10" t="s">
        <v>31</v>
      </c>
      <c r="E5" s="11" t="n">
        <v>45839</v>
      </c>
      <c r="F5" t="n">
        <v>30898</v>
      </c>
      <c r="H5" t="n">
        <v>12339</v>
      </c>
      <c r="I5" t="n">
        <v>18559</v>
      </c>
      <c r="L5" s="10"/>
      <c r="S5" t="n">
        <v>6</v>
      </c>
      <c r="T5" t="n">
        <v>12</v>
      </c>
      <c r="U5" t="n">
        <v>12</v>
      </c>
      <c r="V5" t="n">
        <v>1.5040927141583598</v>
      </c>
    </row>
    <row r="6">
      <c r="A6" s="10" t="s">
        <v>75</v>
      </c>
      <c r="B6" s="10" t="s">
        <v>40</v>
      </c>
      <c r="C6" s="10" t="s">
        <v>39</v>
      </c>
      <c r="D6" s="10" t="s">
        <v>31</v>
      </c>
      <c r="E6" s="11" t="n">
        <v>45870</v>
      </c>
      <c r="F6" t="n">
        <v>18559</v>
      </c>
      <c r="H6" t="n">
        <v>11974</v>
      </c>
      <c r="I6" t="n">
        <v>6585</v>
      </c>
      <c r="L6" s="10"/>
      <c r="S6" t="n">
        <v>6</v>
      </c>
      <c r="T6" t="n">
        <v>12</v>
      </c>
      <c r="U6" t="n">
        <v>12</v>
      </c>
      <c r="V6" t="n">
        <v>0.54994154000334061</v>
      </c>
    </row>
    <row r="7">
      <c r="A7" s="10" t="s">
        <v>75</v>
      </c>
      <c r="B7" s="10" t="s">
        <v>40</v>
      </c>
      <c r="C7" s="10" t="s">
        <v>39</v>
      </c>
      <c r="D7" s="10" t="s">
        <v>31</v>
      </c>
      <c r="E7" s="11" t="n">
        <v>45901</v>
      </c>
      <c r="F7" t="n">
        <v>6585</v>
      </c>
      <c r="H7" t="n">
        <v>12139</v>
      </c>
      <c r="I7" t="n">
        <v>151722</v>
      </c>
      <c r="L7" s="10" t="s">
        <v>4</v>
      </c>
      <c r="M7" t="n">
        <v>157276</v>
      </c>
      <c r="S7" t="n">
        <v>6</v>
      </c>
      <c r="T7" t="n">
        <v>12</v>
      </c>
      <c r="U7" t="n">
        <v>12</v>
      </c>
      <c r="V7" t="n">
        <v>12.4987231238158</v>
      </c>
    </row>
    <row r="8">
      <c r="A8" s="10" t="s">
        <v>75</v>
      </c>
      <c r="B8" s="10" t="s">
        <v>40</v>
      </c>
      <c r="C8" s="10" t="s">
        <v>39</v>
      </c>
      <c r="D8" s="10" t="s">
        <v>31</v>
      </c>
      <c r="E8" s="11" t="n">
        <v>45931</v>
      </c>
      <c r="F8" t="n">
        <v>151722</v>
      </c>
      <c r="H8" t="n">
        <v>12218</v>
      </c>
      <c r="I8" t="n">
        <v>139504</v>
      </c>
      <c r="L8" s="10"/>
      <c r="S8" t="n">
        <v>6</v>
      </c>
      <c r="T8" t="n">
        <v>12</v>
      </c>
      <c r="U8" t="n">
        <v>12</v>
      </c>
      <c r="V8" t="n">
        <v>11.417908004583401</v>
      </c>
    </row>
    <row r="9">
      <c r="A9" s="10" t="s">
        <v>75</v>
      </c>
      <c r="B9" s="10" t="s">
        <v>40</v>
      </c>
      <c r="C9" s="10" t="s">
        <v>39</v>
      </c>
      <c r="D9" s="10" t="s">
        <v>31</v>
      </c>
      <c r="E9" s="11" t="n">
        <v>45962</v>
      </c>
      <c r="F9" t="n">
        <v>139504</v>
      </c>
      <c r="H9" t="n">
        <v>12254</v>
      </c>
      <c r="I9" t="n">
        <v>127250</v>
      </c>
      <c r="L9" s="10"/>
      <c r="S9" t="n">
        <v>6</v>
      </c>
      <c r="T9" t="n">
        <v>12</v>
      </c>
      <c r="U9" t="n">
        <v>12</v>
      </c>
      <c r="V9" t="n">
        <v>10.384364289211685</v>
      </c>
    </row>
    <row r="10">
      <c r="A10" s="10" t="s">
        <v>75</v>
      </c>
      <c r="B10" s="10" t="s">
        <v>40</v>
      </c>
      <c r="C10" s="10" t="s">
        <v>39</v>
      </c>
      <c r="D10" s="10" t="s">
        <v>31</v>
      </c>
      <c r="E10" s="11" t="n">
        <v>45992</v>
      </c>
      <c r="F10" t="n">
        <v>127250</v>
      </c>
      <c r="H10" t="n">
        <v>12230</v>
      </c>
      <c r="I10" t="n">
        <v>115020</v>
      </c>
      <c r="L10" s="10"/>
      <c r="S10" t="n">
        <v>6</v>
      </c>
      <c r="T10" t="n">
        <v>12</v>
      </c>
      <c r="U10" t="n">
        <v>12</v>
      </c>
      <c r="V10" t="n">
        <v>9.4047424366312349</v>
      </c>
    </row>
    <row r="11">
      <c r="A11" s="10" t="s">
        <v>75</v>
      </c>
      <c r="B11" s="10" t="s">
        <v>40</v>
      </c>
      <c r="C11" s="10" t="s">
        <v>39</v>
      </c>
      <c r="D11" s="10" t="s">
        <v>31</v>
      </c>
      <c r="E11" s="11" t="n">
        <v>46023</v>
      </c>
      <c r="F11" t="n">
        <v>115020</v>
      </c>
      <c r="H11" t="n">
        <v>12192</v>
      </c>
      <c r="I11" t="n">
        <v>102828</v>
      </c>
      <c r="L11" s="10"/>
      <c r="S11" t="n">
        <v>6</v>
      </c>
      <c r="T11" t="n">
        <v>12</v>
      </c>
      <c r="U11" t="n">
        <v>12</v>
      </c>
      <c r="V11" t="n">
        <v>8.434055118110237</v>
      </c>
    </row>
    <row r="12">
      <c r="A12" s="10" t="s">
        <v>75</v>
      </c>
      <c r="B12" s="10" t="s">
        <v>40</v>
      </c>
      <c r="C12" s="10" t="s">
        <v>39</v>
      </c>
      <c r="D12" s="10" t="s">
        <v>31</v>
      </c>
      <c r="E12" s="11" t="n">
        <v>46054</v>
      </c>
      <c r="F12" t="n">
        <v>102828</v>
      </c>
      <c r="H12" t="n">
        <v>12168</v>
      </c>
      <c r="I12" t="n">
        <v>90660</v>
      </c>
      <c r="L12" s="10"/>
      <c r="S12" t="n">
        <v>6</v>
      </c>
      <c r="T12" t="n">
        <v>12</v>
      </c>
      <c r="U12" t="n">
        <v>12</v>
      </c>
      <c r="V12" t="n">
        <v>7.4506903353057199</v>
      </c>
    </row>
    <row r="13">
      <c r="A13" s="10" t="s">
        <v>75</v>
      </c>
      <c r="B13" s="10" t="s">
        <v>40</v>
      </c>
      <c r="C13" s="10" t="s">
        <v>39</v>
      </c>
      <c r="D13" s="10" t="s">
        <v>31</v>
      </c>
      <c r="E13" s="11" t="n">
        <v>46082</v>
      </c>
      <c r="F13" t="n">
        <v>90660</v>
      </c>
      <c r="H13" t="n">
        <v>12200</v>
      </c>
      <c r="I13" t="n">
        <v>78460</v>
      </c>
      <c r="L13" s="10"/>
      <c r="S13" t="n">
        <v>6</v>
      </c>
      <c r="T13" t="n">
        <v>12</v>
      </c>
      <c r="U13" t="n">
        <v>12</v>
      </c>
      <c r="V13" t="n">
        <v>6.4311475409836065</v>
      </c>
    </row>
    <row r="14">
      <c r="A14" s="10" t="s">
        <v>75</v>
      </c>
      <c r="B14" s="10" t="s">
        <v>40</v>
      </c>
      <c r="C14" s="10" t="s">
        <v>39</v>
      </c>
      <c r="D14" s="10" t="s">
        <v>31</v>
      </c>
      <c r="E14" s="11" t="n">
        <v>46113</v>
      </c>
      <c r="F14" t="n">
        <v>78460</v>
      </c>
      <c r="H14" t="n">
        <v>12210</v>
      </c>
      <c r="I14" t="n">
        <v>146310</v>
      </c>
      <c r="L14" s="10" t="s">
        <v>4</v>
      </c>
      <c r="M14" t="n">
        <v>80060</v>
      </c>
      <c r="S14" t="n">
        <v>6</v>
      </c>
      <c r="T14" t="n">
        <v>12</v>
      </c>
      <c r="U14" t="n">
        <v>12</v>
      </c>
      <c r="V14" t="n">
        <v>11.982800982800983</v>
      </c>
    </row>
    <row r="15">
      <c r="A15" s="10" t="s">
        <v>75</v>
      </c>
      <c r="B15" s="10" t="s">
        <v>40</v>
      </c>
      <c r="C15" s="10" t="s">
        <v>39</v>
      </c>
      <c r="D15" s="10" t="s">
        <v>31</v>
      </c>
      <c r="E15" s="11" t="n">
        <v>46143</v>
      </c>
      <c r="F15" t="n">
        <v>146310</v>
      </c>
      <c r="H15" t="n">
        <v>12209</v>
      </c>
      <c r="I15" t="n">
        <v>134101</v>
      </c>
      <c r="L15" s="10"/>
      <c r="S15" t="n">
        <v>6</v>
      </c>
      <c r="T15" t="n">
        <v>12</v>
      </c>
      <c r="U15" t="n">
        <v>12</v>
      </c>
      <c r="V15" t="n">
        <v>10.983782455565567</v>
      </c>
    </row>
    <row r="16">
      <c r="A16" s="10" t="s">
        <v>75</v>
      </c>
      <c r="B16" s="10" t="s">
        <v>40</v>
      </c>
      <c r="C16" s="10" t="s">
        <v>39</v>
      </c>
      <c r="D16" s="10" t="s">
        <v>31</v>
      </c>
      <c r="E16" s="11" t="n">
        <v>46174</v>
      </c>
      <c r="F16" t="n">
        <v>134101</v>
      </c>
      <c r="H16" t="n">
        <v>12202</v>
      </c>
      <c r="I16" t="n">
        <v>121899</v>
      </c>
      <c r="L16" s="10"/>
      <c r="S16" t="n">
        <v>6</v>
      </c>
      <c r="T16" t="n">
        <v>12</v>
      </c>
      <c r="U16" t="n">
        <v>12</v>
      </c>
      <c r="V16" t="n">
        <v>9.9900835928536313</v>
      </c>
    </row>
    <row r="17">
      <c r="A17" s="10" t="s">
        <v>75</v>
      </c>
      <c r="B17" s="10" t="s">
        <v>40</v>
      </c>
      <c r="C17" s="10" t="s">
        <v>39</v>
      </c>
      <c r="D17" s="10" t="s">
        <v>31</v>
      </c>
      <c r="E17" s="11" t="n">
        <v>46204</v>
      </c>
      <c r="F17" t="n">
        <v>121899</v>
      </c>
      <c r="H17" t="n">
        <v>12197</v>
      </c>
      <c r="I17" t="n">
        <v>109702</v>
      </c>
      <c r="L17" s="10"/>
      <c r="S17" t="n">
        <v>6</v>
      </c>
      <c r="T17" t="n">
        <v>12</v>
      </c>
      <c r="U17" t="n">
        <v>12</v>
      </c>
      <c r="V17" t="n">
        <v>8.9941788964499469</v>
      </c>
    </row>
    <row r="18">
      <c r="A18" s="10" t="s">
        <v>75</v>
      </c>
      <c r="B18" s="10" t="s">
        <v>40</v>
      </c>
      <c r="C18" s="10" t="s">
        <v>39</v>
      </c>
      <c r="D18" s="10" t="s">
        <v>31</v>
      </c>
      <c r="E18" s="11" t="n">
        <v>46235</v>
      </c>
      <c r="F18" t="n">
        <v>109702</v>
      </c>
      <c r="H18" t="n">
        <v>12198</v>
      </c>
      <c r="I18" t="n">
        <v>97504</v>
      </c>
      <c r="L18" s="10"/>
      <c r="S18" t="n">
        <v>6</v>
      </c>
      <c r="T18" t="n">
        <v>12</v>
      </c>
      <c r="U18" t="n">
        <v>12</v>
      </c>
      <c r="V18" t="n">
        <v>7.9934415477947205</v>
      </c>
    </row>
    <row r="19">
      <c r="A19" s="10" t="s">
        <v>75</v>
      </c>
      <c r="B19" s="10" t="s">
        <v>40</v>
      </c>
      <c r="C19" s="10" t="s">
        <v>39</v>
      </c>
      <c r="D19" s="10" t="s">
        <v>31</v>
      </c>
      <c r="E19" s="11" t="n">
        <v>46266</v>
      </c>
      <c r="F19" t="n">
        <v>97504</v>
      </c>
      <c r="H19" t="n">
        <v>12203</v>
      </c>
      <c r="I19" t="n">
        <v>85301</v>
      </c>
      <c r="L19" s="10"/>
      <c r="S19" t="n">
        <v>6</v>
      </c>
      <c r="T19" t="n">
        <v>12</v>
      </c>
      <c r="U19" t="n">
        <v>12</v>
      </c>
      <c r="V19" t="n">
        <v>6.9901663525362618</v>
      </c>
    </row>
    <row r="20">
      <c r="A20" s="10" t="s">
        <v>76</v>
      </c>
      <c r="B20" s="10" t="s">
        <v>40</v>
      </c>
      <c r="C20" s="10" t="s">
        <v>39</v>
      </c>
      <c r="D20" s="10" t="s">
        <v>31</v>
      </c>
      <c r="E20" s="11" t="n">
        <v>45748</v>
      </c>
      <c r="H20" t="n">
        <v>3551</v>
      </c>
      <c r="I20" t="n">
        <v>0</v>
      </c>
      <c r="L20" s="10"/>
      <c r="V20" t="n">
        <v>0</v>
      </c>
    </row>
    <row r="21">
      <c r="A21" s="10" t="s">
        <v>76</v>
      </c>
      <c r="B21" s="10" t="s">
        <v>40</v>
      </c>
      <c r="C21" s="10" t="s">
        <v>39</v>
      </c>
      <c r="D21" s="10" t="s">
        <v>31</v>
      </c>
      <c r="E21" s="11" t="n">
        <v>45778</v>
      </c>
      <c r="H21" t="n">
        <v>3551</v>
      </c>
      <c r="I21" t="n">
        <v>0</v>
      </c>
      <c r="L21" s="10"/>
      <c r="V21" t="n">
        <v>0</v>
      </c>
    </row>
    <row r="22">
      <c r="A22" s="10" t="s">
        <v>76</v>
      </c>
      <c r="B22" s="10" t="s">
        <v>40</v>
      </c>
      <c r="C22" s="10" t="s">
        <v>39</v>
      </c>
      <c r="D22" s="10" t="s">
        <v>31</v>
      </c>
      <c r="E22" s="11" t="n">
        <v>45809</v>
      </c>
      <c r="H22" t="n">
        <v>3551</v>
      </c>
      <c r="I22" t="n">
        <v>0</v>
      </c>
      <c r="L22" s="10"/>
      <c r="V22" t="n">
        <v>0</v>
      </c>
    </row>
    <row r="23">
      <c r="A23" s="10" t="s">
        <v>76</v>
      </c>
      <c r="B23" s="10" t="s">
        <v>40</v>
      </c>
      <c r="C23" s="10" t="s">
        <v>39</v>
      </c>
      <c r="D23" s="10" t="s">
        <v>31</v>
      </c>
      <c r="E23" s="11" t="n">
        <v>45839</v>
      </c>
      <c r="H23" t="n">
        <v>3551</v>
      </c>
      <c r="I23" t="n">
        <v>0</v>
      </c>
      <c r="L23" s="10"/>
      <c r="V23" t="n">
        <v>0</v>
      </c>
    </row>
    <row r="24">
      <c r="A24" s="10" t="s">
        <v>76</v>
      </c>
      <c r="B24" s="10" t="s">
        <v>40</v>
      </c>
      <c r="C24" s="10" t="s">
        <v>39</v>
      </c>
      <c r="D24" s="10" t="s">
        <v>31</v>
      </c>
      <c r="E24" s="11" t="n">
        <v>45870</v>
      </c>
      <c r="H24" t="n">
        <v>3551</v>
      </c>
      <c r="I24" t="n">
        <v>0</v>
      </c>
      <c r="L24" s="10"/>
      <c r="V24" t="n">
        <v>0</v>
      </c>
    </row>
    <row r="25">
      <c r="A25" s="10" t="s">
        <v>76</v>
      </c>
      <c r="B25" s="10" t="s">
        <v>40</v>
      </c>
      <c r="C25" s="10" t="s">
        <v>39</v>
      </c>
      <c r="D25" s="10" t="s">
        <v>31</v>
      </c>
      <c r="E25" s="11" t="n">
        <v>45901</v>
      </c>
      <c r="H25" t="n">
        <v>3551</v>
      </c>
      <c r="I25" t="n">
        <v>0</v>
      </c>
      <c r="L25" s="10"/>
      <c r="V25" t="n">
        <v>0</v>
      </c>
    </row>
    <row r="26">
      <c r="A26" s="10" t="s">
        <v>76</v>
      </c>
      <c r="B26" s="10" t="s">
        <v>40</v>
      </c>
      <c r="C26" s="10" t="s">
        <v>39</v>
      </c>
      <c r="D26" s="10" t="s">
        <v>31</v>
      </c>
      <c r="E26" s="11" t="n">
        <v>45931</v>
      </c>
      <c r="H26" t="n">
        <v>3551</v>
      </c>
      <c r="I26" t="n">
        <v>0</v>
      </c>
      <c r="L26" s="10"/>
      <c r="V26" t="n">
        <v>0</v>
      </c>
    </row>
    <row r="27">
      <c r="A27" s="10" t="s">
        <v>76</v>
      </c>
      <c r="B27" s="10" t="s">
        <v>40</v>
      </c>
      <c r="C27" s="10" t="s">
        <v>39</v>
      </c>
      <c r="D27" s="10" t="s">
        <v>31</v>
      </c>
      <c r="E27" s="11" t="n">
        <v>45962</v>
      </c>
      <c r="H27" t="n">
        <v>3551</v>
      </c>
      <c r="I27" t="n">
        <v>0</v>
      </c>
      <c r="L27" s="10"/>
      <c r="V27" t="n">
        <v>0</v>
      </c>
    </row>
    <row r="28">
      <c r="A28" s="10" t="s">
        <v>76</v>
      </c>
      <c r="B28" s="10" t="s">
        <v>40</v>
      </c>
      <c r="C28" s="10" t="s">
        <v>39</v>
      </c>
      <c r="D28" s="10" t="s">
        <v>31</v>
      </c>
      <c r="E28" s="11" t="n">
        <v>45992</v>
      </c>
      <c r="H28" t="n">
        <v>3551</v>
      </c>
      <c r="I28" t="n">
        <v>0</v>
      </c>
      <c r="L28" s="10"/>
      <c r="V28" t="n">
        <v>0</v>
      </c>
    </row>
    <row r="29">
      <c r="A29" s="10" t="s">
        <v>76</v>
      </c>
      <c r="B29" s="10" t="s">
        <v>40</v>
      </c>
      <c r="C29" s="10" t="s">
        <v>39</v>
      </c>
      <c r="D29" s="10" t="s">
        <v>31</v>
      </c>
      <c r="E29" s="11" t="n">
        <v>46023</v>
      </c>
      <c r="H29" t="n">
        <v>1773</v>
      </c>
      <c r="I29" t="n">
        <v>0</v>
      </c>
      <c r="L29" s="10"/>
      <c r="V29" t="n">
        <v>0</v>
      </c>
    </row>
    <row r="30">
      <c r="A30" s="10" t="s">
        <v>76</v>
      </c>
      <c r="B30" s="10" t="s">
        <v>40</v>
      </c>
      <c r="C30" s="10" t="s">
        <v>39</v>
      </c>
      <c r="D30" s="10" t="s">
        <v>31</v>
      </c>
      <c r="E30" s="11" t="n">
        <v>46054</v>
      </c>
      <c r="H30" t="n">
        <v>1773</v>
      </c>
      <c r="I30" t="n">
        <v>0</v>
      </c>
      <c r="L30" s="10"/>
      <c r="V30" t="n">
        <v>0</v>
      </c>
    </row>
    <row r="31">
      <c r="A31" s="10" t="s">
        <v>76</v>
      </c>
      <c r="B31" s="10" t="s">
        <v>40</v>
      </c>
      <c r="C31" s="10" t="s">
        <v>39</v>
      </c>
      <c r="D31" s="10" t="s">
        <v>31</v>
      </c>
      <c r="E31" s="11" t="n">
        <v>46082</v>
      </c>
      <c r="H31" t="n">
        <v>1773</v>
      </c>
      <c r="I31" t="n">
        <v>0</v>
      </c>
      <c r="L31" s="10"/>
      <c r="V31" t="n">
        <v>0</v>
      </c>
    </row>
    <row r="32">
      <c r="A32" s="10" t="s">
        <v>76</v>
      </c>
      <c r="B32" s="10" t="s">
        <v>40</v>
      </c>
      <c r="C32" s="10" t="s">
        <v>39</v>
      </c>
      <c r="D32" s="10" t="s">
        <v>31</v>
      </c>
      <c r="E32" s="11" t="n">
        <v>46113</v>
      </c>
      <c r="H32" t="n">
        <v>1773</v>
      </c>
      <c r="I32" t="n">
        <v>0</v>
      </c>
      <c r="L32" s="10"/>
      <c r="V32" t="n">
        <v>0</v>
      </c>
    </row>
    <row r="33">
      <c r="A33" s="10" t="s">
        <v>76</v>
      </c>
      <c r="B33" s="10" t="s">
        <v>40</v>
      </c>
      <c r="C33" s="10" t="s">
        <v>39</v>
      </c>
      <c r="D33" s="10" t="s">
        <v>31</v>
      </c>
      <c r="E33" s="11" t="n">
        <v>46143</v>
      </c>
      <c r="H33" t="n">
        <v>1773</v>
      </c>
      <c r="I33" t="n">
        <v>0</v>
      </c>
      <c r="L33" s="10"/>
      <c r="V33" t="n">
        <v>0</v>
      </c>
    </row>
    <row r="34">
      <c r="A34" s="10" t="s">
        <v>76</v>
      </c>
      <c r="B34" s="10" t="s">
        <v>40</v>
      </c>
      <c r="C34" s="10" t="s">
        <v>39</v>
      </c>
      <c r="D34" s="10" t="s">
        <v>31</v>
      </c>
      <c r="E34" s="11" t="n">
        <v>46174</v>
      </c>
      <c r="H34" t="n">
        <v>1773</v>
      </c>
      <c r="I34" t="n">
        <v>0</v>
      </c>
      <c r="L34" s="10"/>
      <c r="V34" t="n">
        <v>0</v>
      </c>
    </row>
    <row r="35">
      <c r="A35" s="10" t="s">
        <v>76</v>
      </c>
      <c r="B35" s="10" t="s">
        <v>40</v>
      </c>
      <c r="C35" s="10" t="s">
        <v>39</v>
      </c>
      <c r="D35" s="10" t="s">
        <v>31</v>
      </c>
      <c r="E35" s="11" t="n">
        <v>46204</v>
      </c>
      <c r="H35" t="n">
        <v>1773</v>
      </c>
      <c r="I35" t="n">
        <v>0</v>
      </c>
      <c r="L35" s="10"/>
      <c r="V35" t="n">
        <v>0</v>
      </c>
    </row>
    <row r="36">
      <c r="A36" s="10" t="s">
        <v>76</v>
      </c>
      <c r="B36" s="10" t="s">
        <v>40</v>
      </c>
      <c r="C36" s="10" t="s">
        <v>39</v>
      </c>
      <c r="D36" s="10" t="s">
        <v>31</v>
      </c>
      <c r="E36" s="11" t="n">
        <v>46235</v>
      </c>
      <c r="H36" t="n">
        <v>1773</v>
      </c>
      <c r="I36" t="n">
        <v>0</v>
      </c>
      <c r="L36" s="10"/>
      <c r="V36" t="n">
        <v>0</v>
      </c>
    </row>
    <row r="37">
      <c r="A37" s="10" t="s">
        <v>76</v>
      </c>
      <c r="B37" s="10" t="s">
        <v>40</v>
      </c>
      <c r="C37" s="10" t="s">
        <v>39</v>
      </c>
      <c r="D37" s="10" t="s">
        <v>31</v>
      </c>
      <c r="E37" s="11" t="n">
        <v>46266</v>
      </c>
      <c r="H37" t="n">
        <v>1773</v>
      </c>
      <c r="I37" t="n">
        <v>0</v>
      </c>
      <c r="L37" s="10"/>
      <c r="V37" t="n">
        <v>0</v>
      </c>
    </row>
    <row r="38">
      <c r="A38" s="10" t="s">
        <v>76</v>
      </c>
      <c r="B38" s="10" t="s">
        <v>40</v>
      </c>
      <c r="C38" s="10" t="s">
        <v>39</v>
      </c>
      <c r="D38" s="10" t="s">
        <v>31</v>
      </c>
      <c r="E38" s="11" t="n">
        <v>46296</v>
      </c>
      <c r="H38" t="n">
        <v>1773</v>
      </c>
      <c r="I38" t="n">
        <v>0</v>
      </c>
      <c r="L38" s="10"/>
      <c r="V38" t="n">
        <v>0</v>
      </c>
    </row>
    <row r="39">
      <c r="A39" s="10" t="s">
        <v>76</v>
      </c>
      <c r="B39" s="10" t="s">
        <v>40</v>
      </c>
      <c r="C39" s="10" t="s">
        <v>39</v>
      </c>
      <c r="D39" s="10" t="s">
        <v>31</v>
      </c>
      <c r="E39" s="11" t="n">
        <v>46327</v>
      </c>
      <c r="H39" t="n">
        <v>1773</v>
      </c>
      <c r="I39" t="n">
        <v>0</v>
      </c>
      <c r="L39" s="10"/>
      <c r="V39" t="n">
        <v>0</v>
      </c>
    </row>
    <row r="40">
      <c r="A40" s="10" t="s">
        <v>76</v>
      </c>
      <c r="B40" s="10" t="s">
        <v>40</v>
      </c>
      <c r="C40" s="10" t="s">
        <v>39</v>
      </c>
      <c r="D40" s="10" t="s">
        <v>31</v>
      </c>
      <c r="E40" s="11" t="n">
        <v>46357</v>
      </c>
      <c r="H40" t="n">
        <v>1773</v>
      </c>
      <c r="I40" t="n">
        <v>0</v>
      </c>
      <c r="L40" s="10"/>
      <c r="V40" t="n">
        <v>0</v>
      </c>
    </row>
    <row r="41">
      <c r="A41" s="10" t="s">
        <v>166</v>
      </c>
      <c r="B41" s="10" t="s">
        <v>40</v>
      </c>
      <c r="C41" s="10" t="s">
        <v>39</v>
      </c>
      <c r="D41" s="10" t="s">
        <v>31</v>
      </c>
      <c r="E41" s="11" t="n">
        <v>45658</v>
      </c>
      <c r="H41" t="n">
        <v>7294</v>
      </c>
      <c r="I41" t="n">
        <v>0</v>
      </c>
      <c r="L41" s="10"/>
      <c r="V41" t="n">
        <v>0</v>
      </c>
    </row>
    <row r="42">
      <c r="A42" s="10" t="s">
        <v>166</v>
      </c>
      <c r="B42" s="10" t="s">
        <v>40</v>
      </c>
      <c r="C42" s="10" t="s">
        <v>39</v>
      </c>
      <c r="D42" s="10" t="s">
        <v>31</v>
      </c>
      <c r="E42" s="11" t="n">
        <v>45689</v>
      </c>
      <c r="H42" t="n">
        <v>7294</v>
      </c>
      <c r="I42" t="n">
        <v>0</v>
      </c>
      <c r="L42" s="10"/>
      <c r="V42" t="n">
        <v>0</v>
      </c>
    </row>
    <row r="43">
      <c r="A43" s="10" t="s">
        <v>166</v>
      </c>
      <c r="B43" s="10" t="s">
        <v>40</v>
      </c>
      <c r="C43" s="10" t="s">
        <v>39</v>
      </c>
      <c r="D43" s="10" t="s">
        <v>31</v>
      </c>
      <c r="E43" s="11" t="n">
        <v>45717</v>
      </c>
      <c r="H43" t="n">
        <v>7294</v>
      </c>
      <c r="I43" t="n">
        <v>0</v>
      </c>
      <c r="L43" s="10"/>
      <c r="V43" t="n">
        <v>0</v>
      </c>
    </row>
    <row r="44">
      <c r="A44" s="10" t="s">
        <v>166</v>
      </c>
      <c r="B44" s="10" t="s">
        <v>40</v>
      </c>
      <c r="C44" s="10" t="s">
        <v>39</v>
      </c>
      <c r="D44" s="10" t="s">
        <v>31</v>
      </c>
      <c r="E44" s="11" t="n">
        <v>45748</v>
      </c>
      <c r="F44" t="n">
        <v>4500</v>
      </c>
      <c r="H44" t="n">
        <v>7294</v>
      </c>
      <c r="I44" t="n">
        <v>0</v>
      </c>
      <c r="L44" s="10"/>
      <c r="S44" t="n">
        <v>9</v>
      </c>
      <c r="T44" t="n">
        <v>15</v>
      </c>
      <c r="U44" t="n">
        <v>15</v>
      </c>
      <c r="V44" t="n">
        <v>0</v>
      </c>
    </row>
    <row r="45">
      <c r="A45" s="10" t="s">
        <v>166</v>
      </c>
      <c r="B45" s="10" t="s">
        <v>40</v>
      </c>
      <c r="C45" s="10" t="s">
        <v>39</v>
      </c>
      <c r="D45" s="10" t="s">
        <v>31</v>
      </c>
      <c r="E45" s="11" t="n">
        <v>45778</v>
      </c>
      <c r="F45" t="n">
        <v>0</v>
      </c>
      <c r="H45" t="n">
        <v>7294</v>
      </c>
      <c r="I45" t="n">
        <v>0</v>
      </c>
      <c r="L45" s="10"/>
      <c r="S45" t="n">
        <v>9</v>
      </c>
      <c r="T45" t="n">
        <v>15</v>
      </c>
      <c r="U45" t="n">
        <v>15</v>
      </c>
      <c r="V45" t="n">
        <v>0</v>
      </c>
    </row>
    <row r="46">
      <c r="A46" s="10" t="s">
        <v>166</v>
      </c>
      <c r="B46" s="10" t="s">
        <v>40</v>
      </c>
      <c r="C46" s="10" t="s">
        <v>39</v>
      </c>
      <c r="D46" s="10" t="s">
        <v>31</v>
      </c>
      <c r="E46" s="11" t="n">
        <v>45809</v>
      </c>
      <c r="F46" t="n">
        <v>0</v>
      </c>
      <c r="H46" t="n">
        <v>7294</v>
      </c>
      <c r="I46" t="n">
        <v>0</v>
      </c>
      <c r="L46" s="10"/>
      <c r="S46" t="n">
        <v>9</v>
      </c>
      <c r="T46" t="n">
        <v>15</v>
      </c>
      <c r="U46" t="n">
        <v>15</v>
      </c>
      <c r="V46" t="n">
        <v>0</v>
      </c>
    </row>
    <row r="47">
      <c r="A47" s="10" t="s">
        <v>166</v>
      </c>
      <c r="B47" s="10" t="s">
        <v>40</v>
      </c>
      <c r="C47" s="10" t="s">
        <v>39</v>
      </c>
      <c r="D47" s="10" t="s">
        <v>31</v>
      </c>
      <c r="E47" s="11" t="n">
        <v>45839</v>
      </c>
      <c r="F47" t="n">
        <v>0</v>
      </c>
      <c r="H47" t="n">
        <v>7294</v>
      </c>
      <c r="I47" t="n">
        <v>0</v>
      </c>
      <c r="L47" s="10"/>
      <c r="S47" t="n">
        <v>9</v>
      </c>
      <c r="T47" t="n">
        <v>15</v>
      </c>
      <c r="U47" t="n">
        <v>15</v>
      </c>
      <c r="V47" t="n">
        <v>0</v>
      </c>
    </row>
    <row r="48">
      <c r="A48" s="10" t="s">
        <v>166</v>
      </c>
      <c r="B48" s="10" t="s">
        <v>40</v>
      </c>
      <c r="C48" s="10" t="s">
        <v>39</v>
      </c>
      <c r="D48" s="10" t="s">
        <v>31</v>
      </c>
      <c r="E48" s="11" t="n">
        <v>45870</v>
      </c>
      <c r="F48" t="n">
        <v>0</v>
      </c>
      <c r="H48" t="n">
        <v>7294</v>
      </c>
      <c r="I48" t="n">
        <v>0</v>
      </c>
      <c r="L48" s="10"/>
      <c r="S48" t="n">
        <v>9</v>
      </c>
      <c r="T48" t="n">
        <v>15</v>
      </c>
      <c r="U48" t="n">
        <v>15</v>
      </c>
      <c r="V48" t="n">
        <v>0</v>
      </c>
    </row>
    <row r="49">
      <c r="A49" s="10" t="s">
        <v>166</v>
      </c>
      <c r="B49" s="10" t="s">
        <v>40</v>
      </c>
      <c r="C49" s="10" t="s">
        <v>39</v>
      </c>
      <c r="D49" s="10" t="s">
        <v>31</v>
      </c>
      <c r="E49" s="11" t="n">
        <v>45901</v>
      </c>
      <c r="F49" t="n">
        <v>0</v>
      </c>
      <c r="H49" t="n">
        <v>7294</v>
      </c>
      <c r="I49" t="n">
        <v>0</v>
      </c>
      <c r="L49" s="10"/>
      <c r="S49" t="n">
        <v>9</v>
      </c>
      <c r="T49" t="n">
        <v>15</v>
      </c>
      <c r="U49" t="n">
        <v>15</v>
      </c>
      <c r="V49" t="n">
        <v>0</v>
      </c>
    </row>
    <row r="50">
      <c r="A50" s="10" t="s">
        <v>166</v>
      </c>
      <c r="B50" s="10" t="s">
        <v>40</v>
      </c>
      <c r="C50" s="10" t="s">
        <v>39</v>
      </c>
      <c r="D50" s="10" t="s">
        <v>31</v>
      </c>
      <c r="E50" s="11" t="n">
        <v>45931</v>
      </c>
      <c r="F50" t="n">
        <v>0</v>
      </c>
      <c r="H50" t="n">
        <v>7294</v>
      </c>
      <c r="I50" t="n">
        <v>0</v>
      </c>
      <c r="L50" s="10"/>
      <c r="S50" t="n">
        <v>9</v>
      </c>
      <c r="T50" t="n">
        <v>15</v>
      </c>
      <c r="U50" t="n">
        <v>15</v>
      </c>
      <c r="V50" t="n">
        <v>0</v>
      </c>
    </row>
    <row r="51">
      <c r="A51" s="10" t="s">
        <v>166</v>
      </c>
      <c r="B51" s="10" t="s">
        <v>40</v>
      </c>
      <c r="C51" s="10" t="s">
        <v>39</v>
      </c>
      <c r="D51" s="10" t="s">
        <v>31</v>
      </c>
      <c r="E51" s="11" t="n">
        <v>45962</v>
      </c>
      <c r="F51" t="n">
        <v>0</v>
      </c>
      <c r="H51" t="n">
        <v>7294</v>
      </c>
      <c r="I51" t="n">
        <v>0</v>
      </c>
      <c r="L51" s="10"/>
      <c r="S51" t="n">
        <v>9</v>
      </c>
      <c r="T51" t="n">
        <v>15</v>
      </c>
      <c r="U51" t="n">
        <v>15</v>
      </c>
      <c r="V51" t="n">
        <v>0</v>
      </c>
    </row>
    <row r="52">
      <c r="A52" s="10" t="s">
        <v>166</v>
      </c>
      <c r="B52" s="10" t="s">
        <v>40</v>
      </c>
      <c r="C52" s="10" t="s">
        <v>39</v>
      </c>
      <c r="D52" s="10" t="s">
        <v>31</v>
      </c>
      <c r="E52" s="11" t="n">
        <v>45992</v>
      </c>
      <c r="F52" t="n">
        <v>0</v>
      </c>
      <c r="H52" t="n">
        <v>7294</v>
      </c>
      <c r="I52" t="n">
        <v>0</v>
      </c>
      <c r="L52" s="10"/>
      <c r="S52" t="n">
        <v>9</v>
      </c>
      <c r="T52" t="n">
        <v>15</v>
      </c>
      <c r="U52" t="n">
        <v>15</v>
      </c>
      <c r="V5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8.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41</v>
      </c>
      <c r="C2" s="10" t="s">
        <v>39</v>
      </c>
      <c r="D2" s="10" t="s">
        <v>31</v>
      </c>
      <c r="E2" s="11" t="n">
        <v>45839</v>
      </c>
      <c r="F2" t="n">
        <v>72151</v>
      </c>
      <c r="H2" t="n">
        <v>7774</v>
      </c>
      <c r="I2" t="n">
        <v>64377</v>
      </c>
      <c r="J2" s="10"/>
      <c r="K2" s="10"/>
      <c r="L2" s="10"/>
      <c r="N2" s="11"/>
      <c r="P2" s="11"/>
      <c r="S2" t="n">
        <v>9</v>
      </c>
      <c r="T2" t="n">
        <v>14</v>
      </c>
      <c r="U2" t="n">
        <v>13</v>
      </c>
      <c r="V2" t="n">
        <v>8.281065088757396</v>
      </c>
    </row>
    <row r="3">
      <c r="A3" s="10" t="s">
        <v>28</v>
      </c>
      <c r="B3" s="10" t="s">
        <v>41</v>
      </c>
      <c r="C3" s="10" t="s">
        <v>39</v>
      </c>
      <c r="D3" s="10" t="s">
        <v>31</v>
      </c>
      <c r="E3" s="11" t="n">
        <v>45870</v>
      </c>
      <c r="F3" t="n">
        <v>64377</v>
      </c>
      <c r="H3" t="n">
        <v>7774</v>
      </c>
      <c r="I3" t="n">
        <v>97837</v>
      </c>
      <c r="J3" s="10" t="s">
        <v>2</v>
      </c>
      <c r="K3" s="10" t="s">
        <v>2</v>
      </c>
      <c r="L3" s="10" t="s">
        <v>4</v>
      </c>
      <c r="M3" t="n">
        <v>41234</v>
      </c>
      <c r="N3" s="11"/>
      <c r="O3" t="n">
        <v>420587</v>
      </c>
      <c r="P3" s="11" t="n">
        <v>45870</v>
      </c>
      <c r="S3" t="n">
        <v>9</v>
      </c>
      <c r="T3" t="n">
        <v>14</v>
      </c>
      <c r="U3" t="n">
        <v>13</v>
      </c>
      <c r="V3" t="n">
        <v>12.585155647028557</v>
      </c>
    </row>
    <row r="4">
      <c r="A4" s="10" t="s">
        <v>28</v>
      </c>
      <c r="B4" s="10" t="s">
        <v>41</v>
      </c>
      <c r="C4" s="10" t="s">
        <v>39</v>
      </c>
      <c r="D4" s="10" t="s">
        <v>31</v>
      </c>
      <c r="E4" s="11" t="n">
        <v>45901</v>
      </c>
      <c r="F4" t="n">
        <v>97837</v>
      </c>
      <c r="H4" t="n">
        <v>7774</v>
      </c>
      <c r="I4" t="n">
        <v>90063</v>
      </c>
      <c r="J4" s="10"/>
      <c r="K4" s="10"/>
      <c r="L4" s="10"/>
      <c r="N4" s="11"/>
      <c r="P4" s="11"/>
      <c r="S4" t="n">
        <v>9</v>
      </c>
      <c r="T4" t="n">
        <v>14</v>
      </c>
      <c r="U4" t="n">
        <v>13</v>
      </c>
      <c r="V4" t="n">
        <v>11.585155647028557</v>
      </c>
    </row>
    <row r="5">
      <c r="A5" s="10" t="s">
        <v>28</v>
      </c>
      <c r="B5" s="10" t="s">
        <v>41</v>
      </c>
      <c r="C5" s="10" t="s">
        <v>39</v>
      </c>
      <c r="D5" s="10" t="s">
        <v>31</v>
      </c>
      <c r="E5" s="11" t="n">
        <v>45931</v>
      </c>
      <c r="F5" t="n">
        <v>90063</v>
      </c>
      <c r="H5" t="n">
        <v>7774</v>
      </c>
      <c r="I5" t="n">
        <v>82289</v>
      </c>
      <c r="J5" s="10"/>
      <c r="K5" s="10"/>
      <c r="L5" s="10"/>
      <c r="N5" s="11"/>
      <c r="P5" s="11"/>
      <c r="S5" t="n">
        <v>9</v>
      </c>
      <c r="T5" t="n">
        <v>14</v>
      </c>
      <c r="U5" t="n">
        <v>13</v>
      </c>
      <c r="V5" t="n">
        <v>10.585155647028557</v>
      </c>
    </row>
    <row r="6">
      <c r="A6" s="10" t="s">
        <v>28</v>
      </c>
      <c r="B6" s="10" t="s">
        <v>41</v>
      </c>
      <c r="C6" s="10" t="s">
        <v>39</v>
      </c>
      <c r="D6" s="10" t="s">
        <v>31</v>
      </c>
      <c r="E6" s="11" t="n">
        <v>45962</v>
      </c>
      <c r="F6" t="n">
        <v>82289</v>
      </c>
      <c r="H6" t="n">
        <v>7774</v>
      </c>
      <c r="I6" t="n">
        <v>74515</v>
      </c>
      <c r="J6" s="10"/>
      <c r="K6" s="10"/>
      <c r="L6" s="10"/>
      <c r="N6" s="11"/>
      <c r="P6" s="11"/>
      <c r="S6" t="n">
        <v>9</v>
      </c>
      <c r="T6" t="n">
        <v>14</v>
      </c>
      <c r="U6" t="n">
        <v>13</v>
      </c>
      <c r="V6" t="n">
        <v>9.5851556470285573</v>
      </c>
    </row>
    <row r="7">
      <c r="A7" s="10" t="s">
        <v>28</v>
      </c>
      <c r="B7" s="10" t="s">
        <v>41</v>
      </c>
      <c r="C7" s="10" t="s">
        <v>39</v>
      </c>
      <c r="D7" s="10" t="s">
        <v>31</v>
      </c>
      <c r="E7" s="11" t="n">
        <v>45992</v>
      </c>
      <c r="F7" t="n">
        <v>74515</v>
      </c>
      <c r="H7" t="n">
        <v>7774</v>
      </c>
      <c r="I7" t="n">
        <v>66741</v>
      </c>
      <c r="J7" s="10"/>
      <c r="K7" s="10"/>
      <c r="L7" s="10"/>
      <c r="N7" s="11"/>
      <c r="P7" s="11"/>
      <c r="S7" t="n">
        <v>9</v>
      </c>
      <c r="T7" t="n">
        <v>14</v>
      </c>
      <c r="U7" t="n">
        <v>13</v>
      </c>
      <c r="V7" t="n">
        <v>8.5851556470285573</v>
      </c>
    </row>
    <row r="8">
      <c r="A8" s="10" t="s">
        <v>28</v>
      </c>
      <c r="B8" s="10" t="s">
        <v>41</v>
      </c>
      <c r="C8" s="10" t="s">
        <v>39</v>
      </c>
      <c r="D8" s="10" t="s">
        <v>31</v>
      </c>
      <c r="E8" s="11" t="n">
        <v>46023</v>
      </c>
      <c r="F8" t="n">
        <v>66741</v>
      </c>
      <c r="H8" t="n">
        <v>7774</v>
      </c>
      <c r="I8" t="n">
        <v>98720</v>
      </c>
      <c r="J8" s="10" t="s">
        <v>2</v>
      </c>
      <c r="K8" s="10" t="s">
        <v>2</v>
      </c>
      <c r="L8" s="10" t="s">
        <v>4</v>
      </c>
      <c r="M8" t="n">
        <v>39753</v>
      </c>
      <c r="N8" s="11"/>
      <c r="O8" t="n">
        <v>405481</v>
      </c>
      <c r="P8" s="11" t="n">
        <v>46023</v>
      </c>
      <c r="S8" t="n">
        <v>9</v>
      </c>
      <c r="T8" t="n">
        <v>14</v>
      </c>
      <c r="U8" t="n">
        <v>13</v>
      </c>
      <c r="V8" t="n">
        <v>12.698739387702599</v>
      </c>
    </row>
    <row r="9">
      <c r="A9" s="10" t="s">
        <v>28</v>
      </c>
      <c r="B9" s="10" t="s">
        <v>41</v>
      </c>
      <c r="C9" s="10" t="s">
        <v>39</v>
      </c>
      <c r="D9" s="10" t="s">
        <v>31</v>
      </c>
      <c r="E9" s="11" t="n">
        <v>46054</v>
      </c>
      <c r="F9" t="n">
        <v>98720</v>
      </c>
      <c r="H9" t="n">
        <v>7774</v>
      </c>
      <c r="I9" t="n">
        <v>90946</v>
      </c>
      <c r="J9" s="10"/>
      <c r="K9" s="10"/>
      <c r="L9" s="10"/>
      <c r="N9" s="11"/>
      <c r="P9" s="11"/>
      <c r="S9" t="n">
        <v>9</v>
      </c>
      <c r="T9" t="n">
        <v>14</v>
      </c>
      <c r="U9" t="n">
        <v>13</v>
      </c>
      <c r="V9" t="n">
        <v>11.698739387702599</v>
      </c>
    </row>
    <row r="10">
      <c r="A10" s="10" t="s">
        <v>28</v>
      </c>
      <c r="B10" s="10" t="s">
        <v>41</v>
      </c>
      <c r="C10" s="10" t="s">
        <v>39</v>
      </c>
      <c r="D10" s="10" t="s">
        <v>31</v>
      </c>
      <c r="E10" s="11" t="n">
        <v>46082</v>
      </c>
      <c r="F10" t="n">
        <v>90946</v>
      </c>
      <c r="H10" t="n">
        <v>7774</v>
      </c>
      <c r="I10" t="n">
        <v>83172</v>
      </c>
      <c r="J10" s="10"/>
      <c r="K10" s="10"/>
      <c r="L10" s="10"/>
      <c r="N10" s="11"/>
      <c r="P10" s="11"/>
      <c r="S10" t="n">
        <v>9</v>
      </c>
      <c r="T10" t="n">
        <v>14</v>
      </c>
      <c r="U10" t="n">
        <v>13</v>
      </c>
      <c r="V10" t="n">
        <v>10.698739387702599</v>
      </c>
    </row>
    <row r="11">
      <c r="A11" s="10" t="s">
        <v>28</v>
      </c>
      <c r="B11" s="10" t="s">
        <v>41</v>
      </c>
      <c r="C11" s="10" t="s">
        <v>39</v>
      </c>
      <c r="D11" s="10" t="s">
        <v>31</v>
      </c>
      <c r="E11" s="11" t="n">
        <v>46113</v>
      </c>
      <c r="F11" t="n">
        <v>83172</v>
      </c>
      <c r="H11" t="n">
        <v>7774</v>
      </c>
      <c r="I11" t="n">
        <v>75398</v>
      </c>
      <c r="J11" s="10"/>
      <c r="K11" s="10"/>
      <c r="L11" s="10"/>
      <c r="N11" s="11"/>
      <c r="P11" s="11"/>
      <c r="S11" t="n">
        <v>9</v>
      </c>
      <c r="T11" t="n">
        <v>14</v>
      </c>
      <c r="U11" t="n">
        <v>13</v>
      </c>
      <c r="V11" t="n">
        <v>9.6987393877025987</v>
      </c>
    </row>
    <row r="12">
      <c r="A12" s="10" t="s">
        <v>28</v>
      </c>
      <c r="B12" s="10" t="s">
        <v>41</v>
      </c>
      <c r="C12" s="10" t="s">
        <v>39</v>
      </c>
      <c r="D12" s="10" t="s">
        <v>31</v>
      </c>
      <c r="E12" s="11" t="n">
        <v>46143</v>
      </c>
      <c r="F12" t="n">
        <v>75398</v>
      </c>
      <c r="H12" t="n">
        <v>7774</v>
      </c>
      <c r="I12" t="n">
        <v>67624</v>
      </c>
      <c r="J12" s="10"/>
      <c r="K12" s="10"/>
      <c r="L12" s="10"/>
      <c r="N12" s="11"/>
      <c r="P12" s="11"/>
      <c r="S12" t="n">
        <v>9</v>
      </c>
      <c r="T12" t="n">
        <v>14</v>
      </c>
      <c r="U12" t="n">
        <v>13</v>
      </c>
      <c r="V12" t="n">
        <v>8.6987393877025987</v>
      </c>
    </row>
    <row r="13">
      <c r="A13" s="10" t="s">
        <v>28</v>
      </c>
      <c r="B13" s="10" t="s">
        <v>41</v>
      </c>
      <c r="C13" s="10" t="s">
        <v>39</v>
      </c>
      <c r="D13" s="10" t="s">
        <v>31</v>
      </c>
      <c r="E13" s="11" t="n">
        <v>46174</v>
      </c>
      <c r="F13" t="n">
        <v>67624</v>
      </c>
      <c r="H13" t="n">
        <v>7774</v>
      </c>
      <c r="I13" t="n">
        <v>99966</v>
      </c>
      <c r="J13" s="10" t="s">
        <v>2</v>
      </c>
      <c r="K13" s="10" t="s">
        <v>2</v>
      </c>
      <c r="L13" s="10" t="s">
        <v>4</v>
      </c>
      <c r="M13" t="n">
        <v>40116</v>
      </c>
      <c r="N13" s="11"/>
      <c r="O13" t="n">
        <v>409183</v>
      </c>
      <c r="P13" s="11" t="n">
        <v>46174</v>
      </c>
      <c r="S13" t="n">
        <v>9</v>
      </c>
      <c r="T13" t="n">
        <v>14</v>
      </c>
      <c r="U13" t="n">
        <v>13</v>
      </c>
      <c r="V13" t="n">
        <v>12.859017236943659</v>
      </c>
    </row>
    <row r="14">
      <c r="A14" s="10" t="s">
        <v>75</v>
      </c>
      <c r="B14" s="10" t="s">
        <v>41</v>
      </c>
      <c r="C14" s="10" t="s">
        <v>39</v>
      </c>
      <c r="D14" s="10" t="s">
        <v>31</v>
      </c>
      <c r="E14" s="11" t="n">
        <v>45748</v>
      </c>
      <c r="F14" t="n">
        <v>85486</v>
      </c>
      <c r="H14" t="n">
        <v>24678</v>
      </c>
      <c r="I14" t="n">
        <v>60808</v>
      </c>
      <c r="J14" s="10"/>
      <c r="K14" s="10"/>
      <c r="L14" s="10"/>
      <c r="N14" s="11"/>
      <c r="P14" s="11"/>
      <c r="S14" t="n">
        <v>7</v>
      </c>
      <c r="T14" t="n">
        <v>15</v>
      </c>
      <c r="U14" t="n">
        <v>15</v>
      </c>
      <c r="V14" t="n">
        <v>2.4640570548666827</v>
      </c>
    </row>
    <row r="15">
      <c r="A15" s="10" t="s">
        <v>75</v>
      </c>
      <c r="B15" s="10" t="s">
        <v>41</v>
      </c>
      <c r="C15" s="10" t="s">
        <v>39</v>
      </c>
      <c r="D15" s="10" t="s">
        <v>31</v>
      </c>
      <c r="E15" s="11" t="n">
        <v>45778</v>
      </c>
      <c r="F15" t="n">
        <v>60808</v>
      </c>
      <c r="H15" t="n">
        <v>24722</v>
      </c>
      <c r="I15" t="n">
        <v>36086</v>
      </c>
      <c r="J15" s="10"/>
      <c r="K15" s="10"/>
      <c r="L15" s="10"/>
      <c r="N15" s="11"/>
      <c r="P15" s="11"/>
      <c r="S15" t="n">
        <v>7</v>
      </c>
      <c r="T15" t="n">
        <v>15</v>
      </c>
      <c r="U15" t="n">
        <v>15</v>
      </c>
      <c r="V15" t="n">
        <v>1.4596715476094166</v>
      </c>
    </row>
    <row r="16">
      <c r="A16" s="10" t="s">
        <v>75</v>
      </c>
      <c r="B16" s="10" t="s">
        <v>41</v>
      </c>
      <c r="C16" s="10" t="s">
        <v>39</v>
      </c>
      <c r="D16" s="10" t="s">
        <v>31</v>
      </c>
      <c r="E16" s="11" t="n">
        <v>45809</v>
      </c>
      <c r="F16" t="n">
        <v>36086</v>
      </c>
      <c r="H16" t="n">
        <v>24766</v>
      </c>
      <c r="I16" t="n">
        <v>66320</v>
      </c>
      <c r="J16" s="10"/>
      <c r="K16" s="10"/>
      <c r="L16" s="10" t="s">
        <v>154</v>
      </c>
      <c r="M16" t="n">
        <v>55000</v>
      </c>
      <c r="N16" s="11"/>
      <c r="P16" s="11"/>
      <c r="S16" t="n">
        <v>7</v>
      </c>
      <c r="T16" t="n">
        <v>15</v>
      </c>
      <c r="U16" t="n">
        <v>15</v>
      </c>
      <c r="V16" t="n">
        <v>2.6778648146652668</v>
      </c>
    </row>
    <row r="17">
      <c r="A17" s="10" t="s">
        <v>75</v>
      </c>
      <c r="B17" s="10" t="s">
        <v>41</v>
      </c>
      <c r="C17" s="10" t="s">
        <v>39</v>
      </c>
      <c r="D17" s="10" t="s">
        <v>31</v>
      </c>
      <c r="E17" s="11" t="n">
        <v>45839</v>
      </c>
      <c r="F17" t="n">
        <v>66320</v>
      </c>
      <c r="H17" t="n">
        <v>24810</v>
      </c>
      <c r="I17" t="n">
        <v>41510</v>
      </c>
      <c r="J17" s="10"/>
      <c r="K17" s="10"/>
      <c r="L17" s="10"/>
      <c r="N17" s="11"/>
      <c r="P17" s="11"/>
      <c r="S17" t="n">
        <v>7</v>
      </c>
      <c r="T17" t="n">
        <v>15</v>
      </c>
      <c r="U17" t="n">
        <v>15</v>
      </c>
      <c r="V17" t="n">
        <v>1.6731156791616284</v>
      </c>
    </row>
    <row r="18">
      <c r="A18" s="10" t="s">
        <v>75</v>
      </c>
      <c r="B18" s="10" t="s">
        <v>41</v>
      </c>
      <c r="C18" s="10" t="s">
        <v>39</v>
      </c>
      <c r="D18" s="10" t="s">
        <v>31</v>
      </c>
      <c r="E18" s="11" t="n">
        <v>45870</v>
      </c>
      <c r="F18" t="n">
        <v>41510</v>
      </c>
      <c r="H18" t="n">
        <v>24853</v>
      </c>
      <c r="I18" t="n">
        <v>16657</v>
      </c>
      <c r="J18" s="10"/>
      <c r="K18" s="10"/>
      <c r="L18" s="10"/>
      <c r="N18" s="11"/>
      <c r="P18" s="11"/>
      <c r="S18" t="n">
        <v>7</v>
      </c>
      <c r="T18" t="n">
        <v>15</v>
      </c>
      <c r="U18" t="n">
        <v>15</v>
      </c>
      <c r="V18" t="n">
        <v>0.67022089888544645</v>
      </c>
    </row>
    <row r="19">
      <c r="A19" s="10" t="s">
        <v>75</v>
      </c>
      <c r="B19" s="10" t="s">
        <v>41</v>
      </c>
      <c r="C19" s="10" t="s">
        <v>39</v>
      </c>
      <c r="D19" s="10" t="s">
        <v>31</v>
      </c>
      <c r="E19" s="11" t="n">
        <v>45901</v>
      </c>
      <c r="F19" t="n">
        <v>16657</v>
      </c>
      <c r="H19" t="n">
        <v>24897</v>
      </c>
      <c r="I19" t="n">
        <v>114548</v>
      </c>
      <c r="J19" s="10"/>
      <c r="K19" s="10"/>
      <c r="L19" s="10" t="s">
        <v>147</v>
      </c>
      <c r="M19" t="n">
        <v>122788</v>
      </c>
      <c r="N19" s="11"/>
      <c r="P19" s="11"/>
      <c r="S19" t="n">
        <v>7</v>
      </c>
      <c r="T19" t="n">
        <v>15</v>
      </c>
      <c r="U19" t="n">
        <v>15</v>
      </c>
      <c r="V19" t="n">
        <v>4.6008756075029122</v>
      </c>
    </row>
    <row r="20">
      <c r="A20" s="10" t="s">
        <v>75</v>
      </c>
      <c r="B20" s="10" t="s">
        <v>41</v>
      </c>
      <c r="C20" s="10" t="s">
        <v>39</v>
      </c>
      <c r="D20" s="10" t="s">
        <v>31</v>
      </c>
      <c r="E20" s="11" t="n">
        <v>45931</v>
      </c>
      <c r="F20" t="n">
        <v>114548</v>
      </c>
      <c r="H20" t="n">
        <v>24941</v>
      </c>
      <c r="I20" t="n">
        <v>89607</v>
      </c>
      <c r="J20" s="10"/>
      <c r="K20" s="10"/>
      <c r="L20" s="10"/>
      <c r="N20" s="11"/>
      <c r="P20" s="11"/>
      <c r="S20" t="n">
        <v>7</v>
      </c>
      <c r="T20" t="n">
        <v>15</v>
      </c>
      <c r="U20" t="n">
        <v>15</v>
      </c>
      <c r="V20" t="n">
        <v>3.5927589110300309</v>
      </c>
    </row>
    <row r="21">
      <c r="A21" s="10" t="s">
        <v>75</v>
      </c>
      <c r="B21" s="10" t="s">
        <v>41</v>
      </c>
      <c r="C21" s="10" t="s">
        <v>39</v>
      </c>
      <c r="D21" s="10" t="s">
        <v>31</v>
      </c>
      <c r="E21" s="11" t="n">
        <v>45962</v>
      </c>
      <c r="F21" t="n">
        <v>89607</v>
      </c>
      <c r="H21" t="n">
        <v>24985</v>
      </c>
      <c r="I21" t="n">
        <v>374059</v>
      </c>
      <c r="J21" s="10"/>
      <c r="K21" s="10"/>
      <c r="L21" s="10" t="s">
        <v>4</v>
      </c>
      <c r="M21" t="n">
        <v>309437</v>
      </c>
      <c r="N21" s="11"/>
      <c r="P21" s="11"/>
      <c r="S21" t="n">
        <v>7</v>
      </c>
      <c r="T21" t="n">
        <v>15</v>
      </c>
      <c r="U21" t="n">
        <v>15</v>
      </c>
      <c r="V21" t="n">
        <v>14.97134280568341</v>
      </c>
    </row>
    <row r="22">
      <c r="A22" s="10" t="s">
        <v>75</v>
      </c>
      <c r="B22" s="10" t="s">
        <v>41</v>
      </c>
      <c r="C22" s="10" t="s">
        <v>39</v>
      </c>
      <c r="D22" s="10" t="s">
        <v>31</v>
      </c>
      <c r="E22" s="11" t="n">
        <v>45992</v>
      </c>
      <c r="F22" t="n">
        <v>374059</v>
      </c>
      <c r="H22" t="n">
        <v>25029</v>
      </c>
      <c r="I22" t="n">
        <v>349030</v>
      </c>
      <c r="J22" s="10"/>
      <c r="K22" s="10"/>
      <c r="L22" s="10"/>
      <c r="N22" s="11"/>
      <c r="P22" s="11"/>
      <c r="S22" t="n">
        <v>7</v>
      </c>
      <c r="T22" t="n">
        <v>15</v>
      </c>
      <c r="U22" t="n">
        <v>15</v>
      </c>
      <c r="V22" t="n">
        <v>13.945023772423989</v>
      </c>
    </row>
    <row r="23">
      <c r="A23" s="10" t="s">
        <v>75</v>
      </c>
      <c r="B23" s="10" t="s">
        <v>41</v>
      </c>
      <c r="C23" s="10" t="s">
        <v>39</v>
      </c>
      <c r="D23" s="10" t="s">
        <v>31</v>
      </c>
      <c r="E23" s="11" t="n">
        <v>46023</v>
      </c>
      <c r="F23" t="n">
        <v>349030</v>
      </c>
      <c r="H23" t="n">
        <v>25029</v>
      </c>
      <c r="I23" t="n">
        <v>324001</v>
      </c>
      <c r="J23" s="10"/>
      <c r="K23" s="10"/>
      <c r="L23" s="10"/>
      <c r="N23" s="11"/>
      <c r="P23" s="11"/>
      <c r="S23" t="n">
        <v>7</v>
      </c>
      <c r="T23" t="n">
        <v>15</v>
      </c>
      <c r="U23" t="n">
        <v>15</v>
      </c>
      <c r="V23" t="n">
        <v>12.945023772423989</v>
      </c>
    </row>
    <row r="24">
      <c r="A24" s="10" t="s">
        <v>75</v>
      </c>
      <c r="B24" s="10" t="s">
        <v>41</v>
      </c>
      <c r="C24" s="10" t="s">
        <v>39</v>
      </c>
      <c r="D24" s="10" t="s">
        <v>31</v>
      </c>
      <c r="E24" s="11" t="n">
        <v>46054</v>
      </c>
      <c r="F24" t="n">
        <v>324001</v>
      </c>
      <c r="H24" t="n">
        <v>25029</v>
      </c>
      <c r="I24" t="n">
        <v>298972</v>
      </c>
      <c r="J24" s="10"/>
      <c r="K24" s="10"/>
      <c r="L24" s="10"/>
      <c r="N24" s="11"/>
      <c r="P24" s="11"/>
      <c r="S24" t="n">
        <v>7</v>
      </c>
      <c r="T24" t="n">
        <v>15</v>
      </c>
      <c r="U24" t="n">
        <v>15</v>
      </c>
      <c r="V24" t="n">
        <v>11.945023772423989</v>
      </c>
    </row>
    <row r="25">
      <c r="A25" s="10" t="s">
        <v>75</v>
      </c>
      <c r="B25" s="10" t="s">
        <v>41</v>
      </c>
      <c r="C25" s="10" t="s">
        <v>39</v>
      </c>
      <c r="D25" s="10" t="s">
        <v>31</v>
      </c>
      <c r="E25" s="11" t="n">
        <v>46082</v>
      </c>
      <c r="F25" t="n">
        <v>298972</v>
      </c>
      <c r="H25" t="n">
        <v>25029</v>
      </c>
      <c r="I25" t="n">
        <v>425043</v>
      </c>
      <c r="J25" s="10"/>
      <c r="K25" s="10"/>
      <c r="L25" s="10" t="s">
        <v>4</v>
      </c>
      <c r="M25" t="n">
        <v>151100</v>
      </c>
      <c r="N25" s="11"/>
      <c r="P25" s="11"/>
      <c r="S25" t="n">
        <v>7</v>
      </c>
      <c r="T25" t="n">
        <v>15</v>
      </c>
      <c r="U25" t="n">
        <v>15</v>
      </c>
      <c r="V25" t="n">
        <v>16.982020855807264</v>
      </c>
    </row>
    <row r="26">
      <c r="A26" s="10" t="s">
        <v>75</v>
      </c>
      <c r="B26" s="10" t="s">
        <v>41</v>
      </c>
      <c r="C26" s="10" t="s">
        <v>39</v>
      </c>
      <c r="D26" s="10" t="s">
        <v>31</v>
      </c>
      <c r="E26" s="11" t="n">
        <v>46113</v>
      </c>
      <c r="F26" t="n">
        <v>425043</v>
      </c>
      <c r="H26" t="n">
        <v>25029</v>
      </c>
      <c r="I26" t="n">
        <v>400014</v>
      </c>
      <c r="J26" s="10"/>
      <c r="K26" s="10"/>
      <c r="L26" s="10"/>
      <c r="N26" s="11"/>
      <c r="P26" s="11"/>
      <c r="S26" t="n">
        <v>7</v>
      </c>
      <c r="T26" t="n">
        <v>15</v>
      </c>
      <c r="U26" t="n">
        <v>15</v>
      </c>
      <c r="V26" t="n">
        <v>15.982020855807264</v>
      </c>
    </row>
    <row r="27">
      <c r="A27" s="10" t="s">
        <v>75</v>
      </c>
      <c r="B27" s="10" t="s">
        <v>41</v>
      </c>
      <c r="C27" s="10" t="s">
        <v>39</v>
      </c>
      <c r="D27" s="10" t="s">
        <v>31</v>
      </c>
      <c r="E27" s="11" t="n">
        <v>46143</v>
      </c>
      <c r="F27" t="n">
        <v>400014</v>
      </c>
      <c r="H27" t="n">
        <v>25029</v>
      </c>
      <c r="I27" t="n">
        <v>374985</v>
      </c>
      <c r="J27" s="10"/>
      <c r="K27" s="10"/>
      <c r="L27" s="10"/>
      <c r="N27" s="11"/>
      <c r="P27" s="11"/>
      <c r="S27" t="n">
        <v>7</v>
      </c>
      <c r="T27" t="n">
        <v>15</v>
      </c>
      <c r="U27" t="n">
        <v>15</v>
      </c>
      <c r="V27" t="n">
        <v>14.982020855807264</v>
      </c>
    </row>
    <row r="28">
      <c r="A28" s="10" t="s">
        <v>75</v>
      </c>
      <c r="B28" s="10" t="s">
        <v>41</v>
      </c>
      <c r="C28" s="10" t="s">
        <v>39</v>
      </c>
      <c r="D28" s="10" t="s">
        <v>31</v>
      </c>
      <c r="E28" s="11" t="n">
        <v>46174</v>
      </c>
      <c r="F28" t="n">
        <v>374985</v>
      </c>
      <c r="H28" t="n">
        <v>25029</v>
      </c>
      <c r="I28" t="n">
        <v>349956</v>
      </c>
      <c r="J28" s="10"/>
      <c r="K28" s="10"/>
      <c r="L28" s="10"/>
      <c r="N28" s="11"/>
      <c r="P28" s="11"/>
      <c r="S28" t="n">
        <v>7</v>
      </c>
      <c r="T28" t="n">
        <v>15</v>
      </c>
      <c r="U28" t="n">
        <v>15</v>
      </c>
      <c r="V28" t="n">
        <v>13.982020855807264</v>
      </c>
    </row>
    <row r="29">
      <c r="A29" s="10" t="s">
        <v>75</v>
      </c>
      <c r="B29" s="10" t="s">
        <v>41</v>
      </c>
      <c r="C29" s="10" t="s">
        <v>39</v>
      </c>
      <c r="D29" s="10" t="s">
        <v>31</v>
      </c>
      <c r="E29" s="11" t="n">
        <v>46204</v>
      </c>
      <c r="F29" t="n">
        <v>349956</v>
      </c>
      <c r="H29" t="n">
        <v>25029</v>
      </c>
      <c r="I29" t="n">
        <v>324927</v>
      </c>
      <c r="J29" s="10"/>
      <c r="K29" s="10"/>
      <c r="L29" s="10"/>
      <c r="N29" s="11"/>
      <c r="P29" s="11"/>
      <c r="S29" t="n">
        <v>7</v>
      </c>
      <c r="T29" t="n">
        <v>15</v>
      </c>
      <c r="U29" t="n">
        <v>15</v>
      </c>
      <c r="V29" t="n">
        <v>12.982020855807264</v>
      </c>
    </row>
    <row r="30">
      <c r="A30" s="10" t="s">
        <v>75</v>
      </c>
      <c r="B30" s="10" t="s">
        <v>41</v>
      </c>
      <c r="C30" s="10" t="s">
        <v>39</v>
      </c>
      <c r="D30" s="10" t="s">
        <v>31</v>
      </c>
      <c r="E30" s="11" t="n">
        <v>46235</v>
      </c>
      <c r="F30" t="n">
        <v>324927</v>
      </c>
      <c r="H30" t="n">
        <v>25029</v>
      </c>
      <c r="I30" t="n">
        <v>299898</v>
      </c>
      <c r="J30" s="10"/>
      <c r="K30" s="10"/>
      <c r="L30" s="10"/>
      <c r="N30" s="11"/>
      <c r="P30" s="11"/>
      <c r="S30" t="n">
        <v>7</v>
      </c>
      <c r="T30" t="n">
        <v>15</v>
      </c>
      <c r="U30" t="n">
        <v>15</v>
      </c>
      <c r="V30" t="n">
        <v>11.982020855807264</v>
      </c>
    </row>
    <row r="31">
      <c r="A31" s="10" t="s">
        <v>75</v>
      </c>
      <c r="B31" s="10" t="s">
        <v>41</v>
      </c>
      <c r="C31" s="10" t="s">
        <v>39</v>
      </c>
      <c r="D31" s="10" t="s">
        <v>31</v>
      </c>
      <c r="E31" s="11" t="n">
        <v>46266</v>
      </c>
      <c r="F31" t="n">
        <v>299898</v>
      </c>
      <c r="H31" t="n">
        <v>25029</v>
      </c>
      <c r="I31" t="n">
        <v>274869</v>
      </c>
      <c r="J31" s="10"/>
      <c r="K31" s="10"/>
      <c r="L31" s="10"/>
      <c r="N31" s="11"/>
      <c r="P31" s="11"/>
      <c r="S31" t="n">
        <v>7</v>
      </c>
      <c r="T31" t="n">
        <v>15</v>
      </c>
      <c r="U31" t="n">
        <v>15</v>
      </c>
      <c r="V31" t="n">
        <v>10.982020855807264</v>
      </c>
    </row>
    <row r="32">
      <c r="A32" s="10" t="s">
        <v>76</v>
      </c>
      <c r="B32" s="10" t="s">
        <v>41</v>
      </c>
      <c r="C32" s="10"/>
      <c r="D32" s="10" t="s">
        <v>31</v>
      </c>
      <c r="E32" s="11" t="n">
        <v>45748</v>
      </c>
      <c r="H32" t="n">
        <v>13803</v>
      </c>
      <c r="I32" t="n">
        <v>0</v>
      </c>
      <c r="J32" s="10"/>
      <c r="K32" s="10"/>
      <c r="L32" s="10"/>
      <c r="N32" s="11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41</v>
      </c>
      <c r="C33" s="10"/>
      <c r="D33" s="10" t="s">
        <v>31</v>
      </c>
      <c r="E33" s="11" t="n">
        <v>45778</v>
      </c>
      <c r="H33" t="n">
        <v>13803</v>
      </c>
      <c r="I33" t="n">
        <v>0</v>
      </c>
      <c r="J33" s="10"/>
      <c r="K33" s="10"/>
      <c r="L33" s="10"/>
      <c r="N33" s="11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41</v>
      </c>
      <c r="C34" s="10"/>
      <c r="D34" s="10" t="s">
        <v>31</v>
      </c>
      <c r="E34" s="11" t="n">
        <v>45809</v>
      </c>
      <c r="H34" t="n">
        <v>13803</v>
      </c>
      <c r="I34" t="n">
        <v>0</v>
      </c>
      <c r="J34" s="10"/>
      <c r="K34" s="10"/>
      <c r="L34" s="10"/>
      <c r="N34" s="11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41</v>
      </c>
      <c r="C35" s="10"/>
      <c r="D35" s="10" t="s">
        <v>31</v>
      </c>
      <c r="E35" s="11" t="n">
        <v>45839</v>
      </c>
      <c r="H35" t="n">
        <v>13803</v>
      </c>
      <c r="I35" t="n">
        <v>0</v>
      </c>
      <c r="J35" s="10"/>
      <c r="K35" s="10"/>
      <c r="L35" s="10"/>
      <c r="N35" s="11"/>
      <c r="P35" s="11"/>
      <c r="S35" t="n">
        <v>3</v>
      </c>
      <c r="T35" t="n">
        <v>6</v>
      </c>
      <c r="U35" t="n">
        <v>6</v>
      </c>
      <c r="V35" t="n">
        <v>0</v>
      </c>
    </row>
    <row r="36">
      <c r="A36" s="10" t="s">
        <v>76</v>
      </c>
      <c r="B36" s="10" t="s">
        <v>41</v>
      </c>
      <c r="C36" s="10"/>
      <c r="D36" s="10" t="s">
        <v>31</v>
      </c>
      <c r="E36" s="11" t="n">
        <v>45870</v>
      </c>
      <c r="H36" t="n">
        <v>13803</v>
      </c>
      <c r="I36" t="n">
        <v>0</v>
      </c>
      <c r="J36" s="10"/>
      <c r="K36" s="10"/>
      <c r="L36" s="10"/>
      <c r="N36" s="11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41</v>
      </c>
      <c r="C37" s="10"/>
      <c r="D37" s="10" t="s">
        <v>31</v>
      </c>
      <c r="E37" s="11" t="n">
        <v>45901</v>
      </c>
      <c r="H37" t="n">
        <v>13803</v>
      </c>
      <c r="I37" t="n">
        <v>0</v>
      </c>
      <c r="J37" s="10"/>
      <c r="K37" s="10"/>
      <c r="L37" s="10"/>
      <c r="N37" s="11"/>
      <c r="P37" s="11"/>
      <c r="S37" t="n">
        <v>3</v>
      </c>
      <c r="T37" t="n">
        <v>6</v>
      </c>
      <c r="U37" t="n">
        <v>6</v>
      </c>
      <c r="V37" t="n">
        <v>0</v>
      </c>
    </row>
    <row r="38">
      <c r="A38" s="10" t="s">
        <v>76</v>
      </c>
      <c r="B38" s="10" t="s">
        <v>41</v>
      </c>
      <c r="C38" s="10"/>
      <c r="D38" s="10" t="s">
        <v>31</v>
      </c>
      <c r="E38" s="11" t="n">
        <v>45931</v>
      </c>
      <c r="H38" t="n">
        <v>13803</v>
      </c>
      <c r="I38" t="n">
        <v>0</v>
      </c>
      <c r="J38" s="10"/>
      <c r="K38" s="10"/>
      <c r="L38" s="10"/>
      <c r="N38" s="11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41</v>
      </c>
      <c r="C39" s="10"/>
      <c r="D39" s="10" t="s">
        <v>31</v>
      </c>
      <c r="E39" s="11" t="n">
        <v>45962</v>
      </c>
      <c r="H39" t="n">
        <v>13803</v>
      </c>
      <c r="I39" t="n">
        <v>0</v>
      </c>
      <c r="J39" s="10"/>
      <c r="K39" s="10"/>
      <c r="L39" s="10"/>
      <c r="N39" s="11"/>
      <c r="P39" s="11"/>
      <c r="S39" t="n">
        <v>3</v>
      </c>
      <c r="T39" t="n">
        <v>6</v>
      </c>
      <c r="U39" t="n">
        <v>6</v>
      </c>
      <c r="V39" t="n">
        <v>0</v>
      </c>
    </row>
    <row r="40">
      <c r="A40" s="10" t="s">
        <v>76</v>
      </c>
      <c r="B40" s="10" t="s">
        <v>41</v>
      </c>
      <c r="C40" s="10"/>
      <c r="D40" s="10" t="s">
        <v>31</v>
      </c>
      <c r="E40" s="11" t="n">
        <v>45992</v>
      </c>
      <c r="H40" t="n">
        <v>13803</v>
      </c>
      <c r="I40" t="n">
        <v>0</v>
      </c>
      <c r="J40" s="10"/>
      <c r="K40" s="10"/>
      <c r="L40" s="10"/>
      <c r="N40" s="11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41</v>
      </c>
      <c r="C41" s="10"/>
      <c r="D41" s="10" t="s">
        <v>31</v>
      </c>
      <c r="E41" s="11" t="n">
        <v>46023</v>
      </c>
      <c r="H41" t="n">
        <v>9115</v>
      </c>
      <c r="I41" t="n">
        <v>0</v>
      </c>
      <c r="J41" s="10"/>
      <c r="K41" s="10"/>
      <c r="L41" s="10"/>
      <c r="N41" s="11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41</v>
      </c>
      <c r="C42" s="10"/>
      <c r="D42" s="10" t="s">
        <v>31</v>
      </c>
      <c r="E42" s="11" t="n">
        <v>46054</v>
      </c>
      <c r="H42" t="n">
        <v>9115</v>
      </c>
      <c r="I42" t="n">
        <v>0</v>
      </c>
      <c r="J42" s="10"/>
      <c r="K42" s="10"/>
      <c r="L42" s="10"/>
      <c r="N42" s="11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41</v>
      </c>
      <c r="C43" s="10"/>
      <c r="D43" s="10" t="s">
        <v>31</v>
      </c>
      <c r="E43" s="11" t="n">
        <v>46082</v>
      </c>
      <c r="H43" t="n">
        <v>9115</v>
      </c>
      <c r="I43" t="n">
        <v>0</v>
      </c>
      <c r="J43" s="10"/>
      <c r="K43" s="10"/>
      <c r="L43" s="10"/>
      <c r="N43" s="11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41</v>
      </c>
      <c r="C44" s="10"/>
      <c r="D44" s="10" t="s">
        <v>31</v>
      </c>
      <c r="E44" s="11" t="n">
        <v>46113</v>
      </c>
      <c r="H44" t="n">
        <v>9115</v>
      </c>
      <c r="I44" t="n">
        <v>0</v>
      </c>
      <c r="J44" s="10"/>
      <c r="K44" s="10"/>
      <c r="L44" s="10"/>
      <c r="N44" s="11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41</v>
      </c>
      <c r="C45" s="10"/>
      <c r="D45" s="10" t="s">
        <v>31</v>
      </c>
      <c r="E45" s="11" t="n">
        <v>46143</v>
      </c>
      <c r="H45" t="n">
        <v>9115</v>
      </c>
      <c r="I45" t="n">
        <v>0</v>
      </c>
      <c r="J45" s="10"/>
      <c r="K45" s="10"/>
      <c r="L45" s="10"/>
      <c r="N45" s="11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41</v>
      </c>
      <c r="C46" s="10"/>
      <c r="D46" s="10" t="s">
        <v>31</v>
      </c>
      <c r="E46" s="11" t="n">
        <v>46174</v>
      </c>
      <c r="H46" t="n">
        <v>9115</v>
      </c>
      <c r="I46" t="n">
        <v>0</v>
      </c>
      <c r="J46" s="10"/>
      <c r="K46" s="10"/>
      <c r="L46" s="10"/>
      <c r="N46" s="11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41</v>
      </c>
      <c r="C47" s="10"/>
      <c r="D47" s="10" t="s">
        <v>31</v>
      </c>
      <c r="E47" s="11" t="n">
        <v>46204</v>
      </c>
      <c r="H47" t="n">
        <v>9115</v>
      </c>
      <c r="I47" t="n">
        <v>0</v>
      </c>
      <c r="J47" s="10"/>
      <c r="K47" s="10"/>
      <c r="L47" s="10"/>
      <c r="N47" s="11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41</v>
      </c>
      <c r="C48" s="10"/>
      <c r="D48" s="10" t="s">
        <v>31</v>
      </c>
      <c r="E48" s="11" t="n">
        <v>46235</v>
      </c>
      <c r="H48" t="n">
        <v>9115</v>
      </c>
      <c r="I48" t="n">
        <v>0</v>
      </c>
      <c r="J48" s="10"/>
      <c r="K48" s="10"/>
      <c r="L48" s="10"/>
      <c r="N48" s="11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41</v>
      </c>
      <c r="C49" s="10"/>
      <c r="D49" s="10" t="s">
        <v>31</v>
      </c>
      <c r="E49" s="11" t="n">
        <v>46266</v>
      </c>
      <c r="H49" t="n">
        <v>9115</v>
      </c>
      <c r="I49" t="n">
        <v>0</v>
      </c>
      <c r="J49" s="10"/>
      <c r="K49" s="10"/>
      <c r="L49" s="10"/>
      <c r="N49" s="11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41</v>
      </c>
      <c r="C50" s="10"/>
      <c r="D50" s="10" t="s">
        <v>31</v>
      </c>
      <c r="E50" s="11" t="n">
        <v>46296</v>
      </c>
      <c r="H50" t="n">
        <v>9115</v>
      </c>
      <c r="I50" t="n">
        <v>0</v>
      </c>
      <c r="J50" s="10"/>
      <c r="K50" s="10"/>
      <c r="L50" s="10"/>
      <c r="N50" s="11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41</v>
      </c>
      <c r="C51" s="10"/>
      <c r="D51" s="10" t="s">
        <v>31</v>
      </c>
      <c r="E51" s="11" t="n">
        <v>46327</v>
      </c>
      <c r="H51" t="n">
        <v>9115</v>
      </c>
      <c r="I51" t="n">
        <v>0</v>
      </c>
      <c r="J51" s="10"/>
      <c r="K51" s="10"/>
      <c r="L51" s="10"/>
      <c r="N51" s="11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41</v>
      </c>
      <c r="C52" s="10"/>
      <c r="D52" s="10" t="s">
        <v>31</v>
      </c>
      <c r="E52" s="11" t="n">
        <v>46357</v>
      </c>
      <c r="H52" t="n">
        <v>9115</v>
      </c>
      <c r="I52" t="n">
        <v>0</v>
      </c>
      <c r="J52" s="10"/>
      <c r="K52" s="10"/>
      <c r="L52" s="10"/>
      <c r="N52" s="11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41</v>
      </c>
      <c r="C53" s="10"/>
      <c r="D53" s="10" t="s">
        <v>31</v>
      </c>
      <c r="E53" s="11" t="n">
        <v>45689</v>
      </c>
      <c r="F53" t="n">
        <v>77320</v>
      </c>
      <c r="H53" t="n">
        <v>14621</v>
      </c>
      <c r="I53" t="n">
        <v>97699</v>
      </c>
      <c r="J53" s="10" t="s">
        <v>51</v>
      </c>
      <c r="K53" s="10" t="s">
        <v>51</v>
      </c>
      <c r="L53" s="10" t="s">
        <v>153</v>
      </c>
      <c r="M53" t="n">
        <v>35000</v>
      </c>
      <c r="N53" s="11"/>
      <c r="O53" t="n">
        <v>327250</v>
      </c>
      <c r="P53" s="11" t="n">
        <v>45689</v>
      </c>
      <c r="S53" t="n">
        <v>6</v>
      </c>
      <c r="T53" t="n">
        <v>12</v>
      </c>
      <c r="U53" t="n">
        <v>12</v>
      </c>
      <c r="V53" t="n">
        <v>6.6821010874769167</v>
      </c>
    </row>
    <row r="54">
      <c r="A54" s="10" t="s">
        <v>72</v>
      </c>
      <c r="B54" s="10" t="s">
        <v>41</v>
      </c>
      <c r="C54" s="10"/>
      <c r="D54" s="10" t="s">
        <v>31</v>
      </c>
      <c r="E54" s="11" t="n">
        <v>45717</v>
      </c>
      <c r="F54" t="n">
        <v>97699</v>
      </c>
      <c r="H54" t="n">
        <v>14621</v>
      </c>
      <c r="I54" t="n">
        <v>129278</v>
      </c>
      <c r="J54" s="10" t="s">
        <v>51</v>
      </c>
      <c r="K54" s="10" t="s">
        <v>51</v>
      </c>
      <c r="L54" s="10" t="s">
        <v>153</v>
      </c>
      <c r="M54" t="n">
        <v>46200</v>
      </c>
      <c r="N54" s="11"/>
      <c r="O54" t="n">
        <v>439824</v>
      </c>
      <c r="P54" s="11" t="n">
        <v>45717</v>
      </c>
      <c r="S54" t="n">
        <v>6</v>
      </c>
      <c r="T54" t="n">
        <v>12</v>
      </c>
      <c r="U54" t="n">
        <v>12</v>
      </c>
      <c r="V54" t="n">
        <v>8.8419396758087689</v>
      </c>
    </row>
    <row r="55">
      <c r="A55" s="10" t="s">
        <v>72</v>
      </c>
      <c r="B55" s="10" t="s">
        <v>41</v>
      </c>
      <c r="C55" s="10"/>
      <c r="D55" s="10" t="s">
        <v>31</v>
      </c>
      <c r="E55" s="11" t="n">
        <v>45748</v>
      </c>
      <c r="F55" t="n">
        <v>129278</v>
      </c>
      <c r="H55" t="n">
        <v>14621</v>
      </c>
      <c r="I55" t="n">
        <v>164657</v>
      </c>
      <c r="J55" s="10" t="s">
        <v>51</v>
      </c>
      <c r="K55" s="10" t="s">
        <v>51</v>
      </c>
      <c r="L55" s="10" t="s">
        <v>153</v>
      </c>
      <c r="M55" t="n">
        <v>50000</v>
      </c>
      <c r="N55" s="11"/>
      <c r="O55" t="n">
        <v>476000</v>
      </c>
      <c r="P55" s="11" t="n">
        <v>45748</v>
      </c>
      <c r="S55" t="n">
        <v>6</v>
      </c>
      <c r="T55" t="n">
        <v>12</v>
      </c>
      <c r="U55" t="n">
        <v>12</v>
      </c>
      <c r="V55" t="n">
        <v>11.261678407769647</v>
      </c>
    </row>
    <row r="56">
      <c r="A56" s="10" t="s">
        <v>72</v>
      </c>
      <c r="B56" s="10" t="s">
        <v>41</v>
      </c>
      <c r="C56" s="10"/>
      <c r="D56" s="10" t="s">
        <v>31</v>
      </c>
      <c r="E56" s="11" t="n">
        <v>45778</v>
      </c>
      <c r="F56" t="n">
        <v>164657</v>
      </c>
      <c r="H56" t="n">
        <v>14621</v>
      </c>
      <c r="I56" t="n">
        <v>150036</v>
      </c>
      <c r="J56" s="10"/>
      <c r="K56" s="10"/>
      <c r="L56" s="10"/>
      <c r="N56" s="11"/>
      <c r="P56" s="11"/>
      <c r="S56" t="n">
        <v>6</v>
      </c>
      <c r="T56" t="n">
        <v>12</v>
      </c>
      <c r="U56" t="n">
        <v>12</v>
      </c>
      <c r="V56" t="n">
        <v>10.261678407769647</v>
      </c>
    </row>
    <row r="57">
      <c r="A57" s="10" t="s">
        <v>72</v>
      </c>
      <c r="B57" s="10" t="s">
        <v>41</v>
      </c>
      <c r="C57" s="10"/>
      <c r="D57" s="10" t="s">
        <v>31</v>
      </c>
      <c r="E57" s="11" t="n">
        <v>45809</v>
      </c>
      <c r="F57" t="n">
        <v>150036</v>
      </c>
      <c r="H57" t="n">
        <v>14621</v>
      </c>
      <c r="I57" t="n">
        <v>135415</v>
      </c>
      <c r="J57" s="10"/>
      <c r="K57" s="10"/>
      <c r="L57" s="10"/>
      <c r="N57" s="11"/>
      <c r="P57" s="11"/>
      <c r="S57" t="n">
        <v>6</v>
      </c>
      <c r="T57" t="n">
        <v>12</v>
      </c>
      <c r="U57" t="n">
        <v>12</v>
      </c>
      <c r="V57" t="n">
        <v>9.2616784077696472</v>
      </c>
    </row>
    <row r="58">
      <c r="A58" s="10" t="s">
        <v>72</v>
      </c>
      <c r="B58" s="10" t="s">
        <v>41</v>
      </c>
      <c r="C58" s="10"/>
      <c r="D58" s="10" t="s">
        <v>31</v>
      </c>
      <c r="E58" s="11" t="n">
        <v>45839</v>
      </c>
      <c r="F58" t="n">
        <v>135415</v>
      </c>
      <c r="H58" t="n">
        <v>14621</v>
      </c>
      <c r="I58" t="n">
        <v>120794</v>
      </c>
      <c r="J58" s="10"/>
      <c r="K58" s="10"/>
      <c r="L58" s="10"/>
      <c r="N58" s="11"/>
      <c r="P58" s="11"/>
      <c r="S58" t="n">
        <v>6</v>
      </c>
      <c r="T58" t="n">
        <v>12</v>
      </c>
      <c r="U58" t="n">
        <v>12</v>
      </c>
      <c r="V58" t="n">
        <v>8.2616784077696472</v>
      </c>
    </row>
    <row r="59">
      <c r="A59" s="10" t="s">
        <v>72</v>
      </c>
      <c r="B59" s="10" t="s">
        <v>41</v>
      </c>
      <c r="C59" s="10"/>
      <c r="D59" s="10" t="s">
        <v>31</v>
      </c>
      <c r="E59" s="11" t="n">
        <v>45870</v>
      </c>
      <c r="F59" t="n">
        <v>120794</v>
      </c>
      <c r="H59" t="n">
        <v>14621</v>
      </c>
      <c r="I59" t="n">
        <v>106173</v>
      </c>
      <c r="J59" s="10"/>
      <c r="K59" s="10"/>
      <c r="L59" s="10"/>
      <c r="N59" s="11"/>
      <c r="P59" s="11"/>
      <c r="S59" t="n">
        <v>6</v>
      </c>
      <c r="T59" t="n">
        <v>12</v>
      </c>
      <c r="U59" t="n">
        <v>12</v>
      </c>
      <c r="V59" t="n">
        <v>7.2616784077696463</v>
      </c>
    </row>
    <row r="60">
      <c r="A60" s="10" t="s">
        <v>72</v>
      </c>
      <c r="B60" s="10" t="s">
        <v>41</v>
      </c>
      <c r="C60" s="10"/>
      <c r="D60" s="10" t="s">
        <v>31</v>
      </c>
      <c r="E60" s="11" t="n">
        <v>45901</v>
      </c>
      <c r="F60" t="n">
        <v>106173</v>
      </c>
      <c r="H60" t="n">
        <v>14621</v>
      </c>
      <c r="I60" t="n">
        <v>91552</v>
      </c>
      <c r="J60" s="10"/>
      <c r="K60" s="10"/>
      <c r="L60" s="10"/>
      <c r="N60" s="11"/>
      <c r="P60" s="11"/>
      <c r="S60" t="n">
        <v>6</v>
      </c>
      <c r="T60" t="n">
        <v>12</v>
      </c>
      <c r="U60" t="n">
        <v>12</v>
      </c>
      <c r="V60" t="n">
        <v>6.2616784077696463</v>
      </c>
    </row>
    <row r="61">
      <c r="A61" s="10" t="s">
        <v>72</v>
      </c>
      <c r="B61" s="10" t="s">
        <v>41</v>
      </c>
      <c r="C61" s="10"/>
      <c r="D61" s="10" t="s">
        <v>31</v>
      </c>
      <c r="E61" s="11" t="n">
        <v>45931</v>
      </c>
      <c r="F61" t="n">
        <v>91552</v>
      </c>
      <c r="H61" t="n">
        <v>14621</v>
      </c>
      <c r="I61" t="n">
        <v>86931</v>
      </c>
      <c r="J61" s="10" t="s">
        <v>160</v>
      </c>
      <c r="K61" s="10" t="s">
        <v>51</v>
      </c>
      <c r="L61" s="10" t="s">
        <v>147</v>
      </c>
      <c r="M61" t="n">
        <v>10000</v>
      </c>
      <c r="N61" s="11"/>
      <c r="O61" t="n">
        <v>95200</v>
      </c>
      <c r="P61" s="11" t="n">
        <v>45931</v>
      </c>
      <c r="S61" t="n">
        <v>6</v>
      </c>
      <c r="T61" t="n">
        <v>12</v>
      </c>
      <c r="U61" t="n">
        <v>12</v>
      </c>
      <c r="V61" t="n">
        <v>5.9456261541618218</v>
      </c>
    </row>
    <row r="62">
      <c r="A62" s="10" t="s">
        <v>72</v>
      </c>
      <c r="B62" s="10" t="s">
        <v>41</v>
      </c>
      <c r="C62" s="10"/>
      <c r="D62" s="10" t="s">
        <v>31</v>
      </c>
      <c r="E62" s="11" t="n">
        <v>45962</v>
      </c>
      <c r="F62" t="n">
        <v>86931</v>
      </c>
      <c r="H62" t="n">
        <v>14621</v>
      </c>
      <c r="I62" t="n">
        <v>107310</v>
      </c>
      <c r="J62" s="10" t="s">
        <v>160</v>
      </c>
      <c r="K62" s="10" t="s">
        <v>51</v>
      </c>
      <c r="L62" s="10" t="s">
        <v>147</v>
      </c>
      <c r="M62" t="n">
        <v>35000</v>
      </c>
      <c r="N62" s="11"/>
      <c r="O62" t="n">
        <v>333200</v>
      </c>
      <c r="P62" s="11" t="n">
        <v>45962</v>
      </c>
      <c r="S62" t="n">
        <v>6</v>
      </c>
      <c r="T62" t="n">
        <v>12</v>
      </c>
      <c r="U62" t="n">
        <v>12</v>
      </c>
      <c r="V62" t="n">
        <v>7.3394432665344365</v>
      </c>
    </row>
    <row r="63">
      <c r="A63" s="10" t="s">
        <v>72</v>
      </c>
      <c r="B63" s="10" t="s">
        <v>41</v>
      </c>
      <c r="C63" s="10"/>
      <c r="D63" s="10" t="s">
        <v>31</v>
      </c>
      <c r="E63" s="11" t="n">
        <v>45992</v>
      </c>
      <c r="F63" t="n">
        <v>107310</v>
      </c>
      <c r="H63" t="n">
        <v>14621</v>
      </c>
      <c r="I63" t="n">
        <v>237449</v>
      </c>
      <c r="J63" s="10" t="s">
        <v>2</v>
      </c>
      <c r="K63" s="10" t="s">
        <v>2</v>
      </c>
      <c r="L63" s="10" t="s">
        <v>4</v>
      </c>
      <c r="M63" t="n">
        <v>144760</v>
      </c>
      <c r="N63" s="11"/>
      <c r="O63" t="n">
        <v>1378115</v>
      </c>
      <c r="P63" s="11" t="n">
        <v>45992</v>
      </c>
      <c r="S63" t="n">
        <v>6</v>
      </c>
      <c r="T63" t="n">
        <v>12</v>
      </c>
      <c r="U63" t="n">
        <v>12</v>
      </c>
      <c r="V63" t="n">
        <v>16.24027084330757</v>
      </c>
    </row>
    <row r="64">
      <c r="A64" s="10" t="s">
        <v>72</v>
      </c>
      <c r="B64" s="10" t="s">
        <v>41</v>
      </c>
      <c r="C64" s="10"/>
      <c r="D64" s="10" t="s">
        <v>31</v>
      </c>
      <c r="E64" s="11" t="n">
        <v>46023</v>
      </c>
      <c r="F64" t="n">
        <v>237449</v>
      </c>
      <c r="H64" t="n">
        <v>14621</v>
      </c>
      <c r="I64" t="n">
        <v>222828</v>
      </c>
      <c r="J64" s="10"/>
      <c r="K64" s="10"/>
      <c r="L64" s="10"/>
      <c r="N64" s="11"/>
      <c r="P64" s="11"/>
      <c r="S64" t="n">
        <v>6</v>
      </c>
      <c r="T64" t="n">
        <v>12</v>
      </c>
      <c r="U64" t="n">
        <v>12</v>
      </c>
      <c r="V64" t="n">
        <v>15.240270843307572</v>
      </c>
    </row>
    <row r="65">
      <c r="A65" s="10" t="s">
        <v>72</v>
      </c>
      <c r="B65" s="10" t="s">
        <v>41</v>
      </c>
      <c r="C65" s="10"/>
      <c r="D65" s="10" t="s">
        <v>31</v>
      </c>
      <c r="E65" s="11" t="n">
        <v>46054</v>
      </c>
      <c r="F65" t="n">
        <v>222828</v>
      </c>
      <c r="H65" t="n">
        <v>14621</v>
      </c>
      <c r="I65" t="n">
        <v>208207</v>
      </c>
      <c r="J65" s="10"/>
      <c r="K65" s="10"/>
      <c r="L65" s="10"/>
      <c r="N65" s="11"/>
      <c r="P65" s="11"/>
      <c r="S65" t="n">
        <v>6</v>
      </c>
      <c r="T65" t="n">
        <v>12</v>
      </c>
      <c r="U65" t="n">
        <v>12</v>
      </c>
      <c r="V65" t="n">
        <v>14.240270843307572</v>
      </c>
    </row>
    <row r="66">
      <c r="A66" s="10" t="s">
        <v>72</v>
      </c>
      <c r="B66" s="10" t="s">
        <v>41</v>
      </c>
      <c r="C66" s="10"/>
      <c r="D66" s="10" t="s">
        <v>31</v>
      </c>
      <c r="E66" s="11" t="n">
        <v>46082</v>
      </c>
      <c r="F66" t="n">
        <v>208207</v>
      </c>
      <c r="H66" t="n">
        <v>14621</v>
      </c>
      <c r="I66" t="n">
        <v>193586</v>
      </c>
      <c r="J66" s="10"/>
      <c r="K66" s="10"/>
      <c r="L66" s="10"/>
      <c r="N66" s="11"/>
      <c r="P66" s="11"/>
      <c r="S66" t="n">
        <v>6</v>
      </c>
      <c r="T66" t="n">
        <v>12</v>
      </c>
      <c r="U66" t="n">
        <v>12</v>
      </c>
      <c r="V66" t="n">
        <v>13.240270843307572</v>
      </c>
    </row>
    <row r="67">
      <c r="A67" s="10" t="s">
        <v>72</v>
      </c>
      <c r="B67" s="10" t="s">
        <v>41</v>
      </c>
      <c r="C67" s="10"/>
      <c r="D67" s="10" t="s">
        <v>31</v>
      </c>
      <c r="E67" s="11" t="n">
        <v>46113</v>
      </c>
      <c r="F67" t="n">
        <v>193586</v>
      </c>
      <c r="H67" t="n">
        <v>14621</v>
      </c>
      <c r="I67" t="n">
        <v>178965</v>
      </c>
      <c r="J67" s="10"/>
      <c r="K67" s="10"/>
      <c r="L67" s="10"/>
      <c r="N67" s="11"/>
      <c r="P67" s="11"/>
      <c r="S67" t="n">
        <v>6</v>
      </c>
      <c r="T67" t="n">
        <v>12</v>
      </c>
      <c r="U67" t="n">
        <v>12</v>
      </c>
      <c r="V67" t="n">
        <v>12.240270843307572</v>
      </c>
    </row>
    <row r="68">
      <c r="A68" s="10" t="s">
        <v>72</v>
      </c>
      <c r="B68" s="10" t="s">
        <v>41</v>
      </c>
      <c r="C68" s="10"/>
      <c r="D68" s="10" t="s">
        <v>31</v>
      </c>
      <c r="E68" s="11" t="n">
        <v>46143</v>
      </c>
      <c r="F68" t="n">
        <v>178965</v>
      </c>
      <c r="H68" t="n">
        <v>14621</v>
      </c>
      <c r="I68" t="n">
        <v>164344</v>
      </c>
      <c r="J68" s="10"/>
      <c r="K68" s="10"/>
      <c r="L68" s="10"/>
      <c r="N68" s="11"/>
      <c r="P68" s="11"/>
      <c r="S68" t="n">
        <v>6</v>
      </c>
      <c r="T68" t="n">
        <v>12</v>
      </c>
      <c r="U68" t="n">
        <v>12</v>
      </c>
      <c r="V68" t="n">
        <v>11.240270843307572</v>
      </c>
    </row>
    <row r="69">
      <c r="A69" s="10" t="s">
        <v>72</v>
      </c>
      <c r="B69" s="10" t="s">
        <v>41</v>
      </c>
      <c r="C69" s="10"/>
      <c r="D69" s="10" t="s">
        <v>31</v>
      </c>
      <c r="E69" s="11" t="n">
        <v>46174</v>
      </c>
      <c r="F69" t="n">
        <v>164344</v>
      </c>
      <c r="H69" t="n">
        <v>14621</v>
      </c>
      <c r="I69" t="n">
        <v>254332</v>
      </c>
      <c r="J69" s="10" t="s">
        <v>2</v>
      </c>
      <c r="K69" s="10" t="s">
        <v>2</v>
      </c>
      <c r="L69" s="10" t="s">
        <v>4</v>
      </c>
      <c r="M69" t="n">
        <v>104609</v>
      </c>
      <c r="N69" s="11"/>
      <c r="O69" t="n">
        <v>995878</v>
      </c>
      <c r="P69" s="11" t="n">
        <v>46174</v>
      </c>
      <c r="S69" t="n">
        <v>6</v>
      </c>
      <c r="T69" t="n">
        <v>12</v>
      </c>
      <c r="U69" t="n">
        <v>12</v>
      </c>
      <c r="V69" t="n">
        <v>17.394979823541483</v>
      </c>
    </row>
    <row r="70">
      <c r="A70" s="10" t="s">
        <v>72</v>
      </c>
      <c r="B70" s="10" t="s">
        <v>41</v>
      </c>
      <c r="C70" s="10"/>
      <c r="D70" s="10" t="s">
        <v>31</v>
      </c>
      <c r="E70" s="11" t="n">
        <v>46204</v>
      </c>
      <c r="F70" t="n">
        <v>254332</v>
      </c>
      <c r="H70" t="n">
        <v>14621</v>
      </c>
      <c r="I70" t="n">
        <v>239711</v>
      </c>
      <c r="J70" s="10"/>
      <c r="K70" s="10"/>
      <c r="L70" s="10"/>
      <c r="N70" s="11"/>
      <c r="P70" s="11"/>
      <c r="S70" t="n">
        <v>6</v>
      </c>
      <c r="T70" t="n">
        <v>12</v>
      </c>
      <c r="U70" t="n">
        <v>12</v>
      </c>
      <c r="V70" t="n">
        <v>16.394979823541483</v>
      </c>
    </row>
    <row r="71">
      <c r="A71" s="10" t="s">
        <v>72</v>
      </c>
      <c r="B71" s="10" t="s">
        <v>41</v>
      </c>
      <c r="C71" s="10"/>
      <c r="D71" s="10" t="s">
        <v>31</v>
      </c>
      <c r="E71" s="11" t="n">
        <v>46235</v>
      </c>
      <c r="F71" t="n">
        <v>239711</v>
      </c>
      <c r="H71" t="n">
        <v>14621</v>
      </c>
      <c r="I71" t="n">
        <v>225090</v>
      </c>
      <c r="J71" s="10"/>
      <c r="K71" s="10"/>
      <c r="L71" s="10"/>
      <c r="N71" s="11"/>
      <c r="P71" s="11"/>
      <c r="S71" t="n">
        <v>6</v>
      </c>
      <c r="T71" t="n">
        <v>12</v>
      </c>
      <c r="U71" t="n">
        <v>12</v>
      </c>
      <c r="V71" t="n">
        <v>15.394979823541481</v>
      </c>
    </row>
    <row r="72">
      <c r="A72" s="10" t="s">
        <v>72</v>
      </c>
      <c r="B72" s="10" t="s">
        <v>41</v>
      </c>
      <c r="C72" s="10"/>
      <c r="D72" s="10" t="s">
        <v>31</v>
      </c>
      <c r="E72" s="11" t="n">
        <v>46266</v>
      </c>
      <c r="F72" t="n">
        <v>225090</v>
      </c>
      <c r="H72" t="n">
        <v>14621</v>
      </c>
      <c r="I72" t="n">
        <v>210469</v>
      </c>
      <c r="J72" s="10"/>
      <c r="K72" s="10"/>
      <c r="L72" s="10"/>
      <c r="N72" s="11"/>
      <c r="P72" s="11"/>
      <c r="S72" t="n">
        <v>6</v>
      </c>
      <c r="T72" t="n">
        <v>12</v>
      </c>
      <c r="U72" t="n">
        <v>12</v>
      </c>
      <c r="V72" t="n">
        <v>14.394979823541481</v>
      </c>
    </row>
    <row r="73">
      <c r="A73" s="10" t="s">
        <v>72</v>
      </c>
      <c r="B73" s="10" t="s">
        <v>41</v>
      </c>
      <c r="C73" s="10"/>
      <c r="D73" s="10" t="s">
        <v>31</v>
      </c>
      <c r="E73" s="11" t="n">
        <v>46296</v>
      </c>
      <c r="F73" t="n">
        <v>210469</v>
      </c>
      <c r="H73" t="n">
        <v>14621</v>
      </c>
      <c r="I73" t="n">
        <v>195848</v>
      </c>
      <c r="J73" s="10"/>
      <c r="K73" s="10"/>
      <c r="L73" s="10"/>
      <c r="N73" s="11"/>
      <c r="P73" s="11"/>
      <c r="S73" t="n">
        <v>6</v>
      </c>
      <c r="T73" t="n">
        <v>12</v>
      </c>
      <c r="U73" t="n">
        <v>12</v>
      </c>
      <c r="V73" t="n">
        <v>13.394979823541481</v>
      </c>
    </row>
    <row r="74">
      <c r="A74" s="10" t="s">
        <v>72</v>
      </c>
      <c r="B74" s="10" t="s">
        <v>41</v>
      </c>
      <c r="C74" s="10"/>
      <c r="D74" s="10" t="s">
        <v>31</v>
      </c>
      <c r="E74" s="11" t="n">
        <v>46327</v>
      </c>
      <c r="F74" t="n">
        <v>195848</v>
      </c>
      <c r="H74" t="n">
        <v>14621</v>
      </c>
      <c r="I74" t="n">
        <v>181227</v>
      </c>
      <c r="J74" s="10"/>
      <c r="K74" s="10"/>
      <c r="L74" s="10"/>
      <c r="N74" s="11"/>
      <c r="P74" s="11"/>
      <c r="S74" t="n">
        <v>6</v>
      </c>
      <c r="T74" t="n">
        <v>12</v>
      </c>
      <c r="U74" t="n">
        <v>12</v>
      </c>
      <c r="V74" t="n">
        <v>12.394979823541481</v>
      </c>
    </row>
    <row r="75">
      <c r="A75" s="10" t="s">
        <v>72</v>
      </c>
      <c r="B75" s="10" t="s">
        <v>41</v>
      </c>
      <c r="C75" s="10"/>
      <c r="D75" s="10" t="s">
        <v>31</v>
      </c>
      <c r="E75" s="11" t="n">
        <v>46357</v>
      </c>
      <c r="F75" t="n">
        <v>181227</v>
      </c>
      <c r="H75" t="n">
        <v>14621</v>
      </c>
      <c r="I75" t="n">
        <v>264641</v>
      </c>
      <c r="J75" s="10" t="s">
        <v>2</v>
      </c>
      <c r="K75" s="10" t="s">
        <v>2</v>
      </c>
      <c r="L75" s="10" t="s">
        <v>4</v>
      </c>
      <c r="M75" t="n">
        <v>98035</v>
      </c>
      <c r="N75" s="11"/>
      <c r="O75" t="n">
        <v>933294</v>
      </c>
      <c r="P75" s="11" t="n">
        <v>46357</v>
      </c>
      <c r="S75" t="n">
        <v>6</v>
      </c>
      <c r="T75" t="n">
        <v>12</v>
      </c>
      <c r="U75" t="n">
        <v>12</v>
      </c>
      <c r="V75" t="n">
        <v>18.100061555297174</v>
      </c>
    </row>
    <row r="76">
      <c r="A76" s="10" t="s">
        <v>77</v>
      </c>
      <c r="B76" s="10" t="s">
        <v>41</v>
      </c>
      <c r="C76" s="10"/>
      <c r="D76" s="10" t="s">
        <v>31</v>
      </c>
      <c r="E76" s="11" t="n">
        <v>45839</v>
      </c>
      <c r="F76" t="n">
        <v>246633</v>
      </c>
      <c r="H76" t="n">
        <v>47645</v>
      </c>
      <c r="I76" t="n">
        <v>198988</v>
      </c>
      <c r="J76" s="10"/>
      <c r="K76" s="10"/>
      <c r="L76" s="10"/>
      <c r="N76" s="11"/>
      <c r="P76" s="11"/>
      <c r="S76" t="n">
        <v>6</v>
      </c>
      <c r="T76" t="n">
        <v>12</v>
      </c>
      <c r="U76" t="n">
        <v>12</v>
      </c>
      <c r="V76" t="n">
        <v>4.1764718228565432</v>
      </c>
    </row>
    <row r="77">
      <c r="A77" s="10" t="s">
        <v>77</v>
      </c>
      <c r="B77" s="10" t="s">
        <v>41</v>
      </c>
      <c r="C77" s="10"/>
      <c r="D77" s="10" t="s">
        <v>31</v>
      </c>
      <c r="E77" s="11" t="n">
        <v>45870</v>
      </c>
      <c r="F77" t="n">
        <v>198988</v>
      </c>
      <c r="H77" t="n">
        <v>47645</v>
      </c>
      <c r="I77" t="n">
        <v>151343</v>
      </c>
      <c r="J77" s="10"/>
      <c r="K77" s="10"/>
      <c r="L77" s="10"/>
      <c r="N77" s="11"/>
      <c r="P77" s="11"/>
      <c r="S77" t="n">
        <v>6</v>
      </c>
      <c r="T77" t="n">
        <v>12</v>
      </c>
      <c r="U77" t="n">
        <v>12</v>
      </c>
      <c r="V77" t="n">
        <v>3.1764718228565432</v>
      </c>
    </row>
    <row r="78">
      <c r="A78" s="10" t="s">
        <v>77</v>
      </c>
      <c r="B78" s="10" t="s">
        <v>41</v>
      </c>
      <c r="C78" s="10"/>
      <c r="D78" s="10" t="s">
        <v>31</v>
      </c>
      <c r="E78" s="11" t="n">
        <v>45901</v>
      </c>
      <c r="F78" t="n">
        <v>151343</v>
      </c>
      <c r="H78" t="n">
        <v>47645</v>
      </c>
      <c r="I78" t="n">
        <v>103698</v>
      </c>
      <c r="J78" s="10"/>
      <c r="K78" s="10"/>
      <c r="L78" s="10"/>
      <c r="N78" s="11"/>
      <c r="P78" s="11"/>
      <c r="S78" t="n">
        <v>6</v>
      </c>
      <c r="T78" t="n">
        <v>12</v>
      </c>
      <c r="U78" t="n">
        <v>12</v>
      </c>
      <c r="V78" t="n">
        <v>2.1764718228565432</v>
      </c>
    </row>
    <row r="79">
      <c r="A79" s="10" t="s">
        <v>77</v>
      </c>
      <c r="B79" s="10" t="s">
        <v>41</v>
      </c>
      <c r="C79" s="10"/>
      <c r="D79" s="10" t="s">
        <v>31</v>
      </c>
      <c r="E79" s="11" t="n">
        <v>45931</v>
      </c>
      <c r="F79" t="n">
        <v>103698</v>
      </c>
      <c r="H79" t="n">
        <v>47645</v>
      </c>
      <c r="I79" t="n">
        <v>56053</v>
      </c>
      <c r="J79" s="10"/>
      <c r="K79" s="10"/>
      <c r="L79" s="10"/>
      <c r="N79" s="11"/>
      <c r="P79" s="11"/>
      <c r="S79" t="n">
        <v>6</v>
      </c>
      <c r="T79" t="n">
        <v>12</v>
      </c>
      <c r="U79" t="n">
        <v>12</v>
      </c>
      <c r="V79" t="n">
        <v>1.1764718228565432</v>
      </c>
    </row>
    <row r="80">
      <c r="A80" s="10" t="s">
        <v>77</v>
      </c>
      <c r="B80" s="10" t="s">
        <v>41</v>
      </c>
      <c r="C80" s="10"/>
      <c r="D80" s="10" t="s">
        <v>31</v>
      </c>
      <c r="E80" s="11" t="n">
        <v>45962</v>
      </c>
      <c r="F80" t="n">
        <v>56053</v>
      </c>
      <c r="H80" t="n">
        <v>47645</v>
      </c>
      <c r="I80" t="n">
        <v>8408</v>
      </c>
      <c r="J80" s="10"/>
      <c r="K80" s="10"/>
      <c r="L80" s="10"/>
      <c r="N80" s="11"/>
      <c r="P80" s="11"/>
      <c r="S80" t="n">
        <v>6</v>
      </c>
      <c r="T80" t="n">
        <v>12</v>
      </c>
      <c r="U80" t="n">
        <v>12</v>
      </c>
      <c r="V80" t="n">
        <v>0.17647182285654317</v>
      </c>
    </row>
    <row r="81">
      <c r="A81" s="10" t="s">
        <v>77</v>
      </c>
      <c r="B81" s="10" t="s">
        <v>41</v>
      </c>
      <c r="C81" s="10"/>
      <c r="D81" s="10" t="s">
        <v>31</v>
      </c>
      <c r="E81" s="11" t="n">
        <v>45992</v>
      </c>
      <c r="F81" t="n">
        <v>8408</v>
      </c>
      <c r="H81" t="n">
        <v>47645</v>
      </c>
      <c r="I81" t="n">
        <v>0</v>
      </c>
      <c r="J81" s="10"/>
      <c r="K81" s="10"/>
      <c r="L81" s="10"/>
      <c r="N81" s="11"/>
      <c r="P81" s="11"/>
      <c r="S81" t="n">
        <v>6</v>
      </c>
      <c r="T81" t="n">
        <v>12</v>
      </c>
      <c r="U81" t="n">
        <v>12</v>
      </c>
      <c r="V81" t="n">
        <v>0</v>
      </c>
    </row>
    <row r="82">
      <c r="A82" s="10" t="s">
        <v>77</v>
      </c>
      <c r="B82" s="10" t="s">
        <v>41</v>
      </c>
      <c r="C82" s="10"/>
      <c r="D82" s="10" t="s">
        <v>31</v>
      </c>
      <c r="E82" s="11" t="n">
        <v>46023</v>
      </c>
      <c r="F82" t="n">
        <v>0</v>
      </c>
      <c r="H82" t="n">
        <v>47645</v>
      </c>
      <c r="I82" t="n">
        <v>0</v>
      </c>
      <c r="J82" s="10"/>
      <c r="K82" s="10"/>
      <c r="L82" s="10"/>
      <c r="N82" s="11"/>
      <c r="P82" s="11"/>
      <c r="S82" t="n">
        <v>6</v>
      </c>
      <c r="T82" t="n">
        <v>12</v>
      </c>
      <c r="U82" t="n">
        <v>12</v>
      </c>
      <c r="V82" t="n">
        <v>0</v>
      </c>
    </row>
    <row r="83">
      <c r="A83" s="10" t="s">
        <v>77</v>
      </c>
      <c r="B83" s="10" t="s">
        <v>41</v>
      </c>
      <c r="C83" s="10"/>
      <c r="D83" s="10" t="s">
        <v>31</v>
      </c>
      <c r="E83" s="11" t="n">
        <v>46054</v>
      </c>
      <c r="F83" t="n">
        <v>0</v>
      </c>
      <c r="H83" t="n">
        <v>47645</v>
      </c>
      <c r="I83" t="n">
        <v>0</v>
      </c>
      <c r="J83" s="10"/>
      <c r="K83" s="10"/>
      <c r="L83" s="10"/>
      <c r="N83" s="11"/>
      <c r="P83" s="11"/>
      <c r="S83" t="n">
        <v>6</v>
      </c>
      <c r="T83" t="n">
        <v>12</v>
      </c>
      <c r="U83" t="n">
        <v>12</v>
      </c>
      <c r="V83" t="n">
        <v>0</v>
      </c>
    </row>
    <row r="84">
      <c r="A84" s="10" t="s">
        <v>77</v>
      </c>
      <c r="B84" s="10" t="s">
        <v>41</v>
      </c>
      <c r="C84" s="10"/>
      <c r="D84" s="10" t="s">
        <v>31</v>
      </c>
      <c r="E84" s="11" t="n">
        <v>46082</v>
      </c>
      <c r="F84" t="n">
        <v>0</v>
      </c>
      <c r="H84" t="n">
        <v>47645</v>
      </c>
      <c r="I84" t="n">
        <v>0</v>
      </c>
      <c r="J84" s="10"/>
      <c r="K84" s="10"/>
      <c r="L84" s="10"/>
      <c r="N84" s="11"/>
      <c r="P84" s="11"/>
      <c r="S84" t="n">
        <v>6</v>
      </c>
      <c r="T84" t="n">
        <v>12</v>
      </c>
      <c r="U84" t="n">
        <v>12</v>
      </c>
      <c r="V84" t="n">
        <v>0</v>
      </c>
    </row>
    <row r="85">
      <c r="A85" s="10" t="s">
        <v>77</v>
      </c>
      <c r="B85" s="10" t="s">
        <v>41</v>
      </c>
      <c r="C85" s="10"/>
      <c r="D85" s="10" t="s">
        <v>31</v>
      </c>
      <c r="E85" s="11" t="n">
        <v>46113</v>
      </c>
      <c r="F85" t="n">
        <v>0</v>
      </c>
      <c r="H85" t="n">
        <v>47645</v>
      </c>
      <c r="I85" t="n">
        <v>0</v>
      </c>
      <c r="J85" s="10"/>
      <c r="K85" s="10"/>
      <c r="L85" s="10"/>
      <c r="N85" s="11"/>
      <c r="P85" s="11"/>
      <c r="S85" t="n">
        <v>6</v>
      </c>
      <c r="T85" t="n">
        <v>12</v>
      </c>
      <c r="U85" t="n">
        <v>12</v>
      </c>
      <c r="V85" t="n">
        <v>0</v>
      </c>
    </row>
    <row r="86">
      <c r="A86" s="10" t="s">
        <v>77</v>
      </c>
      <c r="B86" s="10" t="s">
        <v>41</v>
      </c>
      <c r="C86" s="10"/>
      <c r="D86" s="10" t="s">
        <v>31</v>
      </c>
      <c r="E86" s="11" t="n">
        <v>46143</v>
      </c>
      <c r="F86" t="n">
        <v>0</v>
      </c>
      <c r="H86" t="n">
        <v>47645</v>
      </c>
      <c r="I86" t="n">
        <v>0</v>
      </c>
      <c r="J86" s="10"/>
      <c r="K86" s="10"/>
      <c r="L86" s="10"/>
      <c r="N86" s="11"/>
      <c r="P86" s="11"/>
      <c r="S86" t="n">
        <v>6</v>
      </c>
      <c r="T86" t="n">
        <v>12</v>
      </c>
      <c r="U86" t="n">
        <v>12</v>
      </c>
      <c r="V86" t="n">
        <v>0</v>
      </c>
    </row>
    <row r="87">
      <c r="A87" s="10" t="s">
        <v>77</v>
      </c>
      <c r="B87" s="10" t="s">
        <v>41</v>
      </c>
      <c r="C87" s="10"/>
      <c r="D87" s="10" t="s">
        <v>31</v>
      </c>
      <c r="E87" s="11" t="n">
        <v>46174</v>
      </c>
      <c r="F87" t="n">
        <v>0</v>
      </c>
      <c r="H87" t="n">
        <v>47645</v>
      </c>
      <c r="I87" t="n">
        <v>0</v>
      </c>
      <c r="J87" s="10"/>
      <c r="K87" s="10"/>
      <c r="L87" s="10"/>
      <c r="N87" s="11"/>
      <c r="P87" s="11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74</v>
      </c>
      <c r="B88" s="10" t="s">
        <v>41</v>
      </c>
      <c r="C88" s="10"/>
      <c r="D88" s="10" t="s">
        <v>31</v>
      </c>
      <c r="E88" s="11" t="n">
        <v>45870</v>
      </c>
      <c r="F88" t="n">
        <v>151590</v>
      </c>
      <c r="H88" t="n">
        <v>27890</v>
      </c>
      <c r="I88" t="n">
        <v>123700</v>
      </c>
      <c r="J88" s="10"/>
      <c r="K88" s="10"/>
      <c r="L88" s="10"/>
      <c r="N88" s="11"/>
      <c r="P88" s="11"/>
      <c r="S88" t="n">
        <v>3</v>
      </c>
      <c r="T88" t="n">
        <v>6</v>
      </c>
      <c r="U88" t="n">
        <v>6</v>
      </c>
      <c r="V88" t="n">
        <v>4.4352814628899244</v>
      </c>
    </row>
    <row r="89">
      <c r="A89" s="10" t="s">
        <v>74</v>
      </c>
      <c r="B89" s="10" t="s">
        <v>41</v>
      </c>
      <c r="C89" s="10"/>
      <c r="D89" s="10" t="s">
        <v>31</v>
      </c>
      <c r="E89" s="11" t="n">
        <v>45901</v>
      </c>
      <c r="F89" t="n">
        <v>123700</v>
      </c>
      <c r="H89" t="n">
        <v>27890</v>
      </c>
      <c r="I89" t="n">
        <v>95810</v>
      </c>
      <c r="J89" s="10"/>
      <c r="K89" s="10"/>
      <c r="L89" s="10"/>
      <c r="N89" s="11"/>
      <c r="P89" s="11"/>
      <c r="S89" t="n">
        <v>3</v>
      </c>
      <c r="T89" t="n">
        <v>6</v>
      </c>
      <c r="U89" t="n">
        <v>6</v>
      </c>
      <c r="V89" t="n">
        <v>3.4352814628899249</v>
      </c>
    </row>
    <row r="90">
      <c r="A90" s="10" t="s">
        <v>74</v>
      </c>
      <c r="B90" s="10" t="s">
        <v>41</v>
      </c>
      <c r="C90" s="10"/>
      <c r="D90" s="10" t="s">
        <v>31</v>
      </c>
      <c r="E90" s="11" t="n">
        <v>45931</v>
      </c>
      <c r="F90" t="n">
        <v>95810</v>
      </c>
      <c r="H90" t="n">
        <v>27890</v>
      </c>
      <c r="I90" t="n">
        <v>67920</v>
      </c>
      <c r="J90" s="10"/>
      <c r="K90" s="10"/>
      <c r="L90" s="10"/>
      <c r="N90" s="11"/>
      <c r="P90" s="11"/>
      <c r="S90" t="n">
        <v>3</v>
      </c>
      <c r="T90" t="n">
        <v>6</v>
      </c>
      <c r="U90" t="n">
        <v>6</v>
      </c>
      <c r="V90" t="n">
        <v>2.4352814628899249</v>
      </c>
    </row>
    <row r="91">
      <c r="A91" s="10" t="s">
        <v>74</v>
      </c>
      <c r="B91" s="10" t="s">
        <v>41</v>
      </c>
      <c r="C91" s="10"/>
      <c r="D91" s="10" t="s">
        <v>31</v>
      </c>
      <c r="E91" s="11" t="n">
        <v>45962</v>
      </c>
      <c r="F91" t="n">
        <v>67920</v>
      </c>
      <c r="H91" t="n">
        <v>27890</v>
      </c>
      <c r="I91" t="n">
        <v>40030</v>
      </c>
      <c r="J91" s="10"/>
      <c r="K91" s="10"/>
      <c r="L91" s="10"/>
      <c r="N91" s="11"/>
      <c r="P91" s="11"/>
      <c r="S91" t="n">
        <v>3</v>
      </c>
      <c r="T91" t="n">
        <v>6</v>
      </c>
      <c r="U91" t="n">
        <v>6</v>
      </c>
      <c r="V91" t="n">
        <v>1.4352814628899246</v>
      </c>
    </row>
    <row r="92">
      <c r="A92" s="10" t="s">
        <v>74</v>
      </c>
      <c r="B92" s="10" t="s">
        <v>41</v>
      </c>
      <c r="C92" s="10"/>
      <c r="D92" s="10" t="s">
        <v>31</v>
      </c>
      <c r="E92" s="11" t="n">
        <v>45992</v>
      </c>
      <c r="F92" t="n">
        <v>40030</v>
      </c>
      <c r="H92" t="n">
        <v>27890</v>
      </c>
      <c r="I92" t="n">
        <v>160538</v>
      </c>
      <c r="J92" s="10" t="s">
        <v>2</v>
      </c>
      <c r="K92" s="10" t="s">
        <v>2</v>
      </c>
      <c r="L92" s="10" t="s">
        <v>4</v>
      </c>
      <c r="M92" t="n">
        <v>148398</v>
      </c>
      <c r="N92" s="11" t="n">
        <v>45992</v>
      </c>
      <c r="P92" s="11"/>
      <c r="S92" t="n">
        <v>3</v>
      </c>
      <c r="T92" t="n">
        <v>6</v>
      </c>
      <c r="U92" t="n">
        <v>6</v>
      </c>
      <c r="V92" t="n">
        <v>5.756113302258874</v>
      </c>
    </row>
    <row r="93">
      <c r="A93" s="10" t="s">
        <v>74</v>
      </c>
      <c r="B93" s="10" t="s">
        <v>41</v>
      </c>
      <c r="C93" s="10"/>
      <c r="D93" s="10" t="s">
        <v>31</v>
      </c>
      <c r="E93" s="11" t="n">
        <v>46023</v>
      </c>
      <c r="F93" t="n">
        <v>160538</v>
      </c>
      <c r="H93" t="n">
        <v>27890</v>
      </c>
      <c r="I93" t="n">
        <v>132648</v>
      </c>
      <c r="J93" s="10"/>
      <c r="K93" s="10"/>
      <c r="L93" s="10"/>
      <c r="N93" s="11"/>
      <c r="P93" s="11"/>
      <c r="S93" t="n">
        <v>3</v>
      </c>
      <c r="T93" t="n">
        <v>6</v>
      </c>
      <c r="U93" t="n">
        <v>6</v>
      </c>
      <c r="V93" t="n">
        <v>4.756113302258874</v>
      </c>
    </row>
    <row r="94">
      <c r="A94" s="10" t="s">
        <v>74</v>
      </c>
      <c r="B94" s="10" t="s">
        <v>41</v>
      </c>
      <c r="C94" s="10"/>
      <c r="D94" s="10" t="s">
        <v>31</v>
      </c>
      <c r="E94" s="11" t="n">
        <v>46054</v>
      </c>
      <c r="F94" t="n">
        <v>132648</v>
      </c>
      <c r="H94" t="n">
        <v>27890</v>
      </c>
      <c r="I94" t="n">
        <v>104758</v>
      </c>
      <c r="J94" s="10"/>
      <c r="K94" s="10"/>
      <c r="L94" s="10"/>
      <c r="N94" s="11"/>
      <c r="P94" s="11"/>
      <c r="S94" t="n">
        <v>3</v>
      </c>
      <c r="T94" t="n">
        <v>6</v>
      </c>
      <c r="U94" t="n">
        <v>6</v>
      </c>
      <c r="V94" t="n">
        <v>3.756113302258874</v>
      </c>
    </row>
    <row r="95">
      <c r="A95" s="10" t="s">
        <v>74</v>
      </c>
      <c r="B95" s="10" t="s">
        <v>41</v>
      </c>
      <c r="C95" s="10"/>
      <c r="D95" s="10" t="s">
        <v>31</v>
      </c>
      <c r="E95" s="11" t="n">
        <v>46082</v>
      </c>
      <c r="F95" t="n">
        <v>104758</v>
      </c>
      <c r="H95" t="n">
        <v>27890</v>
      </c>
      <c r="I95" t="n">
        <v>76868</v>
      </c>
      <c r="J95" s="10"/>
      <c r="K95" s="10"/>
      <c r="L95" s="10"/>
      <c r="N95" s="11"/>
      <c r="P95" s="11"/>
      <c r="S95" t="n">
        <v>3</v>
      </c>
      <c r="T95" t="n">
        <v>6</v>
      </c>
      <c r="U95" t="n">
        <v>6</v>
      </c>
      <c r="V95" t="n">
        <v>2.756113302258874</v>
      </c>
    </row>
    <row r="96">
      <c r="A96" s="10" t="s">
        <v>74</v>
      </c>
      <c r="B96" s="10" t="s">
        <v>41</v>
      </c>
      <c r="C96" s="10"/>
      <c r="D96" s="10" t="s">
        <v>31</v>
      </c>
      <c r="E96" s="11" t="n">
        <v>46113</v>
      </c>
      <c r="F96" t="n">
        <v>76868</v>
      </c>
      <c r="H96" t="n">
        <v>27890</v>
      </c>
      <c r="I96" t="n">
        <v>48978</v>
      </c>
      <c r="J96" s="10"/>
      <c r="K96" s="10"/>
      <c r="L96" s="10"/>
      <c r="N96" s="11"/>
      <c r="P96" s="11"/>
      <c r="S96" t="n">
        <v>3</v>
      </c>
      <c r="T96" t="n">
        <v>6</v>
      </c>
      <c r="U96" t="n">
        <v>6</v>
      </c>
      <c r="V96" t="n">
        <v>1.7561133022588742</v>
      </c>
    </row>
    <row r="97">
      <c r="A97" s="10" t="s">
        <v>74</v>
      </c>
      <c r="B97" s="10" t="s">
        <v>41</v>
      </c>
      <c r="C97" s="10"/>
      <c r="D97" s="10" t="s">
        <v>31</v>
      </c>
      <c r="E97" s="11" t="n">
        <v>46143</v>
      </c>
      <c r="F97" t="n">
        <v>48978</v>
      </c>
      <c r="H97" t="n">
        <v>27890</v>
      </c>
      <c r="I97" t="n">
        <v>21088</v>
      </c>
      <c r="J97" s="10"/>
      <c r="K97" s="10"/>
      <c r="L97" s="10"/>
      <c r="N97" s="11"/>
      <c r="P97" s="11"/>
      <c r="S97" t="n">
        <v>3</v>
      </c>
      <c r="T97" t="n">
        <v>6</v>
      </c>
      <c r="U97" t="n">
        <v>6</v>
      </c>
      <c r="V97" t="n">
        <v>0.75611330225887419</v>
      </c>
    </row>
    <row r="98">
      <c r="A98" s="10" t="s">
        <v>74</v>
      </c>
      <c r="B98" s="10" t="s">
        <v>41</v>
      </c>
      <c r="C98" s="10"/>
      <c r="D98" s="10" t="s">
        <v>31</v>
      </c>
      <c r="E98" s="11" t="n">
        <v>46174</v>
      </c>
      <c r="F98" t="n">
        <v>21088</v>
      </c>
      <c r="H98" t="n">
        <v>27890</v>
      </c>
      <c r="I98" t="n">
        <v>0</v>
      </c>
      <c r="J98" s="10"/>
      <c r="K98" s="10"/>
      <c r="L98" s="10"/>
      <c r="N98" s="11"/>
      <c r="P98" s="11"/>
      <c r="S98" t="n">
        <v>3</v>
      </c>
      <c r="T98" t="n">
        <v>6</v>
      </c>
      <c r="U98" t="n">
        <v>6</v>
      </c>
      <c r="V98" t="n">
        <v>0</v>
      </c>
    </row>
    <row r="99">
      <c r="A99" s="10" t="s">
        <v>74</v>
      </c>
      <c r="B99" s="10" t="s">
        <v>41</v>
      </c>
      <c r="C99" s="10"/>
      <c r="D99" s="10" t="s">
        <v>31</v>
      </c>
      <c r="E99" s="11" t="n">
        <v>46204</v>
      </c>
      <c r="F99" t="n">
        <v>0</v>
      </c>
      <c r="H99" t="n">
        <v>27890</v>
      </c>
      <c r="I99" t="n">
        <v>0</v>
      </c>
      <c r="J99" s="10"/>
      <c r="K99" s="10"/>
      <c r="L99" s="10"/>
      <c r="N99" s="11"/>
      <c r="P99" s="11"/>
      <c r="S99" t="n">
        <v>3</v>
      </c>
      <c r="T99" t="n">
        <v>6</v>
      </c>
      <c r="U99" t="n">
        <v>6</v>
      </c>
      <c r="V99" t="n">
        <v>0</v>
      </c>
    </row>
    <row r="100">
      <c r="A100" s="10" t="s">
        <v>74</v>
      </c>
      <c r="B100" s="10" t="s">
        <v>41</v>
      </c>
      <c r="C100" s="10"/>
      <c r="D100" s="10" t="s">
        <v>31</v>
      </c>
      <c r="E100" s="11" t="n">
        <v>46235</v>
      </c>
      <c r="F100" t="n">
        <v>0</v>
      </c>
      <c r="H100" t="n">
        <v>27890</v>
      </c>
      <c r="I100" t="n">
        <v>0</v>
      </c>
      <c r="J100" s="10"/>
      <c r="K100" s="10"/>
      <c r="L100" s="10"/>
      <c r="N100" s="11"/>
      <c r="P100" s="11"/>
      <c r="S100" t="n">
        <v>3</v>
      </c>
      <c r="T100" t="n">
        <v>6</v>
      </c>
      <c r="U100" t="n">
        <v>6</v>
      </c>
      <c r="V100" t="n">
        <v>0</v>
      </c>
    </row>
    <row r="101">
      <c r="A101" s="10" t="s">
        <v>166</v>
      </c>
      <c r="B101" s="10" t="s">
        <v>41</v>
      </c>
      <c r="C101" s="10"/>
      <c r="D101" s="10" t="s">
        <v>31</v>
      </c>
      <c r="E101" s="11" t="n">
        <v>45748</v>
      </c>
      <c r="F101" t="n">
        <v>89100</v>
      </c>
      <c r="H101" t="n">
        <v>23847</v>
      </c>
      <c r="I101" t="n">
        <v>65253</v>
      </c>
      <c r="J101" s="10"/>
      <c r="K101" s="10"/>
      <c r="L101" s="10"/>
      <c r="N101" s="11"/>
      <c r="P101" s="11"/>
      <c r="V101" t="n">
        <v>2.7363190338407346</v>
      </c>
    </row>
    <row r="102">
      <c r="A102" s="10" t="s">
        <v>166</v>
      </c>
      <c r="B102" s="10" t="s">
        <v>41</v>
      </c>
      <c r="C102" s="10"/>
      <c r="D102" s="10" t="s">
        <v>31</v>
      </c>
      <c r="E102" s="11" t="n">
        <v>45778</v>
      </c>
      <c r="F102" t="n">
        <v>65253</v>
      </c>
      <c r="H102" t="n">
        <v>23847</v>
      </c>
      <c r="I102" t="n">
        <v>41406</v>
      </c>
      <c r="J102" s="10"/>
      <c r="K102" s="10"/>
      <c r="L102" s="10"/>
      <c r="N102" s="11"/>
      <c r="P102" s="11"/>
      <c r="V102" t="n">
        <v>1.7363190338407346</v>
      </c>
    </row>
    <row r="103">
      <c r="A103" s="10" t="s">
        <v>166</v>
      </c>
      <c r="B103" s="10" t="s">
        <v>41</v>
      </c>
      <c r="C103" s="10"/>
      <c r="D103" s="10" t="s">
        <v>31</v>
      </c>
      <c r="E103" s="11" t="n">
        <v>45809</v>
      </c>
      <c r="F103" t="n">
        <v>41406</v>
      </c>
      <c r="H103" t="n">
        <v>23847</v>
      </c>
      <c r="I103" t="n">
        <v>17559</v>
      </c>
      <c r="J103" s="10"/>
      <c r="K103" s="10"/>
      <c r="L103" s="10"/>
      <c r="N103" s="11"/>
      <c r="P103" s="11"/>
      <c r="V103" t="n">
        <v>0.73631903384073472</v>
      </c>
    </row>
    <row r="104">
      <c r="A104" s="10" t="s">
        <v>166</v>
      </c>
      <c r="B104" s="10" t="s">
        <v>41</v>
      </c>
      <c r="C104" s="10"/>
      <c r="D104" s="10" t="s">
        <v>31</v>
      </c>
      <c r="E104" s="11" t="n">
        <v>45839</v>
      </c>
      <c r="F104" t="n">
        <v>17559</v>
      </c>
      <c r="H104" t="n">
        <v>23847</v>
      </c>
      <c r="I104" t="n">
        <v>51712</v>
      </c>
      <c r="J104" s="10"/>
      <c r="K104" s="10"/>
      <c r="L104" s="10"/>
      <c r="M104" t="n">
        <v>58000</v>
      </c>
      <c r="N104" s="11" t="n">
        <v>45839</v>
      </c>
      <c r="P104" s="11"/>
      <c r="V104" t="n">
        <v>2.168490795487902</v>
      </c>
    </row>
    <row r="105">
      <c r="A105" s="10" t="s">
        <v>166</v>
      </c>
      <c r="B105" s="10" t="s">
        <v>41</v>
      </c>
      <c r="C105" s="10"/>
      <c r="D105" s="10" t="s">
        <v>31</v>
      </c>
      <c r="E105" s="11" t="n">
        <v>45870</v>
      </c>
      <c r="F105" t="n">
        <v>51712</v>
      </c>
      <c r="H105" t="n">
        <v>23847</v>
      </c>
      <c r="I105" t="n">
        <v>27865</v>
      </c>
      <c r="J105" s="10"/>
      <c r="K105" s="10"/>
      <c r="L105" s="10"/>
      <c r="N105" s="11"/>
      <c r="P105" s="11"/>
      <c r="V105" t="n">
        <v>1.168490795487902</v>
      </c>
    </row>
    <row r="106">
      <c r="A106" s="10" t="s">
        <v>166</v>
      </c>
      <c r="B106" s="10" t="s">
        <v>41</v>
      </c>
      <c r="C106" s="10"/>
      <c r="D106" s="10" t="s">
        <v>31</v>
      </c>
      <c r="E106" s="11" t="n">
        <v>45901</v>
      </c>
      <c r="F106" t="n">
        <v>27865</v>
      </c>
      <c r="H106" t="n">
        <v>23847</v>
      </c>
      <c r="I106" t="n">
        <v>4018</v>
      </c>
      <c r="J106" s="10"/>
      <c r="K106" s="10"/>
      <c r="L106" s="10"/>
      <c r="N106" s="11"/>
      <c r="P106" s="11"/>
      <c r="V106" t="n">
        <v>0.16849079548790205</v>
      </c>
    </row>
    <row r="107">
      <c r="A107" s="10" t="s">
        <v>166</v>
      </c>
      <c r="B107" s="10" t="s">
        <v>41</v>
      </c>
      <c r="C107" s="10"/>
      <c r="D107" s="10" t="s">
        <v>31</v>
      </c>
      <c r="E107" s="11" t="n">
        <v>45931</v>
      </c>
      <c r="F107" t="n">
        <v>4018</v>
      </c>
      <c r="H107" t="n">
        <v>23847</v>
      </c>
      <c r="I107" t="n">
        <v>0</v>
      </c>
      <c r="J107" s="10"/>
      <c r="K107" s="10"/>
      <c r="L107" s="10"/>
      <c r="N107" s="11"/>
      <c r="P107" s="11"/>
      <c r="V107" t="n">
        <v>0</v>
      </c>
    </row>
    <row r="108">
      <c r="A108" s="10" t="s">
        <v>166</v>
      </c>
      <c r="B108" s="10" t="s">
        <v>41</v>
      </c>
      <c r="C108" s="10"/>
      <c r="D108" s="10" t="s">
        <v>31</v>
      </c>
      <c r="E108" s="11" t="n">
        <v>45962</v>
      </c>
      <c r="F108" t="n">
        <v>0</v>
      </c>
      <c r="H108" t="n">
        <v>23847</v>
      </c>
      <c r="I108" t="n">
        <v>0</v>
      </c>
      <c r="J108" s="10"/>
      <c r="K108" s="10"/>
      <c r="L108" s="10"/>
      <c r="N108" s="11"/>
      <c r="P108" s="11"/>
      <c r="V108" t="n">
        <v>0</v>
      </c>
    </row>
    <row r="109">
      <c r="A109" s="10" t="s">
        <v>166</v>
      </c>
      <c r="B109" s="10" t="s">
        <v>41</v>
      </c>
      <c r="C109" s="10"/>
      <c r="D109" s="10" t="s">
        <v>31</v>
      </c>
      <c r="E109" s="11" t="n">
        <v>45992</v>
      </c>
      <c r="F109" t="n">
        <v>0</v>
      </c>
      <c r="H109" t="n">
        <v>23847</v>
      </c>
      <c r="I109" t="n">
        <v>0</v>
      </c>
      <c r="J109" s="10"/>
      <c r="K109" s="10"/>
      <c r="L109" s="10"/>
      <c r="N109" s="11"/>
      <c r="P109" s="11"/>
      <c r="V10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0.6328125" hidden="0" customWidth="1"/>
    <col min="2" max="2" width="33.542968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6.3632812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38</v>
      </c>
      <c r="C2" s="10" t="s">
        <v>39</v>
      </c>
      <c r="D2" s="10" t="s">
        <v>31</v>
      </c>
      <c r="E2" s="11" t="n">
        <v>45839</v>
      </c>
      <c r="F2" t="n">
        <v>174612</v>
      </c>
      <c r="H2" t="n">
        <v>17890</v>
      </c>
      <c r="I2" t="n">
        <v>156722</v>
      </c>
      <c r="J2" s="10"/>
      <c r="K2" s="10"/>
      <c r="L2" s="10"/>
      <c r="S2" t="n">
        <v>9</v>
      </c>
      <c r="T2" t="n">
        <v>14</v>
      </c>
      <c r="U2" t="n">
        <v>13</v>
      </c>
      <c r="V2" t="n">
        <v>8.7603130240357743</v>
      </c>
    </row>
    <row r="3">
      <c r="A3" s="10" t="s">
        <v>28</v>
      </c>
      <c r="B3" s="10" t="s">
        <v>38</v>
      </c>
      <c r="C3" s="10" t="s">
        <v>39</v>
      </c>
      <c r="D3" s="10" t="s">
        <v>31</v>
      </c>
      <c r="E3" s="11" t="n">
        <v>45870</v>
      </c>
      <c r="F3" t="n">
        <v>156722</v>
      </c>
      <c r="H3" t="n">
        <v>17890</v>
      </c>
      <c r="I3" t="n">
        <v>138832</v>
      </c>
      <c r="J3" s="10"/>
      <c r="K3" s="10"/>
      <c r="L3" s="10"/>
      <c r="S3" t="n">
        <v>9</v>
      </c>
      <c r="T3" t="n">
        <v>14</v>
      </c>
      <c r="U3" t="n">
        <v>13</v>
      </c>
      <c r="V3" t="n">
        <v>7.7603130240357743</v>
      </c>
    </row>
    <row r="4">
      <c r="A4" s="10" t="s">
        <v>28</v>
      </c>
      <c r="B4" s="10" t="s">
        <v>38</v>
      </c>
      <c r="C4" s="10" t="s">
        <v>39</v>
      </c>
      <c r="D4" s="10" t="s">
        <v>31</v>
      </c>
      <c r="E4" s="11" t="n">
        <v>45901</v>
      </c>
      <c r="F4" t="n">
        <v>138832</v>
      </c>
      <c r="H4" t="n">
        <v>17890</v>
      </c>
      <c r="I4" t="n">
        <v>222163</v>
      </c>
      <c r="J4" s="10" t="s">
        <v>2</v>
      </c>
      <c r="K4" s="10" t="s">
        <v>2</v>
      </c>
      <c r="L4" s="10" t="s">
        <v>4</v>
      </c>
      <c r="M4" t="n">
        <v>101221</v>
      </c>
      <c r="O4" t="n">
        <v>1032454</v>
      </c>
      <c r="P4" t="n">
        <v>45901</v>
      </c>
      <c r="S4" t="n">
        <v>9</v>
      </c>
      <c r="T4" t="n">
        <v>14</v>
      </c>
      <c r="U4" t="n">
        <v>13</v>
      </c>
      <c r="V4" t="n">
        <v>12.418278367803243</v>
      </c>
    </row>
    <row r="5">
      <c r="A5" s="10" t="s">
        <v>28</v>
      </c>
      <c r="B5" s="10" t="s">
        <v>38</v>
      </c>
      <c r="C5" s="10" t="s">
        <v>39</v>
      </c>
      <c r="D5" s="10" t="s">
        <v>31</v>
      </c>
      <c r="E5" s="11" t="n">
        <v>45931</v>
      </c>
      <c r="F5" t="n">
        <v>120942</v>
      </c>
      <c r="H5" t="n">
        <v>17890</v>
      </c>
      <c r="I5" t="n">
        <v>103052</v>
      </c>
      <c r="J5" s="10"/>
      <c r="K5" s="10"/>
      <c r="L5" s="10"/>
      <c r="S5" t="n">
        <v>9</v>
      </c>
      <c r="T5" t="n">
        <v>14</v>
      </c>
      <c r="U5" t="n">
        <v>13</v>
      </c>
      <c r="V5" t="n">
        <v>5.7603130240357743</v>
      </c>
    </row>
    <row r="6">
      <c r="A6" s="10" t="s">
        <v>28</v>
      </c>
      <c r="B6" s="10" t="s">
        <v>38</v>
      </c>
      <c r="C6" s="10" t="s">
        <v>39</v>
      </c>
      <c r="D6" s="10" t="s">
        <v>31</v>
      </c>
      <c r="E6" s="11" t="n">
        <v>45962</v>
      </c>
      <c r="F6" t="n">
        <v>103052</v>
      </c>
      <c r="H6" t="n">
        <v>17890</v>
      </c>
      <c r="I6" t="n">
        <v>85162</v>
      </c>
      <c r="J6" s="10"/>
      <c r="K6" s="10"/>
      <c r="L6" s="10"/>
      <c r="S6" t="n">
        <v>9</v>
      </c>
      <c r="T6" t="n">
        <v>14</v>
      </c>
      <c r="U6" t="n">
        <v>13</v>
      </c>
      <c r="V6" t="n">
        <v>4.7603130240357743</v>
      </c>
    </row>
    <row r="7">
      <c r="A7" s="10" t="s">
        <v>28</v>
      </c>
      <c r="B7" s="10" t="s">
        <v>38</v>
      </c>
      <c r="C7" s="10" t="s">
        <v>39</v>
      </c>
      <c r="D7" s="10" t="s">
        <v>31</v>
      </c>
      <c r="E7" s="11" t="n">
        <v>45992</v>
      </c>
      <c r="F7" t="n">
        <v>85162</v>
      </c>
      <c r="H7" t="n">
        <v>17890</v>
      </c>
      <c r="I7" t="n">
        <v>67272</v>
      </c>
      <c r="J7" s="10"/>
      <c r="K7" s="10"/>
      <c r="L7" s="10"/>
      <c r="S7" t="n">
        <v>9</v>
      </c>
      <c r="T7" t="n">
        <v>14</v>
      </c>
      <c r="U7" t="n">
        <v>13</v>
      </c>
      <c r="V7" t="n">
        <v>3.7603130240357743</v>
      </c>
    </row>
    <row r="8">
      <c r="A8" s="10" t="s">
        <v>28</v>
      </c>
      <c r="B8" s="10" t="s">
        <v>38</v>
      </c>
      <c r="C8" s="10" t="s">
        <v>39</v>
      </c>
      <c r="D8" s="10" t="s">
        <v>31</v>
      </c>
      <c r="E8" s="11" t="n">
        <v>46023</v>
      </c>
      <c r="F8" t="n">
        <v>67272</v>
      </c>
      <c r="H8" t="n">
        <v>17890</v>
      </c>
      <c r="I8" t="n">
        <v>49382</v>
      </c>
      <c r="J8" s="10"/>
      <c r="K8" s="10"/>
      <c r="L8" s="10"/>
      <c r="S8" t="n">
        <v>9</v>
      </c>
      <c r="T8" t="n">
        <v>14</v>
      </c>
      <c r="U8" t="n">
        <v>13</v>
      </c>
      <c r="V8" t="n">
        <v>2.7603130240357743</v>
      </c>
    </row>
    <row r="9">
      <c r="A9" s="10" t="s">
        <v>28</v>
      </c>
      <c r="B9" s="10" t="s">
        <v>38</v>
      </c>
      <c r="C9" s="10" t="s">
        <v>39</v>
      </c>
      <c r="D9" s="10" t="s">
        <v>31</v>
      </c>
      <c r="E9" s="11" t="n">
        <v>46054</v>
      </c>
      <c r="F9" t="n">
        <v>49382</v>
      </c>
      <c r="H9" t="n">
        <v>17890</v>
      </c>
      <c r="I9" t="n">
        <v>130475</v>
      </c>
      <c r="J9" s="10" t="s">
        <v>2</v>
      </c>
      <c r="K9" s="10" t="s">
        <v>2</v>
      </c>
      <c r="L9" s="10" t="s">
        <v>4</v>
      </c>
      <c r="M9" t="n">
        <v>98983</v>
      </c>
      <c r="O9" t="n">
        <v>1009627</v>
      </c>
      <c r="P9" t="n">
        <v>46054</v>
      </c>
      <c r="S9" t="n">
        <v>9</v>
      </c>
      <c r="T9" t="n">
        <v>14</v>
      </c>
      <c r="U9" t="n">
        <v>13</v>
      </c>
      <c r="V9" t="n">
        <v>7.2931805477920628</v>
      </c>
    </row>
    <row r="10">
      <c r="A10" s="10" t="s">
        <v>28</v>
      </c>
      <c r="B10" s="10" t="s">
        <v>38</v>
      </c>
      <c r="C10" s="10" t="s">
        <v>39</v>
      </c>
      <c r="D10" s="10" t="s">
        <v>31</v>
      </c>
      <c r="E10" s="11" t="n">
        <v>46082</v>
      </c>
      <c r="F10" t="n">
        <v>31492</v>
      </c>
      <c r="H10" t="n">
        <v>17890</v>
      </c>
      <c r="I10" t="n">
        <v>13602</v>
      </c>
      <c r="J10" s="10"/>
      <c r="K10" s="10"/>
      <c r="L10" s="10"/>
      <c r="S10" t="n">
        <v>9</v>
      </c>
      <c r="T10" t="n">
        <v>14</v>
      </c>
      <c r="U10" t="n">
        <v>13</v>
      </c>
      <c r="V10" t="n">
        <v>0.76031302403577417</v>
      </c>
    </row>
    <row r="11">
      <c r="A11" s="10" t="s">
        <v>28</v>
      </c>
      <c r="B11" s="10" t="s">
        <v>38</v>
      </c>
      <c r="C11" s="10" t="s">
        <v>39</v>
      </c>
      <c r="D11" s="10" t="s">
        <v>31</v>
      </c>
      <c r="E11" s="11" t="n">
        <v>46113</v>
      </c>
      <c r="F11" t="n">
        <v>13602</v>
      </c>
      <c r="H11" t="n">
        <v>17890</v>
      </c>
      <c r="I11" t="n">
        <v>0</v>
      </c>
      <c r="J11" s="10"/>
      <c r="K11" s="10"/>
      <c r="L11" s="10"/>
      <c r="S11" t="n">
        <v>9</v>
      </c>
      <c r="T11" t="n">
        <v>14</v>
      </c>
      <c r="U11" t="n">
        <v>13</v>
      </c>
      <c r="V11" t="n">
        <v>0</v>
      </c>
    </row>
    <row r="12">
      <c r="A12" s="10" t="s">
        <v>28</v>
      </c>
      <c r="B12" s="10" t="s">
        <v>38</v>
      </c>
      <c r="C12" s="10" t="s">
        <v>39</v>
      </c>
      <c r="D12" s="10" t="s">
        <v>31</v>
      </c>
      <c r="E12" s="11" t="n">
        <v>46143</v>
      </c>
      <c r="F12" t="n">
        <v>0</v>
      </c>
      <c r="H12" t="n">
        <v>17890</v>
      </c>
      <c r="I12" t="n">
        <v>0</v>
      </c>
      <c r="J12" s="10"/>
      <c r="K12" s="10"/>
      <c r="L12" s="10"/>
      <c r="S12" t="n">
        <v>9</v>
      </c>
      <c r="T12" t="n">
        <v>14</v>
      </c>
      <c r="U12" t="n">
        <v>13</v>
      </c>
      <c r="V12" t="n">
        <v>0</v>
      </c>
    </row>
    <row r="13">
      <c r="A13" s="10" t="s">
        <v>28</v>
      </c>
      <c r="B13" s="10" t="s">
        <v>38</v>
      </c>
      <c r="C13" s="10" t="s">
        <v>39</v>
      </c>
      <c r="D13" s="10" t="s">
        <v>31</v>
      </c>
      <c r="E13" s="11" t="n">
        <v>46174</v>
      </c>
      <c r="F13" t="n">
        <v>0</v>
      </c>
      <c r="H13" t="n">
        <v>17890</v>
      </c>
      <c r="I13" t="n">
        <v>0</v>
      </c>
      <c r="J13" s="10"/>
      <c r="K13" s="10"/>
      <c r="L13" s="10"/>
      <c r="S13" t="n">
        <v>9</v>
      </c>
      <c r="T13" t="n">
        <v>14</v>
      </c>
      <c r="U13" t="n">
        <v>13</v>
      </c>
      <c r="V13" t="n">
        <v>0</v>
      </c>
    </row>
    <row r="14">
      <c r="A14" s="10" t="s">
        <v>75</v>
      </c>
      <c r="B14" s="10" t="s">
        <v>38</v>
      </c>
      <c r="C14" s="10" t="s">
        <v>39</v>
      </c>
      <c r="D14" s="10" t="s">
        <v>31</v>
      </c>
      <c r="E14" s="11" t="n">
        <v>45748</v>
      </c>
      <c r="F14" t="n">
        <v>68852</v>
      </c>
      <c r="H14" t="n">
        <v>19069</v>
      </c>
      <c r="I14" t="n">
        <v>49783</v>
      </c>
      <c r="J14" s="10"/>
      <c r="K14" s="10"/>
      <c r="L14" s="10"/>
      <c r="S14" t="n">
        <v>7</v>
      </c>
      <c r="T14" t="n">
        <v>15</v>
      </c>
      <c r="U14" t="n">
        <v>15</v>
      </c>
      <c r="V14" t="n">
        <v>2.6106770150506056</v>
      </c>
    </row>
    <row r="15">
      <c r="A15" s="10" t="s">
        <v>75</v>
      </c>
      <c r="B15" s="10" t="s">
        <v>38</v>
      </c>
      <c r="C15" s="10" t="s">
        <v>39</v>
      </c>
      <c r="D15" s="10" t="s">
        <v>31</v>
      </c>
      <c r="E15" s="11" t="n">
        <v>45778</v>
      </c>
      <c r="F15" t="n">
        <v>49783</v>
      </c>
      <c r="H15" t="n">
        <v>19103</v>
      </c>
      <c r="I15" t="n">
        <v>60704</v>
      </c>
      <c r="J15" s="10"/>
      <c r="K15" s="10"/>
      <c r="L15" s="10" t="s">
        <v>153</v>
      </c>
      <c r="M15" t="n">
        <v>30024</v>
      </c>
      <c r="S15" t="n">
        <v>7</v>
      </c>
      <c r="T15" t="n">
        <v>15</v>
      </c>
      <c r="U15" t="n">
        <v>15</v>
      </c>
      <c r="V15" t="n">
        <v>3.1777207768413338</v>
      </c>
    </row>
    <row r="16">
      <c r="A16" s="10" t="s">
        <v>75</v>
      </c>
      <c r="B16" s="10" t="s">
        <v>38</v>
      </c>
      <c r="C16" s="10" t="s">
        <v>39</v>
      </c>
      <c r="D16" s="10" t="s">
        <v>31</v>
      </c>
      <c r="E16" s="11" t="n">
        <v>45809</v>
      </c>
      <c r="F16" t="n">
        <v>60704</v>
      </c>
      <c r="H16" t="n">
        <v>19137</v>
      </c>
      <c r="I16" t="n">
        <v>41567</v>
      </c>
      <c r="J16" s="10"/>
      <c r="K16" s="10"/>
      <c r="L16" s="10"/>
      <c r="S16" t="n">
        <v>7</v>
      </c>
      <c r="T16" t="n">
        <v>15</v>
      </c>
      <c r="U16" t="n">
        <v>15</v>
      </c>
      <c r="V16" t="n">
        <v>2.172075037884726</v>
      </c>
    </row>
    <row r="17">
      <c r="A17" s="10" t="s">
        <v>75</v>
      </c>
      <c r="B17" s="10" t="s">
        <v>38</v>
      </c>
      <c r="C17" s="10" t="s">
        <v>39</v>
      </c>
      <c r="D17" s="10" t="s">
        <v>31</v>
      </c>
      <c r="E17" s="11" t="n">
        <v>45839</v>
      </c>
      <c r="F17" t="n">
        <v>41567</v>
      </c>
      <c r="H17" t="n">
        <v>19171</v>
      </c>
      <c r="I17" t="n">
        <v>22396</v>
      </c>
      <c r="J17" s="10"/>
      <c r="K17" s="10"/>
      <c r="L17" s="10"/>
      <c r="S17" t="n">
        <v>7</v>
      </c>
      <c r="T17" t="n">
        <v>15</v>
      </c>
      <c r="U17" t="n">
        <v>15</v>
      </c>
      <c r="V17" t="n">
        <v>1.1682228365760785</v>
      </c>
    </row>
    <row r="18">
      <c r="A18" s="10" t="s">
        <v>75</v>
      </c>
      <c r="B18" s="10" t="s">
        <v>38</v>
      </c>
      <c r="C18" s="10" t="s">
        <v>39</v>
      </c>
      <c r="D18" s="10" t="s">
        <v>31</v>
      </c>
      <c r="E18" s="11" t="n">
        <v>45870</v>
      </c>
      <c r="F18" t="n">
        <v>22396</v>
      </c>
      <c r="H18" t="n">
        <v>19205</v>
      </c>
      <c r="I18" t="n">
        <v>3191</v>
      </c>
      <c r="J18" s="10"/>
      <c r="K18" s="10"/>
      <c r="L18" s="10"/>
      <c r="S18" t="n">
        <v>7</v>
      </c>
      <c r="T18" t="n">
        <v>15</v>
      </c>
      <c r="U18" t="n">
        <v>15</v>
      </c>
      <c r="V18" t="n">
        <v>0.16615464722728457</v>
      </c>
    </row>
    <row r="19">
      <c r="A19" s="10" t="s">
        <v>75</v>
      </c>
      <c r="B19" s="10" t="s">
        <v>38</v>
      </c>
      <c r="C19" s="10" t="s">
        <v>39</v>
      </c>
      <c r="D19" s="10" t="s">
        <v>31</v>
      </c>
      <c r="E19" s="11" t="n">
        <v>45901</v>
      </c>
      <c r="F19" t="n">
        <v>3191</v>
      </c>
      <c r="H19" t="n">
        <v>19239</v>
      </c>
      <c r="I19" t="n">
        <v>58976</v>
      </c>
      <c r="J19" s="10"/>
      <c r="K19" s="10"/>
      <c r="L19" s="10" t="s">
        <v>147</v>
      </c>
      <c r="M19" t="n">
        <v>75024</v>
      </c>
      <c r="S19" t="n">
        <v>7</v>
      </c>
      <c r="T19" t="n">
        <v>15</v>
      </c>
      <c r="U19" t="n">
        <v>15</v>
      </c>
      <c r="V19" t="n">
        <v>3.0654399916835593</v>
      </c>
    </row>
    <row r="20">
      <c r="A20" s="10" t="s">
        <v>75</v>
      </c>
      <c r="B20" s="10" t="s">
        <v>38</v>
      </c>
      <c r="C20" s="10" t="s">
        <v>39</v>
      </c>
      <c r="D20" s="10" t="s">
        <v>31</v>
      </c>
      <c r="E20" s="11" t="n">
        <v>45931</v>
      </c>
      <c r="F20" t="n">
        <v>58976</v>
      </c>
      <c r="H20" t="n">
        <v>19273</v>
      </c>
      <c r="I20" t="n">
        <v>39703</v>
      </c>
      <c r="J20" s="10"/>
      <c r="K20" s="10"/>
      <c r="L20" s="10"/>
      <c r="S20" t="n">
        <v>7</v>
      </c>
      <c r="T20" t="n">
        <v>15</v>
      </c>
      <c r="U20" t="n">
        <v>15</v>
      </c>
      <c r="V20" t="n">
        <v>2.0600321693560941</v>
      </c>
    </row>
    <row r="21">
      <c r="A21" s="10" t="s">
        <v>75</v>
      </c>
      <c r="B21" s="10" t="s">
        <v>38</v>
      </c>
      <c r="C21" s="10" t="s">
        <v>39</v>
      </c>
      <c r="D21" s="10" t="s">
        <v>31</v>
      </c>
      <c r="E21" s="11" t="n">
        <v>45962</v>
      </c>
      <c r="F21" t="n">
        <v>39703</v>
      </c>
      <c r="H21" t="n">
        <v>19307</v>
      </c>
      <c r="I21" t="n">
        <v>178048</v>
      </c>
      <c r="J21" s="10"/>
      <c r="K21" s="10"/>
      <c r="L21" s="10" t="s">
        <v>4</v>
      </c>
      <c r="M21" t="n">
        <v>157652</v>
      </c>
      <c r="S21" t="n">
        <v>7</v>
      </c>
      <c r="T21" t="n">
        <v>15</v>
      </c>
      <c r="U21" t="n">
        <v>15</v>
      </c>
      <c r="V21" t="n">
        <v>9.2219402289325121</v>
      </c>
    </row>
    <row r="22">
      <c r="A22" s="10" t="s">
        <v>75</v>
      </c>
      <c r="B22" s="10" t="s">
        <v>38</v>
      </c>
      <c r="C22" s="10" t="s">
        <v>39</v>
      </c>
      <c r="D22" s="10" t="s">
        <v>31</v>
      </c>
      <c r="E22" s="11" t="n">
        <v>45992</v>
      </c>
      <c r="F22" t="n">
        <v>178048</v>
      </c>
      <c r="H22" t="n">
        <v>19340</v>
      </c>
      <c r="I22" t="n">
        <v>158708</v>
      </c>
      <c r="J22" s="10"/>
      <c r="K22" s="10"/>
      <c r="L22" s="10"/>
      <c r="S22" t="n">
        <v>7</v>
      </c>
      <c r="T22" t="n">
        <v>15</v>
      </c>
      <c r="U22" t="n">
        <v>15</v>
      </c>
      <c r="V22" t="n">
        <v>8.2062047569803518</v>
      </c>
    </row>
    <row r="23">
      <c r="A23" s="10" t="s">
        <v>75</v>
      </c>
      <c r="B23" s="10" t="s">
        <v>38</v>
      </c>
      <c r="C23" s="10" t="s">
        <v>39</v>
      </c>
      <c r="D23" s="10" t="s">
        <v>31</v>
      </c>
      <c r="E23" s="11" t="n">
        <v>46023</v>
      </c>
      <c r="F23" t="n">
        <v>158708</v>
      </c>
      <c r="H23" t="n">
        <v>19340</v>
      </c>
      <c r="I23" t="n">
        <v>139368</v>
      </c>
      <c r="J23" s="10"/>
      <c r="K23" s="10"/>
      <c r="L23" s="10"/>
      <c r="S23" t="n">
        <v>7</v>
      </c>
      <c r="T23" t="n">
        <v>15</v>
      </c>
      <c r="U23" t="n">
        <v>15</v>
      </c>
      <c r="V23" t="n">
        <v>7.2062047569803518</v>
      </c>
    </row>
    <row r="24">
      <c r="A24" s="10" t="s">
        <v>75</v>
      </c>
      <c r="B24" s="10" t="s">
        <v>38</v>
      </c>
      <c r="C24" s="10" t="s">
        <v>39</v>
      </c>
      <c r="D24" s="10" t="s">
        <v>31</v>
      </c>
      <c r="E24" s="11" t="n">
        <v>46054</v>
      </c>
      <c r="F24" t="n">
        <v>139368</v>
      </c>
      <c r="H24" t="n">
        <v>19340</v>
      </c>
      <c r="I24" t="n">
        <v>290028</v>
      </c>
      <c r="J24" s="10"/>
      <c r="K24" s="10"/>
      <c r="L24" s="10" t="s">
        <v>4</v>
      </c>
      <c r="M24" t="n">
        <v>170000</v>
      </c>
      <c r="S24" t="n">
        <v>7</v>
      </c>
      <c r="T24" t="n">
        <v>15</v>
      </c>
      <c r="U24" t="n">
        <v>15</v>
      </c>
      <c r="V24" t="n">
        <v>14.996277145811789</v>
      </c>
    </row>
    <row r="25">
      <c r="A25" s="10" t="s">
        <v>75</v>
      </c>
      <c r="B25" s="10" t="s">
        <v>38</v>
      </c>
      <c r="C25" s="10" t="s">
        <v>39</v>
      </c>
      <c r="D25" s="10" t="s">
        <v>31</v>
      </c>
      <c r="E25" s="11" t="n">
        <v>46082</v>
      </c>
      <c r="F25" t="n">
        <v>290028</v>
      </c>
      <c r="H25" t="n">
        <v>19340</v>
      </c>
      <c r="I25" t="n">
        <v>270688</v>
      </c>
      <c r="J25" s="10"/>
      <c r="K25" s="10"/>
      <c r="L25" s="10"/>
      <c r="S25" t="n">
        <v>7</v>
      </c>
      <c r="T25" t="n">
        <v>15</v>
      </c>
      <c r="U25" t="n">
        <v>15</v>
      </c>
      <c r="V25" t="n">
        <v>13.996277145811789</v>
      </c>
    </row>
    <row r="26">
      <c r="A26" s="10" t="s">
        <v>75</v>
      </c>
      <c r="B26" s="10" t="s">
        <v>38</v>
      </c>
      <c r="C26" s="10" t="s">
        <v>39</v>
      </c>
      <c r="D26" s="10" t="s">
        <v>31</v>
      </c>
      <c r="E26" s="11" t="n">
        <v>46113</v>
      </c>
      <c r="F26" t="n">
        <v>270688</v>
      </c>
      <c r="H26" t="n">
        <v>19340</v>
      </c>
      <c r="I26" t="n">
        <v>251348</v>
      </c>
      <c r="J26" s="10"/>
      <c r="K26" s="10"/>
      <c r="L26" s="10"/>
      <c r="S26" t="n">
        <v>7</v>
      </c>
      <c r="T26" t="n">
        <v>15</v>
      </c>
      <c r="U26" t="n">
        <v>15</v>
      </c>
      <c r="V26" t="n">
        <v>12.996277145811789</v>
      </c>
    </row>
    <row r="27">
      <c r="A27" s="10" t="s">
        <v>75</v>
      </c>
      <c r="B27" s="10" t="s">
        <v>38</v>
      </c>
      <c r="C27" s="10" t="s">
        <v>39</v>
      </c>
      <c r="D27" s="10" t="s">
        <v>31</v>
      </c>
      <c r="E27" s="11" t="n">
        <v>46143</v>
      </c>
      <c r="F27" t="n">
        <v>251348</v>
      </c>
      <c r="H27" t="n">
        <v>19340</v>
      </c>
      <c r="I27" t="n">
        <v>232008</v>
      </c>
      <c r="J27" s="10"/>
      <c r="K27" s="10"/>
      <c r="L27" s="10"/>
      <c r="S27" t="n">
        <v>7</v>
      </c>
      <c r="T27" t="n">
        <v>15</v>
      </c>
      <c r="U27" t="n">
        <v>15</v>
      </c>
      <c r="V27" t="n">
        <v>11.996277145811789</v>
      </c>
    </row>
    <row r="28">
      <c r="A28" s="10" t="s">
        <v>75</v>
      </c>
      <c r="B28" s="10" t="s">
        <v>38</v>
      </c>
      <c r="C28" s="10" t="s">
        <v>39</v>
      </c>
      <c r="D28" s="10" t="s">
        <v>31</v>
      </c>
      <c r="E28" s="11" t="n">
        <v>46174</v>
      </c>
      <c r="F28" t="n">
        <v>232008</v>
      </c>
      <c r="H28" t="n">
        <v>19340</v>
      </c>
      <c r="I28" t="n">
        <v>212668</v>
      </c>
      <c r="J28" s="10"/>
      <c r="K28" s="10"/>
      <c r="L28" s="10"/>
      <c r="S28" t="n">
        <v>7</v>
      </c>
      <c r="T28" t="n">
        <v>15</v>
      </c>
      <c r="U28" t="n">
        <v>15</v>
      </c>
      <c r="V28" t="n">
        <v>10.996277145811789</v>
      </c>
    </row>
    <row r="29">
      <c r="A29" s="10" t="s">
        <v>75</v>
      </c>
      <c r="B29" s="10" t="s">
        <v>38</v>
      </c>
      <c r="C29" s="10" t="s">
        <v>39</v>
      </c>
      <c r="D29" s="10" t="s">
        <v>31</v>
      </c>
      <c r="E29" s="11" t="n">
        <v>46204</v>
      </c>
      <c r="F29" t="n">
        <v>212668</v>
      </c>
      <c r="H29" t="n">
        <v>19340</v>
      </c>
      <c r="I29" t="n">
        <v>193328</v>
      </c>
      <c r="J29" s="10"/>
      <c r="K29" s="10"/>
      <c r="L29" s="10"/>
      <c r="S29" t="n">
        <v>7</v>
      </c>
      <c r="T29" t="n">
        <v>15</v>
      </c>
      <c r="U29" t="n">
        <v>15</v>
      </c>
      <c r="V29" t="n">
        <v>9.9962771458117885</v>
      </c>
    </row>
    <row r="30">
      <c r="A30" s="10" t="s">
        <v>75</v>
      </c>
      <c r="B30" s="10" t="s">
        <v>38</v>
      </c>
      <c r="C30" s="10" t="s">
        <v>39</v>
      </c>
      <c r="D30" s="10" t="s">
        <v>31</v>
      </c>
      <c r="E30" s="11" t="n">
        <v>46235</v>
      </c>
      <c r="F30" t="n">
        <v>193328</v>
      </c>
      <c r="H30" t="n">
        <v>19340</v>
      </c>
      <c r="I30" t="n">
        <v>173988</v>
      </c>
      <c r="J30" s="10"/>
      <c r="K30" s="10"/>
      <c r="L30" s="10"/>
      <c r="S30" t="n">
        <v>7</v>
      </c>
      <c r="T30" t="n">
        <v>15</v>
      </c>
      <c r="U30" t="n">
        <v>15</v>
      </c>
      <c r="V30" t="n">
        <v>8.9962771458117885</v>
      </c>
    </row>
    <row r="31">
      <c r="A31" s="10" t="s">
        <v>75</v>
      </c>
      <c r="B31" s="10" t="s">
        <v>38</v>
      </c>
      <c r="C31" s="10" t="s">
        <v>39</v>
      </c>
      <c r="D31" s="10" t="s">
        <v>31</v>
      </c>
      <c r="E31" s="11" t="n">
        <v>46266</v>
      </c>
      <c r="F31" t="n">
        <v>173988</v>
      </c>
      <c r="H31" t="n">
        <v>19340</v>
      </c>
      <c r="I31" t="n">
        <v>154648</v>
      </c>
      <c r="J31" s="10"/>
      <c r="K31" s="10"/>
      <c r="L31" s="10"/>
      <c r="S31" t="n">
        <v>7</v>
      </c>
      <c r="T31" t="n">
        <v>15</v>
      </c>
      <c r="U31" t="n">
        <v>15</v>
      </c>
      <c r="V31" t="n">
        <v>7.9962771458117894</v>
      </c>
    </row>
    <row r="32">
      <c r="A32" s="10" t="s">
        <v>76</v>
      </c>
      <c r="B32" s="10" t="s">
        <v>38</v>
      </c>
      <c r="C32" s="10" t="s">
        <v>39</v>
      </c>
      <c r="D32" s="10" t="s">
        <v>31</v>
      </c>
      <c r="E32" s="11" t="n">
        <v>45748</v>
      </c>
      <c r="F32" t="n">
        <v>150800</v>
      </c>
      <c r="H32" t="n">
        <v>17253</v>
      </c>
      <c r="I32" t="n">
        <v>133547</v>
      </c>
      <c r="J32" s="10"/>
      <c r="K32" s="10"/>
      <c r="L32" s="10"/>
      <c r="S32" t="n">
        <v>3</v>
      </c>
      <c r="T32" t="n">
        <v>6</v>
      </c>
      <c r="U32" t="n">
        <v>6</v>
      </c>
      <c r="V32" t="n">
        <v>7.7405088970034193</v>
      </c>
    </row>
    <row r="33">
      <c r="A33" s="10" t="s">
        <v>76</v>
      </c>
      <c r="B33" s="10" t="s">
        <v>38</v>
      </c>
      <c r="C33" s="10" t="s">
        <v>39</v>
      </c>
      <c r="D33" s="10" t="s">
        <v>31</v>
      </c>
      <c r="E33" s="11" t="n">
        <v>45778</v>
      </c>
      <c r="F33" t="n">
        <v>133547</v>
      </c>
      <c r="H33" t="n">
        <v>17253</v>
      </c>
      <c r="I33" t="n">
        <v>116294</v>
      </c>
      <c r="J33" s="10"/>
      <c r="K33" s="10"/>
      <c r="L33" s="10"/>
      <c r="S33" t="n">
        <v>3</v>
      </c>
      <c r="T33" t="n">
        <v>6</v>
      </c>
      <c r="U33" t="n">
        <v>6</v>
      </c>
      <c r="V33" t="n">
        <v>6.7405088970034193</v>
      </c>
    </row>
    <row r="34">
      <c r="A34" s="10" t="s">
        <v>76</v>
      </c>
      <c r="B34" s="10" t="s">
        <v>38</v>
      </c>
      <c r="C34" s="10" t="s">
        <v>39</v>
      </c>
      <c r="D34" s="10" t="s">
        <v>31</v>
      </c>
      <c r="E34" s="11" t="n">
        <v>45809</v>
      </c>
      <c r="F34" t="n">
        <v>116294</v>
      </c>
      <c r="H34" t="n">
        <v>17253</v>
      </c>
      <c r="I34" t="n">
        <v>99041</v>
      </c>
      <c r="J34" s="10"/>
      <c r="K34" s="10"/>
      <c r="L34" s="10"/>
      <c r="S34" t="n">
        <v>3</v>
      </c>
      <c r="T34" t="n">
        <v>6</v>
      </c>
      <c r="U34" t="n">
        <v>6</v>
      </c>
      <c r="V34" t="n">
        <v>5.7405088970034193</v>
      </c>
    </row>
    <row r="35">
      <c r="A35" s="10" t="s">
        <v>76</v>
      </c>
      <c r="B35" s="10" t="s">
        <v>38</v>
      </c>
      <c r="C35" s="10" t="s">
        <v>39</v>
      </c>
      <c r="D35" s="10" t="s">
        <v>31</v>
      </c>
      <c r="E35" s="11" t="n">
        <v>45839</v>
      </c>
      <c r="F35" t="n">
        <v>99041</v>
      </c>
      <c r="H35" t="n">
        <v>17253</v>
      </c>
      <c r="I35" t="n">
        <v>81788</v>
      </c>
      <c r="J35" s="10"/>
      <c r="K35" s="10"/>
      <c r="L35" s="10"/>
      <c r="S35" t="n">
        <v>3</v>
      </c>
      <c r="T35" t="n">
        <v>6</v>
      </c>
      <c r="U35" t="n">
        <v>6</v>
      </c>
      <c r="V35" t="n">
        <v>4.7405088970034193</v>
      </c>
    </row>
    <row r="36">
      <c r="A36" s="10" t="s">
        <v>76</v>
      </c>
      <c r="B36" s="10" t="s">
        <v>38</v>
      </c>
      <c r="C36" s="10" t="s">
        <v>39</v>
      </c>
      <c r="D36" s="10" t="s">
        <v>31</v>
      </c>
      <c r="E36" s="11" t="n">
        <v>45870</v>
      </c>
      <c r="F36" t="n">
        <v>81788</v>
      </c>
      <c r="H36" t="n">
        <v>17253</v>
      </c>
      <c r="I36" t="n">
        <v>64535</v>
      </c>
      <c r="J36" s="10"/>
      <c r="K36" s="10"/>
      <c r="L36" s="10"/>
      <c r="S36" t="n">
        <v>3</v>
      </c>
      <c r="T36" t="n">
        <v>6</v>
      </c>
      <c r="U36" t="n">
        <v>6</v>
      </c>
      <c r="V36" t="n">
        <v>3.7405088970034197</v>
      </c>
    </row>
    <row r="37">
      <c r="A37" s="10" t="s">
        <v>76</v>
      </c>
      <c r="B37" s="10" t="s">
        <v>38</v>
      </c>
      <c r="C37" s="10" t="s">
        <v>39</v>
      </c>
      <c r="D37" s="10" t="s">
        <v>31</v>
      </c>
      <c r="E37" s="11" t="n">
        <v>45901</v>
      </c>
      <c r="F37" t="n">
        <v>64535</v>
      </c>
      <c r="H37" t="n">
        <v>17253</v>
      </c>
      <c r="I37" t="n">
        <v>47282</v>
      </c>
      <c r="J37" s="10"/>
      <c r="K37" s="10"/>
      <c r="L37" s="10"/>
      <c r="S37" t="n">
        <v>3</v>
      </c>
      <c r="T37" t="n">
        <v>6</v>
      </c>
      <c r="U37" t="n">
        <v>6</v>
      </c>
      <c r="V37" t="n">
        <v>2.7405088970034197</v>
      </c>
    </row>
    <row r="38">
      <c r="A38" s="10" t="s">
        <v>76</v>
      </c>
      <c r="B38" s="10" t="s">
        <v>38</v>
      </c>
      <c r="C38" s="10" t="s">
        <v>39</v>
      </c>
      <c r="D38" s="10" t="s">
        <v>31</v>
      </c>
      <c r="E38" s="11" t="n">
        <v>45931</v>
      </c>
      <c r="F38" t="n">
        <v>47282</v>
      </c>
      <c r="H38" t="n">
        <v>17253</v>
      </c>
      <c r="I38" t="n">
        <v>30029</v>
      </c>
      <c r="J38" s="10"/>
      <c r="K38" s="10"/>
      <c r="L38" s="10"/>
      <c r="S38" t="n">
        <v>3</v>
      </c>
      <c r="T38" t="n">
        <v>6</v>
      </c>
      <c r="U38" t="n">
        <v>6</v>
      </c>
      <c r="V38" t="n">
        <v>1.7405088970034197</v>
      </c>
    </row>
    <row r="39">
      <c r="A39" s="10" t="s">
        <v>76</v>
      </c>
      <c r="B39" s="10" t="s">
        <v>38</v>
      </c>
      <c r="C39" s="10" t="s">
        <v>39</v>
      </c>
      <c r="D39" s="10" t="s">
        <v>31</v>
      </c>
      <c r="E39" s="11" t="n">
        <v>45962</v>
      </c>
      <c r="F39" t="n">
        <v>30029</v>
      </c>
      <c r="H39" t="n">
        <v>17253</v>
      </c>
      <c r="I39" t="n">
        <v>12776</v>
      </c>
      <c r="J39" s="10"/>
      <c r="K39" s="10"/>
      <c r="L39" s="10"/>
      <c r="S39" t="n">
        <v>3</v>
      </c>
      <c r="T39" t="n">
        <v>6</v>
      </c>
      <c r="U39" t="n">
        <v>6</v>
      </c>
      <c r="V39" t="n">
        <v>0.74050889700341971</v>
      </c>
    </row>
    <row r="40">
      <c r="A40" s="10" t="s">
        <v>76</v>
      </c>
      <c r="B40" s="10" t="s">
        <v>38</v>
      </c>
      <c r="C40" s="10" t="s">
        <v>39</v>
      </c>
      <c r="D40" s="10" t="s">
        <v>31</v>
      </c>
      <c r="E40" s="11" t="n">
        <v>45992</v>
      </c>
      <c r="F40" t="n">
        <v>12776</v>
      </c>
      <c r="H40" t="n">
        <v>17253</v>
      </c>
      <c r="I40" t="n">
        <v>0</v>
      </c>
      <c r="J40" s="10"/>
      <c r="K40" s="10"/>
      <c r="L40" s="10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38</v>
      </c>
      <c r="C41" s="10" t="s">
        <v>39</v>
      </c>
      <c r="D41" s="10" t="s">
        <v>31</v>
      </c>
      <c r="E41" s="11" t="n">
        <v>46023</v>
      </c>
      <c r="F41" t="n">
        <v>0</v>
      </c>
      <c r="H41" t="n">
        <v>17253</v>
      </c>
      <c r="I41" t="n">
        <v>0</v>
      </c>
      <c r="J41" s="10"/>
      <c r="K41" s="10"/>
      <c r="L41" s="10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38</v>
      </c>
      <c r="C42" s="10" t="s">
        <v>39</v>
      </c>
      <c r="D42" s="10" t="s">
        <v>31</v>
      </c>
      <c r="E42" s="11" t="n">
        <v>46054</v>
      </c>
      <c r="F42" t="n">
        <v>0</v>
      </c>
      <c r="H42" t="n">
        <v>17253</v>
      </c>
      <c r="I42" t="n">
        <v>0</v>
      </c>
      <c r="J42" s="10"/>
      <c r="K42" s="10"/>
      <c r="L42" s="10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38</v>
      </c>
      <c r="C43" s="10" t="s">
        <v>39</v>
      </c>
      <c r="D43" s="10" t="s">
        <v>31</v>
      </c>
      <c r="E43" s="11" t="n">
        <v>46082</v>
      </c>
      <c r="F43" t="n">
        <v>0</v>
      </c>
      <c r="H43" t="n">
        <v>17253</v>
      </c>
      <c r="I43" t="n">
        <v>0</v>
      </c>
      <c r="J43" s="10"/>
      <c r="K43" s="10"/>
      <c r="L43" s="10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38</v>
      </c>
      <c r="C44" s="10" t="s">
        <v>39</v>
      </c>
      <c r="D44" s="10" t="s">
        <v>31</v>
      </c>
      <c r="E44" s="11" t="n">
        <v>46113</v>
      </c>
      <c r="F44" t="n">
        <v>0</v>
      </c>
      <c r="H44" t="n">
        <v>17253</v>
      </c>
      <c r="I44" t="n">
        <v>0</v>
      </c>
      <c r="J44" s="10"/>
      <c r="K44" s="10"/>
      <c r="L44" s="10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38</v>
      </c>
      <c r="C45" s="10" t="s">
        <v>39</v>
      </c>
      <c r="D45" s="10" t="s">
        <v>31</v>
      </c>
      <c r="E45" s="11" t="n">
        <v>46143</v>
      </c>
      <c r="F45" t="n">
        <v>0</v>
      </c>
      <c r="H45" t="n">
        <v>17253</v>
      </c>
      <c r="I45" t="n">
        <v>0</v>
      </c>
      <c r="J45" s="10"/>
      <c r="K45" s="10"/>
      <c r="L45" s="10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38</v>
      </c>
      <c r="C46" s="10" t="s">
        <v>39</v>
      </c>
      <c r="D46" s="10" t="s">
        <v>31</v>
      </c>
      <c r="E46" s="11" t="n">
        <v>46174</v>
      </c>
      <c r="F46" t="n">
        <v>0</v>
      </c>
      <c r="H46" t="n">
        <v>17253</v>
      </c>
      <c r="I46" t="n">
        <v>0</v>
      </c>
      <c r="J46" s="10"/>
      <c r="K46" s="10"/>
      <c r="L46" s="10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38</v>
      </c>
      <c r="C47" s="10" t="s">
        <v>39</v>
      </c>
      <c r="D47" s="10" t="s">
        <v>31</v>
      </c>
      <c r="E47" s="11" t="n">
        <v>46204</v>
      </c>
      <c r="F47" t="n">
        <v>0</v>
      </c>
      <c r="H47" t="n">
        <v>17253</v>
      </c>
      <c r="I47" t="n">
        <v>0</v>
      </c>
      <c r="J47" s="10"/>
      <c r="K47" s="10"/>
      <c r="L47" s="10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38</v>
      </c>
      <c r="C48" s="10" t="s">
        <v>39</v>
      </c>
      <c r="D48" s="10" t="s">
        <v>31</v>
      </c>
      <c r="E48" s="11" t="n">
        <v>46235</v>
      </c>
      <c r="F48" t="n">
        <v>0</v>
      </c>
      <c r="H48" t="n">
        <v>17253</v>
      </c>
      <c r="I48" t="n">
        <v>0</v>
      </c>
      <c r="J48" s="10"/>
      <c r="K48" s="10"/>
      <c r="L48" s="10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38</v>
      </c>
      <c r="C49" s="10" t="s">
        <v>39</v>
      </c>
      <c r="D49" s="10" t="s">
        <v>31</v>
      </c>
      <c r="E49" s="11" t="n">
        <v>46266</v>
      </c>
      <c r="F49" t="n">
        <v>0</v>
      </c>
      <c r="H49" t="n">
        <v>17253</v>
      </c>
      <c r="I49" t="n">
        <v>0</v>
      </c>
      <c r="J49" s="10"/>
      <c r="K49" s="10"/>
      <c r="L49" s="10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38</v>
      </c>
      <c r="C50" s="10" t="s">
        <v>39</v>
      </c>
      <c r="D50" s="10" t="s">
        <v>31</v>
      </c>
      <c r="E50" s="11" t="n">
        <v>46296</v>
      </c>
      <c r="F50" t="n">
        <v>0</v>
      </c>
      <c r="H50" t="n">
        <v>17253</v>
      </c>
      <c r="I50" t="n">
        <v>0</v>
      </c>
      <c r="J50" s="10"/>
      <c r="K50" s="10"/>
      <c r="L50" s="10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38</v>
      </c>
      <c r="C51" s="10" t="s">
        <v>39</v>
      </c>
      <c r="D51" s="10" t="s">
        <v>31</v>
      </c>
      <c r="E51" s="11" t="n">
        <v>46327</v>
      </c>
      <c r="F51" t="n">
        <v>0</v>
      </c>
      <c r="H51" t="n">
        <v>17253</v>
      </c>
      <c r="I51" t="n">
        <v>0</v>
      </c>
      <c r="J51" s="10"/>
      <c r="K51" s="10"/>
      <c r="L51" s="10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38</v>
      </c>
      <c r="C52" s="10" t="s">
        <v>39</v>
      </c>
      <c r="D52" s="10" t="s">
        <v>31</v>
      </c>
      <c r="E52" s="11" t="n">
        <v>46357</v>
      </c>
      <c r="F52" t="n">
        <v>0</v>
      </c>
      <c r="H52" t="n">
        <v>17253</v>
      </c>
      <c r="I52" t="n">
        <v>0</v>
      </c>
      <c r="J52" s="10"/>
      <c r="K52" s="10"/>
      <c r="L52" s="10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38</v>
      </c>
      <c r="C53" s="10" t="s">
        <v>39</v>
      </c>
      <c r="D53" s="10" t="s">
        <v>31</v>
      </c>
      <c r="E53" s="11" t="n">
        <v>45689</v>
      </c>
      <c r="F53" t="n">
        <v>74423</v>
      </c>
      <c r="H53" t="n">
        <v>14536</v>
      </c>
      <c r="I53" t="n">
        <v>59887</v>
      </c>
      <c r="J53" s="10"/>
      <c r="K53" s="10"/>
      <c r="L53" s="10"/>
      <c r="S53" t="n">
        <v>6</v>
      </c>
      <c r="T53" t="n">
        <v>12</v>
      </c>
      <c r="U53" t="n">
        <v>12</v>
      </c>
      <c r="V53" t="n">
        <v>4.1199091909741332</v>
      </c>
    </row>
    <row r="54">
      <c r="A54" s="10" t="s">
        <v>72</v>
      </c>
      <c r="B54" s="10" t="s">
        <v>38</v>
      </c>
      <c r="C54" s="10" t="s">
        <v>39</v>
      </c>
      <c r="D54" s="10" t="s">
        <v>31</v>
      </c>
      <c r="E54" s="11" t="n">
        <v>45717</v>
      </c>
      <c r="F54" t="n">
        <v>59887</v>
      </c>
      <c r="H54" t="n">
        <v>14536</v>
      </c>
      <c r="I54" t="n">
        <v>45351</v>
      </c>
      <c r="J54" s="10"/>
      <c r="K54" s="10"/>
      <c r="L54" s="10"/>
      <c r="S54" t="n">
        <v>6</v>
      </c>
      <c r="T54" t="n">
        <v>12</v>
      </c>
      <c r="U54" t="n">
        <v>12</v>
      </c>
      <c r="V54" t="n">
        <v>3.1199091909741332</v>
      </c>
    </row>
    <row r="55">
      <c r="A55" s="10" t="s">
        <v>72</v>
      </c>
      <c r="B55" s="10" t="s">
        <v>38</v>
      </c>
      <c r="C55" s="10" t="s">
        <v>39</v>
      </c>
      <c r="D55" s="10" t="s">
        <v>31</v>
      </c>
      <c r="E55" s="11" t="n">
        <v>45748</v>
      </c>
      <c r="F55" t="n">
        <v>45351</v>
      </c>
      <c r="H55" t="n">
        <v>14536</v>
      </c>
      <c r="I55" t="n">
        <v>70815</v>
      </c>
      <c r="J55" s="10" t="s">
        <v>51</v>
      </c>
      <c r="K55" s="10" t="s">
        <v>51</v>
      </c>
      <c r="L55" s="10" t="s">
        <v>153</v>
      </c>
      <c r="M55" t="n">
        <v>40000</v>
      </c>
      <c r="O55" t="n">
        <v>380800</v>
      </c>
      <c r="P55" t="s">
        <v>159</v>
      </c>
      <c r="S55" t="n">
        <v>6</v>
      </c>
      <c r="T55" t="n">
        <v>12</v>
      </c>
      <c r="U55" t="n">
        <v>12</v>
      </c>
      <c r="V55" t="n">
        <v>4.871697853604843</v>
      </c>
    </row>
    <row r="56">
      <c r="A56" s="10" t="s">
        <v>72</v>
      </c>
      <c r="B56" s="10" t="s">
        <v>38</v>
      </c>
      <c r="C56" s="10" t="s">
        <v>39</v>
      </c>
      <c r="D56" s="10" t="s">
        <v>31</v>
      </c>
      <c r="E56" s="11" t="n">
        <v>45778</v>
      </c>
      <c r="F56" t="n">
        <v>70815</v>
      </c>
      <c r="H56" t="n">
        <v>14536</v>
      </c>
      <c r="I56" t="n">
        <v>122015</v>
      </c>
      <c r="J56" s="10" t="s">
        <v>51</v>
      </c>
      <c r="K56" s="10" t="s">
        <v>51</v>
      </c>
      <c r="L56" s="10" t="s">
        <v>153</v>
      </c>
      <c r="M56" t="n">
        <v>65736</v>
      </c>
      <c r="O56" t="n">
        <v>625807</v>
      </c>
      <c r="P56" t="s">
        <v>159</v>
      </c>
      <c r="S56" t="n">
        <v>6</v>
      </c>
      <c r="T56" t="n">
        <v>12</v>
      </c>
      <c r="U56" t="n">
        <v>12</v>
      </c>
      <c r="V56" t="n">
        <v>8.3939873417721511</v>
      </c>
    </row>
    <row r="57">
      <c r="A57" s="10" t="s">
        <v>72</v>
      </c>
      <c r="B57" s="10" t="s">
        <v>38</v>
      </c>
      <c r="C57" s="10" t="s">
        <v>39</v>
      </c>
      <c r="D57" s="10" t="s">
        <v>31</v>
      </c>
      <c r="E57" s="11" t="n">
        <v>45809</v>
      </c>
      <c r="F57" t="n">
        <v>122015</v>
      </c>
      <c r="H57" t="n">
        <v>14536</v>
      </c>
      <c r="I57" t="n">
        <v>107479</v>
      </c>
      <c r="J57" s="10"/>
      <c r="K57" s="10"/>
      <c r="L57" s="10"/>
      <c r="S57" t="n">
        <v>6</v>
      </c>
      <c r="T57" t="n">
        <v>12</v>
      </c>
      <c r="U57" t="n">
        <v>12</v>
      </c>
      <c r="V57" t="n">
        <v>7.393987341772152</v>
      </c>
    </row>
    <row r="58">
      <c r="A58" s="10" t="s">
        <v>72</v>
      </c>
      <c r="B58" s="10" t="s">
        <v>38</v>
      </c>
      <c r="C58" s="10" t="s">
        <v>39</v>
      </c>
      <c r="D58" s="10" t="s">
        <v>31</v>
      </c>
      <c r="E58" s="11" t="n">
        <v>45839</v>
      </c>
      <c r="F58" t="n">
        <v>107479</v>
      </c>
      <c r="H58" t="n">
        <v>14536</v>
      </c>
      <c r="I58" t="n">
        <v>92943</v>
      </c>
      <c r="J58" s="10"/>
      <c r="K58" s="10"/>
      <c r="L58" s="10"/>
      <c r="S58" t="n">
        <v>6</v>
      </c>
      <c r="T58" t="n">
        <v>12</v>
      </c>
      <c r="U58" t="n">
        <v>12</v>
      </c>
      <c r="V58" t="n">
        <v>6.393987341772152</v>
      </c>
    </row>
    <row r="59">
      <c r="A59" s="10" t="s">
        <v>72</v>
      </c>
      <c r="B59" s="10" t="s">
        <v>38</v>
      </c>
      <c r="C59" s="10" t="s">
        <v>39</v>
      </c>
      <c r="D59" s="10" t="s">
        <v>31</v>
      </c>
      <c r="E59" s="11" t="n">
        <v>45870</v>
      </c>
      <c r="F59" t="n">
        <v>92943</v>
      </c>
      <c r="H59" t="n">
        <v>14536</v>
      </c>
      <c r="I59" t="n">
        <v>78407</v>
      </c>
      <c r="J59" s="10"/>
      <c r="K59" s="10"/>
      <c r="L59" s="10"/>
      <c r="S59" t="n">
        <v>6</v>
      </c>
      <c r="T59" t="n">
        <v>12</v>
      </c>
      <c r="U59" t="n">
        <v>12</v>
      </c>
      <c r="V59" t="n">
        <v>5.393987341772152</v>
      </c>
    </row>
    <row r="60">
      <c r="A60" s="10" t="s">
        <v>72</v>
      </c>
      <c r="B60" s="10" t="s">
        <v>38</v>
      </c>
      <c r="C60" s="10" t="s">
        <v>39</v>
      </c>
      <c r="D60" s="10" t="s">
        <v>31</v>
      </c>
      <c r="E60" s="11" t="n">
        <v>45901</v>
      </c>
      <c r="F60" t="n">
        <v>78407</v>
      </c>
      <c r="H60" t="n">
        <v>14536</v>
      </c>
      <c r="I60" t="n">
        <v>86903</v>
      </c>
      <c r="J60" s="10" t="s">
        <v>51</v>
      </c>
      <c r="K60" s="10" t="s">
        <v>51</v>
      </c>
      <c r="L60" s="10" t="s">
        <v>147</v>
      </c>
      <c r="M60" t="n">
        <v>23032</v>
      </c>
      <c r="O60" t="n">
        <v>219265</v>
      </c>
      <c r="P60" t="n">
        <v>45901</v>
      </c>
      <c r="S60" t="n">
        <v>6</v>
      </c>
      <c r="T60" t="n">
        <v>12</v>
      </c>
      <c r="U60" t="n">
        <v>12</v>
      </c>
      <c r="V60" t="n">
        <v>5.9784672537149151</v>
      </c>
    </row>
    <row r="61">
      <c r="A61" s="10" t="s">
        <v>72</v>
      </c>
      <c r="B61" s="10" t="s">
        <v>38</v>
      </c>
      <c r="C61" s="10" t="s">
        <v>39</v>
      </c>
      <c r="D61" s="10" t="s">
        <v>31</v>
      </c>
      <c r="E61" s="11" t="n">
        <v>45931</v>
      </c>
      <c r="F61" t="n">
        <v>86903</v>
      </c>
      <c r="H61" t="n">
        <v>14536</v>
      </c>
      <c r="I61" t="n">
        <v>72367</v>
      </c>
      <c r="J61" s="10"/>
      <c r="K61" s="10"/>
      <c r="L61" s="10"/>
      <c r="S61" t="n">
        <v>6</v>
      </c>
      <c r="T61" t="n">
        <v>12</v>
      </c>
      <c r="U61" t="n">
        <v>12</v>
      </c>
      <c r="V61" t="n">
        <v>4.9784672537149151</v>
      </c>
    </row>
    <row r="62">
      <c r="A62" s="10" t="s">
        <v>72</v>
      </c>
      <c r="B62" s="10" t="s">
        <v>38</v>
      </c>
      <c r="C62" s="10" t="s">
        <v>39</v>
      </c>
      <c r="D62" s="10" t="s">
        <v>31</v>
      </c>
      <c r="E62" s="11" t="n">
        <v>45962</v>
      </c>
      <c r="F62" t="n">
        <v>72367</v>
      </c>
      <c r="H62" t="n">
        <v>14536</v>
      </c>
      <c r="I62" t="n">
        <v>57831</v>
      </c>
      <c r="J62" s="10"/>
      <c r="K62" s="10"/>
      <c r="L62" s="10"/>
      <c r="S62" t="n">
        <v>6</v>
      </c>
      <c r="T62" t="n">
        <v>12</v>
      </c>
      <c r="U62" t="n">
        <v>12</v>
      </c>
      <c r="V62" t="n">
        <v>3.9784672537149146</v>
      </c>
    </row>
    <row r="63">
      <c r="A63" s="10" t="s">
        <v>72</v>
      </c>
      <c r="B63" s="10" t="s">
        <v>38</v>
      </c>
      <c r="C63" s="10" t="s">
        <v>39</v>
      </c>
      <c r="D63" s="10" t="s">
        <v>31</v>
      </c>
      <c r="E63" s="11" t="n">
        <v>45992</v>
      </c>
      <c r="F63" t="n">
        <v>57831</v>
      </c>
      <c r="H63" t="n">
        <v>14536</v>
      </c>
      <c r="I63" t="n">
        <v>241467</v>
      </c>
      <c r="J63" s="10" t="s">
        <v>2</v>
      </c>
      <c r="K63" s="10" t="s">
        <v>2</v>
      </c>
      <c r="L63" s="10" t="s">
        <v>4</v>
      </c>
      <c r="M63" t="n">
        <v>198172</v>
      </c>
      <c r="O63" t="n">
        <v>1886597</v>
      </c>
      <c r="P63" t="n">
        <v>45992</v>
      </c>
      <c r="S63" t="n">
        <v>6</v>
      </c>
      <c r="T63" t="n">
        <v>12</v>
      </c>
      <c r="U63" t="n">
        <v>12</v>
      </c>
      <c r="V63" t="n">
        <v>16.611653824986242</v>
      </c>
    </row>
    <row r="64">
      <c r="A64" s="10" t="s">
        <v>72</v>
      </c>
      <c r="B64" s="10" t="s">
        <v>38</v>
      </c>
      <c r="C64" s="10" t="s">
        <v>39</v>
      </c>
      <c r="D64" s="10" t="s">
        <v>31</v>
      </c>
      <c r="E64" s="11" t="n">
        <v>46023</v>
      </c>
      <c r="F64" t="n">
        <v>241467</v>
      </c>
      <c r="H64" t="n">
        <v>14536</v>
      </c>
      <c r="I64" t="n">
        <v>330805</v>
      </c>
      <c r="J64" s="10" t="s">
        <v>2</v>
      </c>
      <c r="K64" s="10" t="s">
        <v>2</v>
      </c>
      <c r="L64" s="10" t="s">
        <v>4</v>
      </c>
      <c r="M64" t="n">
        <v>103874</v>
      </c>
      <c r="O64" t="n">
        <v>988880</v>
      </c>
      <c r="P64" t="n">
        <v>46023</v>
      </c>
      <c r="S64" t="n">
        <v>6</v>
      </c>
      <c r="T64" t="n">
        <v>12</v>
      </c>
      <c r="U64" t="n">
        <v>12</v>
      </c>
      <c r="V64" t="n">
        <v>22.757636213538799</v>
      </c>
    </row>
    <row r="65">
      <c r="A65" s="10" t="s">
        <v>72</v>
      </c>
      <c r="B65" s="10" t="s">
        <v>38</v>
      </c>
      <c r="C65" s="10" t="s">
        <v>39</v>
      </c>
      <c r="D65" s="10" t="s">
        <v>31</v>
      </c>
      <c r="E65" s="11" t="n">
        <v>46054</v>
      </c>
      <c r="F65" t="n">
        <v>330805</v>
      </c>
      <c r="H65" t="n">
        <v>14536</v>
      </c>
      <c r="I65" t="n">
        <v>316269</v>
      </c>
      <c r="J65" s="10"/>
      <c r="K65" s="10"/>
      <c r="L65" s="10"/>
      <c r="S65" t="n">
        <v>6</v>
      </c>
      <c r="T65" t="n">
        <v>12</v>
      </c>
      <c r="U65" t="n">
        <v>12</v>
      </c>
      <c r="V65" t="n">
        <v>21.757636213538799</v>
      </c>
    </row>
    <row r="66">
      <c r="A66" s="10" t="s">
        <v>72</v>
      </c>
      <c r="B66" s="10" t="s">
        <v>38</v>
      </c>
      <c r="C66" s="10" t="s">
        <v>39</v>
      </c>
      <c r="D66" s="10" t="s">
        <v>31</v>
      </c>
      <c r="E66" s="11" t="n">
        <v>46082</v>
      </c>
      <c r="F66" t="n">
        <v>316269</v>
      </c>
      <c r="H66" t="n">
        <v>14536</v>
      </c>
      <c r="I66" t="n">
        <v>301733</v>
      </c>
      <c r="J66" s="10"/>
      <c r="K66" s="10"/>
      <c r="L66" s="10"/>
      <c r="S66" t="n">
        <v>6</v>
      </c>
      <c r="T66" t="n">
        <v>12</v>
      </c>
      <c r="U66" t="n">
        <v>12</v>
      </c>
      <c r="V66" t="n">
        <v>20.757636213538799</v>
      </c>
    </row>
    <row r="67">
      <c r="A67" s="10" t="s">
        <v>72</v>
      </c>
      <c r="B67" s="10" t="s">
        <v>38</v>
      </c>
      <c r="C67" s="10" t="s">
        <v>39</v>
      </c>
      <c r="D67" s="10" t="s">
        <v>31</v>
      </c>
      <c r="E67" s="11" t="n">
        <v>46113</v>
      </c>
      <c r="F67" t="n">
        <v>301733</v>
      </c>
      <c r="H67" t="n">
        <v>14536</v>
      </c>
      <c r="I67" t="n">
        <v>287197</v>
      </c>
      <c r="J67" s="10"/>
      <c r="K67" s="10"/>
      <c r="L67" s="10"/>
      <c r="S67" t="n">
        <v>6</v>
      </c>
      <c r="T67" t="n">
        <v>12</v>
      </c>
      <c r="U67" t="n">
        <v>12</v>
      </c>
      <c r="V67" t="n">
        <v>19.757636213538799</v>
      </c>
    </row>
    <row r="68">
      <c r="A68" s="10" t="s">
        <v>72</v>
      </c>
      <c r="B68" s="10" t="s">
        <v>38</v>
      </c>
      <c r="C68" s="10" t="s">
        <v>39</v>
      </c>
      <c r="D68" s="10" t="s">
        <v>31</v>
      </c>
      <c r="E68" s="11" t="n">
        <v>46143</v>
      </c>
      <c r="F68" t="n">
        <v>287197</v>
      </c>
      <c r="H68" t="n">
        <v>14536</v>
      </c>
      <c r="I68" t="n">
        <v>272661</v>
      </c>
      <c r="J68" s="10"/>
      <c r="K68" s="10"/>
      <c r="L68" s="10"/>
      <c r="S68" t="n">
        <v>6</v>
      </c>
      <c r="T68" t="n">
        <v>12</v>
      </c>
      <c r="U68" t="n">
        <v>12</v>
      </c>
      <c r="V68" t="n">
        <v>18.757636213538799</v>
      </c>
    </row>
    <row r="69">
      <c r="A69" s="10" t="s">
        <v>72</v>
      </c>
      <c r="B69" s="10" t="s">
        <v>38</v>
      </c>
      <c r="C69" s="10" t="s">
        <v>39</v>
      </c>
      <c r="D69" s="10" t="s">
        <v>31</v>
      </c>
      <c r="E69" s="11" t="n">
        <v>46174</v>
      </c>
      <c r="F69" t="n">
        <v>272661</v>
      </c>
      <c r="H69" t="n">
        <v>14536</v>
      </c>
      <c r="I69" t="n">
        <v>258125</v>
      </c>
      <c r="J69" s="10"/>
      <c r="K69" s="10"/>
      <c r="L69" s="10"/>
      <c r="S69" t="n">
        <v>6</v>
      </c>
      <c r="T69" t="n">
        <v>12</v>
      </c>
      <c r="U69" t="n">
        <v>12</v>
      </c>
      <c r="V69" t="n">
        <v>17.757636213538799</v>
      </c>
    </row>
    <row r="70">
      <c r="A70" s="10" t="s">
        <v>72</v>
      </c>
      <c r="B70" s="10" t="s">
        <v>38</v>
      </c>
      <c r="C70" s="10" t="s">
        <v>39</v>
      </c>
      <c r="D70" s="10" t="s">
        <v>31</v>
      </c>
      <c r="E70" s="11" t="n">
        <v>46204</v>
      </c>
      <c r="F70" t="n">
        <v>258125</v>
      </c>
      <c r="H70" t="n">
        <v>14536</v>
      </c>
      <c r="I70" t="n">
        <v>243589</v>
      </c>
      <c r="J70" s="10"/>
      <c r="K70" s="10"/>
      <c r="L70" s="10"/>
      <c r="S70" t="n">
        <v>6</v>
      </c>
      <c r="T70" t="n">
        <v>12</v>
      </c>
      <c r="U70" t="n">
        <v>12</v>
      </c>
      <c r="V70" t="n">
        <v>16.757636213538799</v>
      </c>
    </row>
    <row r="71">
      <c r="A71" s="10" t="s">
        <v>72</v>
      </c>
      <c r="B71" s="10" t="s">
        <v>38</v>
      </c>
      <c r="C71" s="10" t="s">
        <v>39</v>
      </c>
      <c r="D71" s="10" t="s">
        <v>31</v>
      </c>
      <c r="E71" s="11" t="n">
        <v>46235</v>
      </c>
      <c r="F71" t="n">
        <v>243589</v>
      </c>
      <c r="H71" t="n">
        <v>14536</v>
      </c>
      <c r="I71" t="n">
        <v>229053</v>
      </c>
      <c r="J71" s="10"/>
      <c r="K71" s="10"/>
      <c r="L71" s="10"/>
      <c r="S71" t="n">
        <v>6</v>
      </c>
      <c r="T71" t="n">
        <v>12</v>
      </c>
      <c r="U71" t="n">
        <v>12</v>
      </c>
      <c r="V71" t="n">
        <v>15.757636213538801</v>
      </c>
    </row>
    <row r="72">
      <c r="A72" s="10" t="s">
        <v>72</v>
      </c>
      <c r="B72" s="10" t="s">
        <v>38</v>
      </c>
      <c r="C72" s="10" t="s">
        <v>39</v>
      </c>
      <c r="D72" s="10" t="s">
        <v>31</v>
      </c>
      <c r="E72" s="11" t="n">
        <v>46266</v>
      </c>
      <c r="F72" t="n">
        <v>229053</v>
      </c>
      <c r="H72" t="n">
        <v>14536</v>
      </c>
      <c r="I72" t="n">
        <v>214517</v>
      </c>
      <c r="J72" s="10"/>
      <c r="K72" s="10"/>
      <c r="L72" s="10"/>
      <c r="S72" t="n">
        <v>6</v>
      </c>
      <c r="T72" t="n">
        <v>12</v>
      </c>
      <c r="U72" t="n">
        <v>12</v>
      </c>
      <c r="V72" t="n">
        <v>14.757636213538801</v>
      </c>
    </row>
    <row r="73">
      <c r="A73" s="10" t="s">
        <v>72</v>
      </c>
      <c r="B73" s="10" t="s">
        <v>38</v>
      </c>
      <c r="C73" s="10" t="s">
        <v>39</v>
      </c>
      <c r="D73" s="10" t="s">
        <v>31</v>
      </c>
      <c r="E73" s="11" t="n">
        <v>46296</v>
      </c>
      <c r="F73" t="n">
        <v>214517</v>
      </c>
      <c r="H73" t="n">
        <v>14536</v>
      </c>
      <c r="I73" t="n">
        <v>199981</v>
      </c>
      <c r="J73" s="10"/>
      <c r="K73" s="10"/>
      <c r="L73" s="10"/>
      <c r="S73" t="n">
        <v>6</v>
      </c>
      <c r="T73" t="n">
        <v>12</v>
      </c>
      <c r="U73" t="n">
        <v>12</v>
      </c>
      <c r="V73" t="n">
        <v>13.757636213538801</v>
      </c>
    </row>
    <row r="74">
      <c r="A74" s="10" t="s">
        <v>72</v>
      </c>
      <c r="B74" s="10" t="s">
        <v>38</v>
      </c>
      <c r="C74" s="10" t="s">
        <v>39</v>
      </c>
      <c r="D74" s="10" t="s">
        <v>31</v>
      </c>
      <c r="E74" s="11" t="n">
        <v>46327</v>
      </c>
      <c r="F74" t="n">
        <v>199981</v>
      </c>
      <c r="H74" t="n">
        <v>14536</v>
      </c>
      <c r="I74" t="n">
        <v>185445</v>
      </c>
      <c r="J74" s="10"/>
      <c r="K74" s="10"/>
      <c r="L74" s="10"/>
      <c r="S74" t="n">
        <v>6</v>
      </c>
      <c r="T74" t="n">
        <v>12</v>
      </c>
      <c r="U74" t="n">
        <v>12</v>
      </c>
      <c r="V74" t="n">
        <v>12.757636213538801</v>
      </c>
    </row>
    <row r="75">
      <c r="A75" s="10" t="s">
        <v>72</v>
      </c>
      <c r="B75" s="10" t="s">
        <v>38</v>
      </c>
      <c r="C75" s="10" t="s">
        <v>39</v>
      </c>
      <c r="D75" s="10" t="s">
        <v>31</v>
      </c>
      <c r="E75" s="11" t="n">
        <v>46357</v>
      </c>
      <c r="F75" t="n">
        <v>185445</v>
      </c>
      <c r="H75" t="n">
        <v>14536</v>
      </c>
      <c r="I75" t="n">
        <v>268251</v>
      </c>
      <c r="J75" s="10" t="s">
        <v>2</v>
      </c>
      <c r="K75" s="10" t="s">
        <v>2</v>
      </c>
      <c r="L75" s="10" t="s">
        <v>4</v>
      </c>
      <c r="M75" t="n">
        <v>97342</v>
      </c>
      <c r="O75" t="n">
        <v>926268</v>
      </c>
      <c r="P75" t="n">
        <v>46357</v>
      </c>
      <c r="S75" t="n">
        <v>6</v>
      </c>
      <c r="T75" t="n">
        <v>12</v>
      </c>
      <c r="U75" t="n">
        <v>12</v>
      </c>
      <c r="V75" t="n">
        <v>18.454251513483765</v>
      </c>
    </row>
    <row r="76">
      <c r="A76" s="10" t="s">
        <v>77</v>
      </c>
      <c r="B76" s="10" t="s">
        <v>38</v>
      </c>
      <c r="C76" s="10" t="s">
        <v>39</v>
      </c>
      <c r="D76" s="10" t="s">
        <v>31</v>
      </c>
      <c r="E76" s="11" t="n">
        <v>45839</v>
      </c>
      <c r="F76" t="n">
        <v>455606</v>
      </c>
      <c r="H76" t="n">
        <v>180673</v>
      </c>
      <c r="I76" t="n">
        <v>274933</v>
      </c>
      <c r="J76" s="10"/>
      <c r="K76" s="10"/>
      <c r="L76" s="10"/>
      <c r="S76" t="n">
        <v>6</v>
      </c>
      <c r="T76" t="n">
        <v>12</v>
      </c>
      <c r="U76" t="n">
        <v>12</v>
      </c>
      <c r="V76" t="n">
        <v>1.5217160284049083</v>
      </c>
    </row>
    <row r="77">
      <c r="A77" s="10" t="s">
        <v>77</v>
      </c>
      <c r="B77" s="10" t="s">
        <v>38</v>
      </c>
      <c r="C77" s="10" t="s">
        <v>39</v>
      </c>
      <c r="D77" s="10" t="s">
        <v>31</v>
      </c>
      <c r="E77" s="11" t="n">
        <v>45870</v>
      </c>
      <c r="F77" t="n">
        <v>274933</v>
      </c>
      <c r="H77" t="n">
        <v>180673</v>
      </c>
      <c r="I77" t="n">
        <v>240132</v>
      </c>
      <c r="J77" s="10" t="s">
        <v>51</v>
      </c>
      <c r="K77" s="10" t="s">
        <v>51</v>
      </c>
      <c r="L77" s="10" t="s">
        <v>154</v>
      </c>
      <c r="M77" t="n">
        <v>145872</v>
      </c>
      <c r="S77" t="n">
        <v>6</v>
      </c>
      <c r="T77" t="n">
        <v>12</v>
      </c>
      <c r="U77" t="n">
        <v>12</v>
      </c>
      <c r="V77" t="n">
        <v>1.3290973194666607</v>
      </c>
    </row>
    <row r="78">
      <c r="A78" s="10" t="s">
        <v>77</v>
      </c>
      <c r="B78" s="10" t="s">
        <v>38</v>
      </c>
      <c r="C78" s="10" t="s">
        <v>39</v>
      </c>
      <c r="D78" s="10" t="s">
        <v>31</v>
      </c>
      <c r="E78" s="11" t="n">
        <v>45901</v>
      </c>
      <c r="F78" t="n">
        <v>240132</v>
      </c>
      <c r="H78" t="n">
        <v>180673</v>
      </c>
      <c r="I78" t="n">
        <v>59459</v>
      </c>
      <c r="J78" s="10"/>
      <c r="K78" s="10"/>
      <c r="L78" s="10"/>
      <c r="S78" t="n">
        <v>6</v>
      </c>
      <c r="T78" t="n">
        <v>12</v>
      </c>
      <c r="U78" t="n">
        <v>12</v>
      </c>
      <c r="V78" t="n">
        <v>0.32909731946666076</v>
      </c>
    </row>
    <row r="79">
      <c r="A79" s="10" t="s">
        <v>77</v>
      </c>
      <c r="B79" s="10" t="s">
        <v>38</v>
      </c>
      <c r="C79" s="10" t="s">
        <v>39</v>
      </c>
      <c r="D79" s="10" t="s">
        <v>31</v>
      </c>
      <c r="E79" s="11" t="n">
        <v>45931</v>
      </c>
      <c r="F79" t="n">
        <v>59459</v>
      </c>
      <c r="H79" t="n">
        <v>180673</v>
      </c>
      <c r="I79" t="n">
        <v>72610</v>
      </c>
      <c r="J79" s="10" t="s">
        <v>51</v>
      </c>
      <c r="K79" s="10" t="s">
        <v>51</v>
      </c>
      <c r="L79" s="10" t="s">
        <v>152</v>
      </c>
      <c r="M79" t="n">
        <v>193824</v>
      </c>
      <c r="S79" t="n">
        <v>6</v>
      </c>
      <c r="T79" t="n">
        <v>12</v>
      </c>
      <c r="U79" t="n">
        <v>12</v>
      </c>
      <c r="V79" t="n">
        <v>0.4018862807392361</v>
      </c>
    </row>
    <row r="80">
      <c r="A80" s="10" t="s">
        <v>77</v>
      </c>
      <c r="B80" s="10" t="s">
        <v>38</v>
      </c>
      <c r="C80" s="10" t="s">
        <v>39</v>
      </c>
      <c r="D80" s="10" t="s">
        <v>31</v>
      </c>
      <c r="E80" s="11" t="n">
        <v>45962</v>
      </c>
      <c r="F80" t="n">
        <v>72610</v>
      </c>
      <c r="H80" t="n">
        <v>180673</v>
      </c>
      <c r="I80" t="n">
        <v>0</v>
      </c>
      <c r="J80" s="10"/>
      <c r="K80" s="10"/>
      <c r="L80" s="10"/>
      <c r="S80" t="n">
        <v>6</v>
      </c>
      <c r="T80" t="n">
        <v>12</v>
      </c>
      <c r="U80" t="n">
        <v>12</v>
      </c>
      <c r="V80" t="n">
        <v>0</v>
      </c>
    </row>
    <row r="81">
      <c r="A81" s="10" t="s">
        <v>77</v>
      </c>
      <c r="B81" s="10" t="s">
        <v>38</v>
      </c>
      <c r="C81" s="10" t="s">
        <v>39</v>
      </c>
      <c r="D81" s="10" t="s">
        <v>31</v>
      </c>
      <c r="E81" s="11" t="n">
        <v>45992</v>
      </c>
      <c r="F81" t="n">
        <v>0</v>
      </c>
      <c r="H81" t="n">
        <v>180673</v>
      </c>
      <c r="I81" t="n">
        <v>0</v>
      </c>
      <c r="J81" s="10"/>
      <c r="K81" s="10"/>
      <c r="L81" s="10"/>
      <c r="S81" t="n">
        <v>6</v>
      </c>
      <c r="T81" t="n">
        <v>12</v>
      </c>
      <c r="U81" t="n">
        <v>12</v>
      </c>
      <c r="V81" t="n">
        <v>0</v>
      </c>
    </row>
    <row r="82">
      <c r="A82" s="10" t="s">
        <v>77</v>
      </c>
      <c r="B82" s="10" t="s">
        <v>38</v>
      </c>
      <c r="C82" s="10" t="s">
        <v>39</v>
      </c>
      <c r="D82" s="10" t="s">
        <v>31</v>
      </c>
      <c r="E82" s="11" t="n">
        <v>46023</v>
      </c>
      <c r="F82" t="n">
        <v>0</v>
      </c>
      <c r="H82" t="n">
        <v>180673</v>
      </c>
      <c r="I82" t="n">
        <v>0</v>
      </c>
      <c r="J82" s="10"/>
      <c r="K82" s="10"/>
      <c r="L82" s="10"/>
      <c r="S82" t="n">
        <v>6</v>
      </c>
      <c r="T82" t="n">
        <v>12</v>
      </c>
      <c r="U82" t="n">
        <v>12</v>
      </c>
      <c r="V82" t="n">
        <v>0</v>
      </c>
    </row>
    <row r="83">
      <c r="A83" s="10" t="s">
        <v>77</v>
      </c>
      <c r="B83" s="10" t="s">
        <v>38</v>
      </c>
      <c r="C83" s="10" t="s">
        <v>39</v>
      </c>
      <c r="D83" s="10" t="s">
        <v>31</v>
      </c>
      <c r="E83" s="11" t="n">
        <v>46054</v>
      </c>
      <c r="F83" t="n">
        <v>0</v>
      </c>
      <c r="H83" t="n">
        <v>180673</v>
      </c>
      <c r="I83" t="n">
        <v>0</v>
      </c>
      <c r="J83" s="10"/>
      <c r="K83" s="10"/>
      <c r="L83" s="10"/>
      <c r="S83" t="n">
        <v>6</v>
      </c>
      <c r="T83" t="n">
        <v>12</v>
      </c>
      <c r="U83" t="n">
        <v>12</v>
      </c>
      <c r="V83" t="n">
        <v>0</v>
      </c>
    </row>
    <row r="84">
      <c r="A84" s="10" t="s">
        <v>77</v>
      </c>
      <c r="B84" s="10" t="s">
        <v>38</v>
      </c>
      <c r="C84" s="10" t="s">
        <v>39</v>
      </c>
      <c r="D84" s="10" t="s">
        <v>31</v>
      </c>
      <c r="E84" s="11" t="n">
        <v>46082</v>
      </c>
      <c r="F84" t="n">
        <v>0</v>
      </c>
      <c r="H84" t="n">
        <v>180673</v>
      </c>
      <c r="I84" t="n">
        <v>0</v>
      </c>
      <c r="J84" s="10"/>
      <c r="K84" s="10"/>
      <c r="L84" s="10"/>
      <c r="S84" t="n">
        <v>6</v>
      </c>
      <c r="T84" t="n">
        <v>12</v>
      </c>
      <c r="U84" t="n">
        <v>12</v>
      </c>
      <c r="V84" t="n">
        <v>0</v>
      </c>
    </row>
    <row r="85">
      <c r="A85" s="10" t="s">
        <v>77</v>
      </c>
      <c r="B85" s="10" t="s">
        <v>38</v>
      </c>
      <c r="C85" s="10" t="s">
        <v>39</v>
      </c>
      <c r="D85" s="10" t="s">
        <v>31</v>
      </c>
      <c r="E85" s="11" t="n">
        <v>46113</v>
      </c>
      <c r="F85" t="n">
        <v>0</v>
      </c>
      <c r="H85" t="n">
        <v>180673</v>
      </c>
      <c r="I85" t="n">
        <v>0</v>
      </c>
      <c r="J85" s="10"/>
      <c r="K85" s="10"/>
      <c r="L85" s="10"/>
      <c r="S85" t="n">
        <v>6</v>
      </c>
      <c r="T85" t="n">
        <v>12</v>
      </c>
      <c r="U85" t="n">
        <v>12</v>
      </c>
      <c r="V85" t="n">
        <v>0</v>
      </c>
    </row>
    <row r="86">
      <c r="A86" s="10" t="s">
        <v>77</v>
      </c>
      <c r="B86" s="10" t="s">
        <v>38</v>
      </c>
      <c r="C86" s="10" t="s">
        <v>39</v>
      </c>
      <c r="D86" s="10" t="s">
        <v>31</v>
      </c>
      <c r="E86" s="11" t="n">
        <v>46143</v>
      </c>
      <c r="F86" t="n">
        <v>0</v>
      </c>
      <c r="H86" t="n">
        <v>180673</v>
      </c>
      <c r="I86" t="n">
        <v>0</v>
      </c>
      <c r="J86" s="10"/>
      <c r="K86" s="10"/>
      <c r="L86" s="10"/>
      <c r="S86" t="n">
        <v>6</v>
      </c>
      <c r="T86" t="n">
        <v>12</v>
      </c>
      <c r="U86" t="n">
        <v>12</v>
      </c>
      <c r="V86" t="n">
        <v>0</v>
      </c>
    </row>
    <row r="87">
      <c r="A87" s="10" t="s">
        <v>77</v>
      </c>
      <c r="B87" s="10" t="s">
        <v>38</v>
      </c>
      <c r="C87" s="10" t="s">
        <v>39</v>
      </c>
      <c r="D87" s="10" t="s">
        <v>31</v>
      </c>
      <c r="E87" s="11" t="n">
        <v>46174</v>
      </c>
      <c r="F87" t="n">
        <v>0</v>
      </c>
      <c r="H87" t="n">
        <v>180673</v>
      </c>
      <c r="I87" t="n">
        <v>0</v>
      </c>
      <c r="J87" s="10"/>
      <c r="K87" s="10"/>
      <c r="L87" s="10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74</v>
      </c>
      <c r="B88" s="10" t="s">
        <v>38</v>
      </c>
      <c r="C88" s="10" t="s">
        <v>39</v>
      </c>
      <c r="D88" s="10" t="s">
        <v>31</v>
      </c>
      <c r="E88" s="11" t="n">
        <v>45870</v>
      </c>
      <c r="F88" t="n">
        <v>256580</v>
      </c>
      <c r="H88" t="n">
        <v>10000</v>
      </c>
      <c r="I88" t="n">
        <v>287332</v>
      </c>
      <c r="J88" s="10" t="s">
        <v>51</v>
      </c>
      <c r="K88" s="10" t="s">
        <v>51</v>
      </c>
      <c r="L88" s="10" t="s">
        <v>147</v>
      </c>
      <c r="M88" t="n">
        <v>40752</v>
      </c>
      <c r="S88" t="n">
        <v>3</v>
      </c>
      <c r="T88" t="n">
        <v>6</v>
      </c>
      <c r="U88" t="n">
        <v>6</v>
      </c>
      <c r="V88" t="n">
        <v>28.7332</v>
      </c>
    </row>
    <row r="89">
      <c r="A89" s="10" t="s">
        <v>74</v>
      </c>
      <c r="B89" s="10" t="s">
        <v>38</v>
      </c>
      <c r="C89" s="10" t="s">
        <v>39</v>
      </c>
      <c r="D89" s="10" t="s">
        <v>31</v>
      </c>
      <c r="E89" s="11" t="n">
        <v>45901</v>
      </c>
      <c r="F89" t="n">
        <v>287332</v>
      </c>
      <c r="H89" t="n">
        <v>10000</v>
      </c>
      <c r="I89" t="n">
        <v>277332</v>
      </c>
      <c r="J89" s="10"/>
      <c r="K89" s="10"/>
      <c r="L89" s="10"/>
      <c r="S89" t="n">
        <v>3</v>
      </c>
      <c r="T89" t="n">
        <v>6</v>
      </c>
      <c r="U89" t="n">
        <v>6</v>
      </c>
      <c r="V89" t="n">
        <v>27.7332</v>
      </c>
    </row>
    <row r="90">
      <c r="A90" s="10" t="s">
        <v>74</v>
      </c>
      <c r="B90" s="10" t="s">
        <v>38</v>
      </c>
      <c r="C90" s="10" t="s">
        <v>39</v>
      </c>
      <c r="D90" s="10" t="s">
        <v>31</v>
      </c>
      <c r="E90" s="11" t="n">
        <v>45931</v>
      </c>
      <c r="F90" t="n">
        <v>277332</v>
      </c>
      <c r="H90" t="n">
        <v>10000</v>
      </c>
      <c r="I90" t="n">
        <v>300164</v>
      </c>
      <c r="J90" s="10" t="s">
        <v>51</v>
      </c>
      <c r="K90" s="10" t="s">
        <v>51</v>
      </c>
      <c r="L90" s="10" t="s">
        <v>147</v>
      </c>
      <c r="M90" t="n">
        <v>32832</v>
      </c>
      <c r="S90" t="n">
        <v>3</v>
      </c>
      <c r="T90" t="n">
        <v>6</v>
      </c>
      <c r="U90" t="n">
        <v>6</v>
      </c>
      <c r="V90" t="n">
        <v>30.016400000000001</v>
      </c>
    </row>
    <row r="91">
      <c r="A91" s="10" t="s">
        <v>74</v>
      </c>
      <c r="B91" s="10" t="s">
        <v>38</v>
      </c>
      <c r="C91" s="10" t="s">
        <v>39</v>
      </c>
      <c r="D91" s="10" t="s">
        <v>31</v>
      </c>
      <c r="E91" s="11" t="n">
        <v>45962</v>
      </c>
      <c r="F91" t="n">
        <v>300164</v>
      </c>
      <c r="H91" t="n">
        <v>10000</v>
      </c>
      <c r="I91" t="n">
        <v>290164</v>
      </c>
      <c r="J91" s="10"/>
      <c r="K91" s="10"/>
      <c r="L91" s="10"/>
      <c r="S91" t="n">
        <v>3</v>
      </c>
      <c r="T91" t="n">
        <v>6</v>
      </c>
      <c r="U91" t="n">
        <v>6</v>
      </c>
      <c r="V91" t="n">
        <v>29.016400000000001</v>
      </c>
    </row>
    <row r="92">
      <c r="A92" s="10" t="s">
        <v>74</v>
      </c>
      <c r="B92" s="10" t="s">
        <v>38</v>
      </c>
      <c r="C92" s="10" t="s">
        <v>39</v>
      </c>
      <c r="D92" s="10" t="s">
        <v>31</v>
      </c>
      <c r="E92" s="11" t="n">
        <v>45992</v>
      </c>
      <c r="F92" t="n">
        <v>290164</v>
      </c>
      <c r="H92" t="n">
        <v>10000</v>
      </c>
      <c r="I92" t="n">
        <v>280164</v>
      </c>
      <c r="J92" s="10"/>
      <c r="K92" s="10"/>
      <c r="L92" s="10"/>
      <c r="S92" t="n">
        <v>3</v>
      </c>
      <c r="T92" t="n">
        <v>6</v>
      </c>
      <c r="U92" t="n">
        <v>6</v>
      </c>
      <c r="V92" t="n">
        <v>28.016400000000001</v>
      </c>
    </row>
    <row r="93">
      <c r="A93" s="10" t="s">
        <v>74</v>
      </c>
      <c r="B93" s="10" t="s">
        <v>38</v>
      </c>
      <c r="C93" s="10" t="s">
        <v>39</v>
      </c>
      <c r="D93" s="10" t="s">
        <v>31</v>
      </c>
      <c r="E93" s="11" t="n">
        <v>46023</v>
      </c>
      <c r="F93" t="n">
        <v>280164</v>
      </c>
      <c r="H93" t="n">
        <v>24987</v>
      </c>
      <c r="I93" t="n">
        <v>255177</v>
      </c>
      <c r="J93" s="10"/>
      <c r="K93" s="10"/>
      <c r="L93" s="10"/>
      <c r="S93" t="n">
        <v>3</v>
      </c>
      <c r="T93" t="n">
        <v>6</v>
      </c>
      <c r="U93" t="n">
        <v>6</v>
      </c>
      <c r="V93" t="n">
        <v>10.212390443030376</v>
      </c>
    </row>
    <row r="94">
      <c r="A94" s="10" t="s">
        <v>74</v>
      </c>
      <c r="B94" s="10" t="s">
        <v>38</v>
      </c>
      <c r="C94" s="10" t="s">
        <v>39</v>
      </c>
      <c r="D94" s="10" t="s">
        <v>31</v>
      </c>
      <c r="E94" s="11" t="n">
        <v>46054</v>
      </c>
      <c r="F94" t="n">
        <v>255177</v>
      </c>
      <c r="H94" t="n">
        <v>25003</v>
      </c>
      <c r="I94" t="n">
        <v>230174</v>
      </c>
      <c r="J94" s="10"/>
      <c r="K94" s="10"/>
      <c r="L94" s="10"/>
      <c r="S94" t="n">
        <v>3</v>
      </c>
      <c r="T94" t="n">
        <v>6</v>
      </c>
      <c r="U94" t="n">
        <v>6</v>
      </c>
      <c r="V94" t="n">
        <v>9.205855297364316</v>
      </c>
    </row>
    <row r="95">
      <c r="A95" s="10" t="s">
        <v>74</v>
      </c>
      <c r="B95" s="10" t="s">
        <v>38</v>
      </c>
      <c r="C95" s="10" t="s">
        <v>39</v>
      </c>
      <c r="D95" s="10" t="s">
        <v>31</v>
      </c>
      <c r="E95" s="11" t="n">
        <v>46082</v>
      </c>
      <c r="F95" t="n">
        <v>230174</v>
      </c>
      <c r="H95" t="n">
        <v>11000</v>
      </c>
      <c r="I95" t="n">
        <v>219174</v>
      </c>
      <c r="J95" s="10"/>
      <c r="K95" s="10"/>
      <c r="L95" s="10"/>
      <c r="S95" t="n">
        <v>3</v>
      </c>
      <c r="T95" t="n">
        <v>6</v>
      </c>
      <c r="U95" t="n">
        <v>6</v>
      </c>
      <c r="V95" t="n">
        <v>19.92490909090909</v>
      </c>
    </row>
    <row r="96">
      <c r="A96" s="10" t="s">
        <v>74</v>
      </c>
      <c r="B96" s="10" t="s">
        <v>38</v>
      </c>
      <c r="C96" s="10" t="s">
        <v>39</v>
      </c>
      <c r="D96" s="10" t="s">
        <v>31</v>
      </c>
      <c r="E96" s="11" t="n">
        <v>46113</v>
      </c>
      <c r="F96" t="n">
        <v>219174</v>
      </c>
      <c r="H96" t="n">
        <v>11000</v>
      </c>
      <c r="I96" t="n">
        <v>208174</v>
      </c>
      <c r="J96" s="10"/>
      <c r="K96" s="10"/>
      <c r="L96" s="10"/>
      <c r="S96" t="n">
        <v>3</v>
      </c>
      <c r="T96" t="n">
        <v>6</v>
      </c>
      <c r="U96" t="n">
        <v>6</v>
      </c>
      <c r="V96" t="n">
        <v>18.92490909090909</v>
      </c>
    </row>
    <row r="97">
      <c r="A97" s="10" t="s">
        <v>74</v>
      </c>
      <c r="B97" s="10" t="s">
        <v>38</v>
      </c>
      <c r="C97" s="10" t="s">
        <v>39</v>
      </c>
      <c r="D97" s="10" t="s">
        <v>31</v>
      </c>
      <c r="E97" s="11" t="n">
        <v>46143</v>
      </c>
      <c r="F97" t="n">
        <v>208174</v>
      </c>
      <c r="H97" t="n">
        <v>11000</v>
      </c>
      <c r="I97" t="n">
        <v>197174</v>
      </c>
      <c r="J97" s="10"/>
      <c r="K97" s="10"/>
      <c r="L97" s="10"/>
      <c r="S97" t="n">
        <v>3</v>
      </c>
      <c r="T97" t="n">
        <v>6</v>
      </c>
      <c r="U97" t="n">
        <v>6</v>
      </c>
      <c r="V97" t="n">
        <v>17.92490909090909</v>
      </c>
    </row>
    <row r="98">
      <c r="A98" s="10" t="s">
        <v>74</v>
      </c>
      <c r="B98" s="10" t="s">
        <v>38</v>
      </c>
      <c r="C98" s="10" t="s">
        <v>39</v>
      </c>
      <c r="D98" s="10" t="s">
        <v>31</v>
      </c>
      <c r="E98" s="11" t="n">
        <v>46174</v>
      </c>
      <c r="F98" t="n">
        <v>197174</v>
      </c>
      <c r="H98" t="n">
        <v>11000</v>
      </c>
      <c r="I98" t="n">
        <v>186174</v>
      </c>
      <c r="J98" s="10"/>
      <c r="K98" s="10"/>
      <c r="L98" s="10"/>
      <c r="S98" t="n">
        <v>3</v>
      </c>
      <c r="T98" t="n">
        <v>6</v>
      </c>
      <c r="U98" t="n">
        <v>6</v>
      </c>
      <c r="V98" t="n">
        <v>16.92490909090909</v>
      </c>
    </row>
    <row r="99">
      <c r="A99" s="10" t="s">
        <v>74</v>
      </c>
      <c r="B99" s="10" t="s">
        <v>38</v>
      </c>
      <c r="C99" s="10" t="s">
        <v>39</v>
      </c>
      <c r="D99" s="10" t="s">
        <v>31</v>
      </c>
      <c r="E99" s="11" t="n">
        <v>46204</v>
      </c>
      <c r="F99" t="n">
        <v>186174</v>
      </c>
      <c r="H99" t="n">
        <v>11000</v>
      </c>
      <c r="I99" t="n">
        <v>175174</v>
      </c>
      <c r="J99" s="10"/>
      <c r="K99" s="10"/>
      <c r="L99" s="10"/>
      <c r="S99" t="n">
        <v>3</v>
      </c>
      <c r="T99" t="n">
        <v>6</v>
      </c>
      <c r="U99" t="n">
        <v>6</v>
      </c>
      <c r="V99" t="n">
        <v>15.924909090909091</v>
      </c>
    </row>
    <row r="100">
      <c r="A100" s="10" t="s">
        <v>74</v>
      </c>
      <c r="B100" s="10" t="s">
        <v>38</v>
      </c>
      <c r="C100" s="10" t="s">
        <v>39</v>
      </c>
      <c r="D100" s="10" t="s">
        <v>31</v>
      </c>
      <c r="E100" s="11" t="n">
        <v>46235</v>
      </c>
      <c r="F100" t="n">
        <v>175174</v>
      </c>
      <c r="H100" t="n">
        <v>11000</v>
      </c>
      <c r="I100" t="n">
        <v>164174</v>
      </c>
      <c r="J100" s="10"/>
      <c r="K100" s="10"/>
      <c r="L100" s="10"/>
      <c r="S100" t="n">
        <v>3</v>
      </c>
      <c r="T100" t="n">
        <v>6</v>
      </c>
      <c r="U100" t="n">
        <v>6</v>
      </c>
      <c r="V100" t="n">
        <v>14.924909090909091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35.81640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0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47</v>
      </c>
      <c r="C2" s="10" t="s">
        <v>48</v>
      </c>
      <c r="D2" s="10" t="s">
        <v>31</v>
      </c>
      <c r="E2" s="11" t="n">
        <v>45839</v>
      </c>
      <c r="F2" t="n">
        <v>18025</v>
      </c>
      <c r="H2" t="n">
        <v>902</v>
      </c>
      <c r="I2" t="n">
        <v>17123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18.983370288248338</v>
      </c>
    </row>
    <row r="3">
      <c r="A3" s="10" t="s">
        <v>28</v>
      </c>
      <c r="B3" s="10" t="s">
        <v>47</v>
      </c>
      <c r="C3" s="10" t="s">
        <v>48</v>
      </c>
      <c r="D3" s="10" t="s">
        <v>31</v>
      </c>
      <c r="E3" s="11" t="n">
        <v>45870</v>
      </c>
      <c r="F3" t="n">
        <v>17123</v>
      </c>
      <c r="H3" t="n">
        <v>902</v>
      </c>
      <c r="I3" t="n">
        <v>16221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17.983370288248338</v>
      </c>
    </row>
    <row r="4">
      <c r="A4" s="10" t="s">
        <v>28</v>
      </c>
      <c r="B4" s="10" t="s">
        <v>47</v>
      </c>
      <c r="C4" s="10" t="s">
        <v>48</v>
      </c>
      <c r="D4" s="10" t="s">
        <v>31</v>
      </c>
      <c r="E4" s="11" t="n">
        <v>45901</v>
      </c>
      <c r="F4" t="n">
        <v>16221</v>
      </c>
      <c r="H4" t="n">
        <v>902</v>
      </c>
      <c r="I4" t="n">
        <v>15319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16.983370288248338</v>
      </c>
    </row>
    <row r="5">
      <c r="A5" s="10" t="s">
        <v>28</v>
      </c>
      <c r="B5" s="10" t="s">
        <v>47</v>
      </c>
      <c r="C5" s="10" t="s">
        <v>48</v>
      </c>
      <c r="D5" s="10" t="s">
        <v>31</v>
      </c>
      <c r="E5" s="11" t="n">
        <v>45931</v>
      </c>
      <c r="F5" t="n">
        <v>15319</v>
      </c>
      <c r="H5" t="n">
        <v>902</v>
      </c>
      <c r="I5" t="n">
        <v>14417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15.983370288248336</v>
      </c>
    </row>
    <row r="6">
      <c r="A6" s="10" t="s">
        <v>28</v>
      </c>
      <c r="B6" s="10" t="s">
        <v>47</v>
      </c>
      <c r="C6" s="10" t="s">
        <v>48</v>
      </c>
      <c r="D6" s="10" t="s">
        <v>31</v>
      </c>
      <c r="E6" s="11" t="n">
        <v>45962</v>
      </c>
      <c r="F6" t="n">
        <v>14417</v>
      </c>
      <c r="H6" t="n">
        <v>902</v>
      </c>
      <c r="I6" t="n">
        <v>13515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14.983370288248336</v>
      </c>
    </row>
    <row r="7">
      <c r="A7" s="10" t="s">
        <v>28</v>
      </c>
      <c r="B7" s="10" t="s">
        <v>47</v>
      </c>
      <c r="C7" s="10" t="s">
        <v>48</v>
      </c>
      <c r="D7" s="10" t="s">
        <v>31</v>
      </c>
      <c r="E7" s="11" t="n">
        <v>45992</v>
      </c>
      <c r="F7" t="n">
        <v>13515</v>
      </c>
      <c r="H7" t="n">
        <v>902</v>
      </c>
      <c r="I7" t="n">
        <v>12613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13.983370288248336</v>
      </c>
    </row>
    <row r="8">
      <c r="A8" s="10" t="s">
        <v>28</v>
      </c>
      <c r="B8" s="10" t="s">
        <v>47</v>
      </c>
      <c r="C8" s="10" t="s">
        <v>48</v>
      </c>
      <c r="D8" s="10" t="s">
        <v>31</v>
      </c>
      <c r="E8" s="11" t="n">
        <v>46023</v>
      </c>
      <c r="F8" t="n">
        <v>12613</v>
      </c>
      <c r="H8" t="n">
        <v>902</v>
      </c>
      <c r="I8" t="n">
        <v>11711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12.983370288248336</v>
      </c>
    </row>
    <row r="9">
      <c r="A9" s="10" t="s">
        <v>28</v>
      </c>
      <c r="B9" s="10" t="s">
        <v>47</v>
      </c>
      <c r="C9" s="10" t="s">
        <v>48</v>
      </c>
      <c r="D9" s="10" t="s">
        <v>31</v>
      </c>
      <c r="E9" s="11" t="n">
        <v>46054</v>
      </c>
      <c r="F9" t="n">
        <v>11711</v>
      </c>
      <c r="H9" t="n">
        <v>902</v>
      </c>
      <c r="I9" t="n">
        <v>10809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11.983370288248336</v>
      </c>
    </row>
    <row r="10">
      <c r="A10" s="10" t="s">
        <v>28</v>
      </c>
      <c r="B10" s="10" t="s">
        <v>47</v>
      </c>
      <c r="C10" s="10" t="s">
        <v>48</v>
      </c>
      <c r="D10" s="10" t="s">
        <v>31</v>
      </c>
      <c r="E10" s="11" t="n">
        <v>46082</v>
      </c>
      <c r="F10" t="n">
        <v>10809</v>
      </c>
      <c r="H10" t="n">
        <v>902</v>
      </c>
      <c r="I10" t="n">
        <v>15259</v>
      </c>
      <c r="J10" s="10" t="s">
        <v>2</v>
      </c>
      <c r="K10" s="10" t="s">
        <v>2</v>
      </c>
      <c r="L10" s="10" t="s">
        <v>4</v>
      </c>
      <c r="M10" t="n">
        <v>5352</v>
      </c>
      <c r="O10" t="n">
        <v>70004</v>
      </c>
      <c r="P10" s="11" t="n">
        <v>46082</v>
      </c>
      <c r="S10" t="n">
        <v>9</v>
      </c>
      <c r="T10" t="n">
        <v>14</v>
      </c>
      <c r="U10" t="n">
        <v>13</v>
      </c>
      <c r="V10" t="n">
        <v>16.916851441241686</v>
      </c>
    </row>
    <row r="11">
      <c r="A11" s="10" t="s">
        <v>28</v>
      </c>
      <c r="B11" s="10" t="s">
        <v>47</v>
      </c>
      <c r="C11" s="10" t="s">
        <v>48</v>
      </c>
      <c r="D11" s="10" t="s">
        <v>31</v>
      </c>
      <c r="E11" s="11" t="n">
        <v>46113</v>
      </c>
      <c r="F11" t="n">
        <v>15259</v>
      </c>
      <c r="H11" t="n">
        <v>902</v>
      </c>
      <c r="I11" t="n">
        <v>14357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15.916851441241684</v>
      </c>
    </row>
    <row r="12">
      <c r="A12" s="10" t="s">
        <v>28</v>
      </c>
      <c r="B12" s="10" t="s">
        <v>47</v>
      </c>
      <c r="C12" s="10" t="s">
        <v>48</v>
      </c>
      <c r="D12" s="10" t="s">
        <v>31</v>
      </c>
      <c r="E12" s="11" t="n">
        <v>46143</v>
      </c>
      <c r="F12" t="n">
        <v>14357</v>
      </c>
      <c r="H12" t="n">
        <v>902</v>
      </c>
      <c r="I12" t="n">
        <v>13455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14.916851441241684</v>
      </c>
    </row>
    <row r="13">
      <c r="A13" s="10" t="s">
        <v>28</v>
      </c>
      <c r="B13" s="10" t="s">
        <v>47</v>
      </c>
      <c r="C13" s="10" t="s">
        <v>48</v>
      </c>
      <c r="D13" s="10" t="s">
        <v>31</v>
      </c>
      <c r="E13" s="11" t="n">
        <v>46174</v>
      </c>
      <c r="F13" t="n">
        <v>13455</v>
      </c>
      <c r="H13" t="n">
        <v>902</v>
      </c>
      <c r="I13" t="n">
        <v>12553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13.916851441241684</v>
      </c>
    </row>
    <row r="14">
      <c r="A14" s="10" t="s">
        <v>75</v>
      </c>
      <c r="B14" s="10" t="s">
        <v>47</v>
      </c>
      <c r="C14" s="10" t="s">
        <v>48</v>
      </c>
      <c r="D14" s="10" t="s">
        <v>31</v>
      </c>
      <c r="E14" s="11" t="n">
        <v>45748</v>
      </c>
      <c r="F14" t="n">
        <v>2436</v>
      </c>
      <c r="H14" t="n">
        <v>201</v>
      </c>
      <c r="I14" t="n">
        <v>2235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11.119402985074627</v>
      </c>
    </row>
    <row r="15">
      <c r="A15" s="10" t="s">
        <v>75</v>
      </c>
      <c r="B15" s="10" t="s">
        <v>47</v>
      </c>
      <c r="C15" s="10" t="s">
        <v>48</v>
      </c>
      <c r="D15" s="10" t="s">
        <v>31</v>
      </c>
      <c r="E15" s="11" t="n">
        <v>45778</v>
      </c>
      <c r="F15" t="n">
        <v>2235</v>
      </c>
      <c r="H15" t="n">
        <v>204</v>
      </c>
      <c r="I15" t="n">
        <v>13071</v>
      </c>
      <c r="J15" s="10"/>
      <c r="K15" s="10"/>
      <c r="L15" s="10" t="s">
        <v>153</v>
      </c>
      <c r="M15" t="n">
        <v>11040</v>
      </c>
      <c r="P15" s="11" t="n">
        <v>45778</v>
      </c>
      <c r="S15" t="n">
        <v>7</v>
      </c>
      <c r="T15" t="n">
        <v>15</v>
      </c>
      <c r="U15" t="n">
        <v>15</v>
      </c>
      <c r="V15" t="n">
        <v>64.07352941176471</v>
      </c>
    </row>
    <row r="16">
      <c r="A16" s="10" t="s">
        <v>75</v>
      </c>
      <c r="B16" s="10" t="s">
        <v>47</v>
      </c>
      <c r="C16" s="10" t="s">
        <v>48</v>
      </c>
      <c r="D16" s="10" t="s">
        <v>31</v>
      </c>
      <c r="E16" s="11" t="n">
        <v>45809</v>
      </c>
      <c r="F16" t="n">
        <v>13071</v>
      </c>
      <c r="H16" t="n">
        <v>206</v>
      </c>
      <c r="I16" t="n">
        <v>12865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62.45145631067961</v>
      </c>
    </row>
    <row r="17">
      <c r="A17" s="10" t="s">
        <v>75</v>
      </c>
      <c r="B17" s="10" t="s">
        <v>47</v>
      </c>
      <c r="C17" s="10" t="s">
        <v>48</v>
      </c>
      <c r="D17" s="10" t="s">
        <v>31</v>
      </c>
      <c r="E17" s="11" t="n">
        <v>45839</v>
      </c>
      <c r="F17" t="n">
        <v>12865</v>
      </c>
      <c r="H17" t="n">
        <v>207</v>
      </c>
      <c r="I17" t="n">
        <v>12658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61.149758454106284</v>
      </c>
    </row>
    <row r="18">
      <c r="A18" s="10" t="s">
        <v>75</v>
      </c>
      <c r="B18" s="10" t="s">
        <v>47</v>
      </c>
      <c r="C18" s="10" t="s">
        <v>48</v>
      </c>
      <c r="D18" s="10" t="s">
        <v>31</v>
      </c>
      <c r="E18" s="11" t="n">
        <v>45870</v>
      </c>
      <c r="F18" t="n">
        <v>12658</v>
      </c>
      <c r="H18" t="n">
        <v>205</v>
      </c>
      <c r="I18" t="n">
        <v>12453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60.746341463414637</v>
      </c>
    </row>
    <row r="19">
      <c r="A19" s="10" t="s">
        <v>75</v>
      </c>
      <c r="B19" s="10" t="s">
        <v>47</v>
      </c>
      <c r="C19" s="10" t="s">
        <v>48</v>
      </c>
      <c r="D19" s="10" t="s">
        <v>31</v>
      </c>
      <c r="E19" s="11" t="n">
        <v>45901</v>
      </c>
      <c r="F19" t="n">
        <v>12453</v>
      </c>
      <c r="H19" t="n">
        <v>204</v>
      </c>
      <c r="I19" t="n">
        <v>12249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60.044117647058826</v>
      </c>
    </row>
    <row r="20">
      <c r="A20" s="10" t="s">
        <v>75</v>
      </c>
      <c r="B20" s="10" t="s">
        <v>47</v>
      </c>
      <c r="C20" s="10" t="s">
        <v>48</v>
      </c>
      <c r="D20" s="10" t="s">
        <v>31</v>
      </c>
      <c r="E20" s="11" t="n">
        <v>45931</v>
      </c>
      <c r="F20" t="n">
        <v>12249</v>
      </c>
      <c r="H20" t="n">
        <v>204</v>
      </c>
      <c r="I20" t="n">
        <v>12045</v>
      </c>
      <c r="J20" s="10"/>
      <c r="K20" s="10"/>
      <c r="L20" s="10"/>
      <c r="P20" s="11"/>
      <c r="S20" t="n">
        <v>7</v>
      </c>
      <c r="T20" t="n">
        <v>15</v>
      </c>
      <c r="U20" t="n">
        <v>15</v>
      </c>
      <c r="V20" t="n">
        <v>59.044117647058826</v>
      </c>
    </row>
    <row r="21">
      <c r="A21" s="10" t="s">
        <v>75</v>
      </c>
      <c r="B21" s="10" t="s">
        <v>47</v>
      </c>
      <c r="C21" s="10" t="s">
        <v>48</v>
      </c>
      <c r="D21" s="10" t="s">
        <v>31</v>
      </c>
      <c r="E21" s="11" t="n">
        <v>45962</v>
      </c>
      <c r="F21" t="n">
        <v>12045</v>
      </c>
      <c r="H21" t="n">
        <v>205</v>
      </c>
      <c r="I21" t="n">
        <v>20870</v>
      </c>
      <c r="J21" s="10"/>
      <c r="K21" s="10"/>
      <c r="L21" s="10" t="s">
        <v>147</v>
      </c>
      <c r="M21" t="n">
        <v>9030</v>
      </c>
      <c r="P21" s="11" t="n">
        <v>45962</v>
      </c>
      <c r="S21" t="n">
        <v>7</v>
      </c>
      <c r="T21" t="n">
        <v>15</v>
      </c>
      <c r="U21" t="n">
        <v>15</v>
      </c>
      <c r="V21" t="n">
        <v>101.80487804878049</v>
      </c>
    </row>
    <row r="22">
      <c r="A22" s="10" t="s">
        <v>75</v>
      </c>
      <c r="B22" s="10" t="s">
        <v>47</v>
      </c>
      <c r="C22" s="10" t="s">
        <v>48</v>
      </c>
      <c r="D22" s="10" t="s">
        <v>31</v>
      </c>
      <c r="E22" s="11" t="n">
        <v>45992</v>
      </c>
      <c r="F22" t="n">
        <v>20870</v>
      </c>
      <c r="H22" t="n">
        <v>205</v>
      </c>
      <c r="I22" t="n">
        <v>20665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100.80487804878049</v>
      </c>
    </row>
    <row r="23">
      <c r="A23" s="10" t="s">
        <v>75</v>
      </c>
      <c r="B23" s="10" t="s">
        <v>47</v>
      </c>
      <c r="C23" s="10" t="s">
        <v>48</v>
      </c>
      <c r="D23" s="10" t="s">
        <v>31</v>
      </c>
      <c r="E23" s="11" t="n">
        <v>46023</v>
      </c>
      <c r="F23" t="n">
        <v>20665</v>
      </c>
      <c r="H23" t="n">
        <v>205</v>
      </c>
      <c r="I23" t="n">
        <v>20460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99.804878048780495</v>
      </c>
    </row>
    <row r="24">
      <c r="A24" s="10" t="s">
        <v>75</v>
      </c>
      <c r="B24" s="10" t="s">
        <v>47</v>
      </c>
      <c r="C24" s="10" t="s">
        <v>48</v>
      </c>
      <c r="D24" s="10" t="s">
        <v>31</v>
      </c>
      <c r="E24" s="11" t="n">
        <v>46054</v>
      </c>
      <c r="F24" t="n">
        <v>20460</v>
      </c>
      <c r="H24" t="n">
        <v>205</v>
      </c>
      <c r="I24" t="n">
        <v>20255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98.804878048780495</v>
      </c>
    </row>
    <row r="25">
      <c r="A25" s="10" t="s">
        <v>75</v>
      </c>
      <c r="B25" s="10" t="s">
        <v>47</v>
      </c>
      <c r="C25" s="10" t="s">
        <v>48</v>
      </c>
      <c r="D25" s="10" t="s">
        <v>31</v>
      </c>
      <c r="E25" s="11" t="n">
        <v>46082</v>
      </c>
      <c r="F25" t="n">
        <v>20255</v>
      </c>
      <c r="H25" t="n">
        <v>205</v>
      </c>
      <c r="I25" t="n">
        <v>20050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97.804878048780495</v>
      </c>
    </row>
    <row r="26">
      <c r="A26" s="10" t="s">
        <v>75</v>
      </c>
      <c r="B26" s="10" t="s">
        <v>47</v>
      </c>
      <c r="C26" s="10" t="s">
        <v>48</v>
      </c>
      <c r="D26" s="10" t="s">
        <v>31</v>
      </c>
      <c r="E26" s="11" t="n">
        <v>46113</v>
      </c>
      <c r="F26" t="n">
        <v>20050</v>
      </c>
      <c r="H26" t="n">
        <v>205</v>
      </c>
      <c r="I26" t="n">
        <v>19845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96.804878048780495</v>
      </c>
    </row>
    <row r="27">
      <c r="A27" s="10" t="s">
        <v>75</v>
      </c>
      <c r="B27" s="10" t="s">
        <v>47</v>
      </c>
      <c r="C27" s="10" t="s">
        <v>48</v>
      </c>
      <c r="D27" s="10" t="s">
        <v>31</v>
      </c>
      <c r="E27" s="11" t="n">
        <v>46143</v>
      </c>
      <c r="F27" t="n">
        <v>19845</v>
      </c>
      <c r="H27" t="n">
        <v>205</v>
      </c>
      <c r="I27" t="n">
        <v>19640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95.804878048780495</v>
      </c>
    </row>
    <row r="28">
      <c r="A28" s="10" t="s">
        <v>75</v>
      </c>
      <c r="B28" s="10" t="s">
        <v>47</v>
      </c>
      <c r="C28" s="10" t="s">
        <v>48</v>
      </c>
      <c r="D28" s="10" t="s">
        <v>31</v>
      </c>
      <c r="E28" s="11" t="n">
        <v>46174</v>
      </c>
      <c r="F28" t="n">
        <v>19640</v>
      </c>
      <c r="H28" t="n">
        <v>205</v>
      </c>
      <c r="I28" t="n">
        <v>19435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94.804878048780495</v>
      </c>
    </row>
    <row r="29">
      <c r="A29" s="10" t="s">
        <v>75</v>
      </c>
      <c r="B29" s="10" t="s">
        <v>47</v>
      </c>
      <c r="C29" s="10" t="s">
        <v>48</v>
      </c>
      <c r="D29" s="10" t="s">
        <v>31</v>
      </c>
      <c r="E29" s="11" t="n">
        <v>46204</v>
      </c>
      <c r="F29" t="n">
        <v>19435</v>
      </c>
      <c r="H29" t="n">
        <v>205</v>
      </c>
      <c r="I29" t="n">
        <v>19230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93.804878048780495</v>
      </c>
    </row>
    <row r="30">
      <c r="A30" s="10" t="s">
        <v>75</v>
      </c>
      <c r="B30" s="10" t="s">
        <v>47</v>
      </c>
      <c r="C30" s="10" t="s">
        <v>48</v>
      </c>
      <c r="D30" s="10" t="s">
        <v>31</v>
      </c>
      <c r="E30" s="11" t="n">
        <v>46235</v>
      </c>
      <c r="F30" t="n">
        <v>19230</v>
      </c>
      <c r="H30" t="n">
        <v>205</v>
      </c>
      <c r="I30" t="n">
        <v>19025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92.804878048780495</v>
      </c>
    </row>
    <row r="31">
      <c r="A31" s="10" t="s">
        <v>75</v>
      </c>
      <c r="B31" s="10" t="s">
        <v>47</v>
      </c>
      <c r="C31" s="10" t="s">
        <v>48</v>
      </c>
      <c r="D31" s="10" t="s">
        <v>31</v>
      </c>
      <c r="E31" s="11" t="n">
        <v>46266</v>
      </c>
      <c r="F31" t="n">
        <v>19025</v>
      </c>
      <c r="H31" t="n">
        <v>205</v>
      </c>
      <c r="I31" t="n">
        <v>18820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91.804878048780495</v>
      </c>
    </row>
    <row r="32">
      <c r="A32" s="10" t="s">
        <v>76</v>
      </c>
      <c r="B32" s="10" t="s">
        <v>47</v>
      </c>
      <c r="C32" s="10" t="s">
        <v>48</v>
      </c>
      <c r="D32" s="10" t="s">
        <v>31</v>
      </c>
      <c r="E32" s="11" t="n">
        <v>45748</v>
      </c>
      <c r="F32" t="n">
        <v>6330</v>
      </c>
      <c r="H32" t="n">
        <v>1576</v>
      </c>
      <c r="I32" t="n">
        <v>4754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3.016497461928934</v>
      </c>
    </row>
    <row r="33">
      <c r="A33" s="10" t="s">
        <v>76</v>
      </c>
      <c r="B33" s="10" t="s">
        <v>47</v>
      </c>
      <c r="C33" s="10" t="s">
        <v>48</v>
      </c>
      <c r="D33" s="10" t="s">
        <v>31</v>
      </c>
      <c r="E33" s="11" t="n">
        <v>45778</v>
      </c>
      <c r="F33" t="n">
        <v>4754</v>
      </c>
      <c r="H33" t="n">
        <v>1576</v>
      </c>
      <c r="I33" t="n">
        <v>3178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2.016497461928934</v>
      </c>
    </row>
    <row r="34">
      <c r="A34" s="10" t="s">
        <v>76</v>
      </c>
      <c r="B34" s="10" t="s">
        <v>47</v>
      </c>
      <c r="C34" s="10" t="s">
        <v>48</v>
      </c>
      <c r="D34" s="10" t="s">
        <v>31</v>
      </c>
      <c r="E34" s="11" t="n">
        <v>45809</v>
      </c>
      <c r="F34" t="n">
        <v>3178</v>
      </c>
      <c r="H34" t="n">
        <v>1576</v>
      </c>
      <c r="I34" t="n">
        <v>1602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1.016497461928934</v>
      </c>
    </row>
    <row r="35">
      <c r="A35" s="10" t="s">
        <v>76</v>
      </c>
      <c r="B35" s="10" t="s">
        <v>47</v>
      </c>
      <c r="C35" s="10" t="s">
        <v>48</v>
      </c>
      <c r="D35" s="10" t="s">
        <v>31</v>
      </c>
      <c r="E35" s="11" t="n">
        <v>45839</v>
      </c>
      <c r="F35" t="n">
        <v>1602</v>
      </c>
      <c r="H35" t="n">
        <v>1576</v>
      </c>
      <c r="I35" t="n">
        <v>26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1.6497461928934011E-2</v>
      </c>
    </row>
    <row r="36">
      <c r="A36" s="10" t="s">
        <v>76</v>
      </c>
      <c r="B36" s="10" t="s">
        <v>47</v>
      </c>
      <c r="C36" s="10" t="s">
        <v>48</v>
      </c>
      <c r="D36" s="10" t="s">
        <v>31</v>
      </c>
      <c r="E36" s="11" t="n">
        <v>45870</v>
      </c>
      <c r="F36" t="n">
        <v>26</v>
      </c>
      <c r="H36" t="n">
        <v>1576</v>
      </c>
      <c r="I36" t="n">
        <v>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47</v>
      </c>
      <c r="C37" s="10" t="s">
        <v>48</v>
      </c>
      <c r="D37" s="10" t="s">
        <v>31</v>
      </c>
      <c r="E37" s="11" t="n">
        <v>45901</v>
      </c>
      <c r="F37" t="n">
        <v>0</v>
      </c>
      <c r="H37" t="n">
        <v>1576</v>
      </c>
      <c r="I37" t="n">
        <v>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0</v>
      </c>
    </row>
    <row r="38">
      <c r="A38" s="10" t="s">
        <v>76</v>
      </c>
      <c r="B38" s="10" t="s">
        <v>47</v>
      </c>
      <c r="C38" s="10" t="s">
        <v>48</v>
      </c>
      <c r="D38" s="10" t="s">
        <v>31</v>
      </c>
      <c r="E38" s="11" t="n">
        <v>45931</v>
      </c>
      <c r="F38" t="n">
        <v>0</v>
      </c>
      <c r="H38" t="n">
        <v>1576</v>
      </c>
      <c r="I38" t="n">
        <v>0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47</v>
      </c>
      <c r="C39" s="10" t="s">
        <v>48</v>
      </c>
      <c r="D39" s="10" t="s">
        <v>31</v>
      </c>
      <c r="E39" s="11" t="n">
        <v>45962</v>
      </c>
      <c r="F39" t="n">
        <v>0</v>
      </c>
      <c r="H39" t="n">
        <v>1576</v>
      </c>
      <c r="I39" t="n">
        <v>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0</v>
      </c>
    </row>
    <row r="40">
      <c r="A40" s="10" t="s">
        <v>76</v>
      </c>
      <c r="B40" s="10" t="s">
        <v>47</v>
      </c>
      <c r="C40" s="10" t="s">
        <v>48</v>
      </c>
      <c r="D40" s="10" t="s">
        <v>31</v>
      </c>
      <c r="E40" s="11" t="n">
        <v>45992</v>
      </c>
      <c r="F40" t="n">
        <v>0</v>
      </c>
      <c r="H40" t="n">
        <v>1576</v>
      </c>
      <c r="I40" t="n">
        <v>0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47</v>
      </c>
      <c r="C41" s="10" t="s">
        <v>48</v>
      </c>
      <c r="D41" s="10" t="s">
        <v>31</v>
      </c>
      <c r="E41" s="11" t="n">
        <v>46023</v>
      </c>
      <c r="F41" t="n">
        <v>0</v>
      </c>
      <c r="H41" t="n">
        <v>1576</v>
      </c>
      <c r="I41" t="n">
        <v>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47</v>
      </c>
      <c r="C42" s="10" t="s">
        <v>48</v>
      </c>
      <c r="D42" s="10" t="s">
        <v>31</v>
      </c>
      <c r="E42" s="11" t="n">
        <v>46054</v>
      </c>
      <c r="F42" t="n">
        <v>0</v>
      </c>
      <c r="H42" t="n">
        <v>1576</v>
      </c>
      <c r="I42" t="n">
        <v>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47</v>
      </c>
      <c r="C43" s="10" t="s">
        <v>48</v>
      </c>
      <c r="D43" s="10" t="s">
        <v>31</v>
      </c>
      <c r="E43" s="11" t="n">
        <v>46082</v>
      </c>
      <c r="F43" t="n">
        <v>0</v>
      </c>
      <c r="H43" t="n">
        <v>1576</v>
      </c>
      <c r="I43" t="n">
        <v>0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47</v>
      </c>
      <c r="C44" s="10" t="s">
        <v>48</v>
      </c>
      <c r="D44" s="10" t="s">
        <v>31</v>
      </c>
      <c r="E44" s="11" t="n">
        <v>46113</v>
      </c>
      <c r="F44" t="n">
        <v>0</v>
      </c>
      <c r="H44" t="n">
        <v>1576</v>
      </c>
      <c r="I44" t="n">
        <v>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47</v>
      </c>
      <c r="C45" s="10" t="s">
        <v>48</v>
      </c>
      <c r="D45" s="10" t="s">
        <v>31</v>
      </c>
      <c r="E45" s="11" t="n">
        <v>46143</v>
      </c>
      <c r="F45" t="n">
        <v>0</v>
      </c>
      <c r="H45" t="n">
        <v>1576</v>
      </c>
      <c r="I45" t="n">
        <v>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47</v>
      </c>
      <c r="C46" s="10" t="s">
        <v>48</v>
      </c>
      <c r="D46" s="10" t="s">
        <v>31</v>
      </c>
      <c r="E46" s="11" t="n">
        <v>46174</v>
      </c>
      <c r="F46" t="n">
        <v>0</v>
      </c>
      <c r="H46" t="n">
        <v>1576</v>
      </c>
      <c r="I46" t="n">
        <v>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47</v>
      </c>
      <c r="C47" s="10" t="s">
        <v>48</v>
      </c>
      <c r="D47" s="10" t="s">
        <v>31</v>
      </c>
      <c r="E47" s="11" t="n">
        <v>46204</v>
      </c>
      <c r="F47" t="n">
        <v>0</v>
      </c>
      <c r="H47" t="n">
        <v>1576</v>
      </c>
      <c r="I47" t="n">
        <v>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47</v>
      </c>
      <c r="C48" s="10" t="s">
        <v>48</v>
      </c>
      <c r="D48" s="10" t="s">
        <v>31</v>
      </c>
      <c r="E48" s="11" t="n">
        <v>46235</v>
      </c>
      <c r="F48" t="n">
        <v>0</v>
      </c>
      <c r="H48" t="n">
        <v>1576</v>
      </c>
      <c r="I48" t="n">
        <v>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47</v>
      </c>
      <c r="C49" s="10" t="s">
        <v>48</v>
      </c>
      <c r="D49" s="10" t="s">
        <v>31</v>
      </c>
      <c r="E49" s="11" t="n">
        <v>46266</v>
      </c>
      <c r="F49" t="n">
        <v>0</v>
      </c>
      <c r="H49" t="n">
        <v>1576</v>
      </c>
      <c r="I49" t="n">
        <v>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47</v>
      </c>
      <c r="C50" s="10" t="s">
        <v>48</v>
      </c>
      <c r="D50" s="10" t="s">
        <v>31</v>
      </c>
      <c r="E50" s="11" t="n">
        <v>46296</v>
      </c>
      <c r="F50" t="n">
        <v>0</v>
      </c>
      <c r="H50" t="n">
        <v>1576</v>
      </c>
      <c r="I50" t="n">
        <v>0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47</v>
      </c>
      <c r="C51" s="10" t="s">
        <v>48</v>
      </c>
      <c r="D51" s="10" t="s">
        <v>31</v>
      </c>
      <c r="E51" s="11" t="n">
        <v>46327</v>
      </c>
      <c r="F51" t="n">
        <v>0</v>
      </c>
      <c r="H51" t="n">
        <v>1576</v>
      </c>
      <c r="I51" t="n">
        <v>0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47</v>
      </c>
      <c r="C52" s="10" t="s">
        <v>48</v>
      </c>
      <c r="D52" s="10" t="s">
        <v>31</v>
      </c>
      <c r="E52" s="11" t="n">
        <v>46357</v>
      </c>
      <c r="F52" t="n">
        <v>0</v>
      </c>
      <c r="H52" t="n">
        <v>1576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166</v>
      </c>
      <c r="B53" s="10" t="s">
        <v>47</v>
      </c>
      <c r="C53" s="10" t="s">
        <v>48</v>
      </c>
      <c r="D53" s="10" t="s">
        <v>31</v>
      </c>
      <c r="E53" s="11" t="n">
        <v>45748</v>
      </c>
      <c r="F53" t="n">
        <v>0</v>
      </c>
      <c r="H53" t="n">
        <v>61</v>
      </c>
      <c r="I53" t="n">
        <v>0</v>
      </c>
      <c r="J53" s="10"/>
      <c r="K53" s="10"/>
      <c r="L53" s="10"/>
      <c r="P53" s="11"/>
      <c r="S53" t="n">
        <v>9</v>
      </c>
      <c r="T53" t="n">
        <v>15</v>
      </c>
      <c r="U53" t="n">
        <v>15</v>
      </c>
      <c r="V53" t="n">
        <v>0</v>
      </c>
    </row>
    <row r="54">
      <c r="A54" s="10" t="s">
        <v>166</v>
      </c>
      <c r="B54" s="10" t="s">
        <v>47</v>
      </c>
      <c r="C54" s="10" t="s">
        <v>48</v>
      </c>
      <c r="D54" s="10" t="s">
        <v>31</v>
      </c>
      <c r="E54" s="11" t="n">
        <v>45778</v>
      </c>
      <c r="F54" t="n">
        <v>0</v>
      </c>
      <c r="H54" t="n">
        <v>61</v>
      </c>
      <c r="I54" t="n">
        <v>0</v>
      </c>
      <c r="J54" s="10"/>
      <c r="K54" s="10"/>
      <c r="L54" s="10"/>
      <c r="P54" s="11"/>
      <c r="S54" t="n">
        <v>9</v>
      </c>
      <c r="T54" t="n">
        <v>15</v>
      </c>
      <c r="U54" t="n">
        <v>15</v>
      </c>
      <c r="V54" t="n">
        <v>0</v>
      </c>
    </row>
    <row r="55">
      <c r="A55" s="10" t="s">
        <v>166</v>
      </c>
      <c r="B55" s="10" t="s">
        <v>47</v>
      </c>
      <c r="C55" s="10" t="s">
        <v>48</v>
      </c>
      <c r="D55" s="10" t="s">
        <v>31</v>
      </c>
      <c r="E55" s="11" t="n">
        <v>45809</v>
      </c>
      <c r="F55" t="n">
        <v>0</v>
      </c>
      <c r="H55" t="n">
        <v>61</v>
      </c>
      <c r="I55" t="n">
        <v>0</v>
      </c>
      <c r="J55" s="10"/>
      <c r="K55" s="10"/>
      <c r="L55" s="10"/>
      <c r="P55" s="11"/>
      <c r="S55" t="n">
        <v>9</v>
      </c>
      <c r="T55" t="n">
        <v>15</v>
      </c>
      <c r="U55" t="n">
        <v>15</v>
      </c>
      <c r="V55" t="n">
        <v>0</v>
      </c>
    </row>
    <row r="56">
      <c r="A56" s="10" t="s">
        <v>166</v>
      </c>
      <c r="B56" s="10" t="s">
        <v>47</v>
      </c>
      <c r="C56" s="10" t="s">
        <v>48</v>
      </c>
      <c r="D56" s="10" t="s">
        <v>31</v>
      </c>
      <c r="E56" s="11" t="n">
        <v>45839</v>
      </c>
      <c r="F56" t="n">
        <v>0</v>
      </c>
      <c r="H56" t="n">
        <v>61</v>
      </c>
      <c r="I56" t="n">
        <v>0</v>
      </c>
      <c r="J56" s="10"/>
      <c r="K56" s="10"/>
      <c r="L56" s="10"/>
      <c r="P56" s="11"/>
      <c r="S56" t="n">
        <v>9</v>
      </c>
      <c r="T56" t="n">
        <v>15</v>
      </c>
      <c r="U56" t="n">
        <v>15</v>
      </c>
      <c r="V56" t="n">
        <v>0</v>
      </c>
    </row>
    <row r="57">
      <c r="A57" s="10" t="s">
        <v>166</v>
      </c>
      <c r="B57" s="10" t="s">
        <v>47</v>
      </c>
      <c r="C57" s="10" t="s">
        <v>48</v>
      </c>
      <c r="D57" s="10" t="s">
        <v>31</v>
      </c>
      <c r="E57" s="11" t="n">
        <v>45870</v>
      </c>
      <c r="F57" t="n">
        <v>0</v>
      </c>
      <c r="H57" t="n">
        <v>61</v>
      </c>
      <c r="I57" t="n">
        <v>0</v>
      </c>
      <c r="J57" s="10"/>
      <c r="K57" s="10"/>
      <c r="L57" s="10"/>
      <c r="P57" s="11"/>
      <c r="S57" t="n">
        <v>9</v>
      </c>
      <c r="T57" t="n">
        <v>15</v>
      </c>
      <c r="U57" t="n">
        <v>15</v>
      </c>
      <c r="V57" t="n">
        <v>0</v>
      </c>
    </row>
    <row r="58">
      <c r="A58" s="10" t="s">
        <v>166</v>
      </c>
      <c r="B58" s="10" t="s">
        <v>47</v>
      </c>
      <c r="C58" s="10" t="s">
        <v>48</v>
      </c>
      <c r="D58" s="10" t="s">
        <v>31</v>
      </c>
      <c r="E58" s="11" t="n">
        <v>45901</v>
      </c>
      <c r="F58" t="n">
        <v>0</v>
      </c>
      <c r="H58" t="n">
        <v>61</v>
      </c>
      <c r="I58" t="n">
        <v>0</v>
      </c>
      <c r="J58" s="10"/>
      <c r="K58" s="10"/>
      <c r="L58" s="10"/>
      <c r="P58" s="11"/>
      <c r="S58" t="n">
        <v>9</v>
      </c>
      <c r="T58" t="n">
        <v>15</v>
      </c>
      <c r="U58" t="n">
        <v>15</v>
      </c>
      <c r="V58" t="n">
        <v>0</v>
      </c>
    </row>
    <row r="59">
      <c r="A59" s="10" t="s">
        <v>166</v>
      </c>
      <c r="B59" s="10" t="s">
        <v>47</v>
      </c>
      <c r="C59" s="10" t="s">
        <v>48</v>
      </c>
      <c r="D59" s="10" t="s">
        <v>31</v>
      </c>
      <c r="E59" s="11" t="n">
        <v>45931</v>
      </c>
      <c r="F59" t="n">
        <v>0</v>
      </c>
      <c r="H59" t="n">
        <v>61</v>
      </c>
      <c r="I59" t="n">
        <v>0</v>
      </c>
      <c r="J59" s="10"/>
      <c r="K59" s="10"/>
      <c r="L59" s="10"/>
      <c r="P59" s="11"/>
      <c r="S59" t="n">
        <v>9</v>
      </c>
      <c r="T59" t="n">
        <v>15</v>
      </c>
      <c r="U59" t="n">
        <v>15</v>
      </c>
      <c r="V59" t="n">
        <v>0</v>
      </c>
    </row>
    <row r="60">
      <c r="A60" s="10" t="s">
        <v>166</v>
      </c>
      <c r="B60" s="10" t="s">
        <v>47</v>
      </c>
      <c r="C60" s="10" t="s">
        <v>48</v>
      </c>
      <c r="D60" s="10" t="s">
        <v>31</v>
      </c>
      <c r="E60" s="11" t="n">
        <v>45962</v>
      </c>
      <c r="F60" t="n">
        <v>0</v>
      </c>
      <c r="H60" t="n">
        <v>61</v>
      </c>
      <c r="I60" t="n">
        <v>0</v>
      </c>
      <c r="J60" s="10"/>
      <c r="K60" s="10"/>
      <c r="L60" s="10"/>
      <c r="P60" s="11"/>
      <c r="S60" t="n">
        <v>9</v>
      </c>
      <c r="T60" t="n">
        <v>15</v>
      </c>
      <c r="U60" t="n">
        <v>15</v>
      </c>
      <c r="V60" t="n">
        <v>0</v>
      </c>
    </row>
    <row r="61">
      <c r="A61" s="10" t="s">
        <v>166</v>
      </c>
      <c r="B61" s="10" t="s">
        <v>47</v>
      </c>
      <c r="C61" s="10" t="s">
        <v>48</v>
      </c>
      <c r="D61" s="10" t="s">
        <v>31</v>
      </c>
      <c r="E61" s="11" t="n">
        <v>45992</v>
      </c>
      <c r="F61" t="n">
        <v>0</v>
      </c>
      <c r="H61" t="n">
        <v>61</v>
      </c>
      <c r="I61" t="n">
        <v>0</v>
      </c>
      <c r="J61" s="10"/>
      <c r="K61" s="10"/>
      <c r="L61" s="10"/>
      <c r="P61" s="11"/>
      <c r="S61" t="n">
        <v>9</v>
      </c>
      <c r="T61" t="n">
        <v>15</v>
      </c>
      <c r="U61" t="n">
        <v>15</v>
      </c>
      <c r="V6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0.3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0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34</v>
      </c>
      <c r="C2" s="10" t="s">
        <v>35</v>
      </c>
      <c r="D2" s="10" t="s">
        <v>31</v>
      </c>
      <c r="E2" s="11" t="n">
        <v>45839</v>
      </c>
      <c r="F2" t="n">
        <v>1408</v>
      </c>
      <c r="H2" t="n">
        <v>58</v>
      </c>
      <c r="I2" t="n">
        <v>1350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23.275862068965516</v>
      </c>
    </row>
    <row r="3">
      <c r="A3" s="10" t="s">
        <v>28</v>
      </c>
      <c r="B3" s="10" t="s">
        <v>34</v>
      </c>
      <c r="C3" s="10" t="s">
        <v>35</v>
      </c>
      <c r="D3" s="10" t="s">
        <v>31</v>
      </c>
      <c r="E3" s="11" t="n">
        <v>45870</v>
      </c>
      <c r="F3" t="n">
        <v>1350</v>
      </c>
      <c r="H3" t="n">
        <v>58</v>
      </c>
      <c r="I3" t="n">
        <v>1292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22.275862068965516</v>
      </c>
    </row>
    <row r="4">
      <c r="A4" s="10" t="s">
        <v>28</v>
      </c>
      <c r="B4" s="10" t="s">
        <v>34</v>
      </c>
      <c r="C4" s="10" t="s">
        <v>35</v>
      </c>
      <c r="D4" s="10" t="s">
        <v>31</v>
      </c>
      <c r="E4" s="11" t="n">
        <v>45901</v>
      </c>
      <c r="F4" t="n">
        <v>1292</v>
      </c>
      <c r="H4" t="n">
        <v>58</v>
      </c>
      <c r="I4" t="n">
        <v>1234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21.275862068965516</v>
      </c>
    </row>
    <row r="5">
      <c r="A5" s="10" t="s">
        <v>28</v>
      </c>
      <c r="B5" s="10" t="s">
        <v>34</v>
      </c>
      <c r="C5" s="10" t="s">
        <v>35</v>
      </c>
      <c r="D5" s="10" t="s">
        <v>31</v>
      </c>
      <c r="E5" s="11" t="n">
        <v>45931</v>
      </c>
      <c r="F5" t="n">
        <v>1234</v>
      </c>
      <c r="H5" t="n">
        <v>58</v>
      </c>
      <c r="I5" t="n">
        <v>1176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20.275862068965516</v>
      </c>
    </row>
    <row r="6">
      <c r="A6" s="10" t="s">
        <v>28</v>
      </c>
      <c r="B6" s="10" t="s">
        <v>34</v>
      </c>
      <c r="C6" s="10" t="s">
        <v>35</v>
      </c>
      <c r="D6" s="10" t="s">
        <v>31</v>
      </c>
      <c r="E6" s="11" t="n">
        <v>45962</v>
      </c>
      <c r="F6" t="n">
        <v>1176</v>
      </c>
      <c r="H6" t="n">
        <v>58</v>
      </c>
      <c r="I6" t="n">
        <v>1118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19.275862068965516</v>
      </c>
    </row>
    <row r="7">
      <c r="A7" s="10" t="s">
        <v>28</v>
      </c>
      <c r="B7" s="10" t="s">
        <v>34</v>
      </c>
      <c r="C7" s="10" t="s">
        <v>35</v>
      </c>
      <c r="D7" s="10" t="s">
        <v>31</v>
      </c>
      <c r="E7" s="11" t="n">
        <v>45992</v>
      </c>
      <c r="F7" t="n">
        <v>1118</v>
      </c>
      <c r="H7" t="n">
        <v>58</v>
      </c>
      <c r="I7" t="n">
        <v>1060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18.275862068965516</v>
      </c>
    </row>
    <row r="8">
      <c r="A8" s="10" t="s">
        <v>28</v>
      </c>
      <c r="B8" s="10" t="s">
        <v>34</v>
      </c>
      <c r="C8" s="10" t="s">
        <v>35</v>
      </c>
      <c r="D8" s="10" t="s">
        <v>31</v>
      </c>
      <c r="E8" s="11" t="n">
        <v>46023</v>
      </c>
      <c r="F8" t="n">
        <v>1060</v>
      </c>
      <c r="H8" t="n">
        <v>58</v>
      </c>
      <c r="I8" t="n">
        <v>1002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17.275862068965516</v>
      </c>
    </row>
    <row r="9">
      <c r="A9" s="10" t="s">
        <v>28</v>
      </c>
      <c r="B9" s="10" t="s">
        <v>34</v>
      </c>
      <c r="C9" s="10" t="s">
        <v>35</v>
      </c>
      <c r="D9" s="10" t="s">
        <v>31</v>
      </c>
      <c r="E9" s="11" t="n">
        <v>46054</v>
      </c>
      <c r="F9" t="n">
        <v>1002</v>
      </c>
      <c r="H9" t="n">
        <v>58</v>
      </c>
      <c r="I9" t="n">
        <v>944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16.275862068965516</v>
      </c>
    </row>
    <row r="10">
      <c r="A10" s="10" t="s">
        <v>28</v>
      </c>
      <c r="B10" s="10" t="s">
        <v>34</v>
      </c>
      <c r="C10" s="10" t="s">
        <v>35</v>
      </c>
      <c r="D10" s="10" t="s">
        <v>31</v>
      </c>
      <c r="E10" s="11" t="n">
        <v>46082</v>
      </c>
      <c r="F10" t="n">
        <v>944</v>
      </c>
      <c r="H10" t="n">
        <v>58</v>
      </c>
      <c r="I10" t="n">
        <v>886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15.275862068965518</v>
      </c>
    </row>
    <row r="11">
      <c r="A11" s="10" t="s">
        <v>28</v>
      </c>
      <c r="B11" s="10" t="s">
        <v>34</v>
      </c>
      <c r="C11" s="10" t="s">
        <v>35</v>
      </c>
      <c r="D11" s="10" t="s">
        <v>31</v>
      </c>
      <c r="E11" s="11" t="n">
        <v>46113</v>
      </c>
      <c r="F11" t="n">
        <v>886</v>
      </c>
      <c r="H11" t="n">
        <v>58</v>
      </c>
      <c r="I11" t="n">
        <v>828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14.275862068965518</v>
      </c>
    </row>
    <row r="12">
      <c r="A12" s="10" t="s">
        <v>28</v>
      </c>
      <c r="B12" s="10" t="s">
        <v>34</v>
      </c>
      <c r="C12" s="10" t="s">
        <v>35</v>
      </c>
      <c r="D12" s="10" t="s">
        <v>31</v>
      </c>
      <c r="E12" s="11" t="n">
        <v>46143</v>
      </c>
      <c r="F12" t="n">
        <v>828</v>
      </c>
      <c r="H12" t="n">
        <v>58</v>
      </c>
      <c r="I12" t="n">
        <v>770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13.275862068965518</v>
      </c>
    </row>
    <row r="13">
      <c r="A13" s="10" t="s">
        <v>28</v>
      </c>
      <c r="B13" s="10" t="s">
        <v>34</v>
      </c>
      <c r="C13" s="10" t="s">
        <v>35</v>
      </c>
      <c r="D13" s="10" t="s">
        <v>31</v>
      </c>
      <c r="E13" s="11" t="n">
        <v>46174</v>
      </c>
      <c r="F13" t="n">
        <v>770</v>
      </c>
      <c r="H13" t="n">
        <v>58</v>
      </c>
      <c r="I13" t="n">
        <v>712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12.275862068965518</v>
      </c>
    </row>
    <row r="14">
      <c r="A14" s="10" t="s">
        <v>75</v>
      </c>
      <c r="B14" s="10" t="s">
        <v>34</v>
      </c>
      <c r="C14" s="10" t="s">
        <v>35</v>
      </c>
      <c r="D14" s="10" t="s">
        <v>31</v>
      </c>
      <c r="E14" s="11" t="n">
        <v>45748</v>
      </c>
      <c r="F14" t="n">
        <v>331</v>
      </c>
      <c r="H14" t="n">
        <v>34</v>
      </c>
      <c r="I14" t="n">
        <v>297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8.735294117647058</v>
      </c>
    </row>
    <row r="15">
      <c r="A15" s="10" t="s">
        <v>75</v>
      </c>
      <c r="B15" s="10" t="s">
        <v>34</v>
      </c>
      <c r="C15" s="10" t="s">
        <v>35</v>
      </c>
      <c r="D15" s="10" t="s">
        <v>31</v>
      </c>
      <c r="E15" s="11" t="n">
        <v>45778</v>
      </c>
      <c r="F15" t="n">
        <v>297</v>
      </c>
      <c r="H15" t="n">
        <v>31</v>
      </c>
      <c r="I15" t="n">
        <v>266</v>
      </c>
      <c r="J15" s="10"/>
      <c r="K15" s="10"/>
      <c r="L15" s="10"/>
      <c r="P15" s="11"/>
      <c r="S15" t="n">
        <v>7</v>
      </c>
      <c r="T15" t="n">
        <v>15</v>
      </c>
      <c r="U15" t="n">
        <v>15</v>
      </c>
      <c r="V15" t="n">
        <v>8.5806451612903221</v>
      </c>
    </row>
    <row r="16">
      <c r="A16" s="10" t="s">
        <v>75</v>
      </c>
      <c r="B16" s="10" t="s">
        <v>34</v>
      </c>
      <c r="C16" s="10" t="s">
        <v>35</v>
      </c>
      <c r="D16" s="10" t="s">
        <v>31</v>
      </c>
      <c r="E16" s="11" t="n">
        <v>45809</v>
      </c>
      <c r="F16" t="n">
        <v>266</v>
      </c>
      <c r="H16" t="n">
        <v>32</v>
      </c>
      <c r="I16" t="n">
        <v>234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7.3125</v>
      </c>
    </row>
    <row r="17">
      <c r="A17" s="10" t="s">
        <v>75</v>
      </c>
      <c r="B17" s="10" t="s">
        <v>34</v>
      </c>
      <c r="C17" s="10" t="s">
        <v>35</v>
      </c>
      <c r="D17" s="10" t="s">
        <v>31</v>
      </c>
      <c r="E17" s="11" t="n">
        <v>45839</v>
      </c>
      <c r="F17" t="n">
        <v>234</v>
      </c>
      <c r="H17" t="n">
        <v>32</v>
      </c>
      <c r="I17" t="n">
        <v>202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6.3125</v>
      </c>
    </row>
    <row r="18">
      <c r="A18" s="10" t="s">
        <v>75</v>
      </c>
      <c r="B18" s="10" t="s">
        <v>34</v>
      </c>
      <c r="C18" s="10" t="s">
        <v>35</v>
      </c>
      <c r="D18" s="10" t="s">
        <v>31</v>
      </c>
      <c r="E18" s="11" t="n">
        <v>45870</v>
      </c>
      <c r="F18" t="n">
        <v>202</v>
      </c>
      <c r="H18" t="n">
        <v>33</v>
      </c>
      <c r="I18" t="n">
        <v>169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5.1212121212121211</v>
      </c>
    </row>
    <row r="19">
      <c r="A19" s="10" t="s">
        <v>75</v>
      </c>
      <c r="B19" s="10" t="s">
        <v>34</v>
      </c>
      <c r="C19" s="10" t="s">
        <v>35</v>
      </c>
      <c r="D19" s="10" t="s">
        <v>31</v>
      </c>
      <c r="E19" s="11" t="n">
        <v>45901</v>
      </c>
      <c r="F19" t="n">
        <v>169</v>
      </c>
      <c r="H19" t="n">
        <v>32</v>
      </c>
      <c r="I19" t="n">
        <v>137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4.28125</v>
      </c>
    </row>
    <row r="20">
      <c r="A20" s="10" t="s">
        <v>75</v>
      </c>
      <c r="B20" s="10" t="s">
        <v>34</v>
      </c>
      <c r="C20" s="10" t="s">
        <v>35</v>
      </c>
      <c r="D20" s="10" t="s">
        <v>31</v>
      </c>
      <c r="E20" s="11" t="n">
        <v>45931</v>
      </c>
      <c r="F20" t="n">
        <v>137</v>
      </c>
      <c r="H20" t="n">
        <v>32</v>
      </c>
      <c r="I20" t="n">
        <v>105</v>
      </c>
      <c r="J20" s="10"/>
      <c r="K20" s="10"/>
      <c r="L20" s="10"/>
      <c r="P20" s="11"/>
      <c r="S20" t="n">
        <v>7</v>
      </c>
      <c r="T20" t="n">
        <v>15</v>
      </c>
      <c r="U20" t="n">
        <v>15</v>
      </c>
      <c r="V20" t="n">
        <v>3.28125</v>
      </c>
    </row>
    <row r="21">
      <c r="A21" s="10" t="s">
        <v>75</v>
      </c>
      <c r="B21" s="10" t="s">
        <v>34</v>
      </c>
      <c r="C21" s="10" t="s">
        <v>35</v>
      </c>
      <c r="D21" s="10" t="s">
        <v>31</v>
      </c>
      <c r="E21" s="11" t="n">
        <v>45962</v>
      </c>
      <c r="F21" t="n">
        <v>105</v>
      </c>
      <c r="H21" t="n">
        <v>32</v>
      </c>
      <c r="I21" t="n">
        <v>487</v>
      </c>
      <c r="J21" s="10"/>
      <c r="K21" s="10"/>
      <c r="L21" s="10" t="s">
        <v>4</v>
      </c>
      <c r="M21" t="n">
        <v>414</v>
      </c>
      <c r="P21" s="11"/>
      <c r="S21" t="n">
        <v>7</v>
      </c>
      <c r="T21" t="n">
        <v>15</v>
      </c>
      <c r="U21" t="n">
        <v>15</v>
      </c>
      <c r="V21" t="n">
        <v>15.21875</v>
      </c>
    </row>
    <row r="22">
      <c r="A22" s="10" t="s">
        <v>75</v>
      </c>
      <c r="B22" s="10" t="s">
        <v>34</v>
      </c>
      <c r="C22" s="10" t="s">
        <v>35</v>
      </c>
      <c r="D22" s="10" t="s">
        <v>31</v>
      </c>
      <c r="E22" s="11" t="n">
        <v>45992</v>
      </c>
      <c r="F22" t="n">
        <v>487</v>
      </c>
      <c r="H22" t="n">
        <v>32</v>
      </c>
      <c r="I22" t="n">
        <v>455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14.21875</v>
      </c>
    </row>
    <row r="23">
      <c r="A23" s="10" t="s">
        <v>75</v>
      </c>
      <c r="B23" s="10" t="s">
        <v>34</v>
      </c>
      <c r="C23" s="10" t="s">
        <v>35</v>
      </c>
      <c r="D23" s="10" t="s">
        <v>31</v>
      </c>
      <c r="E23" s="11" t="n">
        <v>46023</v>
      </c>
      <c r="F23" t="n">
        <v>455</v>
      </c>
      <c r="H23" t="n">
        <v>32</v>
      </c>
      <c r="I23" t="n">
        <v>423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13.21875</v>
      </c>
    </row>
    <row r="24">
      <c r="A24" s="10" t="s">
        <v>75</v>
      </c>
      <c r="B24" s="10" t="s">
        <v>34</v>
      </c>
      <c r="C24" s="10" t="s">
        <v>35</v>
      </c>
      <c r="D24" s="10" t="s">
        <v>31</v>
      </c>
      <c r="E24" s="11" t="n">
        <v>46054</v>
      </c>
      <c r="F24" t="n">
        <v>423</v>
      </c>
      <c r="H24" t="n">
        <v>32</v>
      </c>
      <c r="I24" t="n">
        <v>391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12.21875</v>
      </c>
    </row>
    <row r="25">
      <c r="A25" s="10" t="s">
        <v>75</v>
      </c>
      <c r="B25" s="10" t="s">
        <v>34</v>
      </c>
      <c r="C25" s="10" t="s">
        <v>35</v>
      </c>
      <c r="D25" s="10" t="s">
        <v>31</v>
      </c>
      <c r="E25" s="11" t="n">
        <v>46082</v>
      </c>
      <c r="F25" t="n">
        <v>391</v>
      </c>
      <c r="H25" t="n">
        <v>32</v>
      </c>
      <c r="I25" t="n">
        <v>359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11.21875</v>
      </c>
    </row>
    <row r="26">
      <c r="A26" s="10" t="s">
        <v>75</v>
      </c>
      <c r="B26" s="10" t="s">
        <v>34</v>
      </c>
      <c r="C26" s="10" t="s">
        <v>35</v>
      </c>
      <c r="D26" s="10" t="s">
        <v>31</v>
      </c>
      <c r="E26" s="11" t="n">
        <v>46113</v>
      </c>
      <c r="F26" t="n">
        <v>359</v>
      </c>
      <c r="H26" t="n">
        <v>32</v>
      </c>
      <c r="I26" t="n">
        <v>327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10.21875</v>
      </c>
    </row>
    <row r="27">
      <c r="A27" s="10" t="s">
        <v>75</v>
      </c>
      <c r="B27" s="10" t="s">
        <v>34</v>
      </c>
      <c r="C27" s="10" t="s">
        <v>35</v>
      </c>
      <c r="D27" s="10" t="s">
        <v>31</v>
      </c>
      <c r="E27" s="11" t="n">
        <v>46143</v>
      </c>
      <c r="F27" t="n">
        <v>327</v>
      </c>
      <c r="H27" t="n">
        <v>32</v>
      </c>
      <c r="I27" t="n">
        <v>295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9.21875</v>
      </c>
    </row>
    <row r="28">
      <c r="A28" s="10" t="s">
        <v>75</v>
      </c>
      <c r="B28" s="10" t="s">
        <v>34</v>
      </c>
      <c r="C28" s="10" t="s">
        <v>35</v>
      </c>
      <c r="D28" s="10" t="s">
        <v>31</v>
      </c>
      <c r="E28" s="11" t="n">
        <v>46174</v>
      </c>
      <c r="F28" t="n">
        <v>295</v>
      </c>
      <c r="H28" t="n">
        <v>32</v>
      </c>
      <c r="I28" t="n">
        <v>263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8.21875</v>
      </c>
    </row>
    <row r="29">
      <c r="A29" s="10" t="s">
        <v>75</v>
      </c>
      <c r="B29" s="10" t="s">
        <v>34</v>
      </c>
      <c r="C29" s="10" t="s">
        <v>35</v>
      </c>
      <c r="D29" s="10" t="s">
        <v>31</v>
      </c>
      <c r="E29" s="11" t="n">
        <v>46204</v>
      </c>
      <c r="F29" t="n">
        <v>263</v>
      </c>
      <c r="H29" t="n">
        <v>32</v>
      </c>
      <c r="I29" t="n">
        <v>231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7.21875</v>
      </c>
    </row>
    <row r="30">
      <c r="A30" s="10" t="s">
        <v>75</v>
      </c>
      <c r="B30" s="10" t="s">
        <v>34</v>
      </c>
      <c r="C30" s="10" t="s">
        <v>35</v>
      </c>
      <c r="D30" s="10" t="s">
        <v>31</v>
      </c>
      <c r="E30" s="11" t="n">
        <v>46235</v>
      </c>
      <c r="F30" t="n">
        <v>231</v>
      </c>
      <c r="H30" t="n">
        <v>32</v>
      </c>
      <c r="I30" t="n">
        <v>489</v>
      </c>
      <c r="J30" s="10"/>
      <c r="K30" s="10"/>
      <c r="L30" s="10" t="s">
        <v>4</v>
      </c>
      <c r="M30" t="n">
        <v>290</v>
      </c>
      <c r="P30" s="11"/>
      <c r="S30" t="n">
        <v>7</v>
      </c>
      <c r="T30" t="n">
        <v>15</v>
      </c>
      <c r="U30" t="n">
        <v>15</v>
      </c>
      <c r="V30" t="n">
        <v>15.28125</v>
      </c>
    </row>
    <row r="31">
      <c r="A31" s="10" t="s">
        <v>75</v>
      </c>
      <c r="B31" s="10" t="s">
        <v>34</v>
      </c>
      <c r="C31" s="10" t="s">
        <v>35</v>
      </c>
      <c r="D31" s="10" t="s">
        <v>31</v>
      </c>
      <c r="E31" s="11" t="n">
        <v>46266</v>
      </c>
      <c r="F31" t="n">
        <v>489</v>
      </c>
      <c r="H31" t="n">
        <v>32</v>
      </c>
      <c r="I31" t="n">
        <v>457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14.28125</v>
      </c>
    </row>
    <row r="32">
      <c r="A32" s="10" t="s">
        <v>76</v>
      </c>
      <c r="B32" s="10" t="s">
        <v>34</v>
      </c>
      <c r="C32" s="10" t="s">
        <v>35</v>
      </c>
      <c r="D32" s="10" t="s">
        <v>31</v>
      </c>
      <c r="E32" s="11" t="n">
        <v>45658</v>
      </c>
      <c r="H32" t="n">
        <v>10000</v>
      </c>
      <c r="I32" t="n">
        <v>0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34</v>
      </c>
      <c r="C33" s="10" t="s">
        <v>35</v>
      </c>
      <c r="D33" s="10" t="s">
        <v>31</v>
      </c>
      <c r="E33" s="11" t="n">
        <v>45689</v>
      </c>
      <c r="H33" t="n">
        <v>10000</v>
      </c>
      <c r="I33" t="n">
        <v>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34</v>
      </c>
      <c r="C34" s="10" t="s">
        <v>35</v>
      </c>
      <c r="D34" s="10" t="s">
        <v>31</v>
      </c>
      <c r="E34" s="11" t="n">
        <v>45717</v>
      </c>
      <c r="H34" t="n">
        <v>10000</v>
      </c>
      <c r="I34" t="n">
        <v>0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34</v>
      </c>
      <c r="C35" s="10" t="s">
        <v>35</v>
      </c>
      <c r="D35" s="10" t="s">
        <v>31</v>
      </c>
      <c r="E35" s="11" t="n">
        <v>45748</v>
      </c>
      <c r="F35" t="n">
        <v>111000</v>
      </c>
      <c r="H35" t="n">
        <v>10000</v>
      </c>
      <c r="I35" t="n">
        <v>101000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10.1</v>
      </c>
    </row>
    <row r="36">
      <c r="A36" s="10" t="s">
        <v>76</v>
      </c>
      <c r="B36" s="10" t="s">
        <v>34</v>
      </c>
      <c r="C36" s="10" t="s">
        <v>35</v>
      </c>
      <c r="D36" s="10" t="s">
        <v>31</v>
      </c>
      <c r="E36" s="11" t="n">
        <v>45778</v>
      </c>
      <c r="F36" t="n">
        <v>101000</v>
      </c>
      <c r="H36" t="n">
        <v>10000</v>
      </c>
      <c r="I36" t="n">
        <v>91000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9.1</v>
      </c>
    </row>
    <row r="37">
      <c r="A37" s="10" t="s">
        <v>76</v>
      </c>
      <c r="B37" s="10" t="s">
        <v>34</v>
      </c>
      <c r="C37" s="10" t="s">
        <v>35</v>
      </c>
      <c r="D37" s="10" t="s">
        <v>31</v>
      </c>
      <c r="E37" s="11" t="n">
        <v>45809</v>
      </c>
      <c r="F37" t="n">
        <v>91000</v>
      </c>
      <c r="H37" t="n">
        <v>10000</v>
      </c>
      <c r="I37" t="n">
        <v>81000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8.1</v>
      </c>
    </row>
    <row r="38">
      <c r="A38" s="10" t="s">
        <v>76</v>
      </c>
      <c r="B38" s="10" t="s">
        <v>34</v>
      </c>
      <c r="C38" s="10" t="s">
        <v>35</v>
      </c>
      <c r="D38" s="10" t="s">
        <v>31</v>
      </c>
      <c r="E38" s="11" t="n">
        <v>45839</v>
      </c>
      <c r="F38" t="n">
        <v>81000</v>
      </c>
      <c r="H38" t="n">
        <v>10000</v>
      </c>
      <c r="I38" t="n">
        <v>71000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7.1</v>
      </c>
    </row>
    <row r="39">
      <c r="A39" s="10" t="s">
        <v>76</v>
      </c>
      <c r="B39" s="10" t="s">
        <v>34</v>
      </c>
      <c r="C39" s="10" t="s">
        <v>35</v>
      </c>
      <c r="D39" s="10" t="s">
        <v>31</v>
      </c>
      <c r="E39" s="11" t="n">
        <v>45870</v>
      </c>
      <c r="F39" t="n">
        <v>71000</v>
      </c>
      <c r="H39" t="n">
        <v>10000</v>
      </c>
      <c r="I39" t="n">
        <v>61000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6.1</v>
      </c>
    </row>
    <row r="40">
      <c r="A40" s="10" t="s">
        <v>76</v>
      </c>
      <c r="B40" s="10" t="s">
        <v>34</v>
      </c>
      <c r="C40" s="10" t="s">
        <v>35</v>
      </c>
      <c r="D40" s="10" t="s">
        <v>31</v>
      </c>
      <c r="E40" s="11" t="n">
        <v>45901</v>
      </c>
      <c r="F40" t="n">
        <v>61000</v>
      </c>
      <c r="H40" t="n">
        <v>10000</v>
      </c>
      <c r="I40" t="n">
        <v>51000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5.0999999999999996</v>
      </c>
    </row>
    <row r="41">
      <c r="A41" s="10" t="s">
        <v>76</v>
      </c>
      <c r="B41" s="10" t="s">
        <v>34</v>
      </c>
      <c r="C41" s="10" t="s">
        <v>35</v>
      </c>
      <c r="D41" s="10" t="s">
        <v>31</v>
      </c>
      <c r="E41" s="11" t="n">
        <v>45931</v>
      </c>
      <c r="F41" t="n">
        <v>51000</v>
      </c>
      <c r="H41" t="n">
        <v>10000</v>
      </c>
      <c r="I41" t="n">
        <v>41000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4.0999999999999996</v>
      </c>
    </row>
    <row r="42">
      <c r="A42" s="10" t="s">
        <v>76</v>
      </c>
      <c r="B42" s="10" t="s">
        <v>34</v>
      </c>
      <c r="C42" s="10" t="s">
        <v>35</v>
      </c>
      <c r="D42" s="10" t="s">
        <v>31</v>
      </c>
      <c r="E42" s="11" t="n">
        <v>45962</v>
      </c>
      <c r="F42" t="n">
        <v>41000</v>
      </c>
      <c r="H42" t="n">
        <v>10000</v>
      </c>
      <c r="I42" t="n">
        <v>31000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3.1</v>
      </c>
    </row>
    <row r="43">
      <c r="A43" s="10" t="s">
        <v>76</v>
      </c>
      <c r="B43" s="10" t="s">
        <v>34</v>
      </c>
      <c r="C43" s="10" t="s">
        <v>35</v>
      </c>
      <c r="D43" s="10" t="s">
        <v>31</v>
      </c>
      <c r="E43" s="11" t="n">
        <v>45992</v>
      </c>
      <c r="F43" t="n">
        <v>31000</v>
      </c>
      <c r="H43" t="n">
        <v>10000</v>
      </c>
      <c r="I43" t="n">
        <v>116700</v>
      </c>
      <c r="J43" s="10" t="s">
        <v>156</v>
      </c>
      <c r="K43" s="10" t="s">
        <v>156</v>
      </c>
      <c r="L43" s="10" t="s">
        <v>4</v>
      </c>
      <c r="M43" t="n">
        <v>95700</v>
      </c>
      <c r="O43" t="n">
        <v>47850</v>
      </c>
      <c r="P43" s="11" t="n">
        <v>45992</v>
      </c>
      <c r="S43" t="n">
        <v>3</v>
      </c>
      <c r="T43" t="n">
        <v>6</v>
      </c>
      <c r="U43" t="n">
        <v>6</v>
      </c>
      <c r="V43" t="n">
        <v>11.67</v>
      </c>
    </row>
    <row r="44">
      <c r="A44" s="10" t="s">
        <v>76</v>
      </c>
      <c r="B44" s="10" t="s">
        <v>34</v>
      </c>
      <c r="C44" s="10" t="s">
        <v>35</v>
      </c>
      <c r="D44" s="10" t="s">
        <v>31</v>
      </c>
      <c r="E44" s="11" t="n">
        <v>46023</v>
      </c>
      <c r="F44" t="n">
        <v>116700</v>
      </c>
      <c r="H44" t="n">
        <v>10000</v>
      </c>
      <c r="I44" t="n">
        <v>106700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10.67</v>
      </c>
    </row>
    <row r="45">
      <c r="A45" s="10" t="s">
        <v>76</v>
      </c>
      <c r="B45" s="10" t="s">
        <v>34</v>
      </c>
      <c r="C45" s="10" t="s">
        <v>35</v>
      </c>
      <c r="D45" s="10" t="s">
        <v>31</v>
      </c>
      <c r="E45" s="11" t="n">
        <v>46054</v>
      </c>
      <c r="F45" t="n">
        <v>106700</v>
      </c>
      <c r="H45" t="n">
        <v>10000</v>
      </c>
      <c r="I45" t="n">
        <v>96700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9.67</v>
      </c>
    </row>
    <row r="46">
      <c r="A46" s="10" t="s">
        <v>76</v>
      </c>
      <c r="B46" s="10" t="s">
        <v>34</v>
      </c>
      <c r="C46" s="10" t="s">
        <v>35</v>
      </c>
      <c r="D46" s="10" t="s">
        <v>31</v>
      </c>
      <c r="E46" s="11" t="n">
        <v>46082</v>
      </c>
      <c r="F46" t="n">
        <v>96700</v>
      </c>
      <c r="H46" t="n">
        <v>10000</v>
      </c>
      <c r="I46" t="n">
        <v>86700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8.67</v>
      </c>
    </row>
    <row r="47">
      <c r="A47" s="10" t="s">
        <v>76</v>
      </c>
      <c r="B47" s="10" t="s">
        <v>34</v>
      </c>
      <c r="C47" s="10" t="s">
        <v>35</v>
      </c>
      <c r="D47" s="10" t="s">
        <v>31</v>
      </c>
      <c r="E47" s="11" t="n">
        <v>46113</v>
      </c>
      <c r="F47" t="n">
        <v>86700</v>
      </c>
      <c r="H47" t="n">
        <v>10000</v>
      </c>
      <c r="I47" t="n">
        <v>76700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7.67</v>
      </c>
    </row>
    <row r="48">
      <c r="A48" s="10" t="s">
        <v>76</v>
      </c>
      <c r="B48" s="10" t="s">
        <v>34</v>
      </c>
      <c r="C48" s="10" t="s">
        <v>35</v>
      </c>
      <c r="D48" s="10" t="s">
        <v>31</v>
      </c>
      <c r="E48" s="11" t="n">
        <v>46143</v>
      </c>
      <c r="F48" t="n">
        <v>76700</v>
      </c>
      <c r="H48" t="n">
        <v>10000</v>
      </c>
      <c r="I48" t="n">
        <v>66700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6.67</v>
      </c>
    </row>
    <row r="49">
      <c r="A49" s="10" t="s">
        <v>76</v>
      </c>
      <c r="B49" s="10" t="s">
        <v>34</v>
      </c>
      <c r="C49" s="10" t="s">
        <v>35</v>
      </c>
      <c r="D49" s="10" t="s">
        <v>31</v>
      </c>
      <c r="E49" s="11" t="n">
        <v>46174</v>
      </c>
      <c r="F49" t="n">
        <v>66700</v>
      </c>
      <c r="H49" t="n">
        <v>10000</v>
      </c>
      <c r="I49" t="n">
        <v>67166</v>
      </c>
      <c r="J49" s="10"/>
      <c r="K49" s="10"/>
      <c r="L49" s="10" t="s">
        <v>4</v>
      </c>
      <c r="M49" t="n">
        <v>10466</v>
      </c>
      <c r="O49" t="n">
        <v>6802.9</v>
      </c>
      <c r="P49" s="11" t="n">
        <v>46174</v>
      </c>
      <c r="S49" t="n">
        <v>3</v>
      </c>
      <c r="T49" t="n">
        <v>6</v>
      </c>
      <c r="U49" t="n">
        <v>6</v>
      </c>
      <c r="V49" t="n">
        <v>6.7165999999999997</v>
      </c>
    </row>
    <row r="50">
      <c r="A50" s="10" t="s">
        <v>76</v>
      </c>
      <c r="B50" s="10" t="s">
        <v>34</v>
      </c>
      <c r="C50" s="10" t="s">
        <v>35</v>
      </c>
      <c r="D50" s="10" t="s">
        <v>31</v>
      </c>
      <c r="E50" s="11" t="n">
        <v>46204</v>
      </c>
      <c r="F50" t="n">
        <v>67166</v>
      </c>
      <c r="H50" t="n">
        <v>10000</v>
      </c>
      <c r="I50" t="n">
        <v>57166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5.7165999999999997</v>
      </c>
    </row>
    <row r="51">
      <c r="A51" s="10" t="s">
        <v>76</v>
      </c>
      <c r="B51" s="10" t="s">
        <v>34</v>
      </c>
      <c r="C51" s="10" t="s">
        <v>35</v>
      </c>
      <c r="D51" s="10" t="s">
        <v>31</v>
      </c>
      <c r="E51" s="11" t="n">
        <v>46235</v>
      </c>
      <c r="F51" t="n">
        <v>57166</v>
      </c>
      <c r="H51" t="n">
        <v>10000</v>
      </c>
      <c r="I51" t="n">
        <v>47166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4.7165999999999997</v>
      </c>
    </row>
    <row r="52">
      <c r="A52" s="10" t="s">
        <v>76</v>
      </c>
      <c r="B52" s="10" t="s">
        <v>34</v>
      </c>
      <c r="C52" s="10" t="s">
        <v>35</v>
      </c>
      <c r="D52" s="10" t="s">
        <v>31</v>
      </c>
      <c r="E52" s="11" t="n">
        <v>46266</v>
      </c>
      <c r="F52" t="n">
        <v>47166</v>
      </c>
      <c r="H52" t="n">
        <v>10000</v>
      </c>
      <c r="I52" t="n">
        <v>41166</v>
      </c>
      <c r="J52" s="10"/>
      <c r="K52" s="10"/>
      <c r="L52" s="10" t="s">
        <v>4</v>
      </c>
      <c r="M52" t="n">
        <v>4000</v>
      </c>
      <c r="O52" t="n">
        <v>2600</v>
      </c>
      <c r="P52" s="11" t="n">
        <v>46266</v>
      </c>
      <c r="S52" t="n">
        <v>3</v>
      </c>
      <c r="T52" t="n">
        <v>6</v>
      </c>
      <c r="U52" t="n">
        <v>6</v>
      </c>
      <c r="V52" t="n">
        <v>4.1166</v>
      </c>
    </row>
    <row r="53">
      <c r="A53" s="10" t="s">
        <v>76</v>
      </c>
      <c r="B53" s="10" t="s">
        <v>34</v>
      </c>
      <c r="C53" s="10" t="s">
        <v>35</v>
      </c>
      <c r="D53" s="10" t="s">
        <v>31</v>
      </c>
      <c r="E53" s="11" t="n">
        <v>46296</v>
      </c>
      <c r="F53" t="n">
        <v>41166</v>
      </c>
      <c r="H53" t="n">
        <v>10000</v>
      </c>
      <c r="I53" t="n">
        <v>31166</v>
      </c>
      <c r="J53" s="10"/>
      <c r="K53" s="10"/>
      <c r="L53" s="10"/>
      <c r="P53" s="11"/>
      <c r="S53" t="n">
        <v>3</v>
      </c>
      <c r="T53" t="n">
        <v>6</v>
      </c>
      <c r="U53" t="n">
        <v>6</v>
      </c>
      <c r="V53" t="n">
        <v>3.1166</v>
      </c>
    </row>
    <row r="54">
      <c r="A54" s="10" t="s">
        <v>76</v>
      </c>
      <c r="B54" s="10" t="s">
        <v>34</v>
      </c>
      <c r="C54" s="10" t="s">
        <v>35</v>
      </c>
      <c r="D54" s="10" t="s">
        <v>31</v>
      </c>
      <c r="E54" s="11" t="n">
        <v>46327</v>
      </c>
      <c r="F54" t="n">
        <v>31166</v>
      </c>
      <c r="H54" t="n">
        <v>10000</v>
      </c>
      <c r="I54" t="n">
        <v>21166</v>
      </c>
      <c r="J54" s="10"/>
      <c r="K54" s="10"/>
      <c r="L54" s="10"/>
      <c r="P54" s="11"/>
      <c r="S54" t="n">
        <v>3</v>
      </c>
      <c r="T54" t="n">
        <v>6</v>
      </c>
      <c r="U54" t="n">
        <v>6</v>
      </c>
      <c r="V54" t="n">
        <v>2.1166</v>
      </c>
    </row>
    <row r="55">
      <c r="A55" s="10" t="s">
        <v>76</v>
      </c>
      <c r="B55" s="10" t="s">
        <v>34</v>
      </c>
      <c r="C55" s="10" t="s">
        <v>35</v>
      </c>
      <c r="D55" s="10" t="s">
        <v>31</v>
      </c>
      <c r="E55" s="11" t="n">
        <v>46357</v>
      </c>
      <c r="F55" t="n">
        <v>21166</v>
      </c>
      <c r="H55" t="n">
        <v>10000</v>
      </c>
      <c r="I55" t="n">
        <v>42139</v>
      </c>
      <c r="J55" s="10"/>
      <c r="K55" s="10"/>
      <c r="L55" s="10" t="s">
        <v>4</v>
      </c>
      <c r="M55" t="n">
        <v>30973</v>
      </c>
      <c r="O55" t="n">
        <v>20458.099999999999</v>
      </c>
      <c r="P55" s="11" t="n">
        <v>46357</v>
      </c>
      <c r="S55" t="n">
        <v>3</v>
      </c>
      <c r="T55" t="n">
        <v>6</v>
      </c>
      <c r="U55" t="n">
        <v>6</v>
      </c>
      <c r="V55" t="n">
        <v>4.2138999999999998</v>
      </c>
    </row>
    <row r="56">
      <c r="A56" s="10" t="s">
        <v>72</v>
      </c>
      <c r="B56" s="10" t="s">
        <v>34</v>
      </c>
      <c r="C56" s="10" t="s">
        <v>35</v>
      </c>
      <c r="D56" s="10" t="s">
        <v>31</v>
      </c>
      <c r="E56" s="11" t="n">
        <v>45689</v>
      </c>
      <c r="F56" t="n">
        <v>0</v>
      </c>
      <c r="H56" t="n">
        <v>7816</v>
      </c>
      <c r="I56" t="n">
        <v>0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0</v>
      </c>
    </row>
    <row r="57">
      <c r="A57" s="10" t="s">
        <v>72</v>
      </c>
      <c r="B57" s="10" t="s">
        <v>34</v>
      </c>
      <c r="C57" s="10" t="s">
        <v>35</v>
      </c>
      <c r="D57" s="10" t="s">
        <v>31</v>
      </c>
      <c r="E57" s="11" t="n">
        <v>45717</v>
      </c>
      <c r="F57" t="n">
        <v>0</v>
      </c>
      <c r="H57" t="n">
        <v>7816</v>
      </c>
      <c r="I57" t="n">
        <v>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0</v>
      </c>
    </row>
    <row r="58">
      <c r="A58" s="10" t="s">
        <v>72</v>
      </c>
      <c r="B58" s="10" t="s">
        <v>34</v>
      </c>
      <c r="C58" s="10" t="s">
        <v>35</v>
      </c>
      <c r="D58" s="10" t="s">
        <v>31</v>
      </c>
      <c r="E58" s="11" t="n">
        <v>45748</v>
      </c>
      <c r="F58" t="n">
        <v>0</v>
      </c>
      <c r="H58" t="n">
        <v>7816</v>
      </c>
      <c r="I58" t="n">
        <v>0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0</v>
      </c>
    </row>
    <row r="59">
      <c r="A59" s="10" t="s">
        <v>72</v>
      </c>
      <c r="B59" s="10" t="s">
        <v>34</v>
      </c>
      <c r="C59" s="10" t="s">
        <v>35</v>
      </c>
      <c r="D59" s="10" t="s">
        <v>31</v>
      </c>
      <c r="E59" s="11" t="n">
        <v>45778</v>
      </c>
      <c r="F59" t="n">
        <v>0</v>
      </c>
      <c r="H59" t="n">
        <v>7816</v>
      </c>
      <c r="I59" t="n">
        <v>0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0</v>
      </c>
    </row>
    <row r="60">
      <c r="A60" s="10" t="s">
        <v>72</v>
      </c>
      <c r="B60" s="10" t="s">
        <v>34</v>
      </c>
      <c r="C60" s="10" t="s">
        <v>35</v>
      </c>
      <c r="D60" s="10" t="s">
        <v>31</v>
      </c>
      <c r="E60" s="11" t="n">
        <v>45809</v>
      </c>
      <c r="F60" t="n">
        <v>0</v>
      </c>
      <c r="H60" t="n">
        <v>7816</v>
      </c>
      <c r="I60" t="n">
        <v>0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0</v>
      </c>
    </row>
    <row r="61">
      <c r="A61" s="10" t="s">
        <v>72</v>
      </c>
      <c r="B61" s="10" t="s">
        <v>34</v>
      </c>
      <c r="C61" s="10" t="s">
        <v>35</v>
      </c>
      <c r="D61" s="10" t="s">
        <v>31</v>
      </c>
      <c r="E61" s="11" t="n">
        <v>45839</v>
      </c>
      <c r="F61" t="n">
        <v>0</v>
      </c>
      <c r="H61" t="n">
        <v>7816</v>
      </c>
      <c r="I61" t="n">
        <v>0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0</v>
      </c>
    </row>
    <row r="62">
      <c r="A62" s="10" t="s">
        <v>72</v>
      </c>
      <c r="B62" s="10" t="s">
        <v>34</v>
      </c>
      <c r="C62" s="10" t="s">
        <v>35</v>
      </c>
      <c r="D62" s="10" t="s">
        <v>31</v>
      </c>
      <c r="E62" s="11" t="n">
        <v>45870</v>
      </c>
      <c r="F62" t="n">
        <v>0</v>
      </c>
      <c r="H62" t="n">
        <v>7816</v>
      </c>
      <c r="I62" t="n">
        <v>0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0</v>
      </c>
    </row>
    <row r="63">
      <c r="A63" s="10" t="s">
        <v>72</v>
      </c>
      <c r="B63" s="10" t="s">
        <v>34</v>
      </c>
      <c r="C63" s="10" t="s">
        <v>35</v>
      </c>
      <c r="D63" s="10" t="s">
        <v>31</v>
      </c>
      <c r="E63" s="11" t="n">
        <v>45901</v>
      </c>
      <c r="F63" t="n">
        <v>0</v>
      </c>
      <c r="H63" t="n">
        <v>7816</v>
      </c>
      <c r="I63" t="n">
        <v>0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0</v>
      </c>
    </row>
    <row r="64">
      <c r="A64" s="10" t="s">
        <v>72</v>
      </c>
      <c r="B64" s="10" t="s">
        <v>34</v>
      </c>
      <c r="C64" s="10" t="s">
        <v>35</v>
      </c>
      <c r="D64" s="10" t="s">
        <v>31</v>
      </c>
      <c r="E64" s="11" t="n">
        <v>45931</v>
      </c>
      <c r="F64" t="n">
        <v>0</v>
      </c>
      <c r="H64" t="n">
        <v>7816</v>
      </c>
      <c r="I64" t="n">
        <v>14184</v>
      </c>
      <c r="J64" s="10" t="s">
        <v>51</v>
      </c>
      <c r="K64" s="10" t="s">
        <v>51</v>
      </c>
      <c r="L64" s="10" t="s">
        <v>147</v>
      </c>
      <c r="M64" t="n">
        <v>22000</v>
      </c>
      <c r="O64" t="n">
        <v>12320</v>
      </c>
      <c r="P64" s="11" t="n">
        <v>45931</v>
      </c>
      <c r="S64" t="n">
        <v>6</v>
      </c>
      <c r="T64" t="n">
        <v>12</v>
      </c>
      <c r="U64" t="n">
        <v>12</v>
      </c>
      <c r="V64" t="n">
        <v>1.8147389969293757</v>
      </c>
    </row>
    <row r="65">
      <c r="A65" s="10" t="s">
        <v>72</v>
      </c>
      <c r="B65" s="10" t="s">
        <v>34</v>
      </c>
      <c r="C65" s="10" t="s">
        <v>35</v>
      </c>
      <c r="D65" s="10" t="s">
        <v>31</v>
      </c>
      <c r="E65" s="11" t="n">
        <v>45962</v>
      </c>
      <c r="F65" t="n">
        <v>14184</v>
      </c>
      <c r="H65" t="n">
        <v>7816</v>
      </c>
      <c r="I65" t="n">
        <v>6368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0.81473899692937568</v>
      </c>
    </row>
    <row r="66">
      <c r="A66" s="10" t="s">
        <v>72</v>
      </c>
      <c r="B66" s="10" t="s">
        <v>34</v>
      </c>
      <c r="C66" s="10" t="s">
        <v>35</v>
      </c>
      <c r="D66" s="10" t="s">
        <v>31</v>
      </c>
      <c r="E66" s="11" t="n">
        <v>45992</v>
      </c>
      <c r="F66" t="n">
        <v>6368</v>
      </c>
      <c r="H66" t="n">
        <v>7816</v>
      </c>
      <c r="I66" t="n">
        <v>0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0</v>
      </c>
    </row>
    <row r="67">
      <c r="A67" s="10" t="s">
        <v>72</v>
      </c>
      <c r="B67" s="10" t="s">
        <v>34</v>
      </c>
      <c r="C67" s="10" t="s">
        <v>35</v>
      </c>
      <c r="D67" s="10" t="s">
        <v>31</v>
      </c>
      <c r="E67" s="11" t="n">
        <v>46023</v>
      </c>
      <c r="F67" t="n">
        <v>0</v>
      </c>
      <c r="H67" t="n">
        <v>7816</v>
      </c>
      <c r="I67" t="n">
        <v>8910</v>
      </c>
      <c r="J67" s="10" t="s">
        <v>2</v>
      </c>
      <c r="K67" s="10" t="s">
        <v>2</v>
      </c>
      <c r="L67" s="10" t="s">
        <v>4</v>
      </c>
      <c r="M67" t="n">
        <v>16726</v>
      </c>
      <c r="O67" t="n">
        <v>9336</v>
      </c>
      <c r="P67" s="11" t="n">
        <v>46023</v>
      </c>
      <c r="S67" t="n">
        <v>6</v>
      </c>
      <c r="T67" t="n">
        <v>12</v>
      </c>
      <c r="U67" t="n">
        <v>12</v>
      </c>
      <c r="V67" t="n">
        <v>1.1399692937563972</v>
      </c>
    </row>
    <row r="68">
      <c r="A68" s="10" t="s">
        <v>72</v>
      </c>
      <c r="B68" s="10" t="s">
        <v>34</v>
      </c>
      <c r="C68" s="10" t="s">
        <v>35</v>
      </c>
      <c r="D68" s="10" t="s">
        <v>31</v>
      </c>
      <c r="E68" s="11" t="n">
        <v>46054</v>
      </c>
      <c r="F68" t="n">
        <v>8910</v>
      </c>
      <c r="H68" t="n">
        <v>7816</v>
      </c>
      <c r="I68" t="n">
        <v>1094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0.13996929375639713</v>
      </c>
    </row>
    <row r="69">
      <c r="A69" s="10" t="s">
        <v>72</v>
      </c>
      <c r="B69" s="10" t="s">
        <v>34</v>
      </c>
      <c r="C69" s="10" t="s">
        <v>35</v>
      </c>
      <c r="D69" s="10" t="s">
        <v>31</v>
      </c>
      <c r="E69" s="11" t="n">
        <v>46082</v>
      </c>
      <c r="F69" t="n">
        <v>1094</v>
      </c>
      <c r="H69" t="n">
        <v>7816</v>
      </c>
      <c r="I69" t="n">
        <v>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0</v>
      </c>
    </row>
    <row r="70">
      <c r="A70" s="10" t="s">
        <v>72</v>
      </c>
      <c r="B70" s="10" t="s">
        <v>34</v>
      </c>
      <c r="C70" s="10" t="s">
        <v>35</v>
      </c>
      <c r="D70" s="10" t="s">
        <v>31</v>
      </c>
      <c r="E70" s="11" t="n">
        <v>46113</v>
      </c>
      <c r="F70" t="n">
        <v>0</v>
      </c>
      <c r="H70" t="n">
        <v>7816</v>
      </c>
      <c r="I70" t="n">
        <v>0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0</v>
      </c>
    </row>
    <row r="71">
      <c r="A71" s="10" t="s">
        <v>72</v>
      </c>
      <c r="B71" s="10" t="s">
        <v>34</v>
      </c>
      <c r="C71" s="10" t="s">
        <v>35</v>
      </c>
      <c r="D71" s="10" t="s">
        <v>31</v>
      </c>
      <c r="E71" s="11" t="n">
        <v>46143</v>
      </c>
      <c r="F71" t="n">
        <v>0</v>
      </c>
      <c r="H71" t="n">
        <v>7816</v>
      </c>
      <c r="I71" t="n">
        <v>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0</v>
      </c>
    </row>
    <row r="72">
      <c r="A72" s="10" t="s">
        <v>72</v>
      </c>
      <c r="B72" s="10" t="s">
        <v>34</v>
      </c>
      <c r="C72" s="10" t="s">
        <v>35</v>
      </c>
      <c r="D72" s="10" t="s">
        <v>31</v>
      </c>
      <c r="E72" s="11" t="n">
        <v>46174</v>
      </c>
      <c r="F72" t="n">
        <v>0</v>
      </c>
      <c r="H72" t="n">
        <v>7816</v>
      </c>
      <c r="I72" t="n">
        <v>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0</v>
      </c>
    </row>
    <row r="73">
      <c r="A73" s="10" t="s">
        <v>72</v>
      </c>
      <c r="B73" s="10" t="s">
        <v>34</v>
      </c>
      <c r="C73" s="10" t="s">
        <v>35</v>
      </c>
      <c r="D73" s="10" t="s">
        <v>31</v>
      </c>
      <c r="E73" s="11" t="n">
        <v>46204</v>
      </c>
      <c r="F73" t="n">
        <v>0</v>
      </c>
      <c r="H73" t="n">
        <v>7816</v>
      </c>
      <c r="I73" t="n">
        <v>8538</v>
      </c>
      <c r="J73" s="10" t="s">
        <v>2</v>
      </c>
      <c r="K73" s="10" t="s">
        <v>2</v>
      </c>
      <c r="L73" s="10" t="s">
        <v>4</v>
      </c>
      <c r="M73" t="n">
        <v>16354</v>
      </c>
      <c r="O73" t="n">
        <v>9158</v>
      </c>
      <c r="P73" s="11" t="n">
        <v>46204</v>
      </c>
      <c r="S73" t="n">
        <v>6</v>
      </c>
      <c r="T73" t="n">
        <v>12</v>
      </c>
      <c r="U73" t="n">
        <v>12</v>
      </c>
      <c r="V73" t="n">
        <v>1.092374616171955</v>
      </c>
    </row>
    <row r="74">
      <c r="A74" s="10" t="s">
        <v>72</v>
      </c>
      <c r="B74" s="10" t="s">
        <v>34</v>
      </c>
      <c r="C74" s="10" t="s">
        <v>35</v>
      </c>
      <c r="D74" s="10" t="s">
        <v>31</v>
      </c>
      <c r="E74" s="11" t="n">
        <v>46235</v>
      </c>
      <c r="F74" t="n">
        <v>8538</v>
      </c>
      <c r="H74" t="n">
        <v>7816</v>
      </c>
      <c r="I74" t="n">
        <v>722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9.2374616171954971E-2</v>
      </c>
    </row>
    <row r="75">
      <c r="A75" s="10" t="s">
        <v>72</v>
      </c>
      <c r="B75" s="10" t="s">
        <v>34</v>
      </c>
      <c r="C75" s="10" t="s">
        <v>35</v>
      </c>
      <c r="D75" s="10" t="s">
        <v>31</v>
      </c>
      <c r="E75" s="11" t="n">
        <v>46266</v>
      </c>
      <c r="F75" t="n">
        <v>722</v>
      </c>
      <c r="H75" t="n">
        <v>7816</v>
      </c>
      <c r="I75" t="n">
        <v>0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0</v>
      </c>
    </row>
    <row r="76">
      <c r="A76" s="10" t="s">
        <v>72</v>
      </c>
      <c r="B76" s="10" t="s">
        <v>34</v>
      </c>
      <c r="C76" s="10" t="s">
        <v>35</v>
      </c>
      <c r="D76" s="10" t="s">
        <v>31</v>
      </c>
      <c r="E76" s="11" t="n">
        <v>46296</v>
      </c>
      <c r="F76" t="n">
        <v>0</v>
      </c>
      <c r="H76" t="n">
        <v>7816</v>
      </c>
      <c r="I76" t="n">
        <v>0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0</v>
      </c>
    </row>
    <row r="77">
      <c r="A77" s="10" t="s">
        <v>72</v>
      </c>
      <c r="B77" s="10" t="s">
        <v>34</v>
      </c>
      <c r="C77" s="10" t="s">
        <v>35</v>
      </c>
      <c r="D77" s="10" t="s">
        <v>31</v>
      </c>
      <c r="E77" s="11" t="n">
        <v>46327</v>
      </c>
      <c r="F77" t="n">
        <v>0</v>
      </c>
      <c r="H77" t="n">
        <v>7816</v>
      </c>
      <c r="I77" t="n">
        <v>0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0</v>
      </c>
    </row>
    <row r="78">
      <c r="A78" s="10" t="s">
        <v>72</v>
      </c>
      <c r="B78" s="10" t="s">
        <v>34</v>
      </c>
      <c r="C78" s="10" t="s">
        <v>35</v>
      </c>
      <c r="D78" s="10" t="s">
        <v>31</v>
      </c>
      <c r="E78" s="11" t="n">
        <v>46357</v>
      </c>
      <c r="F78" t="n">
        <v>0</v>
      </c>
      <c r="H78" t="n">
        <v>7816</v>
      </c>
      <c r="I78" t="n">
        <v>0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0</v>
      </c>
    </row>
    <row r="79">
      <c r="A79" s="10" t="s">
        <v>166</v>
      </c>
      <c r="B79" s="10" t="s">
        <v>34</v>
      </c>
      <c r="C79" s="10" t="s">
        <v>35</v>
      </c>
      <c r="D79" s="10" t="s">
        <v>31</v>
      </c>
      <c r="E79" s="11" t="n">
        <v>45748</v>
      </c>
      <c r="F79" t="n">
        <v>18800</v>
      </c>
      <c r="H79" t="n">
        <v>2846</v>
      </c>
      <c r="I79" t="n">
        <v>15954</v>
      </c>
      <c r="J79" s="10"/>
      <c r="K79" s="10"/>
      <c r="L79" s="10"/>
      <c r="P79" s="11"/>
      <c r="S79" t="n">
        <v>9</v>
      </c>
      <c r="T79" t="n">
        <v>15</v>
      </c>
      <c r="U79" t="n">
        <v>15</v>
      </c>
      <c r="V79" t="n">
        <v>5.605762473647224</v>
      </c>
    </row>
    <row r="80">
      <c r="A80" s="10" t="s">
        <v>166</v>
      </c>
      <c r="B80" s="10" t="s">
        <v>34</v>
      </c>
      <c r="C80" s="10" t="s">
        <v>35</v>
      </c>
      <c r="D80" s="10" t="s">
        <v>31</v>
      </c>
      <c r="E80" s="11" t="n">
        <v>45778</v>
      </c>
      <c r="F80" t="n">
        <v>15954</v>
      </c>
      <c r="H80" t="n">
        <v>2846</v>
      </c>
      <c r="I80" t="n">
        <v>13108</v>
      </c>
      <c r="J80" s="10"/>
      <c r="K80" s="10"/>
      <c r="L80" s="10"/>
      <c r="P80" s="11"/>
      <c r="S80" t="n">
        <v>9</v>
      </c>
      <c r="T80" t="n">
        <v>15</v>
      </c>
      <c r="U80" t="n">
        <v>15</v>
      </c>
      <c r="V80" t="n">
        <v>4.605762473647224</v>
      </c>
    </row>
    <row r="81">
      <c r="A81" s="10" t="s">
        <v>166</v>
      </c>
      <c r="B81" s="10" t="s">
        <v>34</v>
      </c>
      <c r="C81" s="10" t="s">
        <v>35</v>
      </c>
      <c r="D81" s="10" t="s">
        <v>31</v>
      </c>
      <c r="E81" s="11" t="n">
        <v>45809</v>
      </c>
      <c r="F81" t="n">
        <v>13108</v>
      </c>
      <c r="H81" t="n">
        <v>2846</v>
      </c>
      <c r="I81" t="n">
        <v>43262</v>
      </c>
      <c r="J81" s="10"/>
      <c r="K81" s="10"/>
      <c r="L81" s="10"/>
      <c r="M81" t="n">
        <v>33000</v>
      </c>
      <c r="P81" s="11"/>
      <c r="S81" t="n">
        <v>9</v>
      </c>
      <c r="T81" t="n">
        <v>15</v>
      </c>
      <c r="U81" t="n">
        <v>15</v>
      </c>
      <c r="V81" t="n">
        <v>15.200983836964161</v>
      </c>
    </row>
    <row r="82">
      <c r="A82" s="10" t="s">
        <v>166</v>
      </c>
      <c r="B82" s="10" t="s">
        <v>34</v>
      </c>
      <c r="C82" s="10" t="s">
        <v>35</v>
      </c>
      <c r="D82" s="10" t="s">
        <v>31</v>
      </c>
      <c r="E82" s="11" t="n">
        <v>45839</v>
      </c>
      <c r="F82" t="n">
        <v>43262</v>
      </c>
      <c r="H82" t="n">
        <v>2846</v>
      </c>
      <c r="I82" t="n">
        <v>40416</v>
      </c>
      <c r="J82" s="10"/>
      <c r="K82" s="10"/>
      <c r="L82" s="10"/>
      <c r="P82" s="11"/>
      <c r="S82" t="n">
        <v>9</v>
      </c>
      <c r="T82" t="n">
        <v>15</v>
      </c>
      <c r="U82" t="n">
        <v>15</v>
      </c>
      <c r="V82" t="n">
        <v>14.200983836964161</v>
      </c>
    </row>
    <row r="83">
      <c r="A83" s="10" t="s">
        <v>166</v>
      </c>
      <c r="B83" s="10" t="s">
        <v>34</v>
      </c>
      <c r="C83" s="10" t="s">
        <v>35</v>
      </c>
      <c r="D83" s="10" t="s">
        <v>31</v>
      </c>
      <c r="E83" s="11" t="n">
        <v>45870</v>
      </c>
      <c r="F83" t="n">
        <v>40416</v>
      </c>
      <c r="H83" t="n">
        <v>2846</v>
      </c>
      <c r="I83" t="n">
        <v>37570</v>
      </c>
      <c r="J83" s="10"/>
      <c r="K83" s="10"/>
      <c r="L83" s="10"/>
      <c r="P83" s="11"/>
      <c r="S83" t="n">
        <v>9</v>
      </c>
      <c r="T83" t="n">
        <v>15</v>
      </c>
      <c r="U83" t="n">
        <v>15</v>
      </c>
      <c r="V83" t="n">
        <v>13.200983836964161</v>
      </c>
    </row>
    <row r="84">
      <c r="A84" s="10" t="s">
        <v>166</v>
      </c>
      <c r="B84" s="10" t="s">
        <v>34</v>
      </c>
      <c r="C84" s="10" t="s">
        <v>35</v>
      </c>
      <c r="D84" s="10" t="s">
        <v>31</v>
      </c>
      <c r="E84" s="11" t="n">
        <v>45901</v>
      </c>
      <c r="F84" t="n">
        <v>37570</v>
      </c>
      <c r="H84" t="n">
        <v>2846</v>
      </c>
      <c r="I84" t="n">
        <v>34724</v>
      </c>
      <c r="J84" s="10"/>
      <c r="K84" s="10"/>
      <c r="L84" s="10"/>
      <c r="P84" s="11"/>
      <c r="S84" t="n">
        <v>9</v>
      </c>
      <c r="T84" t="n">
        <v>15</v>
      </c>
      <c r="U84" t="n">
        <v>15</v>
      </c>
      <c r="V84" t="n">
        <v>12.200983836964161</v>
      </c>
    </row>
    <row r="85">
      <c r="A85" s="10" t="s">
        <v>166</v>
      </c>
      <c r="B85" s="10" t="s">
        <v>34</v>
      </c>
      <c r="C85" s="10" t="s">
        <v>35</v>
      </c>
      <c r="D85" s="10" t="s">
        <v>31</v>
      </c>
      <c r="E85" s="11" t="n">
        <v>45931</v>
      </c>
      <c r="F85" t="n">
        <v>34724</v>
      </c>
      <c r="H85" t="n">
        <v>2846</v>
      </c>
      <c r="I85" t="n">
        <v>31878</v>
      </c>
      <c r="J85" s="10"/>
      <c r="K85" s="10"/>
      <c r="L85" s="10"/>
      <c r="P85" s="11"/>
      <c r="S85" t="n">
        <v>9</v>
      </c>
      <c r="T85" t="n">
        <v>15</v>
      </c>
      <c r="U85" t="n">
        <v>15</v>
      </c>
      <c r="V85" t="n">
        <v>11.200983836964161</v>
      </c>
    </row>
    <row r="86">
      <c r="A86" s="10" t="s">
        <v>166</v>
      </c>
      <c r="B86" s="10" t="s">
        <v>34</v>
      </c>
      <c r="C86" s="10" t="s">
        <v>35</v>
      </c>
      <c r="D86" s="10" t="s">
        <v>31</v>
      </c>
      <c r="E86" s="11" t="n">
        <v>45962</v>
      </c>
      <c r="F86" t="n">
        <v>31878</v>
      </c>
      <c r="H86" t="n">
        <v>2846</v>
      </c>
      <c r="I86" t="n">
        <v>29032</v>
      </c>
      <c r="J86" s="10"/>
      <c r="K86" s="10"/>
      <c r="L86" s="10"/>
      <c r="P86" s="11"/>
      <c r="S86" t="n">
        <v>9</v>
      </c>
      <c r="T86" t="n">
        <v>15</v>
      </c>
      <c r="U86" t="n">
        <v>15</v>
      </c>
      <c r="V86" t="n">
        <v>10.200983836964161</v>
      </c>
    </row>
    <row r="87">
      <c r="A87" s="10" t="s">
        <v>166</v>
      </c>
      <c r="B87" s="10" t="s">
        <v>34</v>
      </c>
      <c r="C87" s="10" t="s">
        <v>35</v>
      </c>
      <c r="D87" s="10" t="s">
        <v>31</v>
      </c>
      <c r="E87" s="11" t="n">
        <v>45992</v>
      </c>
      <c r="F87" t="n">
        <v>29032</v>
      </c>
      <c r="H87" t="n">
        <v>2846</v>
      </c>
      <c r="I87" t="n">
        <v>26186</v>
      </c>
      <c r="J87" s="10"/>
      <c r="K87" s="10"/>
      <c r="L87" s="10"/>
      <c r="P87" s="11"/>
      <c r="S87" t="n">
        <v>9</v>
      </c>
      <c r="T87" t="n">
        <v>15</v>
      </c>
      <c r="U87" t="n">
        <v>15</v>
      </c>
      <c r="V87" t="n">
        <v>9.200983836964161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34.7265625" hidden="0" customWidth="1"/>
    <col min="3" max="3" width="8.45312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6.3632812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52</v>
      </c>
      <c r="C2" s="10" t="s">
        <v>53</v>
      </c>
      <c r="D2" s="10"/>
      <c r="E2" s="11" t="n">
        <v>45839</v>
      </c>
      <c r="F2" t="n">
        <v>68360</v>
      </c>
      <c r="H2" t="n">
        <v>7996</v>
      </c>
      <c r="I2" t="n">
        <v>60364</v>
      </c>
      <c r="J2" s="10"/>
      <c r="K2" s="10"/>
      <c r="L2" s="10"/>
      <c r="S2" t="n">
        <v>9</v>
      </c>
      <c r="T2" t="n">
        <v>14</v>
      </c>
      <c r="U2" t="n">
        <v>13</v>
      </c>
      <c r="V2" t="n">
        <v>7.5492746373186597</v>
      </c>
    </row>
    <row r="3">
      <c r="A3" s="10" t="s">
        <v>28</v>
      </c>
      <c r="B3" s="10" t="s">
        <v>52</v>
      </c>
      <c r="C3" s="10" t="s">
        <v>53</v>
      </c>
      <c r="D3" s="10"/>
      <c r="E3" s="11" t="n">
        <v>45870</v>
      </c>
      <c r="F3" t="n">
        <v>60364</v>
      </c>
      <c r="H3" t="n">
        <v>7996</v>
      </c>
      <c r="I3" t="n">
        <v>52368</v>
      </c>
      <c r="J3" s="10"/>
      <c r="K3" s="10"/>
      <c r="L3" s="10"/>
      <c r="S3" t="n">
        <v>9</v>
      </c>
      <c r="T3" t="n">
        <v>14</v>
      </c>
      <c r="U3" t="n">
        <v>13</v>
      </c>
      <c r="V3" t="n">
        <v>6.5492746373186597</v>
      </c>
    </row>
    <row r="4">
      <c r="A4" s="10" t="s">
        <v>28</v>
      </c>
      <c r="B4" s="10" t="s">
        <v>52</v>
      </c>
      <c r="C4" s="10" t="s">
        <v>53</v>
      </c>
      <c r="D4" s="10"/>
      <c r="E4" s="11" t="n">
        <v>45901</v>
      </c>
      <c r="F4" t="n">
        <v>52368</v>
      </c>
      <c r="H4" t="n">
        <v>7996</v>
      </c>
      <c r="I4" t="n">
        <v>89224</v>
      </c>
      <c r="J4" s="10" t="s">
        <v>2</v>
      </c>
      <c r="K4" s="10" t="s">
        <v>2</v>
      </c>
      <c r="L4" s="10" t="s">
        <v>4</v>
      </c>
      <c r="M4" t="n">
        <v>44852</v>
      </c>
      <c r="O4" t="n">
        <v>11841</v>
      </c>
      <c r="S4" t="n">
        <v>9</v>
      </c>
      <c r="T4" t="n">
        <v>14</v>
      </c>
      <c r="U4" t="n">
        <v>13</v>
      </c>
      <c r="V4" t="n">
        <v>11.158579289644823</v>
      </c>
    </row>
    <row r="5">
      <c r="A5" s="10" t="s">
        <v>28</v>
      </c>
      <c r="B5" s="10" t="s">
        <v>52</v>
      </c>
      <c r="C5" s="10" t="s">
        <v>53</v>
      </c>
      <c r="D5" s="10"/>
      <c r="E5" s="11" t="n">
        <v>45931</v>
      </c>
      <c r="F5" t="n">
        <v>89224</v>
      </c>
      <c r="H5" t="n">
        <v>7996</v>
      </c>
      <c r="I5" t="n">
        <v>81228</v>
      </c>
      <c r="J5" s="10"/>
      <c r="K5" s="10"/>
      <c r="L5" s="10"/>
      <c r="S5" t="n">
        <v>9</v>
      </c>
      <c r="T5" t="n">
        <v>14</v>
      </c>
      <c r="U5" t="n">
        <v>13</v>
      </c>
      <c r="V5" t="n">
        <v>10.158579289644823</v>
      </c>
    </row>
    <row r="6">
      <c r="A6" s="10" t="s">
        <v>28</v>
      </c>
      <c r="B6" s="10" t="s">
        <v>52</v>
      </c>
      <c r="C6" s="10" t="s">
        <v>53</v>
      </c>
      <c r="D6" s="10"/>
      <c r="E6" s="11" t="n">
        <v>45962</v>
      </c>
      <c r="F6" t="n">
        <v>81228</v>
      </c>
      <c r="H6" t="n">
        <v>7996</v>
      </c>
      <c r="I6" t="n">
        <v>73232</v>
      </c>
      <c r="J6" s="10"/>
      <c r="K6" s="10"/>
      <c r="L6" s="10"/>
      <c r="S6" t="n">
        <v>9</v>
      </c>
      <c r="T6" t="n">
        <v>14</v>
      </c>
      <c r="U6" t="n">
        <v>13</v>
      </c>
      <c r="V6" t="n">
        <v>9.1585792896448233</v>
      </c>
    </row>
    <row r="7">
      <c r="A7" s="10" t="s">
        <v>28</v>
      </c>
      <c r="B7" s="10" t="s">
        <v>52</v>
      </c>
      <c r="C7" s="10" t="s">
        <v>53</v>
      </c>
      <c r="D7" s="10"/>
      <c r="E7" s="11" t="n">
        <v>45992</v>
      </c>
      <c r="F7" t="n">
        <v>73232</v>
      </c>
      <c r="H7" t="n">
        <v>7996</v>
      </c>
      <c r="I7" t="n">
        <v>65236</v>
      </c>
      <c r="J7" s="10"/>
      <c r="K7" s="10"/>
      <c r="L7" s="10"/>
      <c r="S7" t="n">
        <v>9</v>
      </c>
      <c r="T7" t="n">
        <v>14</v>
      </c>
      <c r="U7" t="n">
        <v>13</v>
      </c>
      <c r="V7" t="n">
        <v>8.1585792896448233</v>
      </c>
    </row>
    <row r="8">
      <c r="A8" s="10" t="s">
        <v>28</v>
      </c>
      <c r="B8" s="10" t="s">
        <v>52</v>
      </c>
      <c r="C8" s="10" t="s">
        <v>53</v>
      </c>
      <c r="D8" s="10"/>
      <c r="E8" s="11" t="n">
        <v>46023</v>
      </c>
      <c r="F8" t="n">
        <v>65236</v>
      </c>
      <c r="H8" t="n">
        <v>7996</v>
      </c>
      <c r="I8" t="n">
        <v>57240</v>
      </c>
      <c r="J8" s="10"/>
      <c r="K8" s="10"/>
      <c r="L8" s="10"/>
      <c r="S8" t="n">
        <v>9</v>
      </c>
      <c r="T8" t="n">
        <v>14</v>
      </c>
      <c r="U8" t="n">
        <v>13</v>
      </c>
      <c r="V8" t="n">
        <v>7.1585792896448224</v>
      </c>
    </row>
    <row r="9">
      <c r="A9" s="10" t="s">
        <v>28</v>
      </c>
      <c r="B9" s="10" t="s">
        <v>52</v>
      </c>
      <c r="C9" s="10" t="s">
        <v>53</v>
      </c>
      <c r="D9" s="10"/>
      <c r="E9" s="11" t="n">
        <v>46054</v>
      </c>
      <c r="F9" t="n">
        <v>57240</v>
      </c>
      <c r="H9" t="n">
        <v>7996</v>
      </c>
      <c r="I9" t="n">
        <v>90206</v>
      </c>
      <c r="J9" s="10" t="s">
        <v>2</v>
      </c>
      <c r="K9" s="10" t="s">
        <v>2</v>
      </c>
      <c r="L9" s="10" t="s">
        <v>4</v>
      </c>
      <c r="M9" t="n">
        <v>40962</v>
      </c>
      <c r="O9" t="n">
        <v>10814</v>
      </c>
      <c r="S9" t="n">
        <v>9</v>
      </c>
      <c r="T9" t="n">
        <v>14</v>
      </c>
      <c r="U9" t="n">
        <v>13</v>
      </c>
      <c r="V9" t="n">
        <v>11.281390695347675</v>
      </c>
    </row>
    <row r="10">
      <c r="A10" s="10" t="s">
        <v>28</v>
      </c>
      <c r="B10" s="10" t="s">
        <v>52</v>
      </c>
      <c r="C10" s="10" t="s">
        <v>53</v>
      </c>
      <c r="D10" s="10"/>
      <c r="E10" s="11" t="n">
        <v>46082</v>
      </c>
      <c r="F10" t="n">
        <v>90206</v>
      </c>
      <c r="H10" t="n">
        <v>7996</v>
      </c>
      <c r="I10" t="n">
        <v>82210</v>
      </c>
      <c r="J10" s="10"/>
      <c r="K10" s="10"/>
      <c r="L10" s="10"/>
      <c r="S10" t="n">
        <v>9</v>
      </c>
      <c r="T10" t="n">
        <v>14</v>
      </c>
      <c r="U10" t="n">
        <v>13</v>
      </c>
      <c r="V10" t="n">
        <v>10.281390695347675</v>
      </c>
    </row>
    <row r="11">
      <c r="A11" s="10" t="s">
        <v>28</v>
      </c>
      <c r="B11" s="10" t="s">
        <v>52</v>
      </c>
      <c r="C11" s="10" t="s">
        <v>53</v>
      </c>
      <c r="D11" s="10"/>
      <c r="E11" s="11" t="n">
        <v>46113</v>
      </c>
      <c r="F11" t="n">
        <v>82210</v>
      </c>
      <c r="H11" t="n">
        <v>7996</v>
      </c>
      <c r="I11" t="n">
        <v>74214</v>
      </c>
      <c r="J11" s="10"/>
      <c r="K11" s="10"/>
      <c r="L11" s="10"/>
      <c r="S11" t="n">
        <v>9</v>
      </c>
      <c r="T11" t="n">
        <v>14</v>
      </c>
      <c r="U11" t="n">
        <v>13</v>
      </c>
      <c r="V11" t="n">
        <v>9.2813906953476746</v>
      </c>
    </row>
    <row r="12">
      <c r="A12" s="10" t="s">
        <v>28</v>
      </c>
      <c r="B12" s="10" t="s">
        <v>52</v>
      </c>
      <c r="C12" s="10" t="s">
        <v>53</v>
      </c>
      <c r="D12" s="10"/>
      <c r="E12" s="11" t="n">
        <v>46143</v>
      </c>
      <c r="F12" t="n">
        <v>74214</v>
      </c>
      <c r="H12" t="n">
        <v>7996</v>
      </c>
      <c r="I12" t="n">
        <v>66218</v>
      </c>
      <c r="J12" s="10"/>
      <c r="K12" s="10"/>
      <c r="L12" s="10"/>
      <c r="S12" t="n">
        <v>9</v>
      </c>
      <c r="T12" t="n">
        <v>14</v>
      </c>
      <c r="U12" t="n">
        <v>13</v>
      </c>
      <c r="V12" t="n">
        <v>8.2813906953476746</v>
      </c>
    </row>
    <row r="13">
      <c r="A13" s="10" t="s">
        <v>28</v>
      </c>
      <c r="B13" s="10" t="s">
        <v>52</v>
      </c>
      <c r="C13" s="10" t="s">
        <v>53</v>
      </c>
      <c r="D13" s="10"/>
      <c r="E13" s="11" t="n">
        <v>46174</v>
      </c>
      <c r="F13" t="n">
        <v>66218</v>
      </c>
      <c r="H13" t="n">
        <v>7996</v>
      </c>
      <c r="I13" t="n">
        <v>58222</v>
      </c>
      <c r="J13" s="10"/>
      <c r="K13" s="10"/>
      <c r="L13" s="10"/>
      <c r="S13" t="n">
        <v>9</v>
      </c>
      <c r="T13" t="n">
        <v>14</v>
      </c>
      <c r="U13" t="n">
        <v>13</v>
      </c>
      <c r="V13" t="n">
        <v>7.2813906953476737</v>
      </c>
    </row>
    <row r="14">
      <c r="A14" s="10" t="s">
        <v>75</v>
      </c>
      <c r="B14" s="10" t="s">
        <v>52</v>
      </c>
      <c r="C14" s="10" t="s">
        <v>53</v>
      </c>
      <c r="D14" s="10" t="s">
        <v>31</v>
      </c>
      <c r="E14" s="11" t="n">
        <v>45748</v>
      </c>
      <c r="F14" t="n">
        <v>105984</v>
      </c>
      <c r="H14" t="n">
        <v>23248</v>
      </c>
      <c r="I14" t="n">
        <v>202736</v>
      </c>
      <c r="J14" s="10"/>
      <c r="K14" s="10"/>
      <c r="L14" s="10" t="s">
        <v>154</v>
      </c>
      <c r="M14" t="n">
        <v>120000</v>
      </c>
      <c r="S14" t="n">
        <v>7</v>
      </c>
      <c r="T14" t="n">
        <v>15</v>
      </c>
      <c r="U14" t="n">
        <v>15</v>
      </c>
      <c r="V14" t="n">
        <v>8.7205781142463863</v>
      </c>
    </row>
    <row r="15">
      <c r="A15" s="10" t="s">
        <v>75</v>
      </c>
      <c r="B15" s="10" t="s">
        <v>52</v>
      </c>
      <c r="C15" s="10" t="s">
        <v>53</v>
      </c>
      <c r="D15" s="10" t="s">
        <v>31</v>
      </c>
      <c r="E15" s="11" t="n">
        <v>45778</v>
      </c>
      <c r="F15" t="n">
        <v>202736</v>
      </c>
      <c r="H15" t="n">
        <v>23999</v>
      </c>
      <c r="I15" t="n">
        <v>178737</v>
      </c>
      <c r="J15" s="10"/>
      <c r="K15" s="10"/>
      <c r="L15" s="10"/>
      <c r="S15" t="n">
        <v>7</v>
      </c>
      <c r="T15" t="n">
        <v>15</v>
      </c>
      <c r="U15" t="n">
        <v>15</v>
      </c>
      <c r="V15" t="n">
        <v>7.4476853202216757</v>
      </c>
    </row>
    <row r="16">
      <c r="A16" s="10" t="s">
        <v>75</v>
      </c>
      <c r="B16" s="10" t="s">
        <v>52</v>
      </c>
      <c r="C16" s="10" t="s">
        <v>53</v>
      </c>
      <c r="D16" s="10" t="s">
        <v>31</v>
      </c>
      <c r="E16" s="11" t="n">
        <v>45809</v>
      </c>
      <c r="F16" t="n">
        <v>178737</v>
      </c>
      <c r="H16" t="n">
        <v>23817</v>
      </c>
      <c r="I16" t="n">
        <v>437520</v>
      </c>
      <c r="J16" s="10"/>
      <c r="K16" s="10"/>
      <c r="L16" s="10" t="s">
        <v>147</v>
      </c>
      <c r="M16" t="n">
        <v>282600</v>
      </c>
      <c r="S16" t="n">
        <v>7</v>
      </c>
      <c r="T16" t="n">
        <v>15</v>
      </c>
      <c r="U16" t="n">
        <v>15</v>
      </c>
      <c r="V16" t="n">
        <v>18.370071797455598</v>
      </c>
    </row>
    <row r="17">
      <c r="A17" s="10" t="s">
        <v>75</v>
      </c>
      <c r="B17" s="10" t="s">
        <v>52</v>
      </c>
      <c r="C17" s="10" t="s">
        <v>53</v>
      </c>
      <c r="D17" s="10" t="s">
        <v>31</v>
      </c>
      <c r="E17" s="11" t="n">
        <v>45839</v>
      </c>
      <c r="F17" t="n">
        <v>437520</v>
      </c>
      <c r="H17" t="n">
        <v>23697</v>
      </c>
      <c r="I17" t="n">
        <v>413823</v>
      </c>
      <c r="J17" s="10"/>
      <c r="K17" s="10"/>
      <c r="L17" s="10"/>
      <c r="S17" t="n">
        <v>7</v>
      </c>
      <c r="T17" t="n">
        <v>15</v>
      </c>
      <c r="U17" t="n">
        <v>15</v>
      </c>
      <c r="V17" t="n">
        <v>17.463096594505632</v>
      </c>
    </row>
    <row r="18">
      <c r="A18" s="10" t="s">
        <v>75</v>
      </c>
      <c r="B18" s="10" t="s">
        <v>52</v>
      </c>
      <c r="C18" s="10" t="s">
        <v>53</v>
      </c>
      <c r="D18" s="10" t="s">
        <v>31</v>
      </c>
      <c r="E18" s="11" t="n">
        <v>45870</v>
      </c>
      <c r="F18" t="n">
        <v>413823</v>
      </c>
      <c r="H18" t="n">
        <v>23562</v>
      </c>
      <c r="I18" t="n">
        <v>390261</v>
      </c>
      <c r="J18" s="10"/>
      <c r="K18" s="10"/>
      <c r="L18" s="10"/>
      <c r="S18" t="n">
        <v>7</v>
      </c>
      <c r="T18" t="n">
        <v>15</v>
      </c>
      <c r="U18" t="n">
        <v>15</v>
      </c>
      <c r="V18" t="n">
        <v>16.563152533740769</v>
      </c>
    </row>
    <row r="19">
      <c r="A19" s="10" t="s">
        <v>75</v>
      </c>
      <c r="B19" s="10" t="s">
        <v>52</v>
      </c>
      <c r="C19" s="10" t="s">
        <v>53</v>
      </c>
      <c r="D19" s="10" t="s">
        <v>31</v>
      </c>
      <c r="E19" s="11" t="n">
        <v>45901</v>
      </c>
      <c r="F19" t="n">
        <v>390261</v>
      </c>
      <c r="H19" t="n">
        <v>23623</v>
      </c>
      <c r="I19" t="n">
        <v>1249538</v>
      </c>
      <c r="J19" s="10"/>
      <c r="K19" s="10"/>
      <c r="L19" s="10" t="s">
        <v>147</v>
      </c>
      <c r="M19" t="n">
        <v>882900</v>
      </c>
      <c r="S19" t="n">
        <v>7</v>
      </c>
      <c r="T19" t="n">
        <v>15</v>
      </c>
      <c r="U19" t="n">
        <v>15</v>
      </c>
      <c r="V19" t="n">
        <v>52.894975235998814</v>
      </c>
    </row>
    <row r="20">
      <c r="A20" s="10" t="s">
        <v>75</v>
      </c>
      <c r="B20" s="10" t="s">
        <v>52</v>
      </c>
      <c r="C20" s="10" t="s">
        <v>53</v>
      </c>
      <c r="D20" s="10" t="s">
        <v>31</v>
      </c>
      <c r="E20" s="11" t="n">
        <v>45931</v>
      </c>
      <c r="F20" t="n">
        <v>1249538</v>
      </c>
      <c r="H20" t="n">
        <v>23658</v>
      </c>
      <c r="I20" t="n">
        <v>1225880</v>
      </c>
      <c r="J20" s="10"/>
      <c r="K20" s="10"/>
      <c r="L20" s="10"/>
      <c r="S20" t="n">
        <v>7</v>
      </c>
      <c r="T20" t="n">
        <v>15</v>
      </c>
      <c r="U20" t="n">
        <v>15</v>
      </c>
      <c r="V20" t="n">
        <v>51.816721616366557</v>
      </c>
    </row>
    <row r="21">
      <c r="A21" s="10" t="s">
        <v>75</v>
      </c>
      <c r="B21" s="10" t="s">
        <v>52</v>
      </c>
      <c r="C21" s="10" t="s">
        <v>53</v>
      </c>
      <c r="D21" s="10" t="s">
        <v>31</v>
      </c>
      <c r="E21" s="11" t="n">
        <v>45962</v>
      </c>
      <c r="F21" t="n">
        <v>1225880</v>
      </c>
      <c r="H21" t="n">
        <v>23726</v>
      </c>
      <c r="I21" t="n">
        <v>1202154</v>
      </c>
      <c r="J21" s="10"/>
      <c r="K21" s="10"/>
      <c r="L21" s="10"/>
      <c r="S21" t="n">
        <v>7</v>
      </c>
      <c r="T21" t="n">
        <v>15</v>
      </c>
      <c r="U21" t="n">
        <v>15</v>
      </c>
      <c r="V21" t="n">
        <v>50.668212088004722</v>
      </c>
    </row>
    <row r="22">
      <c r="A22" s="10" t="s">
        <v>75</v>
      </c>
      <c r="B22" s="10" t="s">
        <v>52</v>
      </c>
      <c r="C22" s="10" t="s">
        <v>53</v>
      </c>
      <c r="D22" s="10" t="s">
        <v>31</v>
      </c>
      <c r="E22" s="11" t="n">
        <v>45992</v>
      </c>
      <c r="F22" t="n">
        <v>1202154</v>
      </c>
      <c r="H22" t="n">
        <v>23680</v>
      </c>
      <c r="I22" t="n">
        <v>1178474</v>
      </c>
      <c r="J22" s="10"/>
      <c r="K22" s="10"/>
      <c r="L22" s="10"/>
      <c r="S22" t="n">
        <v>7</v>
      </c>
      <c r="T22" t="n">
        <v>15</v>
      </c>
      <c r="U22" t="n">
        <v>15</v>
      </c>
      <c r="V22" t="n">
        <v>49.766638513513513</v>
      </c>
    </row>
    <row r="23">
      <c r="A23" s="10" t="s">
        <v>75</v>
      </c>
      <c r="B23" s="10" t="s">
        <v>52</v>
      </c>
      <c r="C23" s="10" t="s">
        <v>53</v>
      </c>
      <c r="D23" s="10" t="s">
        <v>31</v>
      </c>
      <c r="E23" s="11" t="n">
        <v>46023</v>
      </c>
      <c r="F23" t="n">
        <v>1178474</v>
      </c>
      <c r="H23" t="n">
        <v>23658</v>
      </c>
      <c r="I23" t="n">
        <v>1154816</v>
      </c>
      <c r="J23" s="10"/>
      <c r="K23" s="10"/>
      <c r="L23" s="10"/>
      <c r="S23" t="n">
        <v>7</v>
      </c>
      <c r="T23" t="n">
        <v>15</v>
      </c>
      <c r="U23" t="n">
        <v>15</v>
      </c>
      <c r="V23" t="n">
        <v>48.812917406374169</v>
      </c>
    </row>
    <row r="24">
      <c r="A24" s="10" t="s">
        <v>75</v>
      </c>
      <c r="B24" s="10" t="s">
        <v>52</v>
      </c>
      <c r="C24" s="10" t="s">
        <v>53</v>
      </c>
      <c r="D24" s="10" t="s">
        <v>31</v>
      </c>
      <c r="E24" s="11" t="n">
        <v>46054</v>
      </c>
      <c r="F24" t="n">
        <v>1154816</v>
      </c>
      <c r="H24" t="n">
        <v>23651</v>
      </c>
      <c r="I24" t="n">
        <v>1131165</v>
      </c>
      <c r="J24" s="10"/>
      <c r="K24" s="10"/>
      <c r="L24" s="10"/>
      <c r="S24" t="n">
        <v>7</v>
      </c>
      <c r="T24" t="n">
        <v>15</v>
      </c>
      <c r="U24" t="n">
        <v>15</v>
      </c>
      <c r="V24" t="n">
        <v>47.82736459346328</v>
      </c>
    </row>
    <row r="25">
      <c r="A25" s="10" t="s">
        <v>75</v>
      </c>
      <c r="B25" s="10" t="s">
        <v>52</v>
      </c>
      <c r="C25" s="10" t="s">
        <v>53</v>
      </c>
      <c r="D25" s="10" t="s">
        <v>31</v>
      </c>
      <c r="E25" s="11" t="n">
        <v>46082</v>
      </c>
      <c r="F25" t="n">
        <v>1131165</v>
      </c>
      <c r="H25" t="n">
        <v>23666</v>
      </c>
      <c r="I25" t="n">
        <v>1107499</v>
      </c>
      <c r="J25" s="10"/>
      <c r="K25" s="10"/>
      <c r="L25" s="10"/>
      <c r="S25" t="n">
        <v>7</v>
      </c>
      <c r="T25" t="n">
        <v>15</v>
      </c>
      <c r="U25" t="n">
        <v>15</v>
      </c>
      <c r="V25" t="n">
        <v>46.797050621144258</v>
      </c>
    </row>
    <row r="26">
      <c r="A26" s="10" t="s">
        <v>75</v>
      </c>
      <c r="B26" s="10" t="s">
        <v>52</v>
      </c>
      <c r="C26" s="10" t="s">
        <v>53</v>
      </c>
      <c r="D26" s="10" t="s">
        <v>31</v>
      </c>
      <c r="E26" s="11" t="n">
        <v>46113</v>
      </c>
      <c r="F26" t="n">
        <v>1107499</v>
      </c>
      <c r="H26" t="n">
        <v>23673</v>
      </c>
      <c r="I26" t="n">
        <v>1083826</v>
      </c>
      <c r="J26" s="10"/>
      <c r="K26" s="10"/>
      <c r="L26" s="10"/>
      <c r="S26" t="n">
        <v>7</v>
      </c>
      <c r="T26" t="n">
        <v>15</v>
      </c>
      <c r="U26" t="n">
        <v>15</v>
      </c>
      <c r="V26" t="n">
        <v>45.783212943015251</v>
      </c>
    </row>
    <row r="27">
      <c r="A27" s="10" t="s">
        <v>75</v>
      </c>
      <c r="B27" s="10" t="s">
        <v>52</v>
      </c>
      <c r="C27" s="10" t="s">
        <v>53</v>
      </c>
      <c r="D27" s="10" t="s">
        <v>31</v>
      </c>
      <c r="E27" s="11" t="n">
        <v>46143</v>
      </c>
      <c r="F27" t="n">
        <v>1083826</v>
      </c>
      <c r="H27" t="n">
        <v>23676</v>
      </c>
      <c r="I27" t="n">
        <v>1060150</v>
      </c>
      <c r="J27" s="10"/>
      <c r="K27" s="10"/>
      <c r="L27" s="10"/>
      <c r="S27" t="n">
        <v>7</v>
      </c>
      <c r="T27" t="n">
        <v>15</v>
      </c>
      <c r="U27" t="n">
        <v>15</v>
      </c>
      <c r="V27" t="n">
        <v>44.777411724953538</v>
      </c>
    </row>
    <row r="28">
      <c r="A28" s="10" t="s">
        <v>75</v>
      </c>
      <c r="B28" s="10" t="s">
        <v>52</v>
      </c>
      <c r="C28" s="10" t="s">
        <v>53</v>
      </c>
      <c r="D28" s="10" t="s">
        <v>31</v>
      </c>
      <c r="E28" s="11" t="n">
        <v>46174</v>
      </c>
      <c r="F28" t="n">
        <v>1060150</v>
      </c>
      <c r="H28" t="n">
        <v>23667</v>
      </c>
      <c r="I28" t="n">
        <v>1036483</v>
      </c>
      <c r="J28" s="10"/>
      <c r="K28" s="10"/>
      <c r="L28" s="10"/>
      <c r="S28" t="n">
        <v>7</v>
      </c>
      <c r="T28" t="n">
        <v>15</v>
      </c>
      <c r="U28" t="n">
        <v>15</v>
      </c>
      <c r="V28" t="n">
        <v>43.794439514936407</v>
      </c>
    </row>
    <row r="29">
      <c r="A29" s="10" t="s">
        <v>75</v>
      </c>
      <c r="B29" s="10" t="s">
        <v>52</v>
      </c>
      <c r="C29" s="10" t="s">
        <v>53</v>
      </c>
      <c r="D29" s="10" t="s">
        <v>31</v>
      </c>
      <c r="E29" s="11" t="n">
        <v>46204</v>
      </c>
      <c r="F29" t="n">
        <v>1036483</v>
      </c>
      <c r="H29" t="n">
        <v>23665</v>
      </c>
      <c r="I29" t="n">
        <v>1012818</v>
      </c>
      <c r="J29" s="10"/>
      <c r="K29" s="10"/>
      <c r="L29" s="10"/>
      <c r="S29" t="n">
        <v>7</v>
      </c>
      <c r="T29" t="n">
        <v>15</v>
      </c>
      <c r="U29" t="n">
        <v>15</v>
      </c>
      <c r="V29" t="n">
        <v>42.798140714134796</v>
      </c>
    </row>
    <row r="30">
      <c r="A30" s="10" t="s">
        <v>75</v>
      </c>
      <c r="B30" s="10" t="s">
        <v>52</v>
      </c>
      <c r="C30" s="10" t="s">
        <v>53</v>
      </c>
      <c r="D30" s="10" t="s">
        <v>31</v>
      </c>
      <c r="E30" s="11" t="n">
        <v>46235</v>
      </c>
      <c r="F30" t="n">
        <v>1012818</v>
      </c>
      <c r="H30" t="n">
        <v>23666</v>
      </c>
      <c r="I30" t="n">
        <v>989152</v>
      </c>
      <c r="J30" s="10"/>
      <c r="K30" s="10"/>
      <c r="L30" s="10"/>
      <c r="S30" t="n">
        <v>7</v>
      </c>
      <c r="T30" t="n">
        <v>15</v>
      </c>
      <c r="U30" t="n">
        <v>15</v>
      </c>
      <c r="V30" t="n">
        <v>41.796332291050454</v>
      </c>
    </row>
    <row r="31">
      <c r="A31" s="10" t="s">
        <v>75</v>
      </c>
      <c r="B31" s="10" t="s">
        <v>52</v>
      </c>
      <c r="C31" s="10" t="s">
        <v>53</v>
      </c>
      <c r="D31" s="10" t="s">
        <v>31</v>
      </c>
      <c r="E31" s="11" t="n">
        <v>46266</v>
      </c>
      <c r="F31" t="n">
        <v>989152</v>
      </c>
      <c r="H31" t="n">
        <v>23669</v>
      </c>
      <c r="I31" t="n">
        <v>965483</v>
      </c>
      <c r="J31" s="10"/>
      <c r="K31" s="10"/>
      <c r="L31" s="10"/>
      <c r="S31" t="n">
        <v>7</v>
      </c>
      <c r="T31" t="n">
        <v>15</v>
      </c>
      <c r="U31" t="n">
        <v>15</v>
      </c>
      <c r="V31" t="n">
        <v>40.791034686721027</v>
      </c>
    </row>
    <row r="32">
      <c r="A32" s="10" t="s">
        <v>76</v>
      </c>
      <c r="B32" s="10" t="s">
        <v>52</v>
      </c>
      <c r="C32" s="10" t="s">
        <v>53</v>
      </c>
      <c r="D32" s="10" t="s">
        <v>31</v>
      </c>
      <c r="E32" s="11" t="n">
        <v>45748</v>
      </c>
      <c r="F32" t="n">
        <v>307052</v>
      </c>
      <c r="H32" t="n">
        <v>13864</v>
      </c>
      <c r="I32" t="n">
        <v>293188</v>
      </c>
      <c r="J32" s="10"/>
      <c r="K32" s="10"/>
      <c r="L32" s="10"/>
      <c r="S32" t="n">
        <v>3</v>
      </c>
      <c r="T32" t="n">
        <v>6</v>
      </c>
      <c r="U32" t="n">
        <v>6</v>
      </c>
      <c r="V32" t="n">
        <v>21.147432198499711</v>
      </c>
    </row>
    <row r="33">
      <c r="A33" s="10" t="s">
        <v>76</v>
      </c>
      <c r="B33" s="10" t="s">
        <v>52</v>
      </c>
      <c r="C33" s="10" t="s">
        <v>53</v>
      </c>
      <c r="D33" s="10" t="s">
        <v>31</v>
      </c>
      <c r="E33" s="11" t="n">
        <v>45778</v>
      </c>
      <c r="F33" t="n">
        <v>293188</v>
      </c>
      <c r="H33" t="n">
        <v>13864</v>
      </c>
      <c r="I33" t="n">
        <v>279324</v>
      </c>
      <c r="J33" s="10"/>
      <c r="K33" s="10"/>
      <c r="L33" s="10"/>
      <c r="S33" t="n">
        <v>3</v>
      </c>
      <c r="T33" t="n">
        <v>6</v>
      </c>
      <c r="U33" t="n">
        <v>6</v>
      </c>
      <c r="V33" t="n">
        <v>20.147432198499711</v>
      </c>
    </row>
    <row r="34">
      <c r="A34" s="10" t="s">
        <v>76</v>
      </c>
      <c r="B34" s="10" t="s">
        <v>52</v>
      </c>
      <c r="C34" s="10" t="s">
        <v>53</v>
      </c>
      <c r="D34" s="10" t="s">
        <v>31</v>
      </c>
      <c r="E34" s="11" t="n">
        <v>45809</v>
      </c>
      <c r="F34" t="n">
        <v>279324</v>
      </c>
      <c r="H34" t="n">
        <v>13864</v>
      </c>
      <c r="I34" t="n">
        <v>265460</v>
      </c>
      <c r="J34" s="10"/>
      <c r="K34" s="10"/>
      <c r="L34" s="10"/>
      <c r="S34" t="n">
        <v>3</v>
      </c>
      <c r="T34" t="n">
        <v>6</v>
      </c>
      <c r="U34" t="n">
        <v>6</v>
      </c>
      <c r="V34" t="n">
        <v>19.147432198499711</v>
      </c>
    </row>
    <row r="35">
      <c r="A35" s="10" t="s">
        <v>76</v>
      </c>
      <c r="B35" s="10" t="s">
        <v>52</v>
      </c>
      <c r="C35" s="10" t="s">
        <v>53</v>
      </c>
      <c r="D35" s="10" t="s">
        <v>31</v>
      </c>
      <c r="E35" s="11" t="n">
        <v>45839</v>
      </c>
      <c r="F35" t="n">
        <v>265460</v>
      </c>
      <c r="H35" t="n">
        <v>13864</v>
      </c>
      <c r="I35" t="n">
        <v>251596</v>
      </c>
      <c r="J35" s="10"/>
      <c r="K35" s="10"/>
      <c r="L35" s="10"/>
      <c r="S35" t="n">
        <v>3</v>
      </c>
      <c r="T35" t="n">
        <v>6</v>
      </c>
      <c r="U35" t="n">
        <v>6</v>
      </c>
      <c r="V35" t="n">
        <v>18.147432198499711</v>
      </c>
    </row>
    <row r="36">
      <c r="A36" s="10" t="s">
        <v>76</v>
      </c>
      <c r="B36" s="10" t="s">
        <v>52</v>
      </c>
      <c r="C36" s="10" t="s">
        <v>53</v>
      </c>
      <c r="D36" s="10" t="s">
        <v>31</v>
      </c>
      <c r="E36" s="11" t="n">
        <v>45870</v>
      </c>
      <c r="F36" t="n">
        <v>251596</v>
      </c>
      <c r="H36" t="n">
        <v>13864</v>
      </c>
      <c r="I36" t="n">
        <v>237732</v>
      </c>
      <c r="J36" s="10"/>
      <c r="K36" s="10"/>
      <c r="L36" s="10"/>
      <c r="S36" t="n">
        <v>3</v>
      </c>
      <c r="T36" t="n">
        <v>6</v>
      </c>
      <c r="U36" t="n">
        <v>6</v>
      </c>
      <c r="V36" t="n">
        <v>17.147432198499711</v>
      </c>
    </row>
    <row r="37">
      <c r="A37" s="10" t="s">
        <v>76</v>
      </c>
      <c r="B37" s="10" t="s">
        <v>52</v>
      </c>
      <c r="C37" s="10" t="s">
        <v>53</v>
      </c>
      <c r="D37" s="10" t="s">
        <v>31</v>
      </c>
      <c r="E37" s="11" t="n">
        <v>45901</v>
      </c>
      <c r="F37" t="n">
        <v>237732</v>
      </c>
      <c r="H37" t="n">
        <v>13864</v>
      </c>
      <c r="I37" t="n">
        <v>223868</v>
      </c>
      <c r="J37" s="10"/>
      <c r="K37" s="10"/>
      <c r="L37" s="10"/>
      <c r="S37" t="n">
        <v>3</v>
      </c>
      <c r="T37" t="n">
        <v>6</v>
      </c>
      <c r="U37" t="n">
        <v>6</v>
      </c>
      <c r="V37" t="n">
        <v>16.147432198499711</v>
      </c>
    </row>
    <row r="38">
      <c r="A38" s="10" t="s">
        <v>76</v>
      </c>
      <c r="B38" s="10" t="s">
        <v>52</v>
      </c>
      <c r="C38" s="10" t="s">
        <v>53</v>
      </c>
      <c r="D38" s="10" t="s">
        <v>31</v>
      </c>
      <c r="E38" s="11" t="n">
        <v>45931</v>
      </c>
      <c r="F38" t="n">
        <v>223868</v>
      </c>
      <c r="H38" t="n">
        <v>13864</v>
      </c>
      <c r="I38" t="n">
        <v>210004</v>
      </c>
      <c r="J38" s="10"/>
      <c r="K38" s="10"/>
      <c r="L38" s="10"/>
      <c r="S38" t="n">
        <v>3</v>
      </c>
      <c r="T38" t="n">
        <v>6</v>
      </c>
      <c r="U38" t="n">
        <v>6</v>
      </c>
      <c r="V38" t="n">
        <v>15.147432198499711</v>
      </c>
    </row>
    <row r="39">
      <c r="A39" s="10" t="s">
        <v>76</v>
      </c>
      <c r="B39" s="10" t="s">
        <v>52</v>
      </c>
      <c r="C39" s="10" t="s">
        <v>53</v>
      </c>
      <c r="D39" s="10" t="s">
        <v>31</v>
      </c>
      <c r="E39" s="11" t="n">
        <v>45962</v>
      </c>
      <c r="F39" t="n">
        <v>210004</v>
      </c>
      <c r="H39" t="n">
        <v>13864</v>
      </c>
      <c r="I39" t="n">
        <v>196140</v>
      </c>
      <c r="J39" s="10"/>
      <c r="K39" s="10"/>
      <c r="L39" s="10"/>
      <c r="S39" t="n">
        <v>3</v>
      </c>
      <c r="T39" t="n">
        <v>6</v>
      </c>
      <c r="U39" t="n">
        <v>6</v>
      </c>
      <c r="V39" t="n">
        <v>14.147432198499711</v>
      </c>
    </row>
    <row r="40">
      <c r="A40" s="10" t="s">
        <v>76</v>
      </c>
      <c r="B40" s="10" t="s">
        <v>52</v>
      </c>
      <c r="C40" s="10" t="s">
        <v>53</v>
      </c>
      <c r="D40" s="10" t="s">
        <v>31</v>
      </c>
      <c r="E40" s="11" t="n">
        <v>45992</v>
      </c>
      <c r="F40" t="n">
        <v>196140</v>
      </c>
      <c r="H40" t="n">
        <v>13864</v>
      </c>
      <c r="I40" t="n">
        <v>182276</v>
      </c>
      <c r="J40" s="10"/>
      <c r="K40" s="10"/>
      <c r="L40" s="10"/>
      <c r="S40" t="n">
        <v>3</v>
      </c>
      <c r="T40" t="n">
        <v>6</v>
      </c>
      <c r="U40" t="n">
        <v>6</v>
      </c>
      <c r="V40" t="n">
        <v>13.147432198499711</v>
      </c>
    </row>
    <row r="41">
      <c r="A41" s="10" t="s">
        <v>76</v>
      </c>
      <c r="B41" s="10" t="s">
        <v>52</v>
      </c>
      <c r="C41" s="10" t="s">
        <v>53</v>
      </c>
      <c r="D41" s="10" t="s">
        <v>31</v>
      </c>
      <c r="E41" s="11" t="n">
        <v>46023</v>
      </c>
      <c r="F41" t="n">
        <v>182276</v>
      </c>
      <c r="H41" t="n">
        <v>7742</v>
      </c>
      <c r="I41" t="n">
        <v>174534</v>
      </c>
      <c r="J41" s="10"/>
      <c r="K41" s="10"/>
      <c r="L41" s="10"/>
      <c r="S41" t="n">
        <v>3</v>
      </c>
      <c r="T41" t="n">
        <v>6</v>
      </c>
      <c r="U41" t="n">
        <v>6</v>
      </c>
      <c r="V41" t="n">
        <v>22.543787135107209</v>
      </c>
    </row>
    <row r="42">
      <c r="A42" s="10" t="s">
        <v>76</v>
      </c>
      <c r="B42" s="10" t="s">
        <v>52</v>
      </c>
      <c r="C42" s="10" t="s">
        <v>53</v>
      </c>
      <c r="D42" s="10" t="s">
        <v>31</v>
      </c>
      <c r="E42" s="11" t="n">
        <v>46054</v>
      </c>
      <c r="F42" t="n">
        <v>174534</v>
      </c>
      <c r="H42" t="n">
        <v>7742</v>
      </c>
      <c r="I42" t="n">
        <v>166792</v>
      </c>
      <c r="J42" s="10"/>
      <c r="K42" s="10"/>
      <c r="L42" s="10"/>
      <c r="S42" t="n">
        <v>3</v>
      </c>
      <c r="T42" t="n">
        <v>6</v>
      </c>
      <c r="U42" t="n">
        <v>6</v>
      </c>
      <c r="V42" t="n">
        <v>21.543787135107209</v>
      </c>
    </row>
    <row r="43">
      <c r="A43" s="10" t="s">
        <v>76</v>
      </c>
      <c r="B43" s="10" t="s">
        <v>52</v>
      </c>
      <c r="C43" s="10" t="s">
        <v>53</v>
      </c>
      <c r="D43" s="10" t="s">
        <v>31</v>
      </c>
      <c r="E43" s="11" t="n">
        <v>46082</v>
      </c>
      <c r="F43" t="n">
        <v>166792</v>
      </c>
      <c r="H43" t="n">
        <v>7742</v>
      </c>
      <c r="I43" t="n">
        <v>159050</v>
      </c>
      <c r="J43" s="10"/>
      <c r="K43" s="10"/>
      <c r="L43" s="10"/>
      <c r="S43" t="n">
        <v>3</v>
      </c>
      <c r="T43" t="n">
        <v>6</v>
      </c>
      <c r="U43" t="n">
        <v>6</v>
      </c>
      <c r="V43" t="n">
        <v>20.543787135107209</v>
      </c>
    </row>
    <row r="44">
      <c r="A44" s="10" t="s">
        <v>76</v>
      </c>
      <c r="B44" s="10" t="s">
        <v>52</v>
      </c>
      <c r="C44" s="10" t="s">
        <v>53</v>
      </c>
      <c r="D44" s="10" t="s">
        <v>31</v>
      </c>
      <c r="E44" s="11" t="n">
        <v>46113</v>
      </c>
      <c r="F44" t="n">
        <v>159050</v>
      </c>
      <c r="H44" t="n">
        <v>7742</v>
      </c>
      <c r="I44" t="n">
        <v>151308</v>
      </c>
      <c r="J44" s="10"/>
      <c r="K44" s="10"/>
      <c r="L44" s="10"/>
      <c r="S44" t="n">
        <v>3</v>
      </c>
      <c r="T44" t="n">
        <v>6</v>
      </c>
      <c r="U44" t="n">
        <v>6</v>
      </c>
      <c r="V44" t="n">
        <v>19.543787135107209</v>
      </c>
    </row>
    <row r="45">
      <c r="A45" s="10" t="s">
        <v>76</v>
      </c>
      <c r="B45" s="10" t="s">
        <v>52</v>
      </c>
      <c r="C45" s="10" t="s">
        <v>53</v>
      </c>
      <c r="D45" s="10" t="s">
        <v>31</v>
      </c>
      <c r="E45" s="11" t="n">
        <v>46143</v>
      </c>
      <c r="F45" t="n">
        <v>151308</v>
      </c>
      <c r="H45" t="n">
        <v>7742</v>
      </c>
      <c r="I45" t="n">
        <v>143566</v>
      </c>
      <c r="J45" s="10"/>
      <c r="K45" s="10"/>
      <c r="L45" s="10"/>
      <c r="S45" t="n">
        <v>3</v>
      </c>
      <c r="T45" t="n">
        <v>6</v>
      </c>
      <c r="U45" t="n">
        <v>6</v>
      </c>
      <c r="V45" t="n">
        <v>18.543787135107209</v>
      </c>
    </row>
    <row r="46">
      <c r="A46" s="10" t="s">
        <v>76</v>
      </c>
      <c r="B46" s="10" t="s">
        <v>52</v>
      </c>
      <c r="C46" s="10" t="s">
        <v>53</v>
      </c>
      <c r="D46" s="10" t="s">
        <v>31</v>
      </c>
      <c r="E46" s="11" t="n">
        <v>46174</v>
      </c>
      <c r="F46" t="n">
        <v>143566</v>
      </c>
      <c r="H46" t="n">
        <v>7742</v>
      </c>
      <c r="I46" t="n">
        <v>135824</v>
      </c>
      <c r="J46" s="10"/>
      <c r="K46" s="10"/>
      <c r="L46" s="10"/>
      <c r="S46" t="n">
        <v>3</v>
      </c>
      <c r="T46" t="n">
        <v>6</v>
      </c>
      <c r="U46" t="n">
        <v>6</v>
      </c>
      <c r="V46" t="n">
        <v>17.543787135107209</v>
      </c>
    </row>
    <row r="47">
      <c r="A47" s="10" t="s">
        <v>76</v>
      </c>
      <c r="B47" s="10" t="s">
        <v>52</v>
      </c>
      <c r="C47" s="10" t="s">
        <v>53</v>
      </c>
      <c r="D47" s="10" t="s">
        <v>31</v>
      </c>
      <c r="E47" s="11" t="n">
        <v>46204</v>
      </c>
      <c r="F47" t="n">
        <v>135824</v>
      </c>
      <c r="H47" t="n">
        <v>7742</v>
      </c>
      <c r="I47" t="n">
        <v>128082</v>
      </c>
      <c r="J47" s="10"/>
      <c r="K47" s="10"/>
      <c r="L47" s="10"/>
      <c r="S47" t="n">
        <v>3</v>
      </c>
      <c r="T47" t="n">
        <v>6</v>
      </c>
      <c r="U47" t="n">
        <v>6</v>
      </c>
      <c r="V47" t="n">
        <v>16.543787135107209</v>
      </c>
    </row>
    <row r="48">
      <c r="A48" s="10" t="s">
        <v>76</v>
      </c>
      <c r="B48" s="10" t="s">
        <v>52</v>
      </c>
      <c r="C48" s="10" t="s">
        <v>53</v>
      </c>
      <c r="D48" s="10" t="s">
        <v>31</v>
      </c>
      <c r="E48" s="11" t="n">
        <v>46235</v>
      </c>
      <c r="F48" t="n">
        <v>128082</v>
      </c>
      <c r="H48" t="n">
        <v>7742</v>
      </c>
      <c r="I48" t="n">
        <v>120340</v>
      </c>
      <c r="J48" s="10"/>
      <c r="K48" s="10"/>
      <c r="L48" s="10"/>
      <c r="S48" t="n">
        <v>3</v>
      </c>
      <c r="T48" t="n">
        <v>6</v>
      </c>
      <c r="U48" t="n">
        <v>6</v>
      </c>
      <c r="V48" t="n">
        <v>15.543787135107207</v>
      </c>
    </row>
    <row r="49">
      <c r="A49" s="10" t="s">
        <v>76</v>
      </c>
      <c r="B49" s="10" t="s">
        <v>52</v>
      </c>
      <c r="C49" s="10" t="s">
        <v>53</v>
      </c>
      <c r="D49" s="10" t="s">
        <v>31</v>
      </c>
      <c r="E49" s="11" t="n">
        <v>46266</v>
      </c>
      <c r="F49" t="n">
        <v>120340</v>
      </c>
      <c r="H49" t="n">
        <v>7742</v>
      </c>
      <c r="I49" t="n">
        <v>112598</v>
      </c>
      <c r="J49" s="10"/>
      <c r="K49" s="10"/>
      <c r="L49" s="10"/>
      <c r="S49" t="n">
        <v>3</v>
      </c>
      <c r="T49" t="n">
        <v>6</v>
      </c>
      <c r="U49" t="n">
        <v>6</v>
      </c>
      <c r="V49" t="n">
        <v>14.543787135107207</v>
      </c>
    </row>
    <row r="50">
      <c r="A50" s="10" t="s">
        <v>76</v>
      </c>
      <c r="B50" s="10" t="s">
        <v>52</v>
      </c>
      <c r="C50" s="10" t="s">
        <v>53</v>
      </c>
      <c r="D50" s="10" t="s">
        <v>31</v>
      </c>
      <c r="E50" s="11" t="n">
        <v>46296</v>
      </c>
      <c r="F50" t="n">
        <v>112598</v>
      </c>
      <c r="H50" t="n">
        <v>7742</v>
      </c>
      <c r="I50" t="n">
        <v>104856</v>
      </c>
      <c r="J50" s="10"/>
      <c r="K50" s="10"/>
      <c r="L50" s="10"/>
      <c r="S50" t="n">
        <v>3</v>
      </c>
      <c r="T50" t="n">
        <v>6</v>
      </c>
      <c r="U50" t="n">
        <v>6</v>
      </c>
      <c r="V50" t="n">
        <v>13.543787135107207</v>
      </c>
    </row>
    <row r="51">
      <c r="A51" s="10" t="s">
        <v>76</v>
      </c>
      <c r="B51" s="10" t="s">
        <v>52</v>
      </c>
      <c r="C51" s="10" t="s">
        <v>53</v>
      </c>
      <c r="D51" s="10" t="s">
        <v>31</v>
      </c>
      <c r="E51" s="11" t="n">
        <v>46327</v>
      </c>
      <c r="F51" t="n">
        <v>104856</v>
      </c>
      <c r="H51" t="n">
        <v>7742</v>
      </c>
      <c r="I51" t="n">
        <v>97114</v>
      </c>
      <c r="J51" s="10"/>
      <c r="K51" s="10"/>
      <c r="L51" s="10"/>
      <c r="S51" t="n">
        <v>3</v>
      </c>
      <c r="T51" t="n">
        <v>6</v>
      </c>
      <c r="U51" t="n">
        <v>6</v>
      </c>
      <c r="V51" t="n">
        <v>12.543787135107207</v>
      </c>
    </row>
    <row r="52">
      <c r="A52" s="10" t="s">
        <v>76</v>
      </c>
      <c r="B52" s="10" t="s">
        <v>52</v>
      </c>
      <c r="C52" s="10" t="s">
        <v>53</v>
      </c>
      <c r="D52" s="10" t="s">
        <v>31</v>
      </c>
      <c r="E52" s="11" t="n">
        <v>46357</v>
      </c>
      <c r="F52" t="n">
        <v>97114</v>
      </c>
      <c r="H52" t="n">
        <v>7742</v>
      </c>
      <c r="I52" t="n">
        <v>89372</v>
      </c>
      <c r="J52" s="10"/>
      <c r="K52" s="10"/>
      <c r="L52" s="10"/>
      <c r="S52" t="n">
        <v>3</v>
      </c>
      <c r="T52" t="n">
        <v>6</v>
      </c>
      <c r="U52" t="n">
        <v>6</v>
      </c>
      <c r="V52" t="n">
        <v>11.543787135107207</v>
      </c>
    </row>
    <row r="53">
      <c r="A53" s="10" t="s">
        <v>74</v>
      </c>
      <c r="B53" s="10" t="s">
        <v>52</v>
      </c>
      <c r="C53" s="10" t="s">
        <v>53</v>
      </c>
      <c r="D53" s="10" t="s">
        <v>31</v>
      </c>
      <c r="E53" s="11" t="n">
        <v>45870</v>
      </c>
      <c r="F53" t="n">
        <v>165698</v>
      </c>
      <c r="G53" t="n">
        <v>12422</v>
      </c>
      <c r="H53" t="n">
        <v>21500</v>
      </c>
      <c r="I53" t="n">
        <v>144198</v>
      </c>
      <c r="J53" s="10"/>
      <c r="K53" s="10"/>
      <c r="L53" s="10"/>
      <c r="S53" t="n">
        <v>3</v>
      </c>
      <c r="T53" t="n">
        <v>6</v>
      </c>
      <c r="U53" t="n">
        <v>6</v>
      </c>
      <c r="V53" t="n">
        <v>6.7068837209302323</v>
      </c>
    </row>
    <row r="54">
      <c r="A54" s="10" t="s">
        <v>74</v>
      </c>
      <c r="B54" s="10" t="s">
        <v>52</v>
      </c>
      <c r="C54" s="10" t="s">
        <v>53</v>
      </c>
      <c r="D54" s="10" t="s">
        <v>31</v>
      </c>
      <c r="E54" s="11" t="n">
        <v>45901</v>
      </c>
      <c r="F54" t="n">
        <v>144198</v>
      </c>
      <c r="H54" t="n">
        <v>21500</v>
      </c>
      <c r="I54" t="n">
        <v>122698</v>
      </c>
      <c r="J54" s="10"/>
      <c r="K54" s="10"/>
      <c r="L54" s="10"/>
      <c r="S54" t="n">
        <v>3</v>
      </c>
      <c r="T54" t="n">
        <v>6</v>
      </c>
      <c r="U54" t="n">
        <v>6</v>
      </c>
      <c r="V54" t="n">
        <v>5.7068837209302323</v>
      </c>
    </row>
    <row r="55">
      <c r="A55" s="10" t="s">
        <v>74</v>
      </c>
      <c r="B55" s="10" t="s">
        <v>52</v>
      </c>
      <c r="C55" s="10" t="s">
        <v>53</v>
      </c>
      <c r="D55" s="10" t="s">
        <v>31</v>
      </c>
      <c r="E55" s="11" t="n">
        <v>45931</v>
      </c>
      <c r="F55" t="n">
        <v>122698</v>
      </c>
      <c r="H55" t="n">
        <v>21500</v>
      </c>
      <c r="I55" t="n">
        <v>101198</v>
      </c>
      <c r="J55" s="10"/>
      <c r="K55" s="10"/>
      <c r="L55" s="10"/>
      <c r="S55" t="n">
        <v>3</v>
      </c>
      <c r="T55" t="n">
        <v>6</v>
      </c>
      <c r="U55" t="n">
        <v>6</v>
      </c>
      <c r="V55" t="n">
        <v>4.7068837209302323</v>
      </c>
    </row>
    <row r="56">
      <c r="A56" s="10" t="s">
        <v>74</v>
      </c>
      <c r="B56" s="10" t="s">
        <v>52</v>
      </c>
      <c r="C56" s="10" t="s">
        <v>53</v>
      </c>
      <c r="D56" s="10" t="s">
        <v>31</v>
      </c>
      <c r="E56" s="11" t="n">
        <v>45962</v>
      </c>
      <c r="F56" t="n">
        <v>101198</v>
      </c>
      <c r="H56" t="n">
        <v>21500</v>
      </c>
      <c r="I56" t="n">
        <v>79698</v>
      </c>
      <c r="J56" s="10"/>
      <c r="K56" s="10"/>
      <c r="L56" s="10"/>
      <c r="S56" t="n">
        <v>3</v>
      </c>
      <c r="T56" t="n">
        <v>6</v>
      </c>
      <c r="U56" t="n">
        <v>6</v>
      </c>
      <c r="V56" t="n">
        <v>3.7068837209302328</v>
      </c>
    </row>
    <row r="57">
      <c r="A57" s="10" t="s">
        <v>74</v>
      </c>
      <c r="B57" s="10" t="s">
        <v>52</v>
      </c>
      <c r="C57" s="10" t="s">
        <v>53</v>
      </c>
      <c r="D57" s="10" t="s">
        <v>31</v>
      </c>
      <c r="E57" s="11" t="n">
        <v>45992</v>
      </c>
      <c r="F57" t="n">
        <v>79698</v>
      </c>
      <c r="H57" t="n">
        <v>21500</v>
      </c>
      <c r="I57" t="n">
        <v>58198</v>
      </c>
      <c r="J57" s="10"/>
      <c r="K57" s="10"/>
      <c r="L57" s="10"/>
      <c r="S57" t="n">
        <v>3</v>
      </c>
      <c r="T57" t="n">
        <v>6</v>
      </c>
      <c r="U57" t="n">
        <v>6</v>
      </c>
      <c r="V57" t="n">
        <v>2.7068837209302328</v>
      </c>
    </row>
    <row r="58">
      <c r="A58" s="10" t="s">
        <v>74</v>
      </c>
      <c r="B58" s="10" t="s">
        <v>52</v>
      </c>
      <c r="C58" s="10" t="s">
        <v>53</v>
      </c>
      <c r="D58" s="10" t="s">
        <v>31</v>
      </c>
      <c r="E58" s="11" t="n">
        <v>46023</v>
      </c>
      <c r="F58" t="n">
        <v>58198</v>
      </c>
      <c r="H58" t="n">
        <v>21500</v>
      </c>
      <c r="I58" t="n">
        <v>36698</v>
      </c>
      <c r="J58" s="10"/>
      <c r="K58" s="10"/>
      <c r="L58" s="10"/>
      <c r="S58" t="n">
        <v>3</v>
      </c>
      <c r="T58" t="n">
        <v>6</v>
      </c>
      <c r="U58" t="n">
        <v>6</v>
      </c>
      <c r="V58" t="n">
        <v>1.7068837209302326</v>
      </c>
    </row>
    <row r="59">
      <c r="A59" s="10" t="s">
        <v>74</v>
      </c>
      <c r="B59" s="10" t="s">
        <v>52</v>
      </c>
      <c r="C59" s="10" t="s">
        <v>53</v>
      </c>
      <c r="D59" s="10" t="s">
        <v>31</v>
      </c>
      <c r="E59" s="11" t="n">
        <v>46054</v>
      </c>
      <c r="F59" t="n">
        <v>36698</v>
      </c>
      <c r="H59" t="n">
        <v>21500</v>
      </c>
      <c r="I59" t="n">
        <v>15198</v>
      </c>
      <c r="J59" s="10"/>
      <c r="K59" s="10"/>
      <c r="L59" s="10"/>
      <c r="S59" t="n">
        <v>3</v>
      </c>
      <c r="T59" t="n">
        <v>6</v>
      </c>
      <c r="U59" t="n">
        <v>6</v>
      </c>
      <c r="V59" t="n">
        <v>0.70688372093023255</v>
      </c>
    </row>
    <row r="60">
      <c r="A60" s="10" t="s">
        <v>74</v>
      </c>
      <c r="B60" s="10" t="s">
        <v>52</v>
      </c>
      <c r="C60" s="10" t="s">
        <v>53</v>
      </c>
      <c r="D60" s="10" t="s">
        <v>31</v>
      </c>
      <c r="E60" s="11" t="n">
        <v>46082</v>
      </c>
      <c r="F60" t="n">
        <v>15198</v>
      </c>
      <c r="H60" t="n">
        <v>21500</v>
      </c>
      <c r="I60" t="n">
        <v>0</v>
      </c>
      <c r="J60" s="10"/>
      <c r="K60" s="10"/>
      <c r="L60" s="10"/>
      <c r="S60" t="n">
        <v>3</v>
      </c>
      <c r="T60" t="n">
        <v>6</v>
      </c>
      <c r="U60" t="n">
        <v>6</v>
      </c>
      <c r="V60" t="n">
        <v>0</v>
      </c>
    </row>
    <row r="61">
      <c r="A61" s="10" t="s">
        <v>74</v>
      </c>
      <c r="B61" s="10" t="s">
        <v>52</v>
      </c>
      <c r="C61" s="10" t="s">
        <v>53</v>
      </c>
      <c r="D61" s="10" t="s">
        <v>31</v>
      </c>
      <c r="E61" s="11" t="n">
        <v>46113</v>
      </c>
      <c r="F61" t="n">
        <v>0</v>
      </c>
      <c r="H61" t="n">
        <v>21500</v>
      </c>
      <c r="I61" t="n">
        <v>0</v>
      </c>
      <c r="J61" s="10"/>
      <c r="K61" s="10"/>
      <c r="L61" s="10"/>
      <c r="S61" t="n">
        <v>3</v>
      </c>
      <c r="T61" t="n">
        <v>6</v>
      </c>
      <c r="U61" t="n">
        <v>6</v>
      </c>
      <c r="V61" t="n">
        <v>0</v>
      </c>
    </row>
    <row r="62">
      <c r="A62" s="10" t="s">
        <v>74</v>
      </c>
      <c r="B62" s="10" t="s">
        <v>52</v>
      </c>
      <c r="C62" s="10" t="s">
        <v>53</v>
      </c>
      <c r="D62" s="10" t="s">
        <v>31</v>
      </c>
      <c r="E62" s="11" t="n">
        <v>46143</v>
      </c>
      <c r="F62" t="n">
        <v>0</v>
      </c>
      <c r="H62" t="n">
        <v>21500</v>
      </c>
      <c r="I62" t="n">
        <v>24829</v>
      </c>
      <c r="J62" s="10" t="s">
        <v>2</v>
      </c>
      <c r="K62" s="10" t="s">
        <v>2</v>
      </c>
      <c r="L62" s="10" t="s">
        <v>4</v>
      </c>
      <c r="M62" t="n">
        <v>46329</v>
      </c>
      <c r="S62" t="n">
        <v>3</v>
      </c>
      <c r="T62" t="n">
        <v>6</v>
      </c>
      <c r="U62" t="n">
        <v>6</v>
      </c>
      <c r="V62" t="n">
        <v>1.1548372093023256</v>
      </c>
    </row>
    <row r="63">
      <c r="A63" s="10" t="s">
        <v>74</v>
      </c>
      <c r="B63" s="10" t="s">
        <v>52</v>
      </c>
      <c r="C63" s="10" t="s">
        <v>53</v>
      </c>
      <c r="D63" s="10" t="s">
        <v>31</v>
      </c>
      <c r="E63" s="11" t="n">
        <v>46174</v>
      </c>
      <c r="F63" t="n">
        <v>24829</v>
      </c>
      <c r="H63" t="n">
        <v>21500</v>
      </c>
      <c r="I63" t="n">
        <v>34665</v>
      </c>
      <c r="J63" s="10" t="s">
        <v>2</v>
      </c>
      <c r="K63" s="10" t="s">
        <v>2</v>
      </c>
      <c r="L63" s="10" t="s">
        <v>4</v>
      </c>
      <c r="M63" t="n">
        <v>31336</v>
      </c>
      <c r="S63" t="n">
        <v>3</v>
      </c>
      <c r="T63" t="n">
        <v>6</v>
      </c>
      <c r="U63" t="n">
        <v>6</v>
      </c>
      <c r="V63" t="n">
        <v>1.6123255813953488</v>
      </c>
    </row>
    <row r="64">
      <c r="A64" s="10" t="s">
        <v>74</v>
      </c>
      <c r="B64" s="10" t="s">
        <v>52</v>
      </c>
      <c r="C64" s="10" t="s">
        <v>53</v>
      </c>
      <c r="D64" s="10" t="s">
        <v>31</v>
      </c>
      <c r="E64" s="11" t="n">
        <v>46204</v>
      </c>
      <c r="F64" t="n">
        <v>34665</v>
      </c>
      <c r="H64" t="n">
        <v>21500</v>
      </c>
      <c r="I64" t="n">
        <v>13165</v>
      </c>
      <c r="J64" s="10"/>
      <c r="K64" s="10"/>
      <c r="L64" s="10"/>
      <c r="S64" t="n">
        <v>3</v>
      </c>
      <c r="T64" t="n">
        <v>6</v>
      </c>
      <c r="U64" t="n">
        <v>6</v>
      </c>
      <c r="V64" t="n">
        <v>0.61232558139534887</v>
      </c>
    </row>
    <row r="65">
      <c r="A65" s="10" t="s">
        <v>74</v>
      </c>
      <c r="B65" s="10" t="s">
        <v>52</v>
      </c>
      <c r="C65" s="10" t="s">
        <v>53</v>
      </c>
      <c r="D65" s="10" t="s">
        <v>31</v>
      </c>
      <c r="E65" s="11" t="n">
        <v>46235</v>
      </c>
      <c r="F65" t="n">
        <v>13165</v>
      </c>
      <c r="H65" t="n">
        <v>21500</v>
      </c>
      <c r="I65" t="n">
        <v>0</v>
      </c>
      <c r="J65" s="10"/>
      <c r="K65" s="10"/>
      <c r="L65" s="10"/>
      <c r="S65" t="n">
        <v>3</v>
      </c>
      <c r="T65" t="n">
        <v>6</v>
      </c>
      <c r="U65" t="n">
        <v>6</v>
      </c>
      <c r="V65" t="n">
        <v>0</v>
      </c>
    </row>
    <row r="66">
      <c r="A66" s="10" t="s">
        <v>165</v>
      </c>
      <c r="B66" s="10" t="s">
        <v>52</v>
      </c>
      <c r="C66" s="10" t="s">
        <v>53</v>
      </c>
      <c r="D66" s="10" t="s">
        <v>31</v>
      </c>
      <c r="E66" s="11" t="n">
        <v>45658</v>
      </c>
      <c r="H66" t="n">
        <v>483</v>
      </c>
      <c r="I66" t="n">
        <v>0</v>
      </c>
      <c r="J66" s="10"/>
      <c r="K66" s="10"/>
      <c r="L66" s="10"/>
      <c r="V66" t="n">
        <v>0</v>
      </c>
    </row>
    <row r="67">
      <c r="A67" s="10" t="s">
        <v>165</v>
      </c>
      <c r="B67" s="10" t="s">
        <v>52</v>
      </c>
      <c r="C67" s="10" t="s">
        <v>53</v>
      </c>
      <c r="D67" s="10" t="s">
        <v>31</v>
      </c>
      <c r="E67" s="11" t="n">
        <v>45689</v>
      </c>
      <c r="H67" t="n">
        <v>483</v>
      </c>
      <c r="I67" t="n">
        <v>0</v>
      </c>
      <c r="J67" s="10"/>
      <c r="K67" s="10"/>
      <c r="L67" s="10"/>
      <c r="V67" t="n">
        <v>0</v>
      </c>
    </row>
    <row r="68">
      <c r="A68" s="10" t="s">
        <v>165</v>
      </c>
      <c r="B68" s="10" t="s">
        <v>52</v>
      </c>
      <c r="C68" s="10" t="s">
        <v>53</v>
      </c>
      <c r="D68" s="10" t="s">
        <v>31</v>
      </c>
      <c r="E68" s="11" t="n">
        <v>45717</v>
      </c>
      <c r="H68" t="n">
        <v>483</v>
      </c>
      <c r="I68" t="n">
        <v>0</v>
      </c>
      <c r="J68" s="10"/>
      <c r="K68" s="10"/>
      <c r="L68" s="10"/>
      <c r="V68" t="n">
        <v>0</v>
      </c>
    </row>
    <row r="69">
      <c r="A69" s="10" t="s">
        <v>165</v>
      </c>
      <c r="B69" s="10" t="s">
        <v>52</v>
      </c>
      <c r="C69" s="10" t="s">
        <v>53</v>
      </c>
      <c r="D69" s="10" t="s">
        <v>31</v>
      </c>
      <c r="E69" s="11" t="n">
        <v>45748</v>
      </c>
      <c r="H69" t="n">
        <v>483</v>
      </c>
      <c r="I69" t="n">
        <v>0</v>
      </c>
      <c r="J69" s="10"/>
      <c r="K69" s="10"/>
      <c r="L69" s="10"/>
      <c r="V69" t="n">
        <v>0</v>
      </c>
    </row>
    <row r="70">
      <c r="A70" s="10" t="s">
        <v>165</v>
      </c>
      <c r="B70" s="10" t="s">
        <v>52</v>
      </c>
      <c r="C70" s="10" t="s">
        <v>53</v>
      </c>
      <c r="D70" s="10" t="s">
        <v>31</v>
      </c>
      <c r="E70" s="11" t="n">
        <v>45778</v>
      </c>
      <c r="H70" t="n">
        <v>483</v>
      </c>
      <c r="I70" t="n">
        <v>0</v>
      </c>
      <c r="J70" s="10"/>
      <c r="K70" s="10"/>
      <c r="L70" s="10"/>
      <c r="V70" t="n">
        <v>0</v>
      </c>
    </row>
    <row r="71">
      <c r="A71" s="10" t="s">
        <v>165</v>
      </c>
      <c r="B71" s="10" t="s">
        <v>52</v>
      </c>
      <c r="C71" s="10" t="s">
        <v>53</v>
      </c>
      <c r="D71" s="10" t="s">
        <v>31</v>
      </c>
      <c r="E71" s="11" t="n">
        <v>45809</v>
      </c>
      <c r="H71" t="n">
        <v>483</v>
      </c>
      <c r="I71" t="n">
        <v>0</v>
      </c>
      <c r="J71" s="10"/>
      <c r="K71" s="10"/>
      <c r="L71" s="10"/>
      <c r="V71" t="n">
        <v>0</v>
      </c>
    </row>
    <row r="72">
      <c r="A72" s="10" t="s">
        <v>165</v>
      </c>
      <c r="B72" s="10" t="s">
        <v>52</v>
      </c>
      <c r="C72" s="10" t="s">
        <v>53</v>
      </c>
      <c r="D72" s="10" t="s">
        <v>31</v>
      </c>
      <c r="E72" s="11" t="n">
        <v>45839</v>
      </c>
      <c r="H72" t="n">
        <v>483</v>
      </c>
      <c r="I72" t="n">
        <v>0</v>
      </c>
      <c r="J72" s="10"/>
      <c r="K72" s="10"/>
      <c r="L72" s="10"/>
      <c r="V72" t="n">
        <v>0</v>
      </c>
    </row>
    <row r="73">
      <c r="A73" s="10" t="s">
        <v>165</v>
      </c>
      <c r="B73" s="10" t="s">
        <v>52</v>
      </c>
      <c r="C73" s="10" t="s">
        <v>53</v>
      </c>
      <c r="D73" s="10" t="s">
        <v>31</v>
      </c>
      <c r="E73" s="11" t="n">
        <v>45870</v>
      </c>
      <c r="H73" t="n">
        <v>483</v>
      </c>
      <c r="I73" t="n">
        <v>0</v>
      </c>
      <c r="J73" s="10"/>
      <c r="K73" s="10"/>
      <c r="L73" s="10"/>
      <c r="V73" t="n">
        <v>0</v>
      </c>
    </row>
    <row r="74">
      <c r="A74" s="10" t="s">
        <v>165</v>
      </c>
      <c r="B74" s="10" t="s">
        <v>52</v>
      </c>
      <c r="C74" s="10" t="s">
        <v>53</v>
      </c>
      <c r="D74" s="10" t="s">
        <v>31</v>
      </c>
      <c r="E74" s="11" t="n">
        <v>45901</v>
      </c>
      <c r="H74" t="n">
        <v>483</v>
      </c>
      <c r="I74" t="n">
        <v>0</v>
      </c>
      <c r="J74" s="10"/>
      <c r="K74" s="10"/>
      <c r="L74" s="10"/>
      <c r="V74" t="n">
        <v>0</v>
      </c>
    </row>
    <row r="75">
      <c r="A75" s="10" t="s">
        <v>165</v>
      </c>
      <c r="B75" s="10" t="s">
        <v>52</v>
      </c>
      <c r="C75" s="10" t="s">
        <v>53</v>
      </c>
      <c r="D75" s="10" t="s">
        <v>31</v>
      </c>
      <c r="E75" s="11" t="n">
        <v>45931</v>
      </c>
      <c r="H75" t="n">
        <v>483</v>
      </c>
      <c r="I75" t="n">
        <v>0</v>
      </c>
      <c r="J75" s="10"/>
      <c r="K75" s="10"/>
      <c r="L75" s="10"/>
      <c r="V75" t="n">
        <v>0</v>
      </c>
    </row>
    <row r="76">
      <c r="A76" s="10" t="s">
        <v>165</v>
      </c>
      <c r="B76" s="10" t="s">
        <v>52</v>
      </c>
      <c r="C76" s="10" t="s">
        <v>53</v>
      </c>
      <c r="D76" s="10" t="s">
        <v>31</v>
      </c>
      <c r="E76" s="11" t="n">
        <v>45962</v>
      </c>
      <c r="H76" t="n">
        <v>483</v>
      </c>
      <c r="I76" t="n">
        <v>0</v>
      </c>
      <c r="J76" s="10"/>
      <c r="K76" s="10"/>
      <c r="L76" s="10"/>
      <c r="V76" t="n">
        <v>0</v>
      </c>
    </row>
    <row r="77">
      <c r="A77" s="10" t="s">
        <v>165</v>
      </c>
      <c r="B77" s="10" t="s">
        <v>52</v>
      </c>
      <c r="C77" s="10" t="s">
        <v>53</v>
      </c>
      <c r="D77" s="10" t="s">
        <v>31</v>
      </c>
      <c r="E77" s="11" t="n">
        <v>45992</v>
      </c>
      <c r="H77" t="n">
        <v>483</v>
      </c>
      <c r="I77" t="n">
        <v>0</v>
      </c>
      <c r="J77" s="10"/>
      <c r="K77" s="10"/>
      <c r="L77" s="10"/>
      <c r="V77" t="n">
        <v>0</v>
      </c>
    </row>
    <row r="78">
      <c r="A78" s="10" t="s">
        <v>166</v>
      </c>
      <c r="B78" s="10" t="s">
        <v>52</v>
      </c>
      <c r="C78" s="10" t="s">
        <v>53</v>
      </c>
      <c r="D78" s="10" t="s">
        <v>31</v>
      </c>
      <c r="E78" s="11" t="n">
        <v>45748</v>
      </c>
      <c r="F78" t="n">
        <v>87339</v>
      </c>
      <c r="H78" t="n">
        <v>10542</v>
      </c>
      <c r="I78" t="n">
        <v>76797</v>
      </c>
      <c r="J78" s="10"/>
      <c r="K78" s="10"/>
      <c r="L78" s="10"/>
      <c r="S78" t="n">
        <v>9</v>
      </c>
      <c r="T78" t="n">
        <v>15</v>
      </c>
      <c r="U78" t="n">
        <v>15</v>
      </c>
      <c r="V78" t="n">
        <v>7.2848605577689245</v>
      </c>
    </row>
    <row r="79">
      <c r="A79" s="10" t="s">
        <v>166</v>
      </c>
      <c r="B79" s="10" t="s">
        <v>52</v>
      </c>
      <c r="C79" s="10" t="s">
        <v>53</v>
      </c>
      <c r="D79" s="10" t="s">
        <v>31</v>
      </c>
      <c r="E79" s="11" t="n">
        <v>45778</v>
      </c>
      <c r="F79" t="n">
        <v>76797</v>
      </c>
      <c r="H79" t="n">
        <v>10542</v>
      </c>
      <c r="I79" t="n">
        <v>66255</v>
      </c>
      <c r="J79" s="10"/>
      <c r="K79" s="10"/>
      <c r="L79" s="10"/>
      <c r="S79" t="n">
        <v>9</v>
      </c>
      <c r="T79" t="n">
        <v>15</v>
      </c>
      <c r="U79" t="n">
        <v>15</v>
      </c>
      <c r="V79" t="n">
        <v>6.2848605577689245</v>
      </c>
    </row>
    <row r="80">
      <c r="A80" s="10" t="s">
        <v>166</v>
      </c>
      <c r="B80" s="10" t="s">
        <v>52</v>
      </c>
      <c r="C80" s="10" t="s">
        <v>53</v>
      </c>
      <c r="D80" s="10" t="s">
        <v>31</v>
      </c>
      <c r="E80" s="11" t="n">
        <v>45809</v>
      </c>
      <c r="F80" t="n">
        <v>66255</v>
      </c>
      <c r="H80" t="n">
        <v>10542</v>
      </c>
      <c r="I80" t="n">
        <v>55713</v>
      </c>
      <c r="J80" s="10"/>
      <c r="K80" s="10"/>
      <c r="L80" s="10"/>
      <c r="S80" t="n">
        <v>9</v>
      </c>
      <c r="T80" t="n">
        <v>15</v>
      </c>
      <c r="U80" t="n">
        <v>15</v>
      </c>
      <c r="V80" t="n">
        <v>5.2848605577689245</v>
      </c>
    </row>
    <row r="81">
      <c r="A81" s="10" t="s">
        <v>166</v>
      </c>
      <c r="B81" s="10" t="s">
        <v>52</v>
      </c>
      <c r="C81" s="10" t="s">
        <v>53</v>
      </c>
      <c r="D81" s="10" t="s">
        <v>31</v>
      </c>
      <c r="E81" s="11" t="n">
        <v>45839</v>
      </c>
      <c r="F81" t="n">
        <v>55713</v>
      </c>
      <c r="H81" t="n">
        <v>10542</v>
      </c>
      <c r="I81" t="n">
        <v>69471</v>
      </c>
      <c r="J81" s="10"/>
      <c r="K81" s="10"/>
      <c r="L81" s="10"/>
      <c r="M81" t="n">
        <v>24300</v>
      </c>
      <c r="S81" t="n">
        <v>9</v>
      </c>
      <c r="T81" t="n">
        <v>15</v>
      </c>
      <c r="U81" t="n">
        <v>15</v>
      </c>
      <c r="V81" t="n">
        <v>6.589926010244735</v>
      </c>
    </row>
    <row r="82">
      <c r="A82" s="10" t="s">
        <v>166</v>
      </c>
      <c r="B82" s="10" t="s">
        <v>52</v>
      </c>
      <c r="C82" s="10" t="s">
        <v>53</v>
      </c>
      <c r="D82" s="10" t="s">
        <v>31</v>
      </c>
      <c r="E82" s="11" t="n">
        <v>45870</v>
      </c>
      <c r="F82" t="n">
        <v>69471</v>
      </c>
      <c r="H82" t="n">
        <v>10542</v>
      </c>
      <c r="I82" t="n">
        <v>58929</v>
      </c>
      <c r="J82" s="10"/>
      <c r="K82" s="10"/>
      <c r="L82" s="10"/>
      <c r="S82" t="n">
        <v>9</v>
      </c>
      <c r="T82" t="n">
        <v>15</v>
      </c>
      <c r="U82" t="n">
        <v>15</v>
      </c>
      <c r="V82" t="n">
        <v>5.589926010244735</v>
      </c>
    </row>
    <row r="83">
      <c r="A83" s="10" t="s">
        <v>166</v>
      </c>
      <c r="B83" s="10" t="s">
        <v>52</v>
      </c>
      <c r="C83" s="10" t="s">
        <v>53</v>
      </c>
      <c r="D83" s="10" t="s">
        <v>31</v>
      </c>
      <c r="E83" s="11" t="n">
        <v>45901</v>
      </c>
      <c r="F83" t="n">
        <v>58929</v>
      </c>
      <c r="H83" t="n">
        <v>10542</v>
      </c>
      <c r="I83" t="n">
        <v>48387</v>
      </c>
      <c r="J83" s="10"/>
      <c r="K83" s="10"/>
      <c r="L83" s="10"/>
      <c r="S83" t="n">
        <v>9</v>
      </c>
      <c r="T83" t="n">
        <v>15</v>
      </c>
      <c r="U83" t="n">
        <v>15</v>
      </c>
      <c r="V83" t="n">
        <v>4.589926010244735</v>
      </c>
    </row>
    <row r="84">
      <c r="A84" s="10" t="s">
        <v>166</v>
      </c>
      <c r="B84" s="10" t="s">
        <v>52</v>
      </c>
      <c r="C84" s="10" t="s">
        <v>53</v>
      </c>
      <c r="D84" s="10" t="s">
        <v>31</v>
      </c>
      <c r="E84" s="11" t="n">
        <v>45931</v>
      </c>
      <c r="F84" t="n">
        <v>48387</v>
      </c>
      <c r="H84" t="n">
        <v>10542</v>
      </c>
      <c r="I84" t="n">
        <v>37845</v>
      </c>
      <c r="J84" s="10"/>
      <c r="K84" s="10"/>
      <c r="L84" s="10"/>
      <c r="S84" t="n">
        <v>9</v>
      </c>
      <c r="T84" t="n">
        <v>15</v>
      </c>
      <c r="U84" t="n">
        <v>15</v>
      </c>
      <c r="V84" t="n">
        <v>3.5899260102447355</v>
      </c>
    </row>
    <row r="85">
      <c r="A85" s="10" t="s">
        <v>166</v>
      </c>
      <c r="B85" s="10" t="s">
        <v>52</v>
      </c>
      <c r="C85" s="10" t="s">
        <v>53</v>
      </c>
      <c r="D85" s="10" t="s">
        <v>31</v>
      </c>
      <c r="E85" s="11" t="n">
        <v>45962</v>
      </c>
      <c r="F85" t="n">
        <v>37845</v>
      </c>
      <c r="H85" t="n">
        <v>10542</v>
      </c>
      <c r="I85" t="n">
        <v>27303</v>
      </c>
      <c r="J85" s="10"/>
      <c r="K85" s="10"/>
      <c r="L85" s="10"/>
      <c r="S85" t="n">
        <v>9</v>
      </c>
      <c r="T85" t="n">
        <v>15</v>
      </c>
      <c r="U85" t="n">
        <v>15</v>
      </c>
      <c r="V85" t="n">
        <v>2.5899260102447355</v>
      </c>
    </row>
    <row r="86">
      <c r="A86" s="10" t="s">
        <v>166</v>
      </c>
      <c r="B86" s="10" t="s">
        <v>52</v>
      </c>
      <c r="C86" s="10" t="s">
        <v>53</v>
      </c>
      <c r="D86" s="10" t="s">
        <v>31</v>
      </c>
      <c r="E86" s="11" t="n">
        <v>45992</v>
      </c>
      <c r="F86" t="n">
        <v>27303</v>
      </c>
      <c r="H86" t="n">
        <v>10542</v>
      </c>
      <c r="I86" t="n">
        <v>16761</v>
      </c>
      <c r="J86" s="10"/>
      <c r="K86" s="10"/>
      <c r="L86" s="10"/>
      <c r="S86" t="n">
        <v>9</v>
      </c>
      <c r="T86" t="n">
        <v>15</v>
      </c>
      <c r="U86" t="n">
        <v>15</v>
      </c>
      <c r="V86" t="n">
        <v>1.5899260102447355</v>
      </c>
    </row>
    <row r="87">
      <c r="A87" s="10" t="s">
        <v>77</v>
      </c>
      <c r="B87" s="10" t="s">
        <v>52</v>
      </c>
      <c r="C87" s="10" t="s">
        <v>53</v>
      </c>
      <c r="D87" s="10" t="s">
        <v>31</v>
      </c>
      <c r="E87" s="11" t="n">
        <v>45839</v>
      </c>
      <c r="F87" t="n">
        <v>0</v>
      </c>
      <c r="H87" t="n">
        <v>67977</v>
      </c>
      <c r="I87" t="n">
        <v>0</v>
      </c>
      <c r="J87" s="10"/>
      <c r="K87" s="10"/>
      <c r="L87" s="10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77</v>
      </c>
      <c r="B88" s="10" t="s">
        <v>52</v>
      </c>
      <c r="C88" s="10" t="s">
        <v>53</v>
      </c>
      <c r="D88" s="10" t="s">
        <v>31</v>
      </c>
      <c r="E88" s="11" t="n">
        <v>45870</v>
      </c>
      <c r="F88" t="n">
        <v>0</v>
      </c>
      <c r="H88" t="n">
        <v>67977</v>
      </c>
      <c r="I88" t="n">
        <v>0</v>
      </c>
      <c r="J88" s="10"/>
      <c r="K88" s="10"/>
      <c r="L88" s="10"/>
      <c r="S88" t="n">
        <v>6</v>
      </c>
      <c r="T88" t="n">
        <v>12</v>
      </c>
      <c r="U88" t="n">
        <v>12</v>
      </c>
      <c r="V88" t="n">
        <v>0</v>
      </c>
    </row>
    <row r="89">
      <c r="A89" s="10" t="s">
        <v>77</v>
      </c>
      <c r="B89" s="10" t="s">
        <v>52</v>
      </c>
      <c r="C89" s="10" t="s">
        <v>53</v>
      </c>
      <c r="D89" s="10" t="s">
        <v>31</v>
      </c>
      <c r="E89" s="11" t="n">
        <v>45901</v>
      </c>
      <c r="F89" t="n">
        <v>0</v>
      </c>
      <c r="H89" t="n">
        <v>67977</v>
      </c>
      <c r="I89" t="n">
        <v>599823</v>
      </c>
      <c r="J89" s="10" t="s">
        <v>51</v>
      </c>
      <c r="K89" s="10" t="s">
        <v>51</v>
      </c>
      <c r="L89" s="10" t="s">
        <v>154</v>
      </c>
      <c r="M89" t="n">
        <v>667800</v>
      </c>
      <c r="S89" t="n">
        <v>6</v>
      </c>
      <c r="T89" t="n">
        <v>12</v>
      </c>
      <c r="U89" t="n">
        <v>12</v>
      </c>
      <c r="V89" t="n">
        <v>8.823911028730306</v>
      </c>
    </row>
    <row r="90">
      <c r="A90" s="10" t="s">
        <v>77</v>
      </c>
      <c r="B90" s="10" t="s">
        <v>52</v>
      </c>
      <c r="C90" s="10" t="s">
        <v>53</v>
      </c>
      <c r="D90" s="10" t="s">
        <v>31</v>
      </c>
      <c r="E90" s="11" t="n">
        <v>45931</v>
      </c>
      <c r="F90" t="n">
        <v>599823</v>
      </c>
      <c r="H90" t="n">
        <v>67977</v>
      </c>
      <c r="I90" t="n">
        <v>531846</v>
      </c>
      <c r="J90" s="10"/>
      <c r="K90" s="10"/>
      <c r="L90" s="10"/>
      <c r="S90" t="n">
        <v>6</v>
      </c>
      <c r="T90" t="n">
        <v>12</v>
      </c>
      <c r="U90" t="n">
        <v>12</v>
      </c>
      <c r="V90" t="n">
        <v>7.823911028730306</v>
      </c>
    </row>
    <row r="91">
      <c r="A91" s="10" t="s">
        <v>77</v>
      </c>
      <c r="B91" s="10" t="s">
        <v>52</v>
      </c>
      <c r="C91" s="10" t="s">
        <v>53</v>
      </c>
      <c r="D91" s="10" t="s">
        <v>31</v>
      </c>
      <c r="E91" s="11" t="n">
        <v>45962</v>
      </c>
      <c r="F91" t="n">
        <v>531846</v>
      </c>
      <c r="H91" t="n">
        <v>67977</v>
      </c>
      <c r="I91" t="n">
        <v>463869</v>
      </c>
      <c r="J91" s="10"/>
      <c r="K91" s="10"/>
      <c r="L91" s="10"/>
      <c r="S91" t="n">
        <v>6</v>
      </c>
      <c r="T91" t="n">
        <v>12</v>
      </c>
      <c r="U91" t="n">
        <v>12</v>
      </c>
      <c r="V91" t="n">
        <v>6.823911028730306</v>
      </c>
    </row>
    <row r="92">
      <c r="A92" s="10" t="s">
        <v>77</v>
      </c>
      <c r="B92" s="10" t="s">
        <v>52</v>
      </c>
      <c r="C92" s="10" t="s">
        <v>53</v>
      </c>
      <c r="D92" s="10" t="s">
        <v>31</v>
      </c>
      <c r="E92" s="11" t="n">
        <v>45992</v>
      </c>
      <c r="F92" t="n">
        <v>463869</v>
      </c>
      <c r="H92" t="n">
        <v>67977</v>
      </c>
      <c r="I92" t="n">
        <v>395892</v>
      </c>
      <c r="J92" s="10"/>
      <c r="K92" s="10"/>
      <c r="L92" s="10"/>
      <c r="S92" t="n">
        <v>6</v>
      </c>
      <c r="T92" t="n">
        <v>12</v>
      </c>
      <c r="U92" t="n">
        <v>12</v>
      </c>
      <c r="V92" t="n">
        <v>5.823911028730306</v>
      </c>
    </row>
    <row r="93">
      <c r="A93" s="10" t="s">
        <v>77</v>
      </c>
      <c r="B93" s="10" t="s">
        <v>52</v>
      </c>
      <c r="C93" s="10" t="s">
        <v>53</v>
      </c>
      <c r="D93" s="10" t="s">
        <v>31</v>
      </c>
      <c r="E93" s="11" t="n">
        <v>46023</v>
      </c>
      <c r="F93" t="n">
        <v>395892</v>
      </c>
      <c r="H93" t="n">
        <v>67977</v>
      </c>
      <c r="I93" t="n">
        <v>327915</v>
      </c>
      <c r="J93" s="10"/>
      <c r="K93" s="10"/>
      <c r="L93" s="10"/>
      <c r="S93" t="n">
        <v>6</v>
      </c>
      <c r="T93" t="n">
        <v>12</v>
      </c>
      <c r="U93" t="n">
        <v>12</v>
      </c>
      <c r="V93" t="n">
        <v>4.823911028730306</v>
      </c>
    </row>
    <row r="94">
      <c r="A94" s="10" t="s">
        <v>77</v>
      </c>
      <c r="B94" s="10" t="s">
        <v>52</v>
      </c>
      <c r="C94" s="10" t="s">
        <v>53</v>
      </c>
      <c r="D94" s="10" t="s">
        <v>31</v>
      </c>
      <c r="E94" s="11" t="n">
        <v>46054</v>
      </c>
      <c r="F94" t="n">
        <v>327915</v>
      </c>
      <c r="H94" t="n">
        <v>67977</v>
      </c>
      <c r="I94" t="n">
        <v>259938</v>
      </c>
      <c r="J94" s="10"/>
      <c r="K94" s="10"/>
      <c r="L94" s="10"/>
      <c r="S94" t="n">
        <v>6</v>
      </c>
      <c r="T94" t="n">
        <v>12</v>
      </c>
      <c r="U94" t="n">
        <v>12</v>
      </c>
      <c r="V94" t="n">
        <v>3.823911028730306</v>
      </c>
    </row>
    <row r="95">
      <c r="A95" s="10" t="s">
        <v>77</v>
      </c>
      <c r="B95" s="10" t="s">
        <v>52</v>
      </c>
      <c r="C95" s="10" t="s">
        <v>53</v>
      </c>
      <c r="D95" s="10" t="s">
        <v>31</v>
      </c>
      <c r="E95" s="11" t="n">
        <v>46082</v>
      </c>
      <c r="F95" t="n">
        <v>259938</v>
      </c>
      <c r="H95" t="n">
        <v>67977</v>
      </c>
      <c r="I95" t="n">
        <v>191961</v>
      </c>
      <c r="J95" s="10"/>
      <c r="K95" s="10"/>
      <c r="L95" s="10"/>
      <c r="S95" t="n">
        <v>6</v>
      </c>
      <c r="T95" t="n">
        <v>12</v>
      </c>
      <c r="U95" t="n">
        <v>12</v>
      </c>
      <c r="V95" t="n">
        <v>2.823911028730306</v>
      </c>
    </row>
    <row r="96">
      <c r="A96" s="10" t="s">
        <v>77</v>
      </c>
      <c r="B96" s="10" t="s">
        <v>52</v>
      </c>
      <c r="C96" s="10" t="s">
        <v>53</v>
      </c>
      <c r="D96" s="10" t="s">
        <v>31</v>
      </c>
      <c r="E96" s="11" t="n">
        <v>46113</v>
      </c>
      <c r="F96" t="n">
        <v>191961</v>
      </c>
      <c r="H96" t="n">
        <v>67977</v>
      </c>
      <c r="I96" t="n">
        <v>123984</v>
      </c>
      <c r="J96" s="10"/>
      <c r="K96" s="10"/>
      <c r="L96" s="10"/>
      <c r="S96" t="n">
        <v>6</v>
      </c>
      <c r="T96" t="n">
        <v>12</v>
      </c>
      <c r="U96" t="n">
        <v>12</v>
      </c>
      <c r="V96" t="n">
        <v>1.8239110287303058</v>
      </c>
    </row>
    <row r="97">
      <c r="A97" s="10" t="s">
        <v>77</v>
      </c>
      <c r="B97" s="10" t="s">
        <v>52</v>
      </c>
      <c r="C97" s="10" t="s">
        <v>53</v>
      </c>
      <c r="D97" s="10" t="s">
        <v>31</v>
      </c>
      <c r="E97" s="11" t="n">
        <v>46143</v>
      </c>
      <c r="F97" t="n">
        <v>123984</v>
      </c>
      <c r="H97" t="n">
        <v>67977</v>
      </c>
      <c r="I97" t="n">
        <v>56007</v>
      </c>
      <c r="J97" s="10"/>
      <c r="K97" s="10"/>
      <c r="L97" s="10"/>
      <c r="S97" t="n">
        <v>6</v>
      </c>
      <c r="T97" t="n">
        <v>12</v>
      </c>
      <c r="U97" t="n">
        <v>12</v>
      </c>
      <c r="V97" t="n">
        <v>0.82391102873030586</v>
      </c>
    </row>
    <row r="98">
      <c r="A98" s="10" t="s">
        <v>77</v>
      </c>
      <c r="B98" s="10" t="s">
        <v>52</v>
      </c>
      <c r="C98" s="10" t="s">
        <v>53</v>
      </c>
      <c r="D98" s="10" t="s">
        <v>31</v>
      </c>
      <c r="E98" s="11" t="n">
        <v>46174</v>
      </c>
      <c r="F98" t="n">
        <v>56007</v>
      </c>
      <c r="H98" t="n">
        <v>67977</v>
      </c>
      <c r="I98" t="n">
        <v>0</v>
      </c>
      <c r="J98" s="10"/>
      <c r="K98" s="10"/>
      <c r="L98" s="10"/>
      <c r="S98" t="n">
        <v>6</v>
      </c>
      <c r="T98" t="n">
        <v>12</v>
      </c>
      <c r="U98" t="n">
        <v>12</v>
      </c>
      <c r="V98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68.542968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42</v>
      </c>
      <c r="C2" s="10" t="s">
        <v>43</v>
      </c>
      <c r="D2" s="10" t="s">
        <v>31</v>
      </c>
      <c r="E2" s="11" t="n">
        <v>45839</v>
      </c>
      <c r="F2" t="n">
        <v>368535</v>
      </c>
      <c r="H2" t="n">
        <v>25415</v>
      </c>
      <c r="I2" t="n">
        <v>343120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13.500688569742278</v>
      </c>
    </row>
    <row r="3">
      <c r="A3" s="10" t="s">
        <v>28</v>
      </c>
      <c r="B3" s="10" t="s">
        <v>42</v>
      </c>
      <c r="C3" s="10" t="s">
        <v>43</v>
      </c>
      <c r="D3" s="10" t="s">
        <v>31</v>
      </c>
      <c r="E3" s="11" t="n">
        <v>45870</v>
      </c>
      <c r="F3" t="n">
        <v>343120</v>
      </c>
      <c r="H3" t="n">
        <v>25415</v>
      </c>
      <c r="I3" t="n">
        <v>317705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12.500688569742278</v>
      </c>
    </row>
    <row r="4">
      <c r="A4" s="10" t="s">
        <v>28</v>
      </c>
      <c r="B4" s="10" t="s">
        <v>42</v>
      </c>
      <c r="C4" s="10" t="s">
        <v>43</v>
      </c>
      <c r="D4" s="10" t="s">
        <v>31</v>
      </c>
      <c r="E4" s="11" t="n">
        <v>45901</v>
      </c>
      <c r="F4" t="n">
        <v>317705</v>
      </c>
      <c r="H4" t="n">
        <v>25415</v>
      </c>
      <c r="I4" t="n">
        <v>292290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11.500688569742278</v>
      </c>
    </row>
    <row r="5">
      <c r="A5" s="10" t="s">
        <v>28</v>
      </c>
      <c r="B5" s="10" t="s">
        <v>42</v>
      </c>
      <c r="C5" s="10" t="s">
        <v>43</v>
      </c>
      <c r="D5" s="10" t="s">
        <v>31</v>
      </c>
      <c r="E5" s="11" t="n">
        <v>45931</v>
      </c>
      <c r="F5" t="n">
        <v>292290</v>
      </c>
      <c r="H5" t="n">
        <v>25415</v>
      </c>
      <c r="I5" t="n">
        <v>266875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10.500688569742278</v>
      </c>
    </row>
    <row r="6">
      <c r="A6" s="10" t="s">
        <v>28</v>
      </c>
      <c r="B6" s="10" t="s">
        <v>42</v>
      </c>
      <c r="C6" s="10" t="s">
        <v>43</v>
      </c>
      <c r="D6" s="10" t="s">
        <v>31</v>
      </c>
      <c r="E6" s="11" t="n">
        <v>45962</v>
      </c>
      <c r="F6" t="n">
        <v>266875</v>
      </c>
      <c r="H6" t="n">
        <v>25415</v>
      </c>
      <c r="I6" t="n">
        <v>241460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9.5006885697422785</v>
      </c>
    </row>
    <row r="7">
      <c r="A7" s="10" t="s">
        <v>28</v>
      </c>
      <c r="B7" s="10" t="s">
        <v>42</v>
      </c>
      <c r="C7" s="10" t="s">
        <v>43</v>
      </c>
      <c r="D7" s="10" t="s">
        <v>31</v>
      </c>
      <c r="E7" s="11" t="n">
        <v>45992</v>
      </c>
      <c r="F7" t="n">
        <v>241460</v>
      </c>
      <c r="H7" t="n">
        <v>25415</v>
      </c>
      <c r="I7" t="n">
        <v>216045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8.5006885697422785</v>
      </c>
    </row>
    <row r="8">
      <c r="A8" s="10" t="s">
        <v>28</v>
      </c>
      <c r="B8" s="10" t="s">
        <v>42</v>
      </c>
      <c r="C8" s="10" t="s">
        <v>43</v>
      </c>
      <c r="D8" s="10" t="s">
        <v>31</v>
      </c>
      <c r="E8" s="11" t="n">
        <v>46023</v>
      </c>
      <c r="F8" t="n">
        <v>216045</v>
      </c>
      <c r="H8" t="n">
        <v>25415</v>
      </c>
      <c r="I8" t="n">
        <v>190630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7.5006885697422785</v>
      </c>
    </row>
    <row r="9">
      <c r="A9" s="10" t="s">
        <v>28</v>
      </c>
      <c r="B9" s="10" t="s">
        <v>42</v>
      </c>
      <c r="C9" s="10" t="s">
        <v>43</v>
      </c>
      <c r="D9" s="10" t="s">
        <v>31</v>
      </c>
      <c r="E9" s="11" t="n">
        <v>46054</v>
      </c>
      <c r="F9" t="n">
        <v>190630</v>
      </c>
      <c r="H9" t="n">
        <v>25415</v>
      </c>
      <c r="I9" t="n">
        <v>312920</v>
      </c>
      <c r="J9" s="10" t="s">
        <v>2</v>
      </c>
      <c r="K9" s="10" t="s">
        <v>2</v>
      </c>
      <c r="L9" s="10" t="s">
        <v>4</v>
      </c>
      <c r="M9" t="n">
        <v>147705</v>
      </c>
      <c r="O9" t="n">
        <v>150659</v>
      </c>
      <c r="P9" s="11" t="n">
        <v>46054</v>
      </c>
      <c r="S9" t="n">
        <v>9</v>
      </c>
      <c r="T9" t="n">
        <v>14</v>
      </c>
      <c r="U9" t="n">
        <v>13</v>
      </c>
      <c r="V9" t="n">
        <v>12.312413928782215</v>
      </c>
    </row>
    <row r="10">
      <c r="A10" s="10" t="s">
        <v>28</v>
      </c>
      <c r="B10" s="10" t="s">
        <v>42</v>
      </c>
      <c r="C10" s="10" t="s">
        <v>43</v>
      </c>
      <c r="D10" s="10" t="s">
        <v>31</v>
      </c>
      <c r="E10" s="11" t="n">
        <v>46082</v>
      </c>
      <c r="F10" t="n">
        <v>312920</v>
      </c>
      <c r="H10" t="n">
        <v>25415</v>
      </c>
      <c r="I10" t="n">
        <v>287505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11.312413928782215</v>
      </c>
    </row>
    <row r="11">
      <c r="A11" s="10" t="s">
        <v>28</v>
      </c>
      <c r="B11" s="10" t="s">
        <v>42</v>
      </c>
      <c r="C11" s="10" t="s">
        <v>43</v>
      </c>
      <c r="D11" s="10" t="s">
        <v>31</v>
      </c>
      <c r="E11" s="11" t="n">
        <v>46113</v>
      </c>
      <c r="F11" t="n">
        <v>287505</v>
      </c>
      <c r="H11" t="n">
        <v>25415</v>
      </c>
      <c r="I11" t="n">
        <v>262090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10.312413928782215</v>
      </c>
    </row>
    <row r="12">
      <c r="A12" s="10" t="s">
        <v>28</v>
      </c>
      <c r="B12" s="10" t="s">
        <v>42</v>
      </c>
      <c r="C12" s="10" t="s">
        <v>43</v>
      </c>
      <c r="D12" s="10" t="s">
        <v>31</v>
      </c>
      <c r="E12" s="11" t="n">
        <v>46143</v>
      </c>
      <c r="F12" t="n">
        <v>262090</v>
      </c>
      <c r="H12" t="n">
        <v>25415</v>
      </c>
      <c r="I12" t="n">
        <v>236675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9.312413928782215</v>
      </c>
    </row>
    <row r="13">
      <c r="A13" s="10" t="s">
        <v>28</v>
      </c>
      <c r="B13" s="10" t="s">
        <v>42</v>
      </c>
      <c r="C13" s="10" t="s">
        <v>43</v>
      </c>
      <c r="D13" s="10" t="s">
        <v>31</v>
      </c>
      <c r="E13" s="11" t="n">
        <v>46174</v>
      </c>
      <c r="F13" t="n">
        <v>236675</v>
      </c>
      <c r="H13" t="n">
        <v>25415</v>
      </c>
      <c r="I13" t="n">
        <v>211260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8.312413928782215</v>
      </c>
    </row>
    <row r="14">
      <c r="A14" s="10" t="s">
        <v>75</v>
      </c>
      <c r="B14" s="10" t="s">
        <v>42</v>
      </c>
      <c r="C14" s="10" t="s">
        <v>43</v>
      </c>
      <c r="D14" s="10" t="s">
        <v>31</v>
      </c>
      <c r="E14" s="11" t="n">
        <v>45748</v>
      </c>
      <c r="F14" t="n">
        <v>2388682</v>
      </c>
      <c r="H14" t="n">
        <v>308825</v>
      </c>
      <c r="I14" t="n">
        <v>2079857</v>
      </c>
      <c r="J14" s="10"/>
      <c r="K14" s="10"/>
      <c r="L14" s="10"/>
      <c r="P14" s="11"/>
      <c r="S14" t="n">
        <v>6</v>
      </c>
      <c r="T14" t="n">
        <v>12</v>
      </c>
      <c r="U14" t="n">
        <v>12</v>
      </c>
      <c r="V14" t="n">
        <v>6.7347429774143936</v>
      </c>
    </row>
    <row r="15">
      <c r="A15" s="10" t="s">
        <v>75</v>
      </c>
      <c r="B15" s="10" t="s">
        <v>42</v>
      </c>
      <c r="C15" s="10" t="s">
        <v>43</v>
      </c>
      <c r="D15" s="10" t="s">
        <v>31</v>
      </c>
      <c r="E15" s="11" t="n">
        <v>45778</v>
      </c>
      <c r="F15" t="n">
        <v>2079857</v>
      </c>
      <c r="H15" t="n">
        <v>312846</v>
      </c>
      <c r="I15" t="n">
        <v>2267011</v>
      </c>
      <c r="J15" s="10"/>
      <c r="K15" s="10"/>
      <c r="L15" s="10" t="s">
        <v>153</v>
      </c>
      <c r="M15" t="n">
        <v>500000</v>
      </c>
      <c r="P15" s="11"/>
      <c r="S15" t="n">
        <v>6</v>
      </c>
      <c r="T15" t="n">
        <v>12</v>
      </c>
      <c r="U15" t="n">
        <v>12</v>
      </c>
      <c r="V15" t="n">
        <v>7.2464119726638669</v>
      </c>
    </row>
    <row r="16">
      <c r="A16" s="10" t="s">
        <v>75</v>
      </c>
      <c r="B16" s="10" t="s">
        <v>42</v>
      </c>
      <c r="C16" s="10" t="s">
        <v>43</v>
      </c>
      <c r="D16" s="10" t="s">
        <v>31</v>
      </c>
      <c r="E16" s="11" t="n">
        <v>45809</v>
      </c>
      <c r="F16" t="n">
        <v>2267011</v>
      </c>
      <c r="H16" t="n">
        <v>316867</v>
      </c>
      <c r="I16" t="n">
        <v>1950144</v>
      </c>
      <c r="J16" s="10"/>
      <c r="K16" s="10"/>
      <c r="L16" s="10"/>
      <c r="P16" s="11"/>
      <c r="S16" t="n">
        <v>6</v>
      </c>
      <c r="T16" t="n">
        <v>12</v>
      </c>
      <c r="U16" t="n">
        <v>12</v>
      </c>
      <c r="V16" t="n">
        <v>6.1544559704860395</v>
      </c>
    </row>
    <row r="17">
      <c r="A17" s="10" t="s">
        <v>75</v>
      </c>
      <c r="B17" s="10" t="s">
        <v>42</v>
      </c>
      <c r="C17" s="10" t="s">
        <v>43</v>
      </c>
      <c r="D17" s="10" t="s">
        <v>31</v>
      </c>
      <c r="E17" s="11" t="n">
        <v>45839</v>
      </c>
      <c r="F17" t="n">
        <v>1950144</v>
      </c>
      <c r="H17" t="n">
        <v>320888</v>
      </c>
      <c r="I17" t="n">
        <v>1629256</v>
      </c>
      <c r="J17" s="10"/>
      <c r="K17" s="10"/>
      <c r="L17" s="10"/>
      <c r="P17" s="11"/>
      <c r="S17" t="n">
        <v>6</v>
      </c>
      <c r="T17" t="n">
        <v>12</v>
      </c>
      <c r="U17" t="n">
        <v>12</v>
      </c>
      <c r="V17" t="n">
        <v>5.0773353942808708</v>
      </c>
    </row>
    <row r="18">
      <c r="A18" s="10" t="s">
        <v>75</v>
      </c>
      <c r="B18" s="10" t="s">
        <v>42</v>
      </c>
      <c r="C18" s="10" t="s">
        <v>43</v>
      </c>
      <c r="D18" s="10" t="s">
        <v>31</v>
      </c>
      <c r="E18" s="11" t="n">
        <v>45870</v>
      </c>
      <c r="F18" t="n">
        <v>1629256</v>
      </c>
      <c r="H18" t="n">
        <v>324910</v>
      </c>
      <c r="I18" t="n">
        <v>1304346</v>
      </c>
      <c r="J18" s="10"/>
      <c r="K18" s="10"/>
      <c r="L18" s="10"/>
      <c r="P18" s="11"/>
      <c r="S18" t="n">
        <v>6</v>
      </c>
      <c r="T18" t="n">
        <v>12</v>
      </c>
      <c r="U18" t="n">
        <v>12</v>
      </c>
      <c r="V18" t="n">
        <v>4.0144840109568802</v>
      </c>
    </row>
    <row r="19">
      <c r="A19" s="10" t="s">
        <v>75</v>
      </c>
      <c r="B19" s="10" t="s">
        <v>42</v>
      </c>
      <c r="C19" s="10" t="s">
        <v>43</v>
      </c>
      <c r="D19" s="10" t="s">
        <v>31</v>
      </c>
      <c r="E19" s="11" t="n">
        <v>45901</v>
      </c>
      <c r="F19" t="n">
        <v>1304346</v>
      </c>
      <c r="H19" t="n">
        <v>328931</v>
      </c>
      <c r="I19" t="n">
        <v>1875415</v>
      </c>
      <c r="J19" s="10"/>
      <c r="K19" s="10"/>
      <c r="L19" s="10" t="s">
        <v>147</v>
      </c>
      <c r="M19" t="n">
        <v>900000</v>
      </c>
      <c r="P19" s="11"/>
      <c r="S19" t="n">
        <v>6</v>
      </c>
      <c r="T19" t="n">
        <v>12</v>
      </c>
      <c r="U19" t="n">
        <v>12</v>
      </c>
      <c r="V19" t="n">
        <v>5.7015453088945707</v>
      </c>
    </row>
    <row r="20">
      <c r="A20" s="10" t="s">
        <v>75</v>
      </c>
      <c r="B20" s="10" t="s">
        <v>42</v>
      </c>
      <c r="C20" s="10" t="s">
        <v>43</v>
      </c>
      <c r="D20" s="10" t="s">
        <v>31</v>
      </c>
      <c r="E20" s="11" t="n">
        <v>45931</v>
      </c>
      <c r="F20" t="n">
        <v>1875415</v>
      </c>
      <c r="H20" t="n">
        <v>332952</v>
      </c>
      <c r="I20" t="n">
        <v>3923043</v>
      </c>
      <c r="J20" s="10"/>
      <c r="K20" s="10"/>
      <c r="L20" s="10" t="s">
        <v>4</v>
      </c>
      <c r="M20" t="n">
        <v>2380580</v>
      </c>
      <c r="P20" s="11"/>
      <c r="S20" t="n">
        <v>6</v>
      </c>
      <c r="T20" t="n">
        <v>12</v>
      </c>
      <c r="U20" t="n">
        <v>12</v>
      </c>
      <c r="V20" t="n">
        <v>11.782608303899661</v>
      </c>
    </row>
    <row r="21">
      <c r="A21" s="10" t="s">
        <v>75</v>
      </c>
      <c r="B21" s="10" t="s">
        <v>42</v>
      </c>
      <c r="C21" s="10" t="s">
        <v>43</v>
      </c>
      <c r="D21" s="10" t="s">
        <v>31</v>
      </c>
      <c r="E21" s="11" t="n">
        <v>45962</v>
      </c>
      <c r="F21" t="n">
        <v>3923043</v>
      </c>
      <c r="H21" t="n">
        <v>336973</v>
      </c>
      <c r="I21" t="n">
        <v>3586070</v>
      </c>
      <c r="J21" s="10"/>
      <c r="K21" s="10"/>
      <c r="L21" s="10"/>
      <c r="P21" s="11"/>
      <c r="S21" t="n">
        <v>6</v>
      </c>
      <c r="T21" t="n">
        <v>12</v>
      </c>
      <c r="U21" t="n">
        <v>12</v>
      </c>
      <c r="V21" t="n">
        <v>10.642009893967765</v>
      </c>
    </row>
    <row r="22">
      <c r="A22" s="10" t="s">
        <v>75</v>
      </c>
      <c r="B22" s="10" t="s">
        <v>42</v>
      </c>
      <c r="C22" s="10" t="s">
        <v>43</v>
      </c>
      <c r="D22" s="10" t="s">
        <v>31</v>
      </c>
      <c r="E22" s="11" t="n">
        <v>45992</v>
      </c>
      <c r="F22" t="n">
        <v>3586070</v>
      </c>
      <c r="H22" t="n">
        <v>340994</v>
      </c>
      <c r="I22" t="n">
        <v>3245076</v>
      </c>
      <c r="J22" s="10"/>
      <c r="K22" s="10"/>
      <c r="L22" s="10"/>
      <c r="P22" s="11"/>
      <c r="S22" t="n">
        <v>6</v>
      </c>
      <c r="T22" t="n">
        <v>12</v>
      </c>
      <c r="U22" t="n">
        <v>12</v>
      </c>
      <c r="V22" t="n">
        <v>9.5165193522466662</v>
      </c>
    </row>
    <row r="23">
      <c r="A23" s="10" t="s">
        <v>75</v>
      </c>
      <c r="B23" s="10" t="s">
        <v>42</v>
      </c>
      <c r="C23" s="10" t="s">
        <v>43</v>
      </c>
      <c r="D23" s="10" t="s">
        <v>31</v>
      </c>
      <c r="E23" s="11" t="n">
        <v>46023</v>
      </c>
      <c r="F23" t="n">
        <v>3245076</v>
      </c>
      <c r="H23" t="n">
        <v>345016</v>
      </c>
      <c r="I23" t="n">
        <v>2900060</v>
      </c>
      <c r="J23" s="10"/>
      <c r="K23" s="10"/>
      <c r="L23" s="10"/>
      <c r="P23" s="11"/>
      <c r="S23" t="n">
        <v>6</v>
      </c>
      <c r="T23" t="n">
        <v>12</v>
      </c>
      <c r="U23" t="n">
        <v>12</v>
      </c>
      <c r="V23" t="n">
        <v>8.4055811904375446</v>
      </c>
    </row>
    <row r="24">
      <c r="A24" s="10" t="s">
        <v>75</v>
      </c>
      <c r="B24" s="10" t="s">
        <v>42</v>
      </c>
      <c r="C24" s="10" t="s">
        <v>43</v>
      </c>
      <c r="D24" s="10" t="s">
        <v>31</v>
      </c>
      <c r="E24" s="11" t="n">
        <v>46054</v>
      </c>
      <c r="F24" t="n">
        <v>2900060</v>
      </c>
      <c r="H24" t="n">
        <v>349037</v>
      </c>
      <c r="I24" t="n">
        <v>2551023</v>
      </c>
      <c r="J24" s="10"/>
      <c r="K24" s="10"/>
      <c r="L24" s="10"/>
      <c r="P24" s="11"/>
      <c r="S24" t="n">
        <v>6</v>
      </c>
      <c r="T24" t="n">
        <v>12</v>
      </c>
      <c r="U24" t="n">
        <v>12</v>
      </c>
      <c r="V24" t="n">
        <v>7.308746637176001</v>
      </c>
    </row>
    <row r="25">
      <c r="A25" s="10" t="s">
        <v>75</v>
      </c>
      <c r="B25" s="10" t="s">
        <v>42</v>
      </c>
      <c r="C25" s="10" t="s">
        <v>43</v>
      </c>
      <c r="D25" s="10" t="s">
        <v>31</v>
      </c>
      <c r="E25" s="11" t="n">
        <v>46082</v>
      </c>
      <c r="F25" t="n">
        <v>2551023</v>
      </c>
      <c r="H25" t="n">
        <v>353058</v>
      </c>
      <c r="I25" t="n">
        <v>2197965</v>
      </c>
      <c r="J25" s="10"/>
      <c r="K25" s="10"/>
      <c r="L25" s="10"/>
      <c r="P25" s="11"/>
      <c r="S25" t="n">
        <v>6</v>
      </c>
      <c r="T25" t="n">
        <v>12</v>
      </c>
      <c r="U25" t="n">
        <v>12</v>
      </c>
      <c r="V25" t="n">
        <v>6.2255068572302568</v>
      </c>
    </row>
    <row r="26">
      <c r="A26" s="10" t="s">
        <v>75</v>
      </c>
      <c r="B26" s="10" t="s">
        <v>42</v>
      </c>
      <c r="C26" s="10" t="s">
        <v>43</v>
      </c>
      <c r="D26" s="10" t="s">
        <v>31</v>
      </c>
      <c r="E26" s="11" t="n">
        <v>46113</v>
      </c>
      <c r="F26" t="n">
        <v>2197965</v>
      </c>
      <c r="H26" t="n">
        <v>357079</v>
      </c>
      <c r="I26" t="n">
        <v>4212570</v>
      </c>
      <c r="J26" s="10"/>
      <c r="K26" s="10"/>
      <c r="L26" s="10" t="s">
        <v>4</v>
      </c>
      <c r="M26" t="n">
        <v>2371684</v>
      </c>
      <c r="P26" s="11"/>
      <c r="S26" t="n">
        <v>6</v>
      </c>
      <c r="T26" t="n">
        <v>12</v>
      </c>
      <c r="U26" t="n">
        <v>12</v>
      </c>
      <c r="V26" t="n">
        <v>11.797305358198045</v>
      </c>
    </row>
    <row r="27">
      <c r="A27" s="10" t="s">
        <v>75</v>
      </c>
      <c r="B27" s="10" t="s">
        <v>42</v>
      </c>
      <c r="C27" s="10" t="s">
        <v>43</v>
      </c>
      <c r="D27" s="10" t="s">
        <v>31</v>
      </c>
      <c r="E27" s="11" t="n">
        <v>46143</v>
      </c>
      <c r="F27" t="n">
        <v>4212570</v>
      </c>
      <c r="H27" t="n">
        <v>361100</v>
      </c>
      <c r="I27" t="n">
        <v>3851470</v>
      </c>
      <c r="J27" s="10"/>
      <c r="K27" s="10"/>
      <c r="L27" s="10"/>
      <c r="P27" s="11"/>
      <c r="S27" t="n">
        <v>6</v>
      </c>
      <c r="T27" t="n">
        <v>12</v>
      </c>
      <c r="U27" t="n">
        <v>12</v>
      </c>
      <c r="V27" t="n">
        <v>10.665937413458876</v>
      </c>
    </row>
    <row r="28">
      <c r="A28" s="10" t="s">
        <v>75</v>
      </c>
      <c r="B28" s="10" t="s">
        <v>42</v>
      </c>
      <c r="C28" s="10" t="s">
        <v>43</v>
      </c>
      <c r="D28" s="10" t="s">
        <v>31</v>
      </c>
      <c r="E28" s="11" t="n">
        <v>46174</v>
      </c>
      <c r="F28" t="n">
        <v>3851470</v>
      </c>
      <c r="H28" t="n">
        <v>365121</v>
      </c>
      <c r="I28" t="n">
        <v>3486349</v>
      </c>
      <c r="J28" s="10"/>
      <c r="K28" s="10"/>
      <c r="L28" s="10"/>
      <c r="P28" s="11"/>
      <c r="S28" t="n">
        <v>6</v>
      </c>
      <c r="T28" t="n">
        <v>12</v>
      </c>
      <c r="U28" t="n">
        <v>12</v>
      </c>
      <c r="V28" t="n">
        <v>9.5484757107917648</v>
      </c>
    </row>
    <row r="29">
      <c r="A29" s="10" t="s">
        <v>75</v>
      </c>
      <c r="B29" s="10" t="s">
        <v>42</v>
      </c>
      <c r="C29" s="10" t="s">
        <v>43</v>
      </c>
      <c r="D29" s="10" t="s">
        <v>31</v>
      </c>
      <c r="E29" s="11" t="n">
        <v>46204</v>
      </c>
      <c r="F29" t="n">
        <v>3486349</v>
      </c>
      <c r="H29" t="n">
        <v>369143</v>
      </c>
      <c r="I29" t="n">
        <v>3117206</v>
      </c>
      <c r="J29" s="10"/>
      <c r="K29" s="10"/>
      <c r="L29" s="10"/>
      <c r="P29" s="11"/>
      <c r="S29" t="n">
        <v>6</v>
      </c>
      <c r="T29" t="n">
        <v>12</v>
      </c>
      <c r="U29" t="n">
        <v>12</v>
      </c>
      <c r="V29" t="n">
        <v>8.4444402304797865</v>
      </c>
    </row>
    <row r="30">
      <c r="A30" s="10" t="s">
        <v>75</v>
      </c>
      <c r="B30" s="10" t="s">
        <v>42</v>
      </c>
      <c r="C30" s="10" t="s">
        <v>43</v>
      </c>
      <c r="D30" s="10" t="s">
        <v>31</v>
      </c>
      <c r="E30" s="11" t="n">
        <v>46235</v>
      </c>
      <c r="F30" t="n">
        <v>3117206</v>
      </c>
      <c r="H30" t="n">
        <v>373164</v>
      </c>
      <c r="I30" t="n">
        <v>2744042</v>
      </c>
      <c r="J30" s="10"/>
      <c r="K30" s="10"/>
      <c r="L30" s="10"/>
      <c r="P30" s="11"/>
      <c r="S30" t="n">
        <v>6</v>
      </c>
      <c r="T30" t="n">
        <v>12</v>
      </c>
      <c r="U30" t="n">
        <v>12</v>
      </c>
      <c r="V30" t="n">
        <v>7.3534478138298445</v>
      </c>
    </row>
    <row r="31">
      <c r="A31" s="10" t="s">
        <v>75</v>
      </c>
      <c r="B31" s="10" t="s">
        <v>42</v>
      </c>
      <c r="C31" s="10" t="s">
        <v>43</v>
      </c>
      <c r="D31" s="10" t="s">
        <v>31</v>
      </c>
      <c r="E31" s="11" t="n">
        <v>46266</v>
      </c>
      <c r="F31" t="n">
        <v>2744042</v>
      </c>
      <c r="H31" t="n">
        <v>377185</v>
      </c>
      <c r="I31" t="n">
        <v>2366857</v>
      </c>
      <c r="J31" s="10"/>
      <c r="K31" s="10"/>
      <c r="L31" s="10"/>
      <c r="P31" s="11"/>
      <c r="S31" t="n">
        <v>6</v>
      </c>
      <c r="T31" t="n">
        <v>12</v>
      </c>
      <c r="U31" t="n">
        <v>12</v>
      </c>
      <c r="V31" t="n">
        <v>6.2750560069992183</v>
      </c>
    </row>
    <row r="32">
      <c r="A32" s="10" t="s">
        <v>76</v>
      </c>
      <c r="B32" s="10" t="s">
        <v>42</v>
      </c>
      <c r="C32" s="10" t="s">
        <v>43</v>
      </c>
      <c r="D32" s="10" t="s">
        <v>31</v>
      </c>
      <c r="E32" s="11" t="n">
        <v>45748</v>
      </c>
      <c r="F32" t="n">
        <v>11876</v>
      </c>
      <c r="H32" t="n">
        <v>197423</v>
      </c>
      <c r="I32" t="n">
        <v>0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42</v>
      </c>
      <c r="C33" s="10" t="s">
        <v>43</v>
      </c>
      <c r="D33" s="10" t="s">
        <v>31</v>
      </c>
      <c r="E33" s="11" t="n">
        <v>45778</v>
      </c>
      <c r="F33" t="n">
        <v>197423</v>
      </c>
      <c r="H33" t="n">
        <v>197423</v>
      </c>
      <c r="I33" t="n">
        <v>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42</v>
      </c>
      <c r="C34" s="10" t="s">
        <v>43</v>
      </c>
      <c r="D34" s="10" t="s">
        <v>31</v>
      </c>
      <c r="E34" s="11" t="n">
        <v>45809</v>
      </c>
      <c r="F34" t="n">
        <v>197423</v>
      </c>
      <c r="H34" t="n">
        <v>197423</v>
      </c>
      <c r="I34" t="n">
        <v>0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42</v>
      </c>
      <c r="C35" s="10" t="s">
        <v>43</v>
      </c>
      <c r="D35" s="10" t="s">
        <v>31</v>
      </c>
      <c r="E35" s="11" t="n">
        <v>45839</v>
      </c>
      <c r="F35" t="n">
        <v>197423</v>
      </c>
      <c r="H35" t="n">
        <v>197423</v>
      </c>
      <c r="I35" t="n">
        <v>0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0</v>
      </c>
    </row>
    <row r="36">
      <c r="A36" s="10" t="s">
        <v>76</v>
      </c>
      <c r="B36" s="10" t="s">
        <v>42</v>
      </c>
      <c r="C36" s="10" t="s">
        <v>43</v>
      </c>
      <c r="D36" s="10" t="s">
        <v>31</v>
      </c>
      <c r="E36" s="11" t="n">
        <v>45870</v>
      </c>
      <c r="F36" t="n">
        <v>197423</v>
      </c>
      <c r="H36" t="n">
        <v>197423</v>
      </c>
      <c r="I36" t="n">
        <v>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42</v>
      </c>
      <c r="C37" s="10" t="s">
        <v>43</v>
      </c>
      <c r="D37" s="10" t="s">
        <v>31</v>
      </c>
      <c r="E37" s="11" t="n">
        <v>45901</v>
      </c>
      <c r="F37" t="n">
        <v>197423</v>
      </c>
      <c r="H37" t="n">
        <v>197423</v>
      </c>
      <c r="I37" t="n">
        <v>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0</v>
      </c>
    </row>
    <row r="38">
      <c r="A38" s="10" t="s">
        <v>76</v>
      </c>
      <c r="B38" s="10" t="s">
        <v>42</v>
      </c>
      <c r="C38" s="10" t="s">
        <v>43</v>
      </c>
      <c r="D38" s="10" t="s">
        <v>31</v>
      </c>
      <c r="E38" s="11" t="n">
        <v>45931</v>
      </c>
      <c r="F38" t="n">
        <v>197423</v>
      </c>
      <c r="H38" t="n">
        <v>197423</v>
      </c>
      <c r="I38" t="n">
        <v>0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42</v>
      </c>
      <c r="C39" s="10" t="s">
        <v>43</v>
      </c>
      <c r="D39" s="10" t="s">
        <v>31</v>
      </c>
      <c r="E39" s="11" t="n">
        <v>45962</v>
      </c>
      <c r="F39" t="n">
        <v>197423</v>
      </c>
      <c r="H39" t="n">
        <v>197423</v>
      </c>
      <c r="I39" t="n">
        <v>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0</v>
      </c>
    </row>
    <row r="40">
      <c r="A40" s="10" t="s">
        <v>76</v>
      </c>
      <c r="B40" s="10" t="s">
        <v>42</v>
      </c>
      <c r="C40" s="10" t="s">
        <v>43</v>
      </c>
      <c r="D40" s="10" t="s">
        <v>31</v>
      </c>
      <c r="E40" s="11" t="n">
        <v>45992</v>
      </c>
      <c r="F40" t="n">
        <v>197423</v>
      </c>
      <c r="H40" t="n">
        <v>258958</v>
      </c>
      <c r="I40" t="n">
        <v>0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42</v>
      </c>
      <c r="C41" s="10" t="s">
        <v>43</v>
      </c>
      <c r="D41" s="10" t="s">
        <v>31</v>
      </c>
      <c r="E41" s="11" t="n">
        <v>46023</v>
      </c>
      <c r="F41" t="n">
        <v>258958</v>
      </c>
      <c r="H41" t="n">
        <v>258958</v>
      </c>
      <c r="I41" t="n">
        <v>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42</v>
      </c>
      <c r="C42" s="10" t="s">
        <v>43</v>
      </c>
      <c r="D42" s="10" t="s">
        <v>31</v>
      </c>
      <c r="E42" s="11" t="n">
        <v>46054</v>
      </c>
      <c r="F42" t="n">
        <v>258958</v>
      </c>
      <c r="H42" t="n">
        <v>258958</v>
      </c>
      <c r="I42" t="n">
        <v>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42</v>
      </c>
      <c r="C43" s="10" t="s">
        <v>43</v>
      </c>
      <c r="D43" s="10" t="s">
        <v>31</v>
      </c>
      <c r="E43" s="11" t="n">
        <v>46082</v>
      </c>
      <c r="F43" t="n">
        <v>258958</v>
      </c>
      <c r="H43" t="n">
        <v>258958</v>
      </c>
      <c r="I43" t="n">
        <v>0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42</v>
      </c>
      <c r="C44" s="10" t="s">
        <v>43</v>
      </c>
      <c r="D44" s="10" t="s">
        <v>31</v>
      </c>
      <c r="E44" s="11" t="n">
        <v>46113</v>
      </c>
      <c r="F44" t="n">
        <v>258958</v>
      </c>
      <c r="H44" t="n">
        <v>258958</v>
      </c>
      <c r="I44" t="n">
        <v>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42</v>
      </c>
      <c r="C45" s="10" t="s">
        <v>43</v>
      </c>
      <c r="D45" s="10" t="s">
        <v>31</v>
      </c>
      <c r="E45" s="11" t="n">
        <v>46143</v>
      </c>
      <c r="F45" t="n">
        <v>258958</v>
      </c>
      <c r="H45" t="n">
        <v>258958</v>
      </c>
      <c r="I45" t="n">
        <v>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42</v>
      </c>
      <c r="C46" s="10" t="s">
        <v>43</v>
      </c>
      <c r="D46" s="10" t="s">
        <v>31</v>
      </c>
      <c r="E46" s="11" t="n">
        <v>46174</v>
      </c>
      <c r="F46" t="n">
        <v>258958</v>
      </c>
      <c r="H46" t="n">
        <v>258958</v>
      </c>
      <c r="I46" t="n">
        <v>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42</v>
      </c>
      <c r="C47" s="10" t="s">
        <v>43</v>
      </c>
      <c r="D47" s="10" t="s">
        <v>31</v>
      </c>
      <c r="E47" s="11" t="n">
        <v>46204</v>
      </c>
      <c r="F47" t="n">
        <v>258958</v>
      </c>
      <c r="H47" t="n">
        <v>258958</v>
      </c>
      <c r="I47" t="n">
        <v>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42</v>
      </c>
      <c r="C48" s="10" t="s">
        <v>43</v>
      </c>
      <c r="D48" s="10" t="s">
        <v>31</v>
      </c>
      <c r="E48" s="11" t="n">
        <v>46235</v>
      </c>
      <c r="F48" t="n">
        <v>258958</v>
      </c>
      <c r="H48" t="n">
        <v>258958</v>
      </c>
      <c r="I48" t="n">
        <v>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42</v>
      </c>
      <c r="C49" s="10" t="s">
        <v>43</v>
      </c>
      <c r="D49" s="10" t="s">
        <v>31</v>
      </c>
      <c r="E49" s="11" t="n">
        <v>46266</v>
      </c>
      <c r="F49" t="n">
        <v>258958</v>
      </c>
      <c r="H49" t="n">
        <v>258958</v>
      </c>
      <c r="I49" t="n">
        <v>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42</v>
      </c>
      <c r="C50" s="10" t="s">
        <v>43</v>
      </c>
      <c r="D50" s="10" t="s">
        <v>31</v>
      </c>
      <c r="E50" s="11" t="n">
        <v>46296</v>
      </c>
      <c r="F50" t="n">
        <v>258958</v>
      </c>
      <c r="H50" t="n">
        <v>258958</v>
      </c>
      <c r="I50" t="n">
        <v>0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42</v>
      </c>
      <c r="C51" s="10" t="s">
        <v>43</v>
      </c>
      <c r="D51" s="10" t="s">
        <v>31</v>
      </c>
      <c r="E51" s="11" t="n">
        <v>46327</v>
      </c>
      <c r="F51" t="n">
        <v>258958</v>
      </c>
      <c r="H51" t="n">
        <v>258958</v>
      </c>
      <c r="I51" t="n">
        <v>0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42</v>
      </c>
      <c r="C52" s="10" t="s">
        <v>43</v>
      </c>
      <c r="D52" s="10" t="s">
        <v>31</v>
      </c>
      <c r="E52" s="11" t="n">
        <v>46357</v>
      </c>
      <c r="F52" t="n">
        <v>258958</v>
      </c>
      <c r="H52" t="n">
        <v>258958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42</v>
      </c>
      <c r="C53" s="10" t="s">
        <v>43</v>
      </c>
      <c r="D53" s="10" t="s">
        <v>31</v>
      </c>
      <c r="E53" s="11" t="n">
        <v>45689</v>
      </c>
      <c r="F53" t="n">
        <v>113300</v>
      </c>
      <c r="H53" t="n">
        <v>34618</v>
      </c>
      <c r="I53" t="n">
        <v>378682</v>
      </c>
      <c r="J53" s="10" t="s">
        <v>51</v>
      </c>
      <c r="K53" s="10" t="s">
        <v>51</v>
      </c>
      <c r="L53" s="10" t="s">
        <v>153</v>
      </c>
      <c r="M53" t="n">
        <v>300000</v>
      </c>
      <c r="O53" t="n">
        <v>285600</v>
      </c>
      <c r="P53" s="11" t="n">
        <v>45689</v>
      </c>
      <c r="S53" t="n">
        <v>6</v>
      </c>
      <c r="T53" t="n">
        <v>12</v>
      </c>
      <c r="U53" t="n">
        <v>12</v>
      </c>
      <c r="V53" t="n">
        <v>10.938875729389334</v>
      </c>
    </row>
    <row r="54">
      <c r="A54" s="10" t="s">
        <v>72</v>
      </c>
      <c r="B54" s="10" t="s">
        <v>42</v>
      </c>
      <c r="C54" s="10" t="s">
        <v>43</v>
      </c>
      <c r="D54" s="10" t="s">
        <v>31</v>
      </c>
      <c r="E54" s="11" t="n">
        <v>45717</v>
      </c>
      <c r="F54" t="n">
        <v>378682</v>
      </c>
      <c r="H54" t="n">
        <v>34618</v>
      </c>
      <c r="I54" t="n">
        <v>450864</v>
      </c>
      <c r="J54" s="10" t="s">
        <v>51</v>
      </c>
      <c r="K54" s="10" t="s">
        <v>51</v>
      </c>
      <c r="L54" s="10" t="s">
        <v>153</v>
      </c>
      <c r="M54" t="n">
        <v>106800</v>
      </c>
      <c r="O54" t="n">
        <v>90780</v>
      </c>
      <c r="P54" s="11" t="n">
        <v>45717</v>
      </c>
      <c r="S54" t="n">
        <v>6</v>
      </c>
      <c r="T54" t="n">
        <v>12</v>
      </c>
      <c r="U54" t="n">
        <v>12</v>
      </c>
      <c r="V54" t="n">
        <v>13.023975966260327</v>
      </c>
    </row>
    <row r="55">
      <c r="A55" s="10" t="s">
        <v>72</v>
      </c>
      <c r="B55" s="10" t="s">
        <v>42</v>
      </c>
      <c r="C55" s="10" t="s">
        <v>43</v>
      </c>
      <c r="D55" s="10" t="s">
        <v>31</v>
      </c>
      <c r="E55" s="11" t="n">
        <v>45748</v>
      </c>
      <c r="F55" t="n">
        <v>450864</v>
      </c>
      <c r="H55" t="n">
        <v>34618</v>
      </c>
      <c r="I55" t="n">
        <v>416246</v>
      </c>
      <c r="J55" s="10"/>
      <c r="K55" s="10"/>
      <c r="L55" s="10"/>
      <c r="P55" s="11"/>
      <c r="S55" t="n">
        <v>6</v>
      </c>
      <c r="T55" t="n">
        <v>12</v>
      </c>
      <c r="U55" t="n">
        <v>12</v>
      </c>
      <c r="V55" t="n">
        <v>12.023975966260327</v>
      </c>
    </row>
    <row r="56">
      <c r="A56" s="10" t="s">
        <v>72</v>
      </c>
      <c r="B56" s="10" t="s">
        <v>42</v>
      </c>
      <c r="C56" s="10" t="s">
        <v>43</v>
      </c>
      <c r="D56" s="10" t="s">
        <v>31</v>
      </c>
      <c r="E56" s="11" t="n">
        <v>45778</v>
      </c>
      <c r="F56" t="n">
        <v>416246</v>
      </c>
      <c r="H56" t="n">
        <v>34618</v>
      </c>
      <c r="I56" t="n">
        <v>381628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11.023975966260327</v>
      </c>
    </row>
    <row r="57">
      <c r="A57" s="10" t="s">
        <v>72</v>
      </c>
      <c r="B57" s="10" t="s">
        <v>42</v>
      </c>
      <c r="C57" s="10" t="s">
        <v>43</v>
      </c>
      <c r="D57" s="10" t="s">
        <v>31</v>
      </c>
      <c r="E57" s="11" t="n">
        <v>45809</v>
      </c>
      <c r="F57" t="n">
        <v>381628</v>
      </c>
      <c r="H57" t="n">
        <v>34618</v>
      </c>
      <c r="I57" t="n">
        <v>347010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10.023975966260327</v>
      </c>
    </row>
    <row r="58">
      <c r="A58" s="10" t="s">
        <v>72</v>
      </c>
      <c r="B58" s="10" t="s">
        <v>42</v>
      </c>
      <c r="C58" s="10" t="s">
        <v>43</v>
      </c>
      <c r="D58" s="10" t="s">
        <v>31</v>
      </c>
      <c r="E58" s="11" t="n">
        <v>45839</v>
      </c>
      <c r="F58" t="n">
        <v>347010</v>
      </c>
      <c r="H58" t="n">
        <v>34618</v>
      </c>
      <c r="I58" t="n">
        <v>312392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9.0239759662603269</v>
      </c>
    </row>
    <row r="59">
      <c r="A59" s="10" t="s">
        <v>72</v>
      </c>
      <c r="B59" s="10" t="s">
        <v>42</v>
      </c>
      <c r="C59" s="10" t="s">
        <v>43</v>
      </c>
      <c r="D59" s="10" t="s">
        <v>31</v>
      </c>
      <c r="E59" s="11" t="n">
        <v>45870</v>
      </c>
      <c r="F59" t="n">
        <v>312392</v>
      </c>
      <c r="H59" t="n">
        <v>34618</v>
      </c>
      <c r="I59" t="n">
        <v>277774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8.0239759662603269</v>
      </c>
    </row>
    <row r="60">
      <c r="A60" s="10" t="s">
        <v>72</v>
      </c>
      <c r="B60" s="10" t="s">
        <v>42</v>
      </c>
      <c r="C60" s="10" t="s">
        <v>43</v>
      </c>
      <c r="D60" s="10" t="s">
        <v>31</v>
      </c>
      <c r="E60" s="11" t="n">
        <v>45901</v>
      </c>
      <c r="F60" t="n">
        <v>277774</v>
      </c>
      <c r="H60" t="n">
        <v>34618</v>
      </c>
      <c r="I60" t="n">
        <v>990556</v>
      </c>
      <c r="J60" s="10" t="s">
        <v>51</v>
      </c>
      <c r="K60" s="10" t="s">
        <v>51</v>
      </c>
      <c r="L60" s="10" t="s">
        <v>147</v>
      </c>
      <c r="M60" t="n">
        <v>747400</v>
      </c>
      <c r="O60" t="n">
        <v>711525</v>
      </c>
      <c r="P60" s="11" t="n">
        <v>45901</v>
      </c>
      <c r="S60" t="n">
        <v>6</v>
      </c>
      <c r="T60" t="n">
        <v>12</v>
      </c>
      <c r="U60" t="n">
        <v>12</v>
      </c>
      <c r="V60" t="n">
        <v>28.613900283089723</v>
      </c>
    </row>
    <row r="61">
      <c r="A61" s="10" t="s">
        <v>72</v>
      </c>
      <c r="B61" s="10" t="s">
        <v>42</v>
      </c>
      <c r="C61" s="10" t="s">
        <v>43</v>
      </c>
      <c r="D61" s="10" t="s">
        <v>31</v>
      </c>
      <c r="E61" s="11" t="n">
        <v>45931</v>
      </c>
      <c r="F61" t="n">
        <v>990556</v>
      </c>
      <c r="H61" t="n">
        <v>34618</v>
      </c>
      <c r="I61" t="n">
        <v>955938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27.613900283089723</v>
      </c>
    </row>
    <row r="62">
      <c r="A62" s="10" t="s">
        <v>72</v>
      </c>
      <c r="B62" s="10" t="s">
        <v>42</v>
      </c>
      <c r="C62" s="10" t="s">
        <v>43</v>
      </c>
      <c r="D62" s="10" t="s">
        <v>31</v>
      </c>
      <c r="E62" s="11" t="n">
        <v>45962</v>
      </c>
      <c r="F62" t="n">
        <v>955938</v>
      </c>
      <c r="H62" t="n">
        <v>34618</v>
      </c>
      <c r="I62" t="n">
        <v>921320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26.613900283089723</v>
      </c>
    </row>
    <row r="63">
      <c r="A63" s="10" t="s">
        <v>72</v>
      </c>
      <c r="B63" s="10" t="s">
        <v>42</v>
      </c>
      <c r="C63" s="10" t="s">
        <v>43</v>
      </c>
      <c r="D63" s="10" t="s">
        <v>31</v>
      </c>
      <c r="E63" s="11" t="n">
        <v>45992</v>
      </c>
      <c r="F63" t="n">
        <v>921320</v>
      </c>
      <c r="H63" t="n">
        <v>34618</v>
      </c>
      <c r="I63" t="n">
        <v>886702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25.613900283089723</v>
      </c>
    </row>
    <row r="64">
      <c r="A64" s="10" t="s">
        <v>72</v>
      </c>
      <c r="B64" s="10" t="s">
        <v>42</v>
      </c>
      <c r="C64" s="10" t="s">
        <v>43</v>
      </c>
      <c r="D64" s="10" t="s">
        <v>31</v>
      </c>
      <c r="E64" s="11" t="n">
        <v>46023</v>
      </c>
      <c r="F64" t="n">
        <v>886702</v>
      </c>
      <c r="H64" t="n">
        <v>34618</v>
      </c>
      <c r="I64" t="n">
        <v>852084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24.613900283089723</v>
      </c>
    </row>
    <row r="65">
      <c r="A65" s="10" t="s">
        <v>72</v>
      </c>
      <c r="B65" s="10" t="s">
        <v>42</v>
      </c>
      <c r="C65" s="10" t="s">
        <v>43</v>
      </c>
      <c r="D65" s="10" t="s">
        <v>31</v>
      </c>
      <c r="E65" s="11" t="n">
        <v>46054</v>
      </c>
      <c r="F65" t="n">
        <v>852084</v>
      </c>
      <c r="H65" t="n">
        <v>34618</v>
      </c>
      <c r="I65" t="n">
        <v>817466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23.613900283089723</v>
      </c>
    </row>
    <row r="66">
      <c r="A66" s="10" t="s">
        <v>72</v>
      </c>
      <c r="B66" s="10" t="s">
        <v>42</v>
      </c>
      <c r="C66" s="10" t="s">
        <v>43</v>
      </c>
      <c r="D66" s="10" t="s">
        <v>31</v>
      </c>
      <c r="E66" s="11" t="n">
        <v>46082</v>
      </c>
      <c r="F66" t="n">
        <v>817466</v>
      </c>
      <c r="H66" t="n">
        <v>34618</v>
      </c>
      <c r="I66" t="n">
        <v>782848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22.613900283089723</v>
      </c>
    </row>
    <row r="67">
      <c r="A67" s="10" t="s">
        <v>72</v>
      </c>
      <c r="B67" s="10" t="s">
        <v>42</v>
      </c>
      <c r="C67" s="10" t="s">
        <v>43</v>
      </c>
      <c r="D67" s="10" t="s">
        <v>31</v>
      </c>
      <c r="E67" s="11" t="n">
        <v>46113</v>
      </c>
      <c r="F67" t="n">
        <v>782848</v>
      </c>
      <c r="H67" t="n">
        <v>34618</v>
      </c>
      <c r="I67" t="n">
        <v>748230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21.613900283089723</v>
      </c>
    </row>
    <row r="68">
      <c r="A68" s="10" t="s">
        <v>72</v>
      </c>
      <c r="B68" s="10" t="s">
        <v>42</v>
      </c>
      <c r="C68" s="10" t="s">
        <v>43</v>
      </c>
      <c r="D68" s="10" t="s">
        <v>31</v>
      </c>
      <c r="E68" s="11" t="n">
        <v>46143</v>
      </c>
      <c r="F68" t="n">
        <v>748230</v>
      </c>
      <c r="H68" t="n">
        <v>34618</v>
      </c>
      <c r="I68" t="n">
        <v>713612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20.613900283089723</v>
      </c>
    </row>
    <row r="69">
      <c r="A69" s="10" t="s">
        <v>72</v>
      </c>
      <c r="B69" s="10" t="s">
        <v>42</v>
      </c>
      <c r="C69" s="10" t="s">
        <v>43</v>
      </c>
      <c r="D69" s="10" t="s">
        <v>31</v>
      </c>
      <c r="E69" s="11" t="n">
        <v>46174</v>
      </c>
      <c r="F69" t="n">
        <v>713612</v>
      </c>
      <c r="H69" t="n">
        <v>34618</v>
      </c>
      <c r="I69" t="n">
        <v>678994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19.613900283089723</v>
      </c>
    </row>
    <row r="70">
      <c r="A70" s="10" t="s">
        <v>72</v>
      </c>
      <c r="B70" s="10" t="s">
        <v>42</v>
      </c>
      <c r="C70" s="10" t="s">
        <v>43</v>
      </c>
      <c r="D70" s="10" t="s">
        <v>31</v>
      </c>
      <c r="E70" s="11" t="n">
        <v>46204</v>
      </c>
      <c r="F70" t="n">
        <v>678994</v>
      </c>
      <c r="H70" t="n">
        <v>34618</v>
      </c>
      <c r="I70" t="n">
        <v>644376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18.613900283089723</v>
      </c>
    </row>
    <row r="71">
      <c r="A71" s="10" t="s">
        <v>72</v>
      </c>
      <c r="B71" s="10" t="s">
        <v>42</v>
      </c>
      <c r="C71" s="10" t="s">
        <v>43</v>
      </c>
      <c r="D71" s="10" t="s">
        <v>31</v>
      </c>
      <c r="E71" s="11" t="n">
        <v>46235</v>
      </c>
      <c r="F71" t="n">
        <v>644376</v>
      </c>
      <c r="H71" t="n">
        <v>34618</v>
      </c>
      <c r="I71" t="n">
        <v>609758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17.613900283089723</v>
      </c>
    </row>
    <row r="72">
      <c r="A72" s="10" t="s">
        <v>72</v>
      </c>
      <c r="B72" s="10" t="s">
        <v>42</v>
      </c>
      <c r="C72" s="10" t="s">
        <v>43</v>
      </c>
      <c r="D72" s="10" t="s">
        <v>31</v>
      </c>
      <c r="E72" s="11" t="n">
        <v>46266</v>
      </c>
      <c r="F72" t="n">
        <v>609758</v>
      </c>
      <c r="H72" t="n">
        <v>34618</v>
      </c>
      <c r="I72" t="n">
        <v>575140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16.613900283089723</v>
      </c>
    </row>
    <row r="73">
      <c r="A73" s="10" t="s">
        <v>72</v>
      </c>
      <c r="B73" s="10" t="s">
        <v>42</v>
      </c>
      <c r="C73" s="10" t="s">
        <v>43</v>
      </c>
      <c r="D73" s="10" t="s">
        <v>31</v>
      </c>
      <c r="E73" s="11" t="n">
        <v>46296</v>
      </c>
      <c r="F73" t="n">
        <v>575140</v>
      </c>
      <c r="H73" t="n">
        <v>34618</v>
      </c>
      <c r="I73" t="n">
        <v>540522</v>
      </c>
      <c r="J73" s="10"/>
      <c r="K73" s="10"/>
      <c r="L73" s="10"/>
      <c r="P73" s="11"/>
      <c r="S73" t="n">
        <v>6</v>
      </c>
      <c r="T73" t="n">
        <v>12</v>
      </c>
      <c r="U73" t="n">
        <v>12</v>
      </c>
      <c r="V73" t="n">
        <v>15.613900283089722</v>
      </c>
    </row>
    <row r="74">
      <c r="A74" s="10" t="s">
        <v>72</v>
      </c>
      <c r="B74" s="10" t="s">
        <v>42</v>
      </c>
      <c r="C74" s="10" t="s">
        <v>43</v>
      </c>
      <c r="D74" s="10" t="s">
        <v>31</v>
      </c>
      <c r="E74" s="11" t="n">
        <v>46327</v>
      </c>
      <c r="F74" t="n">
        <v>540522</v>
      </c>
      <c r="H74" t="n">
        <v>34618</v>
      </c>
      <c r="I74" t="n">
        <v>505904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14.613900283089722</v>
      </c>
    </row>
    <row r="75">
      <c r="A75" s="10" t="s">
        <v>72</v>
      </c>
      <c r="B75" s="10" t="s">
        <v>42</v>
      </c>
      <c r="C75" s="10" t="s">
        <v>43</v>
      </c>
      <c r="D75" s="10" t="s">
        <v>31</v>
      </c>
      <c r="E75" s="11" t="n">
        <v>46357</v>
      </c>
      <c r="F75" t="n">
        <v>505904</v>
      </c>
      <c r="H75" t="n">
        <v>34618</v>
      </c>
      <c r="I75" t="n">
        <v>471286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13.613900283089722</v>
      </c>
    </row>
    <row r="76">
      <c r="A76" s="10" t="s">
        <v>77</v>
      </c>
      <c r="B76" s="10" t="s">
        <v>42</v>
      </c>
      <c r="C76" s="10" t="s">
        <v>43</v>
      </c>
      <c r="D76" s="10" t="s">
        <v>31</v>
      </c>
      <c r="E76" s="11" t="n">
        <v>45839</v>
      </c>
      <c r="F76" t="n">
        <v>501800</v>
      </c>
      <c r="H76" t="n">
        <v>66627</v>
      </c>
      <c r="I76" t="n">
        <v>435173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6.5314812313326431</v>
      </c>
    </row>
    <row r="77">
      <c r="A77" s="10" t="s">
        <v>77</v>
      </c>
      <c r="B77" s="10" t="s">
        <v>42</v>
      </c>
      <c r="C77" s="10" t="s">
        <v>43</v>
      </c>
      <c r="D77" s="10" t="s">
        <v>31</v>
      </c>
      <c r="E77" s="11" t="n">
        <v>45870</v>
      </c>
      <c r="F77" t="n">
        <v>435173</v>
      </c>
      <c r="H77" t="n">
        <v>66627</v>
      </c>
      <c r="I77" t="n">
        <v>368546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5.5314812313326431</v>
      </c>
    </row>
    <row r="78">
      <c r="A78" s="10" t="s">
        <v>77</v>
      </c>
      <c r="B78" s="10" t="s">
        <v>42</v>
      </c>
      <c r="C78" s="10" t="s">
        <v>43</v>
      </c>
      <c r="D78" s="10" t="s">
        <v>31</v>
      </c>
      <c r="E78" s="11" t="n">
        <v>45901</v>
      </c>
      <c r="F78" t="n">
        <v>368546</v>
      </c>
      <c r="H78" t="n">
        <v>66627</v>
      </c>
      <c r="I78" t="n">
        <v>301919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4.5314812313326431</v>
      </c>
    </row>
    <row r="79">
      <c r="A79" s="10" t="s">
        <v>77</v>
      </c>
      <c r="B79" s="10" t="s">
        <v>42</v>
      </c>
      <c r="C79" s="10" t="s">
        <v>43</v>
      </c>
      <c r="D79" s="10" t="s">
        <v>31</v>
      </c>
      <c r="E79" s="11" t="n">
        <v>45931</v>
      </c>
      <c r="F79" t="n">
        <v>301919</v>
      </c>
      <c r="H79" t="n">
        <v>66627</v>
      </c>
      <c r="I79" t="n">
        <v>235292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3.5314812313326431</v>
      </c>
    </row>
    <row r="80">
      <c r="A80" s="10" t="s">
        <v>77</v>
      </c>
      <c r="B80" s="10" t="s">
        <v>42</v>
      </c>
      <c r="C80" s="10" t="s">
        <v>43</v>
      </c>
      <c r="D80" s="10" t="s">
        <v>31</v>
      </c>
      <c r="E80" s="11" t="n">
        <v>45962</v>
      </c>
      <c r="F80" t="n">
        <v>235292</v>
      </c>
      <c r="H80" t="n">
        <v>66627</v>
      </c>
      <c r="I80" t="n">
        <v>168665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2.5314812313326431</v>
      </c>
    </row>
    <row r="81">
      <c r="A81" s="10" t="s">
        <v>77</v>
      </c>
      <c r="B81" s="10" t="s">
        <v>42</v>
      </c>
      <c r="C81" s="10" t="s">
        <v>43</v>
      </c>
      <c r="D81" s="10" t="s">
        <v>31</v>
      </c>
      <c r="E81" s="11" t="n">
        <v>45992</v>
      </c>
      <c r="F81" t="n">
        <v>168665</v>
      </c>
      <c r="H81" t="n">
        <v>66627</v>
      </c>
      <c r="I81" t="n">
        <v>102038</v>
      </c>
      <c r="J81" s="10"/>
      <c r="K81" s="10"/>
      <c r="L81" s="10"/>
      <c r="P81" s="11"/>
      <c r="S81" t="n">
        <v>6</v>
      </c>
      <c r="T81" t="n">
        <v>12</v>
      </c>
      <c r="U81" t="n">
        <v>12</v>
      </c>
      <c r="V81" t="n">
        <v>1.5314812313326429</v>
      </c>
    </row>
    <row r="82">
      <c r="A82" s="10" t="s">
        <v>77</v>
      </c>
      <c r="B82" s="10" t="s">
        <v>42</v>
      </c>
      <c r="C82" s="10" t="s">
        <v>43</v>
      </c>
      <c r="D82" s="10" t="s">
        <v>31</v>
      </c>
      <c r="E82" s="11" t="n">
        <v>46023</v>
      </c>
      <c r="F82" t="n">
        <v>102038</v>
      </c>
      <c r="H82" t="n">
        <v>66627</v>
      </c>
      <c r="I82" t="n">
        <v>35411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0.53148123133264291</v>
      </c>
    </row>
    <row r="83">
      <c r="A83" s="10" t="s">
        <v>77</v>
      </c>
      <c r="B83" s="10" t="s">
        <v>42</v>
      </c>
      <c r="C83" s="10" t="s">
        <v>43</v>
      </c>
      <c r="D83" s="10" t="s">
        <v>31</v>
      </c>
      <c r="E83" s="11" t="n">
        <v>46054</v>
      </c>
      <c r="F83" t="n">
        <v>35411</v>
      </c>
      <c r="H83" t="n">
        <v>66627</v>
      </c>
      <c r="I83" t="n">
        <v>0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0</v>
      </c>
    </row>
    <row r="84">
      <c r="A84" s="10" t="s">
        <v>77</v>
      </c>
      <c r="B84" s="10" t="s">
        <v>42</v>
      </c>
      <c r="C84" s="10" t="s">
        <v>43</v>
      </c>
      <c r="D84" s="10" t="s">
        <v>31</v>
      </c>
      <c r="E84" s="11" t="n">
        <v>46082</v>
      </c>
      <c r="F84" t="n">
        <v>0</v>
      </c>
      <c r="H84" t="n">
        <v>66627</v>
      </c>
      <c r="I84" t="n">
        <v>0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0</v>
      </c>
    </row>
    <row r="85">
      <c r="A85" s="10" t="s">
        <v>77</v>
      </c>
      <c r="B85" s="10" t="s">
        <v>42</v>
      </c>
      <c r="C85" s="10" t="s">
        <v>43</v>
      </c>
      <c r="D85" s="10" t="s">
        <v>31</v>
      </c>
      <c r="E85" s="11" t="n">
        <v>46113</v>
      </c>
      <c r="F85" t="n">
        <v>0</v>
      </c>
      <c r="H85" t="n">
        <v>66627</v>
      </c>
      <c r="I85" t="n">
        <v>0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0</v>
      </c>
    </row>
    <row r="86">
      <c r="A86" s="10" t="s">
        <v>77</v>
      </c>
      <c r="B86" s="10" t="s">
        <v>42</v>
      </c>
      <c r="C86" s="10" t="s">
        <v>43</v>
      </c>
      <c r="D86" s="10" t="s">
        <v>31</v>
      </c>
      <c r="E86" s="11" t="n">
        <v>46143</v>
      </c>
      <c r="F86" t="n">
        <v>0</v>
      </c>
      <c r="H86" t="n">
        <v>66627</v>
      </c>
      <c r="I86" t="n">
        <v>0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0</v>
      </c>
    </row>
    <row r="87">
      <c r="A87" s="10" t="s">
        <v>77</v>
      </c>
      <c r="B87" s="10" t="s">
        <v>42</v>
      </c>
      <c r="C87" s="10" t="s">
        <v>43</v>
      </c>
      <c r="D87" s="10" t="s">
        <v>31</v>
      </c>
      <c r="E87" s="11" t="n">
        <v>46174</v>
      </c>
      <c r="F87" t="n">
        <v>0</v>
      </c>
      <c r="H87" t="n">
        <v>66627</v>
      </c>
      <c r="I87" t="n">
        <v>0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74</v>
      </c>
      <c r="B88" s="10" t="s">
        <v>42</v>
      </c>
      <c r="C88" s="10" t="s">
        <v>43</v>
      </c>
      <c r="D88" s="10" t="s">
        <v>31</v>
      </c>
      <c r="E88" s="11" t="n">
        <v>45870</v>
      </c>
      <c r="F88" t="n">
        <v>2530800</v>
      </c>
      <c r="H88" t="n">
        <v>210000</v>
      </c>
      <c r="I88" t="n">
        <v>3870800</v>
      </c>
      <c r="J88" s="10" t="s">
        <v>51</v>
      </c>
      <c r="K88" s="10" t="s">
        <v>51</v>
      </c>
      <c r="L88" s="10" t="s">
        <v>154</v>
      </c>
      <c r="M88" t="n">
        <v>1550000</v>
      </c>
      <c r="P88" s="11"/>
      <c r="S88" t="n">
        <v>3</v>
      </c>
      <c r="T88" t="n">
        <v>6</v>
      </c>
      <c r="U88" t="n">
        <v>6</v>
      </c>
      <c r="V88" t="n">
        <v>18.432380952380953</v>
      </c>
    </row>
    <row r="89">
      <c r="A89" s="10" t="s">
        <v>74</v>
      </c>
      <c r="B89" s="10" t="s">
        <v>42</v>
      </c>
      <c r="C89" s="10" t="s">
        <v>43</v>
      </c>
      <c r="D89" s="10" t="s">
        <v>31</v>
      </c>
      <c r="E89" s="11" t="n">
        <v>45901</v>
      </c>
      <c r="F89" t="n">
        <v>3870800</v>
      </c>
      <c r="H89" t="n">
        <v>210000</v>
      </c>
      <c r="I89" t="n">
        <v>3706400</v>
      </c>
      <c r="J89" s="10" t="s">
        <v>51</v>
      </c>
      <c r="K89" s="10" t="s">
        <v>51</v>
      </c>
      <c r="L89" s="10" t="s">
        <v>147</v>
      </c>
      <c r="M89" t="n">
        <v>45600</v>
      </c>
      <c r="P89" s="11"/>
      <c r="S89" t="n">
        <v>3</v>
      </c>
      <c r="T89" t="n">
        <v>6</v>
      </c>
      <c r="U89" t="n">
        <v>6</v>
      </c>
      <c r="V89" t="n">
        <v>17.64952380952381</v>
      </c>
    </row>
    <row r="90">
      <c r="A90" s="10" t="s">
        <v>74</v>
      </c>
      <c r="B90" s="10" t="s">
        <v>42</v>
      </c>
      <c r="C90" s="10" t="s">
        <v>43</v>
      </c>
      <c r="D90" s="10" t="s">
        <v>31</v>
      </c>
      <c r="E90" s="11" t="n">
        <v>45931</v>
      </c>
      <c r="F90" t="n">
        <v>3706400</v>
      </c>
      <c r="H90" t="n">
        <v>210000</v>
      </c>
      <c r="I90" t="n">
        <v>3496400</v>
      </c>
      <c r="J90" s="10"/>
      <c r="K90" s="10"/>
      <c r="L90" s="10"/>
      <c r="P90" s="11"/>
      <c r="S90" t="n">
        <v>3</v>
      </c>
      <c r="T90" t="n">
        <v>6</v>
      </c>
      <c r="U90" t="n">
        <v>6</v>
      </c>
      <c r="V90" t="n">
        <v>16.64952380952381</v>
      </c>
    </row>
    <row r="91">
      <c r="A91" s="10" t="s">
        <v>74</v>
      </c>
      <c r="B91" s="10" t="s">
        <v>42</v>
      </c>
      <c r="C91" s="10" t="s">
        <v>43</v>
      </c>
      <c r="D91" s="10" t="s">
        <v>31</v>
      </c>
      <c r="E91" s="11" t="n">
        <v>45962</v>
      </c>
      <c r="F91" t="n">
        <v>3496400</v>
      </c>
      <c r="H91" t="n">
        <v>210000</v>
      </c>
      <c r="I91" t="n">
        <v>3286400</v>
      </c>
      <c r="J91" s="10"/>
      <c r="K91" s="10"/>
      <c r="L91" s="10"/>
      <c r="P91" s="11"/>
      <c r="S91" t="n">
        <v>3</v>
      </c>
      <c r="T91" t="n">
        <v>6</v>
      </c>
      <c r="U91" t="n">
        <v>6</v>
      </c>
      <c r="V91" t="n">
        <v>15.64952380952381</v>
      </c>
    </row>
    <row r="92">
      <c r="A92" s="10" t="s">
        <v>74</v>
      </c>
      <c r="B92" s="10" t="s">
        <v>42</v>
      </c>
      <c r="C92" s="10" t="s">
        <v>43</v>
      </c>
      <c r="D92" s="10" t="s">
        <v>31</v>
      </c>
      <c r="E92" s="11" t="n">
        <v>45992</v>
      </c>
      <c r="F92" t="n">
        <v>3286400</v>
      </c>
      <c r="H92" t="n">
        <v>210000</v>
      </c>
      <c r="I92" t="n">
        <v>3076400</v>
      </c>
      <c r="J92" s="10"/>
      <c r="K92" s="10"/>
      <c r="L92" s="10"/>
      <c r="P92" s="11"/>
      <c r="S92" t="n">
        <v>3</v>
      </c>
      <c r="T92" t="n">
        <v>6</v>
      </c>
      <c r="U92" t="n">
        <v>6</v>
      </c>
      <c r="V92" t="n">
        <v>14.64952380952381</v>
      </c>
    </row>
    <row r="93">
      <c r="A93" s="10" t="s">
        <v>74</v>
      </c>
      <c r="B93" s="10" t="s">
        <v>42</v>
      </c>
      <c r="C93" s="10" t="s">
        <v>43</v>
      </c>
      <c r="D93" s="10" t="s">
        <v>31</v>
      </c>
      <c r="E93" s="11" t="n">
        <v>46023</v>
      </c>
      <c r="F93" t="n">
        <v>3076400</v>
      </c>
      <c r="H93" t="n">
        <v>210000</v>
      </c>
      <c r="I93" t="n">
        <v>2866400</v>
      </c>
      <c r="J93" s="10"/>
      <c r="K93" s="10"/>
      <c r="L93" s="10"/>
      <c r="P93" s="11"/>
      <c r="S93" t="n">
        <v>3</v>
      </c>
      <c r="T93" t="n">
        <v>6</v>
      </c>
      <c r="U93" t="n">
        <v>6</v>
      </c>
      <c r="V93" t="n">
        <v>13.64952380952381</v>
      </c>
    </row>
    <row r="94">
      <c r="A94" s="10" t="s">
        <v>74</v>
      </c>
      <c r="B94" s="10" t="s">
        <v>42</v>
      </c>
      <c r="C94" s="10" t="s">
        <v>43</v>
      </c>
      <c r="D94" s="10" t="s">
        <v>31</v>
      </c>
      <c r="E94" s="11" t="n">
        <v>46054</v>
      </c>
      <c r="F94" t="n">
        <v>2866400</v>
      </c>
      <c r="H94" t="n">
        <v>210000</v>
      </c>
      <c r="I94" t="n">
        <v>2656400</v>
      </c>
      <c r="J94" s="10"/>
      <c r="K94" s="10"/>
      <c r="L94" s="10"/>
      <c r="P94" s="11"/>
      <c r="S94" t="n">
        <v>3</v>
      </c>
      <c r="T94" t="n">
        <v>6</v>
      </c>
      <c r="U94" t="n">
        <v>6</v>
      </c>
      <c r="V94" t="n">
        <v>12.64952380952381</v>
      </c>
    </row>
    <row r="95">
      <c r="A95" s="10" t="s">
        <v>74</v>
      </c>
      <c r="B95" s="10" t="s">
        <v>42</v>
      </c>
      <c r="C95" s="10" t="s">
        <v>43</v>
      </c>
      <c r="D95" s="10" t="s">
        <v>31</v>
      </c>
      <c r="E95" s="11" t="n">
        <v>46082</v>
      </c>
      <c r="F95" t="n">
        <v>2656400</v>
      </c>
      <c r="H95" t="n">
        <v>210000</v>
      </c>
      <c r="I95" t="n">
        <v>2446400</v>
      </c>
      <c r="J95" s="10"/>
      <c r="K95" s="10"/>
      <c r="L95" s="10"/>
      <c r="P95" s="11"/>
      <c r="S95" t="n">
        <v>3</v>
      </c>
      <c r="T95" t="n">
        <v>6</v>
      </c>
      <c r="U95" t="n">
        <v>6</v>
      </c>
      <c r="V95" t="n">
        <v>11.64952380952381</v>
      </c>
    </row>
    <row r="96">
      <c r="A96" s="10" t="s">
        <v>74</v>
      </c>
      <c r="B96" s="10" t="s">
        <v>42</v>
      </c>
      <c r="C96" s="10" t="s">
        <v>43</v>
      </c>
      <c r="D96" s="10" t="s">
        <v>31</v>
      </c>
      <c r="E96" s="11" t="n">
        <v>46113</v>
      </c>
      <c r="F96" t="n">
        <v>2446400</v>
      </c>
      <c r="H96" t="n">
        <v>210000</v>
      </c>
      <c r="I96" t="n">
        <v>2236400</v>
      </c>
      <c r="J96" s="10"/>
      <c r="K96" s="10"/>
      <c r="L96" s="10"/>
      <c r="P96" s="11"/>
      <c r="S96" t="n">
        <v>3</v>
      </c>
      <c r="T96" t="n">
        <v>6</v>
      </c>
      <c r="U96" t="n">
        <v>6</v>
      </c>
      <c r="V96" t="n">
        <v>10.64952380952381</v>
      </c>
    </row>
    <row r="97">
      <c r="A97" s="10" t="s">
        <v>74</v>
      </c>
      <c r="B97" s="10" t="s">
        <v>42</v>
      </c>
      <c r="C97" s="10" t="s">
        <v>43</v>
      </c>
      <c r="D97" s="10" t="s">
        <v>31</v>
      </c>
      <c r="E97" s="11" t="n">
        <v>46143</v>
      </c>
      <c r="F97" t="n">
        <v>2236400</v>
      </c>
      <c r="H97" t="n">
        <v>210000</v>
      </c>
      <c r="I97" t="n">
        <v>2811000</v>
      </c>
      <c r="J97" s="10" t="s">
        <v>2</v>
      </c>
      <c r="K97" s="10" t="s">
        <v>2</v>
      </c>
      <c r="L97" s="10" t="s">
        <v>4</v>
      </c>
      <c r="M97" t="n">
        <v>784600</v>
      </c>
      <c r="P97" s="11"/>
      <c r="S97" t="n">
        <v>3</v>
      </c>
      <c r="T97" t="n">
        <v>6</v>
      </c>
      <c r="U97" t="n">
        <v>6</v>
      </c>
      <c r="V97" t="n">
        <v>13.385714285714286</v>
      </c>
    </row>
    <row r="98">
      <c r="A98" s="10" t="s">
        <v>74</v>
      </c>
      <c r="B98" s="10" t="s">
        <v>42</v>
      </c>
      <c r="C98" s="10" t="s">
        <v>43</v>
      </c>
      <c r="D98" s="10" t="s">
        <v>31</v>
      </c>
      <c r="E98" s="11" t="n">
        <v>46174</v>
      </c>
      <c r="F98" t="n">
        <v>2811000</v>
      </c>
      <c r="H98" t="n">
        <v>210000</v>
      </c>
      <c r="I98" t="n">
        <v>2601000</v>
      </c>
      <c r="J98" s="10"/>
      <c r="K98" s="10"/>
      <c r="L98" s="10"/>
      <c r="P98" s="11"/>
      <c r="S98" t="n">
        <v>3</v>
      </c>
      <c r="T98" t="n">
        <v>6</v>
      </c>
      <c r="U98" t="n">
        <v>6</v>
      </c>
      <c r="V98" t="n">
        <v>12.385714285714286</v>
      </c>
    </row>
    <row r="99">
      <c r="A99" s="10" t="s">
        <v>74</v>
      </c>
      <c r="B99" s="10" t="s">
        <v>42</v>
      </c>
      <c r="C99" s="10" t="s">
        <v>43</v>
      </c>
      <c r="D99" s="10" t="s">
        <v>31</v>
      </c>
      <c r="E99" s="11" t="n">
        <v>46204</v>
      </c>
      <c r="F99" t="n">
        <v>2601000</v>
      </c>
      <c r="H99" t="n">
        <v>210000</v>
      </c>
      <c r="I99" t="n">
        <v>2633800</v>
      </c>
      <c r="J99" s="10" t="s">
        <v>2</v>
      </c>
      <c r="K99" s="10" t="s">
        <v>2</v>
      </c>
      <c r="L99" s="10" t="s">
        <v>4</v>
      </c>
      <c r="M99" t="n">
        <v>242800</v>
      </c>
      <c r="P99" s="11"/>
      <c r="S99" t="n">
        <v>3</v>
      </c>
      <c r="T99" t="n">
        <v>6</v>
      </c>
      <c r="U99" t="n">
        <v>6</v>
      </c>
      <c r="V99" t="n">
        <v>12.541904761904762</v>
      </c>
    </row>
    <row r="100">
      <c r="A100" s="10" t="s">
        <v>74</v>
      </c>
      <c r="B100" s="10" t="s">
        <v>42</v>
      </c>
      <c r="C100" s="10" t="s">
        <v>43</v>
      </c>
      <c r="D100" s="10" t="s">
        <v>31</v>
      </c>
      <c r="E100" s="11" t="n">
        <v>46235</v>
      </c>
      <c r="F100" t="n">
        <v>2633800</v>
      </c>
      <c r="H100" t="n">
        <v>210000</v>
      </c>
      <c r="I100" t="n">
        <v>2823800</v>
      </c>
      <c r="J100" s="10" t="s">
        <v>2</v>
      </c>
      <c r="K100" s="10" t="s">
        <v>2</v>
      </c>
      <c r="L100" s="10" t="s">
        <v>4</v>
      </c>
      <c r="M100" t="n">
        <v>400000</v>
      </c>
      <c r="P100" s="11"/>
      <c r="S100" t="n">
        <v>3</v>
      </c>
      <c r="T100" t="n">
        <v>6</v>
      </c>
      <c r="U100" t="n">
        <v>6</v>
      </c>
      <c r="V100" t="n">
        <v>13.446666666666667</v>
      </c>
    </row>
    <row r="101">
      <c r="A101" s="10" t="s">
        <v>166</v>
      </c>
      <c r="B101" s="10" t="s">
        <v>42</v>
      </c>
      <c r="C101" s="10" t="s">
        <v>43</v>
      </c>
      <c r="D101" s="10" t="s">
        <v>31</v>
      </c>
      <c r="E101" s="11" t="n">
        <v>45748</v>
      </c>
      <c r="F101" t="n">
        <v>31200</v>
      </c>
      <c r="H101" t="n">
        <v>6178</v>
      </c>
      <c r="I101" t="n">
        <v>25022</v>
      </c>
      <c r="J101" s="10"/>
      <c r="K101" s="10"/>
      <c r="L101" s="10"/>
      <c r="P101" s="11"/>
      <c r="V101" t="n">
        <v>4.0501780511492393</v>
      </c>
    </row>
    <row r="102">
      <c r="A102" s="10" t="s">
        <v>166</v>
      </c>
      <c r="B102" s="10" t="s">
        <v>42</v>
      </c>
      <c r="C102" s="10" t="s">
        <v>43</v>
      </c>
      <c r="D102" s="10" t="s">
        <v>31</v>
      </c>
      <c r="E102" s="11" t="n">
        <v>45778</v>
      </c>
      <c r="F102" t="n">
        <v>25022</v>
      </c>
      <c r="H102" t="n">
        <v>6178</v>
      </c>
      <c r="I102" t="n">
        <v>18844</v>
      </c>
      <c r="J102" s="10"/>
      <c r="K102" s="10"/>
      <c r="L102" s="10"/>
      <c r="P102" s="11"/>
      <c r="V102" t="n">
        <v>3.0501780511492393</v>
      </c>
    </row>
    <row r="103">
      <c r="A103" s="10" t="s">
        <v>166</v>
      </c>
      <c r="B103" s="10" t="s">
        <v>42</v>
      </c>
      <c r="C103" s="10" t="s">
        <v>43</v>
      </c>
      <c r="D103" s="10" t="s">
        <v>31</v>
      </c>
      <c r="E103" s="11" t="n">
        <v>45809</v>
      </c>
      <c r="F103" t="n">
        <v>18844</v>
      </c>
      <c r="H103" t="n">
        <v>6178</v>
      </c>
      <c r="I103" t="n">
        <v>32666</v>
      </c>
      <c r="J103" s="10"/>
      <c r="K103" s="10"/>
      <c r="L103" s="10"/>
      <c r="M103" t="n">
        <v>20000</v>
      </c>
      <c r="P103" s="11"/>
      <c r="V103" t="n">
        <v>5.2874716736808027</v>
      </c>
    </row>
    <row r="104">
      <c r="A104" s="10" t="s">
        <v>166</v>
      </c>
      <c r="B104" s="10" t="s">
        <v>42</v>
      </c>
      <c r="C104" s="10" t="s">
        <v>43</v>
      </c>
      <c r="D104" s="10" t="s">
        <v>31</v>
      </c>
      <c r="E104" s="11" t="n">
        <v>45839</v>
      </c>
      <c r="F104" t="n">
        <v>32666</v>
      </c>
      <c r="H104" t="n">
        <v>6178</v>
      </c>
      <c r="I104" t="n">
        <v>26488</v>
      </c>
      <c r="J104" s="10"/>
      <c r="K104" s="10"/>
      <c r="L104" s="10"/>
      <c r="P104" s="11"/>
      <c r="V104" t="n">
        <v>4.2874716736808027</v>
      </c>
    </row>
    <row r="105">
      <c r="A105" s="10" t="s">
        <v>166</v>
      </c>
      <c r="B105" s="10" t="s">
        <v>42</v>
      </c>
      <c r="C105" s="10" t="s">
        <v>43</v>
      </c>
      <c r="D105" s="10" t="s">
        <v>31</v>
      </c>
      <c r="E105" s="11" t="n">
        <v>45870</v>
      </c>
      <c r="F105" t="n">
        <v>26488</v>
      </c>
      <c r="H105" t="n">
        <v>6178</v>
      </c>
      <c r="I105" t="n">
        <v>20310</v>
      </c>
      <c r="J105" s="10"/>
      <c r="K105" s="10"/>
      <c r="L105" s="10"/>
      <c r="P105" s="11"/>
      <c r="V105" t="n">
        <v>3.2874716736808027</v>
      </c>
    </row>
    <row r="106">
      <c r="A106" s="10" t="s">
        <v>166</v>
      </c>
      <c r="B106" s="10" t="s">
        <v>42</v>
      </c>
      <c r="C106" s="10" t="s">
        <v>43</v>
      </c>
      <c r="D106" s="10" t="s">
        <v>31</v>
      </c>
      <c r="E106" s="11" t="n">
        <v>45901</v>
      </c>
      <c r="F106" t="n">
        <v>20310</v>
      </c>
      <c r="H106" t="n">
        <v>6178</v>
      </c>
      <c r="I106" t="n">
        <v>14132</v>
      </c>
      <c r="J106" s="10"/>
      <c r="K106" s="10"/>
      <c r="L106" s="10"/>
      <c r="P106" s="11"/>
      <c r="V106" t="n">
        <v>2.2874716736808027</v>
      </c>
    </row>
    <row r="107">
      <c r="A107" s="10" t="s">
        <v>166</v>
      </c>
      <c r="B107" s="10" t="s">
        <v>42</v>
      </c>
      <c r="C107" s="10" t="s">
        <v>43</v>
      </c>
      <c r="D107" s="10" t="s">
        <v>31</v>
      </c>
      <c r="E107" s="11" t="n">
        <v>45931</v>
      </c>
      <c r="F107" t="n">
        <v>14132</v>
      </c>
      <c r="H107" t="n">
        <v>6178</v>
      </c>
      <c r="I107" t="n">
        <v>7954</v>
      </c>
      <c r="J107" s="10"/>
      <c r="K107" s="10"/>
      <c r="L107" s="10"/>
      <c r="P107" s="11"/>
      <c r="V107" t="n">
        <v>1.287471673680803</v>
      </c>
    </row>
    <row r="108">
      <c r="A108" s="10" t="s">
        <v>166</v>
      </c>
      <c r="B108" s="10" t="s">
        <v>42</v>
      </c>
      <c r="C108" s="10" t="s">
        <v>43</v>
      </c>
      <c r="D108" s="10" t="s">
        <v>31</v>
      </c>
      <c r="E108" s="11" t="n">
        <v>45962</v>
      </c>
      <c r="F108" t="n">
        <v>7954</v>
      </c>
      <c r="H108" t="n">
        <v>6178</v>
      </c>
      <c r="I108" t="n">
        <v>1776</v>
      </c>
      <c r="J108" s="10"/>
      <c r="K108" s="10"/>
      <c r="L108" s="10"/>
      <c r="P108" s="11"/>
      <c r="V108" t="n">
        <v>0.28747167368080284</v>
      </c>
    </row>
    <row r="109">
      <c r="A109" s="10" t="s">
        <v>166</v>
      </c>
      <c r="B109" s="10" t="s">
        <v>42</v>
      </c>
      <c r="C109" s="10" t="s">
        <v>43</v>
      </c>
      <c r="D109" s="10" t="s">
        <v>31</v>
      </c>
      <c r="E109" s="11" t="n">
        <v>45992</v>
      </c>
      <c r="F109" t="n">
        <v>1776</v>
      </c>
      <c r="H109" t="n">
        <v>6178</v>
      </c>
      <c r="I109" t="n">
        <v>0</v>
      </c>
      <c r="J109" s="10"/>
      <c r="K109" s="10"/>
      <c r="L109" s="10"/>
      <c r="P109" s="11"/>
      <c r="V10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58.7265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44</v>
      </c>
      <c r="C2" s="10" t="s">
        <v>45</v>
      </c>
      <c r="D2" s="10" t="s">
        <v>31</v>
      </c>
      <c r="E2" s="11" t="n">
        <v>45839</v>
      </c>
      <c r="F2" t="n">
        <v>238677</v>
      </c>
      <c r="H2" t="n">
        <v>78968</v>
      </c>
      <c r="I2" t="n">
        <v>159709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2.0224521325093709</v>
      </c>
    </row>
    <row r="3">
      <c r="A3" s="10" t="s">
        <v>28</v>
      </c>
      <c r="B3" s="10" t="s">
        <v>44</v>
      </c>
      <c r="C3" s="10" t="s">
        <v>45</v>
      </c>
      <c r="D3" s="10" t="s">
        <v>31</v>
      </c>
      <c r="E3" s="11" t="n">
        <v>45870</v>
      </c>
      <c r="F3" t="n">
        <v>159709</v>
      </c>
      <c r="H3" t="n">
        <v>78968</v>
      </c>
      <c r="I3" t="n">
        <v>80741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1.0224521325093709</v>
      </c>
    </row>
    <row r="4">
      <c r="A4" s="10" t="s">
        <v>28</v>
      </c>
      <c r="B4" s="10" t="s">
        <v>44</v>
      </c>
      <c r="C4" s="10" t="s">
        <v>45</v>
      </c>
      <c r="D4" s="10" t="s">
        <v>31</v>
      </c>
      <c r="E4" s="11" t="n">
        <v>45901</v>
      </c>
      <c r="F4" t="n">
        <v>80741</v>
      </c>
      <c r="H4" t="n">
        <v>78968</v>
      </c>
      <c r="I4" t="n">
        <v>402646</v>
      </c>
      <c r="J4" s="10" t="s">
        <v>2</v>
      </c>
      <c r="K4" s="10" t="s">
        <v>2</v>
      </c>
      <c r="L4" s="10" t="s">
        <v>4</v>
      </c>
      <c r="M4" t="n">
        <v>400873</v>
      </c>
      <c r="O4" t="n">
        <v>365596</v>
      </c>
      <c r="P4" s="11" t="n">
        <v>45901</v>
      </c>
      <c r="S4" t="n">
        <v>9</v>
      </c>
      <c r="T4" t="n">
        <v>14</v>
      </c>
      <c r="U4" t="n">
        <v>13</v>
      </c>
      <c r="V4" t="n">
        <v>5.0988501671563169</v>
      </c>
    </row>
    <row r="5">
      <c r="A5" s="10" t="s">
        <v>28</v>
      </c>
      <c r="B5" s="10" t="s">
        <v>44</v>
      </c>
      <c r="C5" s="10" t="s">
        <v>45</v>
      </c>
      <c r="D5" s="10" t="s">
        <v>31</v>
      </c>
      <c r="E5" s="11" t="n">
        <v>45931</v>
      </c>
      <c r="F5" t="n">
        <v>402646</v>
      </c>
      <c r="H5" t="n">
        <v>78968</v>
      </c>
      <c r="I5" t="n">
        <v>323678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4.0988501671563169</v>
      </c>
    </row>
    <row r="6">
      <c r="A6" s="10" t="s">
        <v>28</v>
      </c>
      <c r="B6" s="10" t="s">
        <v>44</v>
      </c>
      <c r="C6" s="10" t="s">
        <v>45</v>
      </c>
      <c r="D6" s="10" t="s">
        <v>31</v>
      </c>
      <c r="E6" s="11" t="n">
        <v>45962</v>
      </c>
      <c r="F6" t="n">
        <v>323678</v>
      </c>
      <c r="H6" t="n">
        <v>78968</v>
      </c>
      <c r="I6" t="n">
        <v>244710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3.0988501671563164</v>
      </c>
    </row>
    <row r="7">
      <c r="A7" s="10" t="s">
        <v>28</v>
      </c>
      <c r="B7" s="10" t="s">
        <v>44</v>
      </c>
      <c r="C7" s="10" t="s">
        <v>45</v>
      </c>
      <c r="D7" s="10" t="s">
        <v>31</v>
      </c>
      <c r="E7" s="11" t="n">
        <v>45992</v>
      </c>
      <c r="F7" t="n">
        <v>244710</v>
      </c>
      <c r="H7" t="n">
        <v>78968</v>
      </c>
      <c r="I7" t="n">
        <v>165742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2.0988501671563164</v>
      </c>
    </row>
    <row r="8">
      <c r="A8" s="10" t="s">
        <v>28</v>
      </c>
      <c r="B8" s="10" t="s">
        <v>44</v>
      </c>
      <c r="C8" s="10" t="s">
        <v>45</v>
      </c>
      <c r="D8" s="10" t="s">
        <v>31</v>
      </c>
      <c r="E8" s="11" t="n">
        <v>46023</v>
      </c>
      <c r="F8" t="n">
        <v>165742</v>
      </c>
      <c r="H8" t="n">
        <v>78968</v>
      </c>
      <c r="I8" t="n">
        <v>86774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1.0988501671563164</v>
      </c>
    </row>
    <row r="9">
      <c r="A9" s="10" t="s">
        <v>28</v>
      </c>
      <c r="B9" s="10" t="s">
        <v>44</v>
      </c>
      <c r="C9" s="10" t="s">
        <v>45</v>
      </c>
      <c r="D9" s="10" t="s">
        <v>31</v>
      </c>
      <c r="E9" s="11" t="n">
        <v>46054</v>
      </c>
      <c r="F9" t="n">
        <v>86774</v>
      </c>
      <c r="H9" t="n">
        <v>78968</v>
      </c>
      <c r="I9" t="n">
        <v>412374</v>
      </c>
      <c r="J9" s="10" t="s">
        <v>2</v>
      </c>
      <c r="K9" s="10" t="s">
        <v>2</v>
      </c>
      <c r="L9" s="10" t="s">
        <v>4</v>
      </c>
      <c r="M9" t="n">
        <v>404568</v>
      </c>
      <c r="O9" t="n">
        <v>368966</v>
      </c>
      <c r="P9" s="11" t="n">
        <v>46054</v>
      </c>
      <c r="S9" t="n">
        <v>9</v>
      </c>
      <c r="T9" t="n">
        <v>14</v>
      </c>
      <c r="U9" t="n">
        <v>13</v>
      </c>
      <c r="V9" t="n">
        <v>5.2220393070610882</v>
      </c>
    </row>
    <row r="10">
      <c r="A10" s="10" t="s">
        <v>28</v>
      </c>
      <c r="B10" s="10" t="s">
        <v>44</v>
      </c>
      <c r="C10" s="10" t="s">
        <v>45</v>
      </c>
      <c r="D10" s="10" t="s">
        <v>31</v>
      </c>
      <c r="E10" s="11" t="n">
        <v>46082</v>
      </c>
      <c r="F10" t="n">
        <v>412374</v>
      </c>
      <c r="H10" t="n">
        <v>78968</v>
      </c>
      <c r="I10" t="n">
        <v>333406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4.2220393070610882</v>
      </c>
    </row>
    <row r="11">
      <c r="A11" s="10" t="s">
        <v>28</v>
      </c>
      <c r="B11" s="10" t="s">
        <v>44</v>
      </c>
      <c r="C11" s="10" t="s">
        <v>45</v>
      </c>
      <c r="D11" s="10" t="s">
        <v>31</v>
      </c>
      <c r="E11" s="11" t="n">
        <v>46113</v>
      </c>
      <c r="F11" t="n">
        <v>333406</v>
      </c>
      <c r="H11" t="n">
        <v>78968</v>
      </c>
      <c r="I11" t="n">
        <v>254438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3.2220393070610882</v>
      </c>
    </row>
    <row r="12">
      <c r="A12" s="10" t="s">
        <v>28</v>
      </c>
      <c r="B12" s="10" t="s">
        <v>44</v>
      </c>
      <c r="C12" s="10" t="s">
        <v>45</v>
      </c>
      <c r="D12" s="10" t="s">
        <v>31</v>
      </c>
      <c r="E12" s="11" t="n">
        <v>46143</v>
      </c>
      <c r="F12" t="n">
        <v>254438</v>
      </c>
      <c r="H12" t="n">
        <v>78968</v>
      </c>
      <c r="I12" t="n">
        <v>175470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2.2220393070610882</v>
      </c>
    </row>
    <row r="13">
      <c r="A13" s="10" t="s">
        <v>28</v>
      </c>
      <c r="B13" s="10" t="s">
        <v>44</v>
      </c>
      <c r="C13" s="10" t="s">
        <v>45</v>
      </c>
      <c r="D13" s="10" t="s">
        <v>31</v>
      </c>
      <c r="E13" s="11" t="n">
        <v>46174</v>
      </c>
      <c r="F13" t="n">
        <v>175470</v>
      </c>
      <c r="H13" t="n">
        <v>78968</v>
      </c>
      <c r="I13" t="n">
        <v>96502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1.222039307061088</v>
      </c>
    </row>
    <row r="14">
      <c r="A14" s="10" t="s">
        <v>75</v>
      </c>
      <c r="B14" s="10" t="s">
        <v>44</v>
      </c>
      <c r="C14" s="10" t="s">
        <v>45</v>
      </c>
      <c r="D14" s="10" t="s">
        <v>31</v>
      </c>
      <c r="E14" s="11" t="n">
        <v>45748</v>
      </c>
      <c r="F14" t="n">
        <v>2388682</v>
      </c>
      <c r="H14" t="n">
        <v>308825</v>
      </c>
      <c r="I14" t="n">
        <v>2079857</v>
      </c>
      <c r="J14" s="10"/>
      <c r="K14" s="10"/>
      <c r="L14" s="10"/>
      <c r="P14" s="11"/>
      <c r="S14" t="n">
        <v>6</v>
      </c>
      <c r="T14" t="n">
        <v>12</v>
      </c>
      <c r="U14" t="n">
        <v>12</v>
      </c>
      <c r="V14" t="n">
        <v>6.7347429774143936</v>
      </c>
    </row>
    <row r="15">
      <c r="A15" s="10" t="s">
        <v>75</v>
      </c>
      <c r="B15" s="10" t="s">
        <v>44</v>
      </c>
      <c r="C15" s="10" t="s">
        <v>45</v>
      </c>
      <c r="D15" s="10" t="s">
        <v>31</v>
      </c>
      <c r="E15" s="11" t="n">
        <v>45778</v>
      </c>
      <c r="F15" t="n">
        <v>2079857</v>
      </c>
      <c r="H15" t="n">
        <v>312846</v>
      </c>
      <c r="I15" t="n">
        <v>2267011</v>
      </c>
      <c r="J15" s="10"/>
      <c r="K15" s="10"/>
      <c r="L15" s="10" t="s">
        <v>153</v>
      </c>
      <c r="M15" t="n">
        <v>500000</v>
      </c>
      <c r="P15" s="11"/>
      <c r="S15" t="n">
        <v>6</v>
      </c>
      <c r="T15" t="n">
        <v>12</v>
      </c>
      <c r="U15" t="n">
        <v>12</v>
      </c>
      <c r="V15" t="n">
        <v>7.2464119726638669</v>
      </c>
    </row>
    <row r="16">
      <c r="A16" s="10" t="s">
        <v>75</v>
      </c>
      <c r="B16" s="10" t="s">
        <v>44</v>
      </c>
      <c r="C16" s="10" t="s">
        <v>45</v>
      </c>
      <c r="D16" s="10" t="s">
        <v>31</v>
      </c>
      <c r="E16" s="11" t="n">
        <v>45809</v>
      </c>
      <c r="F16" t="n">
        <v>2267011</v>
      </c>
      <c r="H16" t="n">
        <v>316867</v>
      </c>
      <c r="I16" t="n">
        <v>1950144</v>
      </c>
      <c r="J16" s="10"/>
      <c r="K16" s="10"/>
      <c r="L16" s="10"/>
      <c r="P16" s="11"/>
      <c r="S16" t="n">
        <v>6</v>
      </c>
      <c r="T16" t="n">
        <v>12</v>
      </c>
      <c r="U16" t="n">
        <v>12</v>
      </c>
      <c r="V16" t="n">
        <v>6.1544559704860395</v>
      </c>
    </row>
    <row r="17">
      <c r="A17" s="10" t="s">
        <v>75</v>
      </c>
      <c r="B17" s="10" t="s">
        <v>44</v>
      </c>
      <c r="C17" s="10" t="s">
        <v>45</v>
      </c>
      <c r="D17" s="10" t="s">
        <v>31</v>
      </c>
      <c r="E17" s="11" t="n">
        <v>45839</v>
      </c>
      <c r="F17" t="n">
        <v>1950144</v>
      </c>
      <c r="H17" t="n">
        <v>320888</v>
      </c>
      <c r="I17" t="n">
        <v>1629256</v>
      </c>
      <c r="J17" s="10"/>
      <c r="K17" s="10"/>
      <c r="L17" s="10"/>
      <c r="P17" s="11"/>
      <c r="S17" t="n">
        <v>6</v>
      </c>
      <c r="T17" t="n">
        <v>12</v>
      </c>
      <c r="U17" t="n">
        <v>12</v>
      </c>
      <c r="V17" t="n">
        <v>5.0773353942808708</v>
      </c>
    </row>
    <row r="18">
      <c r="A18" s="10" t="s">
        <v>75</v>
      </c>
      <c r="B18" s="10" t="s">
        <v>44</v>
      </c>
      <c r="C18" s="10" t="s">
        <v>45</v>
      </c>
      <c r="D18" s="10" t="s">
        <v>31</v>
      </c>
      <c r="E18" s="11" t="n">
        <v>45870</v>
      </c>
      <c r="F18" t="n">
        <v>1629256</v>
      </c>
      <c r="H18" t="n">
        <v>324910</v>
      </c>
      <c r="I18" t="n">
        <v>1304346</v>
      </c>
      <c r="J18" s="10"/>
      <c r="K18" s="10"/>
      <c r="L18" s="10"/>
      <c r="P18" s="11"/>
      <c r="S18" t="n">
        <v>6</v>
      </c>
      <c r="T18" t="n">
        <v>12</v>
      </c>
      <c r="U18" t="n">
        <v>12</v>
      </c>
      <c r="V18" t="n">
        <v>4.0144840109568802</v>
      </c>
    </row>
    <row r="19">
      <c r="A19" s="10" t="s">
        <v>75</v>
      </c>
      <c r="B19" s="10" t="s">
        <v>44</v>
      </c>
      <c r="C19" s="10" t="s">
        <v>45</v>
      </c>
      <c r="D19" s="10" t="s">
        <v>31</v>
      </c>
      <c r="E19" s="11" t="n">
        <v>45901</v>
      </c>
      <c r="F19" t="n">
        <v>1304346</v>
      </c>
      <c r="H19" t="n">
        <v>328931</v>
      </c>
      <c r="I19" t="n">
        <v>1875415</v>
      </c>
      <c r="J19" s="10"/>
      <c r="K19" s="10"/>
      <c r="L19" s="10" t="s">
        <v>152</v>
      </c>
      <c r="M19" t="n">
        <v>900000</v>
      </c>
      <c r="P19" s="11"/>
      <c r="S19" t="n">
        <v>6</v>
      </c>
      <c r="T19" t="n">
        <v>12</v>
      </c>
      <c r="U19" t="n">
        <v>12</v>
      </c>
      <c r="V19" t="n">
        <v>5.7015453088945707</v>
      </c>
    </row>
    <row r="20">
      <c r="A20" s="10" t="s">
        <v>75</v>
      </c>
      <c r="B20" s="10" t="s">
        <v>44</v>
      </c>
      <c r="C20" s="10" t="s">
        <v>45</v>
      </c>
      <c r="D20" s="10" t="s">
        <v>31</v>
      </c>
      <c r="E20" s="11" t="n">
        <v>45931</v>
      </c>
      <c r="F20" t="n">
        <v>1875415</v>
      </c>
      <c r="H20" t="n">
        <v>332952</v>
      </c>
      <c r="I20" t="n">
        <v>3923043</v>
      </c>
      <c r="J20" s="10"/>
      <c r="K20" s="10"/>
      <c r="L20" s="10" t="s">
        <v>4</v>
      </c>
      <c r="M20" t="n">
        <v>2380580</v>
      </c>
      <c r="P20" s="11"/>
      <c r="S20" t="n">
        <v>6</v>
      </c>
      <c r="T20" t="n">
        <v>12</v>
      </c>
      <c r="U20" t="n">
        <v>12</v>
      </c>
      <c r="V20" t="n">
        <v>11.782608303899661</v>
      </c>
    </row>
    <row r="21">
      <c r="A21" s="10" t="s">
        <v>75</v>
      </c>
      <c r="B21" s="10" t="s">
        <v>44</v>
      </c>
      <c r="C21" s="10" t="s">
        <v>45</v>
      </c>
      <c r="D21" s="10" t="s">
        <v>31</v>
      </c>
      <c r="E21" s="11" t="n">
        <v>45962</v>
      </c>
      <c r="F21" t="n">
        <v>3923043</v>
      </c>
      <c r="H21" t="n">
        <v>336973</v>
      </c>
      <c r="I21" t="n">
        <v>3586070</v>
      </c>
      <c r="J21" s="10"/>
      <c r="K21" s="10"/>
      <c r="L21" s="10"/>
      <c r="P21" s="11"/>
      <c r="S21" t="n">
        <v>6</v>
      </c>
      <c r="T21" t="n">
        <v>12</v>
      </c>
      <c r="U21" t="n">
        <v>12</v>
      </c>
      <c r="V21" t="n">
        <v>10.642009893967765</v>
      </c>
    </row>
    <row r="22">
      <c r="A22" s="10" t="s">
        <v>75</v>
      </c>
      <c r="B22" s="10" t="s">
        <v>44</v>
      </c>
      <c r="C22" s="10" t="s">
        <v>45</v>
      </c>
      <c r="D22" s="10" t="s">
        <v>31</v>
      </c>
      <c r="E22" s="11" t="n">
        <v>45992</v>
      </c>
      <c r="F22" t="n">
        <v>3586070</v>
      </c>
      <c r="H22" t="n">
        <v>340994</v>
      </c>
      <c r="I22" t="n">
        <v>3245076</v>
      </c>
      <c r="J22" s="10"/>
      <c r="K22" s="10"/>
      <c r="L22" s="10"/>
      <c r="P22" s="11"/>
      <c r="S22" t="n">
        <v>6</v>
      </c>
      <c r="T22" t="n">
        <v>12</v>
      </c>
      <c r="U22" t="n">
        <v>12</v>
      </c>
      <c r="V22" t="n">
        <v>9.5165193522466662</v>
      </c>
    </row>
    <row r="23">
      <c r="A23" s="10" t="s">
        <v>75</v>
      </c>
      <c r="B23" s="10" t="s">
        <v>44</v>
      </c>
      <c r="C23" s="10" t="s">
        <v>45</v>
      </c>
      <c r="D23" s="10" t="s">
        <v>31</v>
      </c>
      <c r="E23" s="11" t="n">
        <v>46023</v>
      </c>
      <c r="F23" t="n">
        <v>3245076</v>
      </c>
      <c r="H23" t="n">
        <v>345016</v>
      </c>
      <c r="I23" t="n">
        <v>2900060</v>
      </c>
      <c r="J23" s="10"/>
      <c r="K23" s="10"/>
      <c r="L23" s="10"/>
      <c r="P23" s="11"/>
      <c r="S23" t="n">
        <v>6</v>
      </c>
      <c r="T23" t="n">
        <v>12</v>
      </c>
      <c r="U23" t="n">
        <v>12</v>
      </c>
      <c r="V23" t="n">
        <v>8.4055811904375446</v>
      </c>
    </row>
    <row r="24">
      <c r="A24" s="10" t="s">
        <v>75</v>
      </c>
      <c r="B24" s="10" t="s">
        <v>44</v>
      </c>
      <c r="C24" s="10" t="s">
        <v>45</v>
      </c>
      <c r="D24" s="10" t="s">
        <v>31</v>
      </c>
      <c r="E24" s="11" t="n">
        <v>46054</v>
      </c>
      <c r="F24" t="n">
        <v>2900060</v>
      </c>
      <c r="H24" t="n">
        <v>349037</v>
      </c>
      <c r="I24" t="n">
        <v>2551023</v>
      </c>
      <c r="J24" s="10"/>
      <c r="K24" s="10"/>
      <c r="L24" s="10"/>
      <c r="P24" s="11"/>
      <c r="S24" t="n">
        <v>6</v>
      </c>
      <c r="T24" t="n">
        <v>12</v>
      </c>
      <c r="U24" t="n">
        <v>12</v>
      </c>
      <c r="V24" t="n">
        <v>7.308746637176001</v>
      </c>
    </row>
    <row r="25">
      <c r="A25" s="10" t="s">
        <v>75</v>
      </c>
      <c r="B25" s="10" t="s">
        <v>44</v>
      </c>
      <c r="C25" s="10" t="s">
        <v>45</v>
      </c>
      <c r="D25" s="10" t="s">
        <v>31</v>
      </c>
      <c r="E25" s="11" t="n">
        <v>46082</v>
      </c>
      <c r="F25" t="n">
        <v>2551023</v>
      </c>
      <c r="H25" t="n">
        <v>353058</v>
      </c>
      <c r="I25" t="n">
        <v>2197965</v>
      </c>
      <c r="J25" s="10"/>
      <c r="K25" s="10"/>
      <c r="L25" s="10"/>
      <c r="P25" s="11"/>
      <c r="S25" t="n">
        <v>6</v>
      </c>
      <c r="T25" t="n">
        <v>12</v>
      </c>
      <c r="U25" t="n">
        <v>12</v>
      </c>
      <c r="V25" t="n">
        <v>6.2255068572302568</v>
      </c>
    </row>
    <row r="26">
      <c r="A26" s="10" t="s">
        <v>75</v>
      </c>
      <c r="B26" s="10" t="s">
        <v>44</v>
      </c>
      <c r="C26" s="10" t="s">
        <v>45</v>
      </c>
      <c r="D26" s="10" t="s">
        <v>31</v>
      </c>
      <c r="E26" s="11" t="n">
        <v>46113</v>
      </c>
      <c r="F26" t="n">
        <v>2197965</v>
      </c>
      <c r="H26" t="n">
        <v>357079</v>
      </c>
      <c r="I26" t="n">
        <v>4212570</v>
      </c>
      <c r="J26" s="10"/>
      <c r="K26" s="10"/>
      <c r="L26" s="10" t="s">
        <v>4</v>
      </c>
      <c r="M26" t="n">
        <v>2371684</v>
      </c>
      <c r="P26" s="11"/>
      <c r="S26" t="n">
        <v>6</v>
      </c>
      <c r="T26" t="n">
        <v>12</v>
      </c>
      <c r="U26" t="n">
        <v>12</v>
      </c>
      <c r="V26" t="n">
        <v>11.797305358198045</v>
      </c>
    </row>
    <row r="27">
      <c r="A27" s="10" t="s">
        <v>75</v>
      </c>
      <c r="B27" s="10" t="s">
        <v>44</v>
      </c>
      <c r="C27" s="10" t="s">
        <v>45</v>
      </c>
      <c r="D27" s="10" t="s">
        <v>31</v>
      </c>
      <c r="E27" s="11" t="n">
        <v>46143</v>
      </c>
      <c r="F27" t="n">
        <v>4212570</v>
      </c>
      <c r="H27" t="n">
        <v>361100</v>
      </c>
      <c r="I27" t="n">
        <v>3851470</v>
      </c>
      <c r="J27" s="10"/>
      <c r="K27" s="10"/>
      <c r="L27" s="10"/>
      <c r="P27" s="11"/>
      <c r="S27" t="n">
        <v>6</v>
      </c>
      <c r="T27" t="n">
        <v>12</v>
      </c>
      <c r="U27" t="n">
        <v>12</v>
      </c>
      <c r="V27" t="n">
        <v>10.665937413458876</v>
      </c>
    </row>
    <row r="28">
      <c r="A28" s="10" t="s">
        <v>75</v>
      </c>
      <c r="B28" s="10" t="s">
        <v>44</v>
      </c>
      <c r="C28" s="10" t="s">
        <v>45</v>
      </c>
      <c r="D28" s="10" t="s">
        <v>31</v>
      </c>
      <c r="E28" s="11" t="n">
        <v>46174</v>
      </c>
      <c r="F28" t="n">
        <v>3851470</v>
      </c>
      <c r="H28" t="n">
        <v>365121</v>
      </c>
      <c r="I28" t="n">
        <v>3486349</v>
      </c>
      <c r="J28" s="10"/>
      <c r="K28" s="10"/>
      <c r="L28" s="10"/>
      <c r="P28" s="11"/>
      <c r="S28" t="n">
        <v>6</v>
      </c>
      <c r="T28" t="n">
        <v>12</v>
      </c>
      <c r="U28" t="n">
        <v>12</v>
      </c>
      <c r="V28" t="n">
        <v>9.5484757107917648</v>
      </c>
    </row>
    <row r="29">
      <c r="A29" s="10" t="s">
        <v>75</v>
      </c>
      <c r="B29" s="10" t="s">
        <v>44</v>
      </c>
      <c r="C29" s="10" t="s">
        <v>45</v>
      </c>
      <c r="D29" s="10" t="s">
        <v>31</v>
      </c>
      <c r="E29" s="11" t="n">
        <v>46204</v>
      </c>
      <c r="F29" t="n">
        <v>3486349</v>
      </c>
      <c r="H29" t="n">
        <v>369143</v>
      </c>
      <c r="I29" t="n">
        <v>3117206</v>
      </c>
      <c r="J29" s="10"/>
      <c r="K29" s="10"/>
      <c r="L29" s="10"/>
      <c r="P29" s="11"/>
      <c r="S29" t="n">
        <v>6</v>
      </c>
      <c r="T29" t="n">
        <v>12</v>
      </c>
      <c r="U29" t="n">
        <v>12</v>
      </c>
      <c r="V29" t="n">
        <v>8.4444402304797865</v>
      </c>
    </row>
    <row r="30">
      <c r="A30" s="10" t="s">
        <v>75</v>
      </c>
      <c r="B30" s="10" t="s">
        <v>44</v>
      </c>
      <c r="C30" s="10" t="s">
        <v>45</v>
      </c>
      <c r="D30" s="10" t="s">
        <v>31</v>
      </c>
      <c r="E30" s="11" t="n">
        <v>46235</v>
      </c>
      <c r="F30" t="n">
        <v>3117206</v>
      </c>
      <c r="H30" t="n">
        <v>373164</v>
      </c>
      <c r="I30" t="n">
        <v>2744042</v>
      </c>
      <c r="J30" s="10"/>
      <c r="K30" s="10"/>
      <c r="L30" s="10"/>
      <c r="P30" s="11"/>
      <c r="S30" t="n">
        <v>6</v>
      </c>
      <c r="T30" t="n">
        <v>12</v>
      </c>
      <c r="U30" t="n">
        <v>12</v>
      </c>
      <c r="V30" t="n">
        <v>7.3534478138298445</v>
      </c>
    </row>
    <row r="31">
      <c r="A31" s="10" t="s">
        <v>75</v>
      </c>
      <c r="B31" s="10" t="s">
        <v>44</v>
      </c>
      <c r="C31" s="10" t="s">
        <v>45</v>
      </c>
      <c r="D31" s="10" t="s">
        <v>31</v>
      </c>
      <c r="E31" s="11" t="n">
        <v>46266</v>
      </c>
      <c r="F31" t="n">
        <v>2744042</v>
      </c>
      <c r="H31" t="n">
        <v>377185</v>
      </c>
      <c r="I31" t="n">
        <v>2366857</v>
      </c>
      <c r="J31" s="10"/>
      <c r="K31" s="10"/>
      <c r="L31" s="10"/>
      <c r="P31" s="11"/>
      <c r="S31" t="n">
        <v>6</v>
      </c>
      <c r="T31" t="n">
        <v>12</v>
      </c>
      <c r="U31" t="n">
        <v>12</v>
      </c>
      <c r="V31" t="n">
        <v>6.2750560069992183</v>
      </c>
    </row>
    <row r="32">
      <c r="A32" s="10" t="s">
        <v>76</v>
      </c>
      <c r="B32" s="10" t="s">
        <v>44</v>
      </c>
      <c r="C32" s="10" t="s">
        <v>45</v>
      </c>
      <c r="D32" s="10" t="s">
        <v>31</v>
      </c>
      <c r="E32" s="11" t="n">
        <v>45748</v>
      </c>
      <c r="F32" t="n">
        <v>1248680</v>
      </c>
      <c r="H32" t="n">
        <v>131615</v>
      </c>
      <c r="I32" t="n">
        <v>1117065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8.4873684610416742</v>
      </c>
    </row>
    <row r="33">
      <c r="A33" s="10" t="s">
        <v>76</v>
      </c>
      <c r="B33" s="10" t="s">
        <v>44</v>
      </c>
      <c r="C33" s="10" t="s">
        <v>45</v>
      </c>
      <c r="D33" s="10" t="s">
        <v>31</v>
      </c>
      <c r="E33" s="11" t="n">
        <v>45778</v>
      </c>
      <c r="F33" t="n">
        <v>1117065</v>
      </c>
      <c r="H33" t="n">
        <v>131615</v>
      </c>
      <c r="I33" t="n">
        <v>985450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7.4873684610416742</v>
      </c>
    </row>
    <row r="34">
      <c r="A34" s="10" t="s">
        <v>76</v>
      </c>
      <c r="B34" s="10" t="s">
        <v>44</v>
      </c>
      <c r="C34" s="10" t="s">
        <v>45</v>
      </c>
      <c r="D34" s="10" t="s">
        <v>31</v>
      </c>
      <c r="E34" s="11" t="n">
        <v>45809</v>
      </c>
      <c r="F34" t="n">
        <v>985450</v>
      </c>
      <c r="H34" t="n">
        <v>131615</v>
      </c>
      <c r="I34" t="n">
        <v>853835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6.4873684610416742</v>
      </c>
    </row>
    <row r="35">
      <c r="A35" s="10" t="s">
        <v>76</v>
      </c>
      <c r="B35" s="10" t="s">
        <v>44</v>
      </c>
      <c r="C35" s="10" t="s">
        <v>45</v>
      </c>
      <c r="D35" s="10" t="s">
        <v>31</v>
      </c>
      <c r="E35" s="11" t="n">
        <v>45839</v>
      </c>
      <c r="F35" t="n">
        <v>853835</v>
      </c>
      <c r="H35" t="n">
        <v>131615</v>
      </c>
      <c r="I35" t="n">
        <v>722220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5.4873684610416742</v>
      </c>
    </row>
    <row r="36">
      <c r="A36" s="10" t="s">
        <v>76</v>
      </c>
      <c r="B36" s="10" t="s">
        <v>44</v>
      </c>
      <c r="C36" s="10" t="s">
        <v>45</v>
      </c>
      <c r="D36" s="10" t="s">
        <v>31</v>
      </c>
      <c r="E36" s="11" t="n">
        <v>45870</v>
      </c>
      <c r="F36" t="n">
        <v>722220</v>
      </c>
      <c r="H36" t="n">
        <v>131615</v>
      </c>
      <c r="I36" t="n">
        <v>590605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4.4873684610416742</v>
      </c>
    </row>
    <row r="37">
      <c r="A37" s="10" t="s">
        <v>76</v>
      </c>
      <c r="B37" s="10" t="s">
        <v>44</v>
      </c>
      <c r="C37" s="10" t="s">
        <v>45</v>
      </c>
      <c r="D37" s="10" t="s">
        <v>31</v>
      </c>
      <c r="E37" s="11" t="n">
        <v>45901</v>
      </c>
      <c r="F37" t="n">
        <v>590605</v>
      </c>
      <c r="H37" t="n">
        <v>131615</v>
      </c>
      <c r="I37" t="n">
        <v>458990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3.4873684610416746</v>
      </c>
    </row>
    <row r="38">
      <c r="A38" s="10" t="s">
        <v>76</v>
      </c>
      <c r="B38" s="10" t="s">
        <v>44</v>
      </c>
      <c r="C38" s="10" t="s">
        <v>45</v>
      </c>
      <c r="D38" s="10" t="s">
        <v>31</v>
      </c>
      <c r="E38" s="11" t="n">
        <v>45931</v>
      </c>
      <c r="F38" t="n">
        <v>458990</v>
      </c>
      <c r="H38" t="n">
        <v>131615</v>
      </c>
      <c r="I38" t="n">
        <v>327375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2.4873684610416746</v>
      </c>
    </row>
    <row r="39">
      <c r="A39" s="10" t="s">
        <v>76</v>
      </c>
      <c r="B39" s="10" t="s">
        <v>44</v>
      </c>
      <c r="C39" s="10" t="s">
        <v>45</v>
      </c>
      <c r="D39" s="10" t="s">
        <v>31</v>
      </c>
      <c r="E39" s="11" t="n">
        <v>45962</v>
      </c>
      <c r="F39" t="n">
        <v>327375</v>
      </c>
      <c r="H39" t="n">
        <v>131615</v>
      </c>
      <c r="I39" t="n">
        <v>195760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1.4873684610416746</v>
      </c>
    </row>
    <row r="40">
      <c r="A40" s="10" t="s">
        <v>76</v>
      </c>
      <c r="B40" s="10" t="s">
        <v>44</v>
      </c>
      <c r="C40" s="10" t="s">
        <v>45</v>
      </c>
      <c r="D40" s="10" t="s">
        <v>31</v>
      </c>
      <c r="E40" s="11" t="n">
        <v>45992</v>
      </c>
      <c r="F40" t="n">
        <v>195760</v>
      </c>
      <c r="H40" t="n">
        <v>131615</v>
      </c>
      <c r="I40" t="n">
        <v>64145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0.48736846104167458</v>
      </c>
    </row>
    <row r="41">
      <c r="A41" s="10" t="s">
        <v>76</v>
      </c>
      <c r="B41" s="10" t="s">
        <v>44</v>
      </c>
      <c r="C41" s="10" t="s">
        <v>45</v>
      </c>
      <c r="D41" s="10" t="s">
        <v>31</v>
      </c>
      <c r="E41" s="11" t="n">
        <v>46023</v>
      </c>
      <c r="F41" t="n">
        <v>64145</v>
      </c>
      <c r="H41" t="n">
        <v>140803</v>
      </c>
      <c r="I41" t="n">
        <v>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44</v>
      </c>
      <c r="C42" s="10" t="s">
        <v>45</v>
      </c>
      <c r="D42" s="10" t="s">
        <v>31</v>
      </c>
      <c r="E42" s="11" t="n">
        <v>46054</v>
      </c>
      <c r="F42" t="n">
        <v>0</v>
      </c>
      <c r="H42" t="n">
        <v>140803</v>
      </c>
      <c r="I42" t="n">
        <v>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44</v>
      </c>
      <c r="C43" s="10" t="s">
        <v>45</v>
      </c>
      <c r="D43" s="10" t="s">
        <v>31</v>
      </c>
      <c r="E43" s="11" t="n">
        <v>46082</v>
      </c>
      <c r="F43" t="n">
        <v>0</v>
      </c>
      <c r="H43" t="n">
        <v>140803</v>
      </c>
      <c r="I43" t="n">
        <v>0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44</v>
      </c>
      <c r="C44" s="10" t="s">
        <v>45</v>
      </c>
      <c r="D44" s="10" t="s">
        <v>31</v>
      </c>
      <c r="E44" s="11" t="n">
        <v>46113</v>
      </c>
      <c r="F44" t="n">
        <v>0</v>
      </c>
      <c r="H44" t="n">
        <v>140803</v>
      </c>
      <c r="I44" t="n">
        <v>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44</v>
      </c>
      <c r="C45" s="10" t="s">
        <v>45</v>
      </c>
      <c r="D45" s="10" t="s">
        <v>31</v>
      </c>
      <c r="E45" s="11" t="n">
        <v>46143</v>
      </c>
      <c r="F45" t="n">
        <v>0</v>
      </c>
      <c r="H45" t="n">
        <v>140803</v>
      </c>
      <c r="I45" t="n">
        <v>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44</v>
      </c>
      <c r="C46" s="10" t="s">
        <v>45</v>
      </c>
      <c r="D46" s="10" t="s">
        <v>31</v>
      </c>
      <c r="E46" s="11" t="n">
        <v>46174</v>
      </c>
      <c r="F46" t="n">
        <v>0</v>
      </c>
      <c r="H46" t="n">
        <v>140803</v>
      </c>
      <c r="I46" t="n">
        <v>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44</v>
      </c>
      <c r="C47" s="10" t="s">
        <v>45</v>
      </c>
      <c r="D47" s="10" t="s">
        <v>31</v>
      </c>
      <c r="E47" s="11" t="n">
        <v>46204</v>
      </c>
      <c r="F47" t="n">
        <v>0</v>
      </c>
      <c r="H47" t="n">
        <v>140803</v>
      </c>
      <c r="I47" t="n">
        <v>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44</v>
      </c>
      <c r="C48" s="10" t="s">
        <v>45</v>
      </c>
      <c r="D48" s="10" t="s">
        <v>31</v>
      </c>
      <c r="E48" s="11" t="n">
        <v>46235</v>
      </c>
      <c r="F48" t="n">
        <v>0</v>
      </c>
      <c r="H48" t="n">
        <v>140803</v>
      </c>
      <c r="I48" t="n">
        <v>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44</v>
      </c>
      <c r="C49" s="10" t="s">
        <v>45</v>
      </c>
      <c r="D49" s="10" t="s">
        <v>31</v>
      </c>
      <c r="E49" s="11" t="n">
        <v>46266</v>
      </c>
      <c r="F49" t="n">
        <v>0</v>
      </c>
      <c r="H49" t="n">
        <v>140803</v>
      </c>
      <c r="I49" t="n">
        <v>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44</v>
      </c>
      <c r="C50" s="10" t="s">
        <v>45</v>
      </c>
      <c r="D50" s="10" t="s">
        <v>31</v>
      </c>
      <c r="E50" s="11" t="n">
        <v>46296</v>
      </c>
      <c r="F50" t="n">
        <v>0</v>
      </c>
      <c r="H50" t="n">
        <v>140803</v>
      </c>
      <c r="I50" t="n">
        <v>0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44</v>
      </c>
      <c r="C51" s="10" t="s">
        <v>45</v>
      </c>
      <c r="D51" s="10" t="s">
        <v>31</v>
      </c>
      <c r="E51" s="11" t="n">
        <v>46327</v>
      </c>
      <c r="F51" t="n">
        <v>0</v>
      </c>
      <c r="H51" t="n">
        <v>140803</v>
      </c>
      <c r="I51" t="n">
        <v>0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44</v>
      </c>
      <c r="C52" s="10" t="s">
        <v>45</v>
      </c>
      <c r="D52" s="10" t="s">
        <v>31</v>
      </c>
      <c r="E52" s="11" t="n">
        <v>46357</v>
      </c>
      <c r="F52" t="n">
        <v>0</v>
      </c>
      <c r="H52" t="n">
        <v>140803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44</v>
      </c>
      <c r="C53" s="10" t="s">
        <v>45</v>
      </c>
      <c r="D53" s="10" t="s">
        <v>31</v>
      </c>
      <c r="E53" s="11" t="n">
        <v>45689</v>
      </c>
      <c r="F53" t="n">
        <v>515585</v>
      </c>
      <c r="H53" t="n">
        <v>110429</v>
      </c>
      <c r="I53" t="n">
        <v>920156</v>
      </c>
      <c r="J53" s="10" t="s">
        <v>157</v>
      </c>
      <c r="K53" s="10" t="s">
        <v>3</v>
      </c>
      <c r="L53" s="10" t="s">
        <v>153</v>
      </c>
      <c r="M53" t="n">
        <v>515000</v>
      </c>
      <c r="O53" t="n">
        <v>351848</v>
      </c>
      <c r="P53" s="11" t="n">
        <v>45689</v>
      </c>
      <c r="S53" t="n">
        <v>6</v>
      </c>
      <c r="T53" t="n">
        <v>12</v>
      </c>
      <c r="U53" t="n">
        <v>12</v>
      </c>
      <c r="V53" t="n">
        <v>8.3325575709279267</v>
      </c>
    </row>
    <row r="54">
      <c r="A54" s="10" t="s">
        <v>72</v>
      </c>
      <c r="B54" s="10" t="s">
        <v>44</v>
      </c>
      <c r="C54" s="10" t="s">
        <v>45</v>
      </c>
      <c r="D54" s="10" t="s">
        <v>31</v>
      </c>
      <c r="E54" s="11" t="n">
        <v>45717</v>
      </c>
      <c r="F54" t="n">
        <v>920156</v>
      </c>
      <c r="H54" t="n">
        <v>110429</v>
      </c>
      <c r="I54" t="n">
        <v>916527</v>
      </c>
      <c r="J54" s="10" t="s">
        <v>51</v>
      </c>
      <c r="K54" s="10" t="s">
        <v>51</v>
      </c>
      <c r="L54" s="10" t="s">
        <v>153</v>
      </c>
      <c r="M54" t="n">
        <v>106800</v>
      </c>
      <c r="O54" t="n">
        <v>101674</v>
      </c>
      <c r="P54" s="11" t="n">
        <v>45717</v>
      </c>
      <c r="S54" t="n">
        <v>6</v>
      </c>
      <c r="T54" t="n">
        <v>12</v>
      </c>
      <c r="U54" t="n">
        <v>12</v>
      </c>
      <c r="V54" t="n">
        <v>8.2996948265401294</v>
      </c>
    </row>
    <row r="55">
      <c r="A55" s="10" t="s">
        <v>72</v>
      </c>
      <c r="B55" s="10" t="s">
        <v>44</v>
      </c>
      <c r="C55" s="10" t="s">
        <v>45</v>
      </c>
      <c r="D55" s="10" t="s">
        <v>31</v>
      </c>
      <c r="E55" s="11" t="n">
        <v>45748</v>
      </c>
      <c r="F55" t="n">
        <v>916527</v>
      </c>
      <c r="H55" t="n">
        <v>110429</v>
      </c>
      <c r="I55" t="n">
        <v>1106098</v>
      </c>
      <c r="J55" s="10" t="s">
        <v>51</v>
      </c>
      <c r="K55" s="10" t="s">
        <v>158</v>
      </c>
      <c r="L55" s="10" t="s">
        <v>153</v>
      </c>
      <c r="M55" t="n">
        <v>300000</v>
      </c>
      <c r="O55" t="n">
        <v>258720</v>
      </c>
      <c r="P55" s="11" t="n">
        <v>45748</v>
      </c>
      <c r="S55" t="n">
        <v>6</v>
      </c>
      <c r="T55" t="n">
        <v>12</v>
      </c>
      <c r="U55" t="n">
        <v>12</v>
      </c>
      <c r="V55" t="n">
        <v>10.016372510844072</v>
      </c>
    </row>
    <row r="56">
      <c r="A56" s="10" t="s">
        <v>72</v>
      </c>
      <c r="B56" s="10" t="s">
        <v>44</v>
      </c>
      <c r="C56" s="10" t="s">
        <v>45</v>
      </c>
      <c r="D56" s="10" t="s">
        <v>31</v>
      </c>
      <c r="E56" s="11" t="n">
        <v>45778</v>
      </c>
      <c r="F56" t="n">
        <v>1106098</v>
      </c>
      <c r="H56" t="n">
        <v>110429</v>
      </c>
      <c r="I56" t="n">
        <v>1495669</v>
      </c>
      <c r="J56" s="10" t="s">
        <v>157</v>
      </c>
      <c r="K56" s="10" t="s">
        <v>3</v>
      </c>
      <c r="L56" s="10" t="s">
        <v>153</v>
      </c>
      <c r="M56" t="n">
        <v>500000</v>
      </c>
      <c r="O56" t="n">
        <v>341600</v>
      </c>
      <c r="P56" s="11" t="n">
        <v>45778</v>
      </c>
      <c r="S56" t="n">
        <v>6</v>
      </c>
      <c r="T56" t="n">
        <v>12</v>
      </c>
      <c r="U56" t="n">
        <v>12</v>
      </c>
      <c r="V56" t="n">
        <v>13.544168651350642</v>
      </c>
    </row>
    <row r="57">
      <c r="A57" s="10" t="s">
        <v>72</v>
      </c>
      <c r="B57" s="10" t="s">
        <v>44</v>
      </c>
      <c r="C57" s="10" t="s">
        <v>45</v>
      </c>
      <c r="D57" s="10" t="s">
        <v>31</v>
      </c>
      <c r="E57" s="11" t="n">
        <v>45809</v>
      </c>
      <c r="F57" t="n">
        <v>1495669</v>
      </c>
      <c r="H57" t="n">
        <v>110429</v>
      </c>
      <c r="I57" t="n">
        <v>1385240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12.544168651350642</v>
      </c>
    </row>
    <row r="58">
      <c r="A58" s="10" t="s">
        <v>72</v>
      </c>
      <c r="B58" s="10" t="s">
        <v>44</v>
      </c>
      <c r="C58" s="10" t="s">
        <v>45</v>
      </c>
      <c r="D58" s="10" t="s">
        <v>31</v>
      </c>
      <c r="E58" s="11" t="n">
        <v>45839</v>
      </c>
      <c r="F58" t="n">
        <v>1385240</v>
      </c>
      <c r="H58" t="n">
        <v>110429</v>
      </c>
      <c r="I58" t="n">
        <v>1274811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11.544168651350642</v>
      </c>
    </row>
    <row r="59">
      <c r="A59" s="10" t="s">
        <v>72</v>
      </c>
      <c r="B59" s="10" t="s">
        <v>44</v>
      </c>
      <c r="C59" s="10" t="s">
        <v>45</v>
      </c>
      <c r="D59" s="10" t="s">
        <v>31</v>
      </c>
      <c r="E59" s="11" t="n">
        <v>45870</v>
      </c>
      <c r="F59" t="n">
        <v>1274811</v>
      </c>
      <c r="H59" t="n">
        <v>110429</v>
      </c>
      <c r="I59" t="n">
        <v>1264382</v>
      </c>
      <c r="J59" s="10" t="s">
        <v>51</v>
      </c>
      <c r="K59" s="10" t="s">
        <v>51</v>
      </c>
      <c r="L59" s="10" t="s">
        <v>154</v>
      </c>
      <c r="M59" t="n">
        <v>100000</v>
      </c>
      <c r="O59" t="n">
        <v>95200</v>
      </c>
      <c r="P59" s="11" t="n">
        <v>45870</v>
      </c>
      <c r="S59" t="n">
        <v>6</v>
      </c>
      <c r="T59" t="n">
        <v>12</v>
      </c>
      <c r="U59" t="n">
        <v>12</v>
      </c>
      <c r="V59" t="n">
        <v>11.449727879451956</v>
      </c>
    </row>
    <row r="60">
      <c r="A60" s="10" t="s">
        <v>72</v>
      </c>
      <c r="B60" s="10" t="s">
        <v>44</v>
      </c>
      <c r="C60" s="10" t="s">
        <v>45</v>
      </c>
      <c r="D60" s="10" t="s">
        <v>31</v>
      </c>
      <c r="E60" s="11" t="n">
        <v>45901</v>
      </c>
      <c r="F60" t="n">
        <v>1264382</v>
      </c>
      <c r="H60" t="n">
        <v>110429</v>
      </c>
      <c r="I60" t="n">
        <v>1153953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10.449727879451956</v>
      </c>
    </row>
    <row r="61">
      <c r="A61" s="10" t="s">
        <v>72</v>
      </c>
      <c r="B61" s="10" t="s">
        <v>44</v>
      </c>
      <c r="C61" s="10" t="s">
        <v>45</v>
      </c>
      <c r="D61" s="10" t="s">
        <v>31</v>
      </c>
      <c r="E61" s="11" t="n">
        <v>45931</v>
      </c>
      <c r="F61" t="n">
        <v>1153953</v>
      </c>
      <c r="H61" t="n">
        <v>110429</v>
      </c>
      <c r="I61" t="n">
        <v>1262124</v>
      </c>
      <c r="J61" s="10" t="s">
        <v>51</v>
      </c>
      <c r="K61" s="10" t="s">
        <v>51</v>
      </c>
      <c r="L61" s="10" t="s">
        <v>147</v>
      </c>
      <c r="M61" t="n">
        <v>218600</v>
      </c>
      <c r="O61" t="n">
        <v>195913</v>
      </c>
      <c r="P61" s="11" t="n">
        <v>45931</v>
      </c>
      <c r="S61" t="n">
        <v>6</v>
      </c>
      <c r="T61" t="n">
        <v>12</v>
      </c>
      <c r="U61" t="n">
        <v>12</v>
      </c>
      <c r="V61" t="n">
        <v>11.429280352081427</v>
      </c>
    </row>
    <row r="62">
      <c r="A62" s="10" t="s">
        <v>72</v>
      </c>
      <c r="B62" s="10" t="s">
        <v>44</v>
      </c>
      <c r="C62" s="10" t="s">
        <v>45</v>
      </c>
      <c r="D62" s="10" t="s">
        <v>31</v>
      </c>
      <c r="E62" s="11" t="n">
        <v>45962</v>
      </c>
      <c r="F62" t="n">
        <v>1262124</v>
      </c>
      <c r="H62" t="n">
        <v>110429</v>
      </c>
      <c r="I62" t="n">
        <v>1175695</v>
      </c>
      <c r="J62" s="10" t="s">
        <v>51</v>
      </c>
      <c r="K62" s="10" t="s">
        <v>51</v>
      </c>
      <c r="L62" s="10" t="s">
        <v>147</v>
      </c>
      <c r="M62" t="n">
        <v>24000</v>
      </c>
      <c r="O62" t="n">
        <v>20697</v>
      </c>
      <c r="P62" s="11" t="n">
        <v>45962</v>
      </c>
      <c r="S62" t="n">
        <v>6</v>
      </c>
      <c r="T62" t="n">
        <v>12</v>
      </c>
      <c r="U62" t="n">
        <v>12</v>
      </c>
      <c r="V62" t="n">
        <v>10.646614566825743</v>
      </c>
    </row>
    <row r="63">
      <c r="A63" s="10" t="s">
        <v>72</v>
      </c>
      <c r="B63" s="10" t="s">
        <v>44</v>
      </c>
      <c r="C63" s="10" t="s">
        <v>45</v>
      </c>
      <c r="D63" s="10" t="s">
        <v>31</v>
      </c>
      <c r="E63" s="11" t="n">
        <v>45992</v>
      </c>
      <c r="F63" t="n">
        <v>1175695</v>
      </c>
      <c r="H63" t="n">
        <v>110429</v>
      </c>
      <c r="I63" t="n">
        <v>1065266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9.6466145668257433</v>
      </c>
    </row>
    <row r="64">
      <c r="A64" s="10" t="s">
        <v>72</v>
      </c>
      <c r="B64" s="10" t="s">
        <v>44</v>
      </c>
      <c r="C64" s="10" t="s">
        <v>45</v>
      </c>
      <c r="D64" s="10" t="s">
        <v>31</v>
      </c>
      <c r="E64" s="11" t="n">
        <v>46023</v>
      </c>
      <c r="F64" t="n">
        <v>1065266</v>
      </c>
      <c r="H64" t="n">
        <v>110429</v>
      </c>
      <c r="I64" t="n">
        <v>954837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8.6466145668257433</v>
      </c>
    </row>
    <row r="65">
      <c r="A65" s="10" t="s">
        <v>72</v>
      </c>
      <c r="B65" s="10" t="s">
        <v>44</v>
      </c>
      <c r="C65" s="10" t="s">
        <v>45</v>
      </c>
      <c r="D65" s="10" t="s">
        <v>31</v>
      </c>
      <c r="E65" s="11" t="n">
        <v>46054</v>
      </c>
      <c r="F65" t="n">
        <v>954837</v>
      </c>
      <c r="H65" t="n">
        <v>110429</v>
      </c>
      <c r="I65" t="n">
        <v>844408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7.6466145668257433</v>
      </c>
    </row>
    <row r="66">
      <c r="A66" s="10" t="s">
        <v>72</v>
      </c>
      <c r="B66" s="10" t="s">
        <v>44</v>
      </c>
      <c r="C66" s="10" t="s">
        <v>45</v>
      </c>
      <c r="D66" s="10" t="s">
        <v>31</v>
      </c>
      <c r="E66" s="11" t="n">
        <v>46082</v>
      </c>
      <c r="F66" t="n">
        <v>844408</v>
      </c>
      <c r="H66" t="n">
        <v>110429</v>
      </c>
      <c r="I66" t="n">
        <v>1365995</v>
      </c>
      <c r="J66" s="10" t="s">
        <v>2</v>
      </c>
      <c r="K66" s="10" t="s">
        <v>2</v>
      </c>
      <c r="L66" s="10" t="s">
        <v>4</v>
      </c>
      <c r="M66" t="n">
        <v>632016</v>
      </c>
      <c r="O66" t="n">
        <v>545051</v>
      </c>
      <c r="P66" s="11" t="n">
        <v>46082</v>
      </c>
      <c r="S66" t="n">
        <v>6</v>
      </c>
      <c r="T66" t="n">
        <v>12</v>
      </c>
      <c r="U66" t="n">
        <v>12</v>
      </c>
      <c r="V66" t="n">
        <v>12.369893777902544</v>
      </c>
    </row>
    <row r="67">
      <c r="A67" s="10" t="s">
        <v>72</v>
      </c>
      <c r="B67" s="10" t="s">
        <v>44</v>
      </c>
      <c r="C67" s="10" t="s">
        <v>45</v>
      </c>
      <c r="D67" s="10" t="s">
        <v>31</v>
      </c>
      <c r="E67" s="11" t="n">
        <v>46113</v>
      </c>
      <c r="F67" t="n">
        <v>1365995</v>
      </c>
      <c r="H67" t="n">
        <v>110429</v>
      </c>
      <c r="I67" t="n">
        <v>1255566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11.369893777902544</v>
      </c>
    </row>
    <row r="68">
      <c r="A68" s="10" t="s">
        <v>72</v>
      </c>
      <c r="B68" s="10" t="s">
        <v>44</v>
      </c>
      <c r="C68" s="10" t="s">
        <v>45</v>
      </c>
      <c r="D68" s="10" t="s">
        <v>31</v>
      </c>
      <c r="E68" s="11" t="n">
        <v>46143</v>
      </c>
      <c r="F68" t="n">
        <v>1255566</v>
      </c>
      <c r="H68" t="n">
        <v>110429</v>
      </c>
      <c r="I68" t="n">
        <v>1145137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10.369893777902544</v>
      </c>
    </row>
    <row r="69">
      <c r="A69" s="10" t="s">
        <v>72</v>
      </c>
      <c r="B69" s="10" t="s">
        <v>44</v>
      </c>
      <c r="C69" s="10" t="s">
        <v>45</v>
      </c>
      <c r="D69" s="10" t="s">
        <v>31</v>
      </c>
      <c r="E69" s="11" t="n">
        <v>46174</v>
      </c>
      <c r="F69" t="n">
        <v>1145137</v>
      </c>
      <c r="H69" t="n">
        <v>110429</v>
      </c>
      <c r="I69" t="n">
        <v>1034708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9.3698937779025435</v>
      </c>
    </row>
    <row r="70">
      <c r="A70" s="10" t="s">
        <v>72</v>
      </c>
      <c r="B70" s="10" t="s">
        <v>44</v>
      </c>
      <c r="C70" s="10" t="s">
        <v>45</v>
      </c>
      <c r="D70" s="10" t="s">
        <v>31</v>
      </c>
      <c r="E70" s="11" t="n">
        <v>46204</v>
      </c>
      <c r="F70" t="n">
        <v>1034708</v>
      </c>
      <c r="H70" t="n">
        <v>110429</v>
      </c>
      <c r="I70" t="n">
        <v>924279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8.3698937779025435</v>
      </c>
    </row>
    <row r="71">
      <c r="A71" s="10" t="s">
        <v>72</v>
      </c>
      <c r="B71" s="10" t="s">
        <v>44</v>
      </c>
      <c r="C71" s="10" t="s">
        <v>45</v>
      </c>
      <c r="D71" s="10" t="s">
        <v>31</v>
      </c>
      <c r="E71" s="11" t="n">
        <v>46235</v>
      </c>
      <c r="F71" t="n">
        <v>924279</v>
      </c>
      <c r="H71" t="n">
        <v>110429</v>
      </c>
      <c r="I71" t="n">
        <v>813850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7.3698937779025435</v>
      </c>
    </row>
    <row r="72">
      <c r="A72" s="10" t="s">
        <v>72</v>
      </c>
      <c r="B72" s="10" t="s">
        <v>44</v>
      </c>
      <c r="C72" s="10" t="s">
        <v>45</v>
      </c>
      <c r="D72" s="10" t="s">
        <v>31</v>
      </c>
      <c r="E72" s="11" t="n">
        <v>46266</v>
      </c>
      <c r="F72" t="n">
        <v>813850</v>
      </c>
      <c r="H72" t="n">
        <v>110429</v>
      </c>
      <c r="I72" t="n">
        <v>703421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6.3698937779025435</v>
      </c>
    </row>
    <row r="73">
      <c r="A73" s="10" t="s">
        <v>72</v>
      </c>
      <c r="B73" s="10" t="s">
        <v>44</v>
      </c>
      <c r="C73" s="10" t="s">
        <v>45</v>
      </c>
      <c r="D73" s="10" t="s">
        <v>31</v>
      </c>
      <c r="E73" s="11" t="n">
        <v>46296</v>
      </c>
      <c r="F73" t="n">
        <v>703421</v>
      </c>
      <c r="H73" t="n">
        <v>110429</v>
      </c>
      <c r="I73" t="n">
        <v>1290024</v>
      </c>
      <c r="J73" s="10" t="s">
        <v>2</v>
      </c>
      <c r="K73" s="10" t="s">
        <v>2</v>
      </c>
      <c r="L73" s="10" t="s">
        <v>4</v>
      </c>
      <c r="M73" t="n">
        <v>697032</v>
      </c>
      <c r="O73" t="n">
        <v>601120</v>
      </c>
      <c r="P73" s="11" t="n">
        <v>46296</v>
      </c>
      <c r="S73" t="n">
        <v>6</v>
      </c>
      <c r="T73" t="n">
        <v>12</v>
      </c>
      <c r="U73" t="n">
        <v>12</v>
      </c>
      <c r="V73" t="n">
        <v>11.681931376721694</v>
      </c>
    </row>
    <row r="74">
      <c r="A74" s="10" t="s">
        <v>72</v>
      </c>
      <c r="B74" s="10" t="s">
        <v>44</v>
      </c>
      <c r="C74" s="10" t="s">
        <v>45</v>
      </c>
      <c r="D74" s="10" t="s">
        <v>31</v>
      </c>
      <c r="E74" s="11" t="n">
        <v>46327</v>
      </c>
      <c r="F74" t="n">
        <v>1290024</v>
      </c>
      <c r="H74" t="n">
        <v>110429</v>
      </c>
      <c r="I74" t="n">
        <v>1179595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10.681931376721694</v>
      </c>
    </row>
    <row r="75">
      <c r="A75" s="10" t="s">
        <v>72</v>
      </c>
      <c r="B75" s="10" t="s">
        <v>44</v>
      </c>
      <c r="C75" s="10" t="s">
        <v>45</v>
      </c>
      <c r="D75" s="10" t="s">
        <v>31</v>
      </c>
      <c r="E75" s="11" t="n">
        <v>46357</v>
      </c>
      <c r="F75" t="n">
        <v>1179595</v>
      </c>
      <c r="H75" t="n">
        <v>110429</v>
      </c>
      <c r="I75" t="n">
        <v>1069166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9.6819313767216943</v>
      </c>
    </row>
    <row r="76">
      <c r="A76" s="10" t="s">
        <v>77</v>
      </c>
      <c r="B76" s="10" t="s">
        <v>44</v>
      </c>
      <c r="C76" s="10" t="s">
        <v>45</v>
      </c>
      <c r="D76" s="10" t="s">
        <v>31</v>
      </c>
      <c r="E76" s="11" t="n">
        <v>45839</v>
      </c>
      <c r="F76" t="n">
        <v>2250291</v>
      </c>
      <c r="H76" t="n">
        <v>1332535</v>
      </c>
      <c r="I76" t="n">
        <v>917756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0.68872937671430767</v>
      </c>
    </row>
    <row r="77">
      <c r="A77" s="10" t="s">
        <v>77</v>
      </c>
      <c r="B77" s="10" t="s">
        <v>44</v>
      </c>
      <c r="C77" s="10" t="s">
        <v>45</v>
      </c>
      <c r="D77" s="10" t="s">
        <v>31</v>
      </c>
      <c r="E77" s="11" t="n">
        <v>45870</v>
      </c>
      <c r="F77" t="n">
        <v>917756</v>
      </c>
      <c r="H77" t="n">
        <v>1332535</v>
      </c>
      <c r="I77" t="n">
        <v>1355221</v>
      </c>
      <c r="J77" s="10" t="s">
        <v>51</v>
      </c>
      <c r="K77" s="10" t="s">
        <v>51</v>
      </c>
      <c r="L77" s="10" t="s">
        <v>154</v>
      </c>
      <c r="M77" t="n">
        <v>1770000</v>
      </c>
      <c r="P77" s="11"/>
      <c r="S77" t="n">
        <v>6</v>
      </c>
      <c r="T77" t="n">
        <v>12</v>
      </c>
      <c r="U77" t="n">
        <v>12</v>
      </c>
      <c r="V77" t="n">
        <v>1.0170246935352543</v>
      </c>
    </row>
    <row r="78">
      <c r="A78" s="10" t="s">
        <v>77</v>
      </c>
      <c r="B78" s="10" t="s">
        <v>44</v>
      </c>
      <c r="C78" s="10" t="s">
        <v>45</v>
      </c>
      <c r="D78" s="10" t="s">
        <v>31</v>
      </c>
      <c r="E78" s="11" t="n">
        <v>45901</v>
      </c>
      <c r="F78" t="n">
        <v>1355221</v>
      </c>
      <c r="H78" t="n">
        <v>1332535</v>
      </c>
      <c r="I78" t="n">
        <v>5019157</v>
      </c>
      <c r="J78" s="10" t="s">
        <v>168</v>
      </c>
      <c r="K78" s="10" t="s">
        <v>168</v>
      </c>
      <c r="L78" s="10" t="s">
        <v>154</v>
      </c>
      <c r="M78" t="n">
        <v>4996471</v>
      </c>
      <c r="P78" s="11"/>
      <c r="S78" t="n">
        <v>6</v>
      </c>
      <c r="T78" t="n">
        <v>12</v>
      </c>
      <c r="U78" t="n">
        <v>12</v>
      </c>
      <c r="V78" t="n">
        <v>3.7666230155305489</v>
      </c>
    </row>
    <row r="79">
      <c r="A79" s="10" t="s">
        <v>77</v>
      </c>
      <c r="B79" s="10" t="s">
        <v>44</v>
      </c>
      <c r="C79" s="10" t="s">
        <v>45</v>
      </c>
      <c r="D79" s="10" t="s">
        <v>31</v>
      </c>
      <c r="E79" s="11" t="n">
        <v>45931</v>
      </c>
      <c r="F79" t="n">
        <v>5019157</v>
      </c>
      <c r="H79" t="n">
        <v>1332535</v>
      </c>
      <c r="I79" t="n">
        <v>3686622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2.7666230155305489</v>
      </c>
    </row>
    <row r="80">
      <c r="A80" s="10" t="s">
        <v>77</v>
      </c>
      <c r="B80" s="10" t="s">
        <v>44</v>
      </c>
      <c r="C80" s="10" t="s">
        <v>45</v>
      </c>
      <c r="D80" s="10" t="s">
        <v>31</v>
      </c>
      <c r="E80" s="11" t="n">
        <v>45962</v>
      </c>
      <c r="F80" t="n">
        <v>3686622</v>
      </c>
      <c r="H80" t="n">
        <v>1332535</v>
      </c>
      <c r="I80" t="n">
        <v>2354087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1.7666230155305489</v>
      </c>
    </row>
    <row r="81">
      <c r="A81" s="10" t="s">
        <v>77</v>
      </c>
      <c r="B81" s="10" t="s">
        <v>44</v>
      </c>
      <c r="C81" s="10" t="s">
        <v>45</v>
      </c>
      <c r="D81" s="10" t="s">
        <v>31</v>
      </c>
      <c r="E81" s="11" t="n">
        <v>45992</v>
      </c>
      <c r="F81" t="n">
        <v>2354087</v>
      </c>
      <c r="H81" t="n">
        <v>1332535</v>
      </c>
      <c r="I81" t="n">
        <v>6151620</v>
      </c>
      <c r="J81" s="10" t="s">
        <v>168</v>
      </c>
      <c r="K81" s="10" t="s">
        <v>168</v>
      </c>
      <c r="L81" s="10" t="s">
        <v>147</v>
      </c>
      <c r="M81" t="n">
        <v>5130068</v>
      </c>
      <c r="P81" s="11"/>
      <c r="S81" t="n">
        <v>6</v>
      </c>
      <c r="T81" t="n">
        <v>12</v>
      </c>
      <c r="U81" t="n">
        <v>12</v>
      </c>
      <c r="V81" t="n">
        <v>4.6164791168712265</v>
      </c>
    </row>
    <row r="82">
      <c r="A82" s="10" t="s">
        <v>77</v>
      </c>
      <c r="B82" s="10" t="s">
        <v>44</v>
      </c>
      <c r="C82" s="10" t="s">
        <v>45</v>
      </c>
      <c r="D82" s="10" t="s">
        <v>31</v>
      </c>
      <c r="E82" s="11" t="n">
        <v>46023</v>
      </c>
      <c r="F82" t="n">
        <v>6151620</v>
      </c>
      <c r="H82" t="n">
        <v>1332535</v>
      </c>
      <c r="I82" t="n">
        <v>4819085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3.6164791168712265</v>
      </c>
    </row>
    <row r="83">
      <c r="A83" s="10" t="s">
        <v>77</v>
      </c>
      <c r="B83" s="10" t="s">
        <v>44</v>
      </c>
      <c r="C83" s="10" t="s">
        <v>45</v>
      </c>
      <c r="D83" s="10" t="s">
        <v>31</v>
      </c>
      <c r="E83" s="11" t="n">
        <v>46054</v>
      </c>
      <c r="F83" t="n">
        <v>4819085</v>
      </c>
      <c r="H83" t="n">
        <v>1332535</v>
      </c>
      <c r="I83" t="n">
        <v>3486550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2.6164791168712265</v>
      </c>
    </row>
    <row r="84">
      <c r="A84" s="10" t="s">
        <v>77</v>
      </c>
      <c r="B84" s="10" t="s">
        <v>44</v>
      </c>
      <c r="C84" s="10" t="s">
        <v>45</v>
      </c>
      <c r="D84" s="10" t="s">
        <v>31</v>
      </c>
      <c r="E84" s="11" t="n">
        <v>46082</v>
      </c>
      <c r="F84" t="n">
        <v>3486550</v>
      </c>
      <c r="H84" t="n">
        <v>1332535</v>
      </c>
      <c r="I84" t="n">
        <v>2154015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1.6164791168712267</v>
      </c>
    </row>
    <row r="85">
      <c r="A85" s="10" t="s">
        <v>77</v>
      </c>
      <c r="B85" s="10" t="s">
        <v>44</v>
      </c>
      <c r="C85" s="10" t="s">
        <v>45</v>
      </c>
      <c r="D85" s="10" t="s">
        <v>31</v>
      </c>
      <c r="E85" s="11" t="n">
        <v>46113</v>
      </c>
      <c r="F85" t="n">
        <v>2154015</v>
      </c>
      <c r="H85" t="n">
        <v>1332535</v>
      </c>
      <c r="I85" t="n">
        <v>821480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0.6164791168712267</v>
      </c>
    </row>
    <row r="86">
      <c r="A86" s="10" t="s">
        <v>74</v>
      </c>
      <c r="B86" s="10" t="s">
        <v>44</v>
      </c>
      <c r="C86" s="10" t="s">
        <v>45</v>
      </c>
      <c r="D86" s="10" t="s">
        <v>31</v>
      </c>
      <c r="E86" s="11" t="n">
        <v>45870</v>
      </c>
      <c r="F86" t="n">
        <v>1624145</v>
      </c>
      <c r="H86" t="n">
        <v>130000</v>
      </c>
      <c r="I86" t="n">
        <v>1694145</v>
      </c>
      <c r="J86" s="10" t="s">
        <v>51</v>
      </c>
      <c r="K86" s="10" t="s">
        <v>51</v>
      </c>
      <c r="L86" s="10" t="s">
        <v>154</v>
      </c>
      <c r="M86" t="n">
        <v>200000</v>
      </c>
      <c r="P86" s="11"/>
      <c r="S86" t="n">
        <v>3</v>
      </c>
      <c r="T86" t="n">
        <v>6</v>
      </c>
      <c r="U86" t="n">
        <v>6</v>
      </c>
      <c r="V86" t="n">
        <v>13.031884615384616</v>
      </c>
    </row>
    <row r="87">
      <c r="A87" s="10" t="s">
        <v>74</v>
      </c>
      <c r="B87" s="10" t="s">
        <v>44</v>
      </c>
      <c r="C87" s="10" t="s">
        <v>45</v>
      </c>
      <c r="D87" s="10" t="s">
        <v>31</v>
      </c>
      <c r="E87" s="11" t="n">
        <v>45901</v>
      </c>
      <c r="F87" t="n">
        <v>1694145</v>
      </c>
      <c r="H87" t="n">
        <v>130000</v>
      </c>
      <c r="I87" t="n">
        <v>1564145</v>
      </c>
      <c r="J87" s="10"/>
      <c r="K87" s="10"/>
      <c r="L87" s="10"/>
      <c r="P87" s="11"/>
      <c r="S87" t="n">
        <v>3</v>
      </c>
      <c r="T87" t="n">
        <v>6</v>
      </c>
      <c r="U87" t="n">
        <v>6</v>
      </c>
      <c r="V87" t="n">
        <v>12.031884615384616</v>
      </c>
    </row>
    <row r="88">
      <c r="A88" s="10" t="s">
        <v>74</v>
      </c>
      <c r="B88" s="10" t="s">
        <v>44</v>
      </c>
      <c r="C88" s="10" t="s">
        <v>45</v>
      </c>
      <c r="D88" s="10" t="s">
        <v>31</v>
      </c>
      <c r="E88" s="11" t="n">
        <v>45931</v>
      </c>
      <c r="F88" t="n">
        <v>1564145</v>
      </c>
      <c r="H88" t="n">
        <v>130000</v>
      </c>
      <c r="I88" t="n">
        <v>1434145</v>
      </c>
      <c r="J88" s="10"/>
      <c r="K88" s="10"/>
      <c r="L88" s="10"/>
      <c r="P88" s="11"/>
      <c r="S88" t="n">
        <v>3</v>
      </c>
      <c r="T88" t="n">
        <v>6</v>
      </c>
      <c r="U88" t="n">
        <v>6</v>
      </c>
      <c r="V88" t="n">
        <v>11.031884615384616</v>
      </c>
    </row>
    <row r="89">
      <c r="A89" s="10" t="s">
        <v>74</v>
      </c>
      <c r="B89" s="10" t="s">
        <v>44</v>
      </c>
      <c r="C89" s="10" t="s">
        <v>45</v>
      </c>
      <c r="D89" s="10" t="s">
        <v>31</v>
      </c>
      <c r="E89" s="11" t="n">
        <v>45962</v>
      </c>
      <c r="F89" t="n">
        <v>1434145</v>
      </c>
      <c r="H89" t="n">
        <v>130000</v>
      </c>
      <c r="I89" t="n">
        <v>1304145</v>
      </c>
      <c r="J89" s="10"/>
      <c r="K89" s="10"/>
      <c r="L89" s="10"/>
      <c r="P89" s="11"/>
      <c r="S89" t="n">
        <v>3</v>
      </c>
      <c r="T89" t="n">
        <v>6</v>
      </c>
      <c r="U89" t="n">
        <v>6</v>
      </c>
      <c r="V89" t="n">
        <v>10.031884615384616</v>
      </c>
    </row>
    <row r="90">
      <c r="A90" s="10" t="s">
        <v>74</v>
      </c>
      <c r="B90" s="10" t="s">
        <v>44</v>
      </c>
      <c r="C90" s="10" t="s">
        <v>45</v>
      </c>
      <c r="D90" s="10" t="s">
        <v>31</v>
      </c>
      <c r="E90" s="11" t="n">
        <v>45992</v>
      </c>
      <c r="F90" t="n">
        <v>1304145</v>
      </c>
      <c r="H90" t="n">
        <v>130000</v>
      </c>
      <c r="I90" t="n">
        <v>1174145</v>
      </c>
      <c r="J90" s="10"/>
      <c r="K90" s="10"/>
      <c r="L90" s="10"/>
      <c r="P90" s="11"/>
      <c r="S90" t="n">
        <v>3</v>
      </c>
      <c r="T90" t="n">
        <v>6</v>
      </c>
      <c r="U90" t="n">
        <v>6</v>
      </c>
      <c r="V90" t="n">
        <v>9.031884615384616</v>
      </c>
    </row>
    <row r="91">
      <c r="A91" s="10" t="s">
        <v>74</v>
      </c>
      <c r="B91" s="10" t="s">
        <v>44</v>
      </c>
      <c r="C91" s="10" t="s">
        <v>45</v>
      </c>
      <c r="D91" s="10" t="s">
        <v>31</v>
      </c>
      <c r="E91" s="11" t="n">
        <v>46023</v>
      </c>
      <c r="F91" t="n">
        <v>1174145</v>
      </c>
      <c r="H91" t="n">
        <v>130000</v>
      </c>
      <c r="I91" t="n">
        <v>1044145</v>
      </c>
      <c r="J91" s="10"/>
      <c r="K91" s="10"/>
      <c r="L91" s="10"/>
      <c r="P91" s="11"/>
      <c r="S91" t="n">
        <v>3</v>
      </c>
      <c r="T91" t="n">
        <v>6</v>
      </c>
      <c r="U91" t="n">
        <v>6</v>
      </c>
      <c r="V91" t="n">
        <v>8.031884615384616</v>
      </c>
    </row>
    <row r="92">
      <c r="A92" s="10" t="s">
        <v>74</v>
      </c>
      <c r="B92" s="10" t="s">
        <v>44</v>
      </c>
      <c r="C92" s="10" t="s">
        <v>45</v>
      </c>
      <c r="D92" s="10" t="s">
        <v>31</v>
      </c>
      <c r="E92" s="11" t="n">
        <v>46054</v>
      </c>
      <c r="F92" t="n">
        <v>1044145</v>
      </c>
      <c r="H92" t="n">
        <v>130000</v>
      </c>
      <c r="I92" t="n">
        <v>914145</v>
      </c>
      <c r="J92" s="10"/>
      <c r="K92" s="10"/>
      <c r="L92" s="10"/>
      <c r="P92" s="11"/>
      <c r="S92" t="n">
        <v>3</v>
      </c>
      <c r="T92" t="n">
        <v>6</v>
      </c>
      <c r="U92" t="n">
        <v>6</v>
      </c>
      <c r="V92" t="n">
        <v>7.0318846153846151</v>
      </c>
    </row>
    <row r="93">
      <c r="A93" s="10" t="s">
        <v>74</v>
      </c>
      <c r="B93" s="10" t="s">
        <v>44</v>
      </c>
      <c r="C93" s="10" t="s">
        <v>45</v>
      </c>
      <c r="D93" s="10" t="s">
        <v>31</v>
      </c>
      <c r="E93" s="11" t="n">
        <v>46082</v>
      </c>
      <c r="F93" t="n">
        <v>914145</v>
      </c>
      <c r="H93" t="n">
        <v>130000</v>
      </c>
      <c r="I93" t="n">
        <v>784145</v>
      </c>
      <c r="J93" s="10"/>
      <c r="K93" s="10"/>
      <c r="L93" s="10"/>
      <c r="P93" s="11"/>
      <c r="S93" t="n">
        <v>3</v>
      </c>
      <c r="T93" t="n">
        <v>6</v>
      </c>
      <c r="U93" t="n">
        <v>6</v>
      </c>
      <c r="V93" t="n">
        <v>6.0318846153846151</v>
      </c>
    </row>
    <row r="94">
      <c r="A94" s="10" t="s">
        <v>74</v>
      </c>
      <c r="B94" s="10" t="s">
        <v>44</v>
      </c>
      <c r="C94" s="10" t="s">
        <v>45</v>
      </c>
      <c r="D94" s="10" t="s">
        <v>31</v>
      </c>
      <c r="E94" s="11" t="n">
        <v>46113</v>
      </c>
      <c r="F94" t="n">
        <v>784145</v>
      </c>
      <c r="H94" t="n">
        <v>130000</v>
      </c>
      <c r="I94" t="n">
        <v>755020</v>
      </c>
      <c r="J94" s="10" t="s">
        <v>2</v>
      </c>
      <c r="K94" s="10" t="s">
        <v>2</v>
      </c>
      <c r="L94" s="10" t="s">
        <v>4</v>
      </c>
      <c r="M94" t="n">
        <v>100875</v>
      </c>
      <c r="P94" s="11"/>
      <c r="S94" t="n">
        <v>3</v>
      </c>
      <c r="T94" t="n">
        <v>6</v>
      </c>
      <c r="U94" t="n">
        <v>6</v>
      </c>
      <c r="V94" t="n">
        <v>5.8078461538461541</v>
      </c>
    </row>
    <row r="95">
      <c r="A95" s="10" t="s">
        <v>74</v>
      </c>
      <c r="B95" s="10" t="s">
        <v>44</v>
      </c>
      <c r="C95" s="10" t="s">
        <v>45</v>
      </c>
      <c r="D95" s="10" t="s">
        <v>31</v>
      </c>
      <c r="E95" s="11" t="n">
        <v>46143</v>
      </c>
      <c r="F95" t="n">
        <v>755020</v>
      </c>
      <c r="H95" t="n">
        <v>130000</v>
      </c>
      <c r="I95" t="n">
        <v>1061595</v>
      </c>
      <c r="J95" s="10" t="s">
        <v>2</v>
      </c>
      <c r="K95" s="10" t="s">
        <v>2</v>
      </c>
      <c r="L95" s="10" t="s">
        <v>4</v>
      </c>
      <c r="M95" t="n">
        <v>436575</v>
      </c>
      <c r="P95" s="11"/>
      <c r="S95" t="n">
        <v>3</v>
      </c>
      <c r="T95" t="n">
        <v>6</v>
      </c>
      <c r="U95" t="n">
        <v>6</v>
      </c>
      <c r="V95" t="n">
        <v>8.1661153846153844</v>
      </c>
    </row>
    <row r="96">
      <c r="A96" s="10" t="s">
        <v>74</v>
      </c>
      <c r="B96" s="10" t="s">
        <v>44</v>
      </c>
      <c r="C96" s="10" t="s">
        <v>45</v>
      </c>
      <c r="D96" s="10" t="s">
        <v>31</v>
      </c>
      <c r="E96" s="11" t="n">
        <v>46174</v>
      </c>
      <c r="F96" t="n">
        <v>1061595</v>
      </c>
      <c r="H96" t="n">
        <v>130000</v>
      </c>
      <c r="I96" t="n">
        <v>931595</v>
      </c>
      <c r="J96" s="10"/>
      <c r="K96" s="10"/>
      <c r="L96" s="10"/>
      <c r="P96" s="11"/>
      <c r="S96" t="n">
        <v>3</v>
      </c>
      <c r="T96" t="n">
        <v>6</v>
      </c>
      <c r="U96" t="n">
        <v>6</v>
      </c>
      <c r="V96" t="n">
        <v>7.1661153846153844</v>
      </c>
    </row>
    <row r="97">
      <c r="A97" s="10" t="s">
        <v>74</v>
      </c>
      <c r="B97" s="10" t="s">
        <v>44</v>
      </c>
      <c r="C97" s="10" t="s">
        <v>45</v>
      </c>
      <c r="D97" s="10" t="s">
        <v>31</v>
      </c>
      <c r="E97" s="11" t="n">
        <v>46204</v>
      </c>
      <c r="F97" t="n">
        <v>931595</v>
      </c>
      <c r="H97" t="n">
        <v>130000</v>
      </c>
      <c r="I97" t="n">
        <v>801595</v>
      </c>
      <c r="J97" s="10"/>
      <c r="K97" s="10"/>
      <c r="L97" s="10"/>
      <c r="P97" s="11"/>
      <c r="S97" t="n">
        <v>3</v>
      </c>
      <c r="T97" t="n">
        <v>6</v>
      </c>
      <c r="U97" t="n">
        <v>6</v>
      </c>
      <c r="V97" t="n">
        <v>6.1661153846153844</v>
      </c>
    </row>
    <row r="98">
      <c r="A98" s="10" t="s">
        <v>74</v>
      </c>
      <c r="B98" s="10" t="s">
        <v>44</v>
      </c>
      <c r="C98" s="10" t="s">
        <v>45</v>
      </c>
      <c r="D98" s="10" t="s">
        <v>31</v>
      </c>
      <c r="E98" s="11" t="n">
        <v>46235</v>
      </c>
      <c r="F98" t="n">
        <v>801595</v>
      </c>
      <c r="H98" t="n">
        <v>130000</v>
      </c>
      <c r="I98" t="n">
        <v>1321667</v>
      </c>
      <c r="J98" s="10" t="s">
        <v>2</v>
      </c>
      <c r="K98" s="10" t="s">
        <v>2</v>
      </c>
      <c r="L98" s="10" t="s">
        <v>4</v>
      </c>
      <c r="M98" t="n">
        <v>650072</v>
      </c>
      <c r="P98" s="11"/>
      <c r="S98" t="n">
        <v>3</v>
      </c>
      <c r="T98" t="n">
        <v>6</v>
      </c>
      <c r="U98" t="n">
        <v>6</v>
      </c>
      <c r="V98" t="n">
        <v>10.16666923076923</v>
      </c>
    </row>
    <row r="99">
      <c r="A99" s="10" t="s">
        <v>166</v>
      </c>
      <c r="B99" s="10" t="s">
        <v>44</v>
      </c>
      <c r="C99" s="10" t="s">
        <v>45</v>
      </c>
      <c r="D99" s="10" t="s">
        <v>31</v>
      </c>
      <c r="E99" s="11" t="n">
        <v>45748</v>
      </c>
      <c r="F99" t="n">
        <v>214450</v>
      </c>
      <c r="H99" t="n">
        <v>33220</v>
      </c>
      <c r="I99" t="n">
        <v>181230</v>
      </c>
      <c r="J99" s="10"/>
      <c r="K99" s="10"/>
      <c r="L99" s="10"/>
      <c r="P99" s="11"/>
      <c r="V99" t="n">
        <v>5.4554485249849485</v>
      </c>
    </row>
    <row r="100">
      <c r="A100" s="10" t="s">
        <v>166</v>
      </c>
      <c r="B100" s="10" t="s">
        <v>44</v>
      </c>
      <c r="C100" s="10" t="s">
        <v>45</v>
      </c>
      <c r="D100" s="10" t="s">
        <v>31</v>
      </c>
      <c r="E100" s="11" t="n">
        <v>45778</v>
      </c>
      <c r="F100" t="n">
        <v>181230</v>
      </c>
      <c r="H100" t="n">
        <v>33220</v>
      </c>
      <c r="I100" t="n">
        <v>148010</v>
      </c>
      <c r="J100" s="10"/>
      <c r="K100" s="10"/>
      <c r="L100" s="10"/>
      <c r="P100" s="11"/>
      <c r="V100" t="n">
        <v>4.4554485249849485</v>
      </c>
    </row>
    <row r="101">
      <c r="A101" s="10" t="s">
        <v>166</v>
      </c>
      <c r="B101" s="10" t="s">
        <v>44</v>
      </c>
      <c r="C101" s="10" t="s">
        <v>45</v>
      </c>
      <c r="D101" s="10" t="s">
        <v>31</v>
      </c>
      <c r="E101" s="11" t="n">
        <v>45809</v>
      </c>
      <c r="F101" t="n">
        <v>148010</v>
      </c>
      <c r="H101" t="n">
        <v>33220</v>
      </c>
      <c r="I101" t="n">
        <v>264790</v>
      </c>
      <c r="J101" s="10"/>
      <c r="K101" s="10"/>
      <c r="L101" s="10"/>
      <c r="M101" t="n">
        <v>150000</v>
      </c>
      <c r="P101" s="11"/>
      <c r="V101" t="n">
        <v>7.9708007224563513</v>
      </c>
    </row>
    <row r="102">
      <c r="A102" s="10" t="s">
        <v>166</v>
      </c>
      <c r="B102" s="10" t="s">
        <v>44</v>
      </c>
      <c r="C102" s="10" t="s">
        <v>45</v>
      </c>
      <c r="D102" s="10" t="s">
        <v>31</v>
      </c>
      <c r="E102" s="11" t="n">
        <v>45839</v>
      </c>
      <c r="F102" t="n">
        <v>264790</v>
      </c>
      <c r="H102" t="n">
        <v>33220</v>
      </c>
      <c r="I102" t="n">
        <v>231570</v>
      </c>
      <c r="J102" s="10"/>
      <c r="K102" s="10"/>
      <c r="L102" s="10"/>
      <c r="P102" s="11"/>
      <c r="V102" t="n">
        <v>6.9708007224563513</v>
      </c>
    </row>
    <row r="103">
      <c r="A103" s="10" t="s">
        <v>166</v>
      </c>
      <c r="B103" s="10" t="s">
        <v>44</v>
      </c>
      <c r="C103" s="10" t="s">
        <v>45</v>
      </c>
      <c r="D103" s="10" t="s">
        <v>31</v>
      </c>
      <c r="E103" s="11" t="n">
        <v>45870</v>
      </c>
      <c r="F103" t="n">
        <v>231570</v>
      </c>
      <c r="H103" t="n">
        <v>33220</v>
      </c>
      <c r="I103" t="n">
        <v>198350</v>
      </c>
      <c r="J103" s="10"/>
      <c r="K103" s="10"/>
      <c r="L103" s="10"/>
      <c r="P103" s="11"/>
      <c r="V103" t="n">
        <v>5.9708007224563513</v>
      </c>
    </row>
    <row r="104">
      <c r="A104" s="10" t="s">
        <v>166</v>
      </c>
      <c r="B104" s="10" t="s">
        <v>44</v>
      </c>
      <c r="C104" s="10" t="s">
        <v>45</v>
      </c>
      <c r="D104" s="10" t="s">
        <v>31</v>
      </c>
      <c r="E104" s="11" t="n">
        <v>45901</v>
      </c>
      <c r="F104" t="n">
        <v>198350</v>
      </c>
      <c r="H104" t="n">
        <v>33220</v>
      </c>
      <c r="I104" t="n">
        <v>165130</v>
      </c>
      <c r="J104" s="10"/>
      <c r="K104" s="10"/>
      <c r="L104" s="10"/>
      <c r="P104" s="11"/>
      <c r="V104" t="n">
        <v>4.9708007224563513</v>
      </c>
    </row>
    <row r="105">
      <c r="A105" s="10" t="s">
        <v>166</v>
      </c>
      <c r="B105" s="10" t="s">
        <v>44</v>
      </c>
      <c r="C105" s="10" t="s">
        <v>45</v>
      </c>
      <c r="D105" s="10" t="s">
        <v>31</v>
      </c>
      <c r="E105" s="11" t="n">
        <v>45931</v>
      </c>
      <c r="F105" t="n">
        <v>165130</v>
      </c>
      <c r="H105" t="n">
        <v>33220</v>
      </c>
      <c r="I105" t="n">
        <v>131910</v>
      </c>
      <c r="J105" s="10"/>
      <c r="K105" s="10"/>
      <c r="L105" s="10"/>
      <c r="P105" s="11"/>
      <c r="V105" t="n">
        <v>3.9708007224563517</v>
      </c>
    </row>
    <row r="106">
      <c r="A106" s="10" t="s">
        <v>166</v>
      </c>
      <c r="B106" s="10" t="s">
        <v>44</v>
      </c>
      <c r="C106" s="10" t="s">
        <v>45</v>
      </c>
      <c r="D106" s="10" t="s">
        <v>31</v>
      </c>
      <c r="E106" s="11" t="n">
        <v>45962</v>
      </c>
      <c r="F106" t="n">
        <v>131910</v>
      </c>
      <c r="H106" t="n">
        <v>33220</v>
      </c>
      <c r="I106" t="n">
        <v>98690</v>
      </c>
      <c r="J106" s="10"/>
      <c r="K106" s="10"/>
      <c r="L106" s="10"/>
      <c r="P106" s="11"/>
      <c r="V106" t="n">
        <v>2.9708007224563517</v>
      </c>
    </row>
    <row r="107">
      <c r="A107" s="10" t="s">
        <v>166</v>
      </c>
      <c r="B107" s="10" t="s">
        <v>44</v>
      </c>
      <c r="C107" s="10" t="s">
        <v>45</v>
      </c>
      <c r="D107" s="10" t="s">
        <v>31</v>
      </c>
      <c r="E107" s="11" t="n">
        <v>45992</v>
      </c>
      <c r="F107" t="n">
        <v>98690</v>
      </c>
      <c r="H107" t="n">
        <v>33220</v>
      </c>
      <c r="I107" t="n">
        <v>65470</v>
      </c>
      <c r="J107" s="10"/>
      <c r="K107" s="10"/>
      <c r="L107" s="10"/>
      <c r="P107" s="11"/>
      <c r="V107" t="n">
        <v>1.9708007224563515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0.6328125" hidden="0" customWidth="1"/>
    <col min="2" max="2" width="23.542968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9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36</v>
      </c>
      <c r="C2" s="10" t="s">
        <v>37</v>
      </c>
      <c r="D2" s="10" t="s">
        <v>31</v>
      </c>
      <c r="E2" s="11" t="n">
        <v>45839</v>
      </c>
      <c r="F2" t="n">
        <v>2833</v>
      </c>
      <c r="H2" t="n">
        <v>59</v>
      </c>
      <c r="I2" t="n">
        <v>2774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47.016949152542374</v>
      </c>
    </row>
    <row r="3">
      <c r="A3" s="10" t="s">
        <v>28</v>
      </c>
      <c r="B3" s="10" t="s">
        <v>36</v>
      </c>
      <c r="C3" s="10" t="s">
        <v>37</v>
      </c>
      <c r="D3" s="10" t="s">
        <v>31</v>
      </c>
      <c r="E3" s="11" t="n">
        <v>45870</v>
      </c>
      <c r="F3" t="n">
        <v>2774</v>
      </c>
      <c r="H3" t="n">
        <v>59</v>
      </c>
      <c r="I3" t="n">
        <v>2715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46.016949152542374</v>
      </c>
    </row>
    <row r="4">
      <c r="A4" s="10" t="s">
        <v>28</v>
      </c>
      <c r="B4" s="10" t="s">
        <v>36</v>
      </c>
      <c r="C4" s="10" t="s">
        <v>37</v>
      </c>
      <c r="D4" s="10" t="s">
        <v>31</v>
      </c>
      <c r="E4" s="11" t="n">
        <v>45901</v>
      </c>
      <c r="F4" t="n">
        <v>2715</v>
      </c>
      <c r="H4" t="n">
        <v>59</v>
      </c>
      <c r="I4" t="n">
        <v>2656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45.016949152542374</v>
      </c>
    </row>
    <row r="5">
      <c r="A5" s="10" t="s">
        <v>28</v>
      </c>
      <c r="B5" s="10" t="s">
        <v>36</v>
      </c>
      <c r="C5" s="10" t="s">
        <v>37</v>
      </c>
      <c r="D5" s="10" t="s">
        <v>31</v>
      </c>
      <c r="E5" s="11" t="n">
        <v>45931</v>
      </c>
      <c r="F5" t="n">
        <v>2656</v>
      </c>
      <c r="H5" t="n">
        <v>59</v>
      </c>
      <c r="I5" t="n">
        <v>2597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44.016949152542374</v>
      </c>
    </row>
    <row r="6">
      <c r="A6" s="10" t="s">
        <v>28</v>
      </c>
      <c r="B6" s="10" t="s">
        <v>36</v>
      </c>
      <c r="C6" s="10" t="s">
        <v>37</v>
      </c>
      <c r="D6" s="10" t="s">
        <v>31</v>
      </c>
      <c r="E6" s="11" t="n">
        <v>45962</v>
      </c>
      <c r="F6" t="n">
        <v>2597</v>
      </c>
      <c r="H6" t="n">
        <v>59</v>
      </c>
      <c r="I6" t="n">
        <v>2538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43.016949152542374</v>
      </c>
    </row>
    <row r="7">
      <c r="A7" s="10" t="s">
        <v>28</v>
      </c>
      <c r="B7" s="10" t="s">
        <v>36</v>
      </c>
      <c r="C7" s="10" t="s">
        <v>37</v>
      </c>
      <c r="D7" s="10" t="s">
        <v>31</v>
      </c>
      <c r="E7" s="11" t="n">
        <v>45992</v>
      </c>
      <c r="F7" t="n">
        <v>2538</v>
      </c>
      <c r="H7" t="n">
        <v>59</v>
      </c>
      <c r="I7" t="n">
        <v>2479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42.016949152542374</v>
      </c>
    </row>
    <row r="8">
      <c r="A8" s="10" t="s">
        <v>28</v>
      </c>
      <c r="B8" s="10" t="s">
        <v>36</v>
      </c>
      <c r="C8" s="10" t="s">
        <v>37</v>
      </c>
      <c r="D8" s="10" t="s">
        <v>31</v>
      </c>
      <c r="E8" s="11" t="n">
        <v>46023</v>
      </c>
      <c r="F8" t="n">
        <v>2479</v>
      </c>
      <c r="H8" t="n">
        <v>59</v>
      </c>
      <c r="I8" t="n">
        <v>2420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41.016949152542374</v>
      </c>
    </row>
    <row r="9">
      <c r="A9" s="10" t="s">
        <v>28</v>
      </c>
      <c r="B9" s="10" t="s">
        <v>36</v>
      </c>
      <c r="C9" s="10" t="s">
        <v>37</v>
      </c>
      <c r="D9" s="10" t="s">
        <v>31</v>
      </c>
      <c r="E9" s="11" t="n">
        <v>46054</v>
      </c>
      <c r="F9" t="n">
        <v>2420</v>
      </c>
      <c r="H9" t="n">
        <v>59</v>
      </c>
      <c r="I9" t="n">
        <v>2361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40.016949152542374</v>
      </c>
    </row>
    <row r="10">
      <c r="A10" s="10" t="s">
        <v>28</v>
      </c>
      <c r="B10" s="10" t="s">
        <v>36</v>
      </c>
      <c r="C10" s="10" t="s">
        <v>37</v>
      </c>
      <c r="D10" s="10" t="s">
        <v>31</v>
      </c>
      <c r="E10" s="11" t="n">
        <v>46082</v>
      </c>
      <c r="F10" t="n">
        <v>2361</v>
      </c>
      <c r="H10" t="n">
        <v>59</v>
      </c>
      <c r="I10" t="n">
        <v>2302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39.016949152542374</v>
      </c>
    </row>
    <row r="11">
      <c r="A11" s="10" t="s">
        <v>28</v>
      </c>
      <c r="B11" s="10" t="s">
        <v>36</v>
      </c>
      <c r="C11" s="10" t="s">
        <v>37</v>
      </c>
      <c r="D11" s="10" t="s">
        <v>31</v>
      </c>
      <c r="E11" s="11" t="n">
        <v>46113</v>
      </c>
      <c r="F11" t="n">
        <v>2302</v>
      </c>
      <c r="H11" t="n">
        <v>59</v>
      </c>
      <c r="I11" t="n">
        <v>2243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38.016949152542374</v>
      </c>
    </row>
    <row r="12">
      <c r="A12" s="10" t="s">
        <v>28</v>
      </c>
      <c r="B12" s="10" t="s">
        <v>36</v>
      </c>
      <c r="C12" s="10" t="s">
        <v>37</v>
      </c>
      <c r="D12" s="10" t="s">
        <v>31</v>
      </c>
      <c r="E12" s="11" t="n">
        <v>46143</v>
      </c>
      <c r="F12" t="n">
        <v>2243</v>
      </c>
      <c r="H12" t="n">
        <v>59</v>
      </c>
      <c r="I12" t="n">
        <v>2184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37.016949152542374</v>
      </c>
    </row>
    <row r="13">
      <c r="A13" s="10" t="s">
        <v>28</v>
      </c>
      <c r="B13" s="10" t="s">
        <v>36</v>
      </c>
      <c r="C13" s="10" t="s">
        <v>37</v>
      </c>
      <c r="D13" s="10" t="s">
        <v>31</v>
      </c>
      <c r="E13" s="11" t="n">
        <v>46174</v>
      </c>
      <c r="F13" t="n">
        <v>2184</v>
      </c>
      <c r="H13" t="n">
        <v>59</v>
      </c>
      <c r="I13" t="n">
        <v>2125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36.016949152542374</v>
      </c>
    </row>
    <row r="14">
      <c r="A14" s="10" t="s">
        <v>72</v>
      </c>
      <c r="B14" s="10" t="s">
        <v>36</v>
      </c>
      <c r="C14" s="10"/>
      <c r="D14" s="10" t="s">
        <v>31</v>
      </c>
      <c r="E14" s="11" t="n">
        <v>45689</v>
      </c>
      <c r="F14" t="n">
        <v>1538</v>
      </c>
      <c r="H14" t="n">
        <v>293</v>
      </c>
      <c r="I14" t="n">
        <v>1245</v>
      </c>
      <c r="J14" s="10"/>
      <c r="K14" s="10"/>
      <c r="L14" s="10"/>
      <c r="P14" s="11"/>
      <c r="S14" t="n">
        <v>6</v>
      </c>
      <c r="T14" t="n">
        <v>12</v>
      </c>
      <c r="U14" t="n">
        <v>12</v>
      </c>
      <c r="V14" t="n">
        <v>4.2491467576791813</v>
      </c>
    </row>
    <row r="15">
      <c r="A15" s="10" t="s">
        <v>72</v>
      </c>
      <c r="B15" s="10" t="s">
        <v>36</v>
      </c>
      <c r="C15" s="10"/>
      <c r="D15" s="10" t="s">
        <v>31</v>
      </c>
      <c r="E15" s="11" t="n">
        <v>45717</v>
      </c>
      <c r="F15" t="n">
        <v>1245</v>
      </c>
      <c r="H15" t="n">
        <v>293</v>
      </c>
      <c r="I15" t="n">
        <v>952</v>
      </c>
      <c r="J15" s="10"/>
      <c r="K15" s="10"/>
      <c r="L15" s="10"/>
      <c r="P15" s="11"/>
      <c r="S15" t="n">
        <v>6</v>
      </c>
      <c r="T15" t="n">
        <v>12</v>
      </c>
      <c r="U15" t="n">
        <v>12</v>
      </c>
      <c r="V15" t="n">
        <v>3.2491467576791808</v>
      </c>
    </row>
    <row r="16">
      <c r="A16" s="10" t="s">
        <v>72</v>
      </c>
      <c r="B16" s="10" t="s">
        <v>36</v>
      </c>
      <c r="C16" s="10"/>
      <c r="D16" s="10" t="s">
        <v>31</v>
      </c>
      <c r="E16" s="11" t="n">
        <v>45748</v>
      </c>
      <c r="F16" t="n">
        <v>952</v>
      </c>
      <c r="H16" t="n">
        <v>293</v>
      </c>
      <c r="I16" t="n">
        <v>659</v>
      </c>
      <c r="J16" s="10"/>
      <c r="K16" s="10"/>
      <c r="L16" s="10"/>
      <c r="P16" s="11"/>
      <c r="S16" t="n">
        <v>6</v>
      </c>
      <c r="T16" t="n">
        <v>12</v>
      </c>
      <c r="U16" t="n">
        <v>12</v>
      </c>
      <c r="V16" t="n">
        <v>2.2491467576791808</v>
      </c>
    </row>
    <row r="17">
      <c r="A17" s="10" t="s">
        <v>72</v>
      </c>
      <c r="B17" s="10" t="s">
        <v>36</v>
      </c>
      <c r="C17" s="10"/>
      <c r="D17" s="10" t="s">
        <v>31</v>
      </c>
      <c r="E17" s="11" t="n">
        <v>45778</v>
      </c>
      <c r="F17" t="n">
        <v>659</v>
      </c>
      <c r="H17" t="n">
        <v>293</v>
      </c>
      <c r="I17" t="n">
        <v>366</v>
      </c>
      <c r="J17" s="10"/>
      <c r="K17" s="10"/>
      <c r="L17" s="10"/>
      <c r="P17" s="11"/>
      <c r="S17" t="n">
        <v>6</v>
      </c>
      <c r="T17" t="n">
        <v>12</v>
      </c>
      <c r="U17" t="n">
        <v>12</v>
      </c>
      <c r="V17" t="n">
        <v>1.2491467576791808</v>
      </c>
    </row>
    <row r="18">
      <c r="A18" s="10" t="s">
        <v>72</v>
      </c>
      <c r="B18" s="10" t="s">
        <v>36</v>
      </c>
      <c r="C18" s="10"/>
      <c r="D18" s="10" t="s">
        <v>31</v>
      </c>
      <c r="E18" s="11" t="n">
        <v>45809</v>
      </c>
      <c r="F18" t="n">
        <v>366</v>
      </c>
      <c r="H18" t="n">
        <v>293</v>
      </c>
      <c r="I18" t="n">
        <v>73</v>
      </c>
      <c r="J18" s="10"/>
      <c r="K18" s="10"/>
      <c r="L18" s="10"/>
      <c r="P18" s="11"/>
      <c r="S18" t="n">
        <v>6</v>
      </c>
      <c r="T18" t="n">
        <v>12</v>
      </c>
      <c r="U18" t="n">
        <v>12</v>
      </c>
      <c r="V18" t="n">
        <v>0.24914675767918087</v>
      </c>
    </row>
    <row r="19">
      <c r="A19" s="10" t="s">
        <v>72</v>
      </c>
      <c r="B19" s="10" t="s">
        <v>36</v>
      </c>
      <c r="C19" s="10"/>
      <c r="D19" s="10" t="s">
        <v>31</v>
      </c>
      <c r="E19" s="11" t="n">
        <v>45839</v>
      </c>
      <c r="F19" t="n">
        <v>73</v>
      </c>
      <c r="H19" t="n">
        <v>293</v>
      </c>
      <c r="I19" t="n">
        <v>0</v>
      </c>
      <c r="J19" s="10"/>
      <c r="K19" s="10"/>
      <c r="L19" s="10"/>
      <c r="P19" s="11"/>
      <c r="S19" t="n">
        <v>6</v>
      </c>
      <c r="T19" t="n">
        <v>12</v>
      </c>
      <c r="U19" t="n">
        <v>12</v>
      </c>
      <c r="V19" t="n">
        <v>0</v>
      </c>
    </row>
    <row r="20">
      <c r="A20" s="10" t="s">
        <v>72</v>
      </c>
      <c r="B20" s="10" t="s">
        <v>36</v>
      </c>
      <c r="C20" s="10"/>
      <c r="D20" s="10" t="s">
        <v>31</v>
      </c>
      <c r="E20" s="11" t="n">
        <v>45870</v>
      </c>
      <c r="F20" t="n">
        <v>0</v>
      </c>
      <c r="H20" t="n">
        <v>293</v>
      </c>
      <c r="I20" t="n">
        <v>0</v>
      </c>
      <c r="J20" s="10"/>
      <c r="K20" s="10"/>
      <c r="L20" s="10"/>
      <c r="P20" s="11"/>
      <c r="S20" t="n">
        <v>6</v>
      </c>
      <c r="T20" t="n">
        <v>12</v>
      </c>
      <c r="U20" t="n">
        <v>12</v>
      </c>
      <c r="V20" t="n">
        <v>0</v>
      </c>
    </row>
    <row r="21">
      <c r="A21" s="10" t="s">
        <v>72</v>
      </c>
      <c r="B21" s="10" t="s">
        <v>36</v>
      </c>
      <c r="C21" s="10"/>
      <c r="D21" s="10" t="s">
        <v>31</v>
      </c>
      <c r="E21" s="11" t="n">
        <v>45901</v>
      </c>
      <c r="F21" t="n">
        <v>0</v>
      </c>
      <c r="H21" t="n">
        <v>293</v>
      </c>
      <c r="I21" t="n">
        <v>0</v>
      </c>
      <c r="J21" s="10"/>
      <c r="K21" s="10"/>
      <c r="L21" s="10"/>
      <c r="P21" s="11"/>
      <c r="S21" t="n">
        <v>6</v>
      </c>
      <c r="T21" t="n">
        <v>12</v>
      </c>
      <c r="U21" t="n">
        <v>12</v>
      </c>
      <c r="V21" t="n">
        <v>0</v>
      </c>
    </row>
    <row r="22">
      <c r="A22" s="10" t="s">
        <v>72</v>
      </c>
      <c r="B22" s="10" t="s">
        <v>36</v>
      </c>
      <c r="C22" s="10"/>
      <c r="D22" s="10" t="s">
        <v>31</v>
      </c>
      <c r="E22" s="11" t="n">
        <v>45931</v>
      </c>
      <c r="F22" t="n">
        <v>0</v>
      </c>
      <c r="H22" t="n">
        <v>293</v>
      </c>
      <c r="I22" t="n">
        <v>0</v>
      </c>
      <c r="J22" s="10"/>
      <c r="K22" s="10"/>
      <c r="L22" s="10"/>
      <c r="P22" s="11"/>
      <c r="S22" t="n">
        <v>6</v>
      </c>
      <c r="T22" t="n">
        <v>12</v>
      </c>
      <c r="U22" t="n">
        <v>12</v>
      </c>
      <c r="V22" t="n">
        <v>0</v>
      </c>
    </row>
    <row r="23">
      <c r="A23" s="10" t="s">
        <v>72</v>
      </c>
      <c r="B23" s="10" t="s">
        <v>36</v>
      </c>
      <c r="C23" s="10"/>
      <c r="D23" s="10" t="s">
        <v>31</v>
      </c>
      <c r="E23" s="11" t="n">
        <v>45962</v>
      </c>
      <c r="F23" t="n">
        <v>0</v>
      </c>
      <c r="H23" t="n">
        <v>293</v>
      </c>
      <c r="I23" t="n">
        <v>0</v>
      </c>
      <c r="J23" s="10"/>
      <c r="K23" s="10"/>
      <c r="L23" s="10"/>
      <c r="P23" s="11"/>
      <c r="S23" t="n">
        <v>6</v>
      </c>
      <c r="T23" t="n">
        <v>12</v>
      </c>
      <c r="U23" t="n">
        <v>12</v>
      </c>
      <c r="V23" t="n">
        <v>0</v>
      </c>
    </row>
    <row r="24">
      <c r="A24" s="10" t="s">
        <v>72</v>
      </c>
      <c r="B24" s="10" t="s">
        <v>36</v>
      </c>
      <c r="C24" s="10"/>
      <c r="D24" s="10" t="s">
        <v>31</v>
      </c>
      <c r="E24" s="11" t="n">
        <v>45992</v>
      </c>
      <c r="F24" t="n">
        <v>0</v>
      </c>
      <c r="H24" t="n">
        <v>293</v>
      </c>
      <c r="I24" t="n">
        <v>0</v>
      </c>
      <c r="J24" s="10"/>
      <c r="K24" s="10"/>
      <c r="L24" s="10"/>
      <c r="P24" s="11"/>
      <c r="S24" t="n">
        <v>6</v>
      </c>
      <c r="T24" t="n">
        <v>12</v>
      </c>
      <c r="U24" t="n">
        <v>12</v>
      </c>
      <c r="V24" t="n">
        <v>0</v>
      </c>
    </row>
    <row r="25">
      <c r="A25" s="10" t="s">
        <v>72</v>
      </c>
      <c r="B25" s="10" t="s">
        <v>36</v>
      </c>
      <c r="C25" s="10"/>
      <c r="D25" s="10" t="s">
        <v>31</v>
      </c>
      <c r="E25" s="11" t="n">
        <v>46023</v>
      </c>
      <c r="F25" t="n">
        <v>0</v>
      </c>
      <c r="H25" t="n">
        <v>293</v>
      </c>
      <c r="I25" t="n">
        <v>0</v>
      </c>
      <c r="J25" s="10"/>
      <c r="K25" s="10"/>
      <c r="L25" s="10"/>
      <c r="P25" s="11"/>
      <c r="S25" t="n">
        <v>6</v>
      </c>
      <c r="T25" t="n">
        <v>12</v>
      </c>
      <c r="U25" t="n">
        <v>12</v>
      </c>
      <c r="V25" t="n">
        <v>0</v>
      </c>
    </row>
    <row r="26">
      <c r="A26" s="10" t="s">
        <v>72</v>
      </c>
      <c r="B26" s="10" t="s">
        <v>36</v>
      </c>
      <c r="C26" s="10"/>
      <c r="D26" s="10" t="s">
        <v>31</v>
      </c>
      <c r="E26" s="11" t="n">
        <v>46054</v>
      </c>
      <c r="F26" t="n">
        <v>0</v>
      </c>
      <c r="H26" t="n">
        <v>293</v>
      </c>
      <c r="I26" t="n">
        <v>0</v>
      </c>
      <c r="J26" s="10"/>
      <c r="K26" s="10"/>
      <c r="L26" s="10"/>
      <c r="P26" s="11"/>
      <c r="S26" t="n">
        <v>6</v>
      </c>
      <c r="T26" t="n">
        <v>12</v>
      </c>
      <c r="U26" t="n">
        <v>12</v>
      </c>
      <c r="V26" t="n">
        <v>0</v>
      </c>
    </row>
    <row r="27">
      <c r="A27" s="10" t="s">
        <v>72</v>
      </c>
      <c r="B27" s="10" t="s">
        <v>36</v>
      </c>
      <c r="C27" s="10"/>
      <c r="D27" s="10" t="s">
        <v>31</v>
      </c>
      <c r="E27" s="11" t="n">
        <v>46082</v>
      </c>
      <c r="F27" t="n">
        <v>0</v>
      </c>
      <c r="H27" t="n">
        <v>293</v>
      </c>
      <c r="I27" t="n">
        <v>0</v>
      </c>
      <c r="J27" s="10"/>
      <c r="K27" s="10"/>
      <c r="L27" s="10"/>
      <c r="P27" s="11"/>
      <c r="S27" t="n">
        <v>6</v>
      </c>
      <c r="T27" t="n">
        <v>12</v>
      </c>
      <c r="U27" t="n">
        <v>12</v>
      </c>
      <c r="V27" t="n">
        <v>0</v>
      </c>
    </row>
    <row r="28">
      <c r="A28" s="10" t="s">
        <v>72</v>
      </c>
      <c r="B28" s="10" t="s">
        <v>36</v>
      </c>
      <c r="C28" s="10"/>
      <c r="D28" s="10" t="s">
        <v>31</v>
      </c>
      <c r="E28" s="11" t="n">
        <v>46113</v>
      </c>
      <c r="F28" t="n">
        <v>0</v>
      </c>
      <c r="H28" t="n">
        <v>293</v>
      </c>
      <c r="I28" t="n">
        <v>0</v>
      </c>
      <c r="J28" s="10"/>
      <c r="K28" s="10"/>
      <c r="L28" s="10"/>
      <c r="P28" s="11"/>
      <c r="S28" t="n">
        <v>6</v>
      </c>
      <c r="T28" t="n">
        <v>12</v>
      </c>
      <c r="U28" t="n">
        <v>12</v>
      </c>
      <c r="V28" t="n">
        <v>0</v>
      </c>
    </row>
    <row r="29">
      <c r="A29" s="10" t="s">
        <v>72</v>
      </c>
      <c r="B29" s="10" t="s">
        <v>36</v>
      </c>
      <c r="C29" s="10"/>
      <c r="D29" s="10" t="s">
        <v>31</v>
      </c>
      <c r="E29" s="11" t="n">
        <v>46143</v>
      </c>
      <c r="F29" t="n">
        <v>0</v>
      </c>
      <c r="H29" t="n">
        <v>293</v>
      </c>
      <c r="I29" t="n">
        <v>0</v>
      </c>
      <c r="J29" s="10"/>
      <c r="K29" s="10"/>
      <c r="L29" s="10"/>
      <c r="P29" s="11"/>
      <c r="S29" t="n">
        <v>6</v>
      </c>
      <c r="T29" t="n">
        <v>12</v>
      </c>
      <c r="U29" t="n">
        <v>12</v>
      </c>
      <c r="V29" t="n">
        <v>0</v>
      </c>
    </row>
    <row r="30">
      <c r="A30" s="10" t="s">
        <v>72</v>
      </c>
      <c r="B30" s="10" t="s">
        <v>36</v>
      </c>
      <c r="C30" s="10"/>
      <c r="D30" s="10" t="s">
        <v>31</v>
      </c>
      <c r="E30" s="11" t="n">
        <v>46174</v>
      </c>
      <c r="F30" t="n">
        <v>0</v>
      </c>
      <c r="H30" t="n">
        <v>293</v>
      </c>
      <c r="I30" t="n">
        <v>1906</v>
      </c>
      <c r="J30" s="10" t="s">
        <v>2</v>
      </c>
      <c r="K30" s="10" t="s">
        <v>2</v>
      </c>
      <c r="L30" s="10" t="s">
        <v>4</v>
      </c>
      <c r="M30" t="n">
        <v>2199</v>
      </c>
      <c r="O30" t="n">
        <v>3695</v>
      </c>
      <c r="P30" s="11" t="n">
        <v>46174</v>
      </c>
      <c r="S30" t="n">
        <v>6</v>
      </c>
      <c r="T30" t="n">
        <v>12</v>
      </c>
      <c r="U30" t="n">
        <v>12</v>
      </c>
      <c r="V30" t="n">
        <v>6.5051194539249151</v>
      </c>
    </row>
    <row r="31">
      <c r="A31" s="10" t="s">
        <v>72</v>
      </c>
      <c r="B31" s="10" t="s">
        <v>36</v>
      </c>
      <c r="C31" s="10"/>
      <c r="D31" s="10" t="s">
        <v>31</v>
      </c>
      <c r="E31" s="11" t="n">
        <v>46204</v>
      </c>
      <c r="F31" t="n">
        <v>1906</v>
      </c>
      <c r="H31" t="n">
        <v>293</v>
      </c>
      <c r="I31" t="n">
        <v>1613</v>
      </c>
      <c r="J31" s="10"/>
      <c r="K31" s="10"/>
      <c r="L31" s="10"/>
      <c r="P31" s="11"/>
      <c r="S31" t="n">
        <v>6</v>
      </c>
      <c r="T31" t="n">
        <v>12</v>
      </c>
      <c r="U31" t="n">
        <v>12</v>
      </c>
      <c r="V31" t="n">
        <v>5.5051194539249151</v>
      </c>
    </row>
    <row r="32">
      <c r="A32" s="10" t="s">
        <v>72</v>
      </c>
      <c r="B32" s="10" t="s">
        <v>36</v>
      </c>
      <c r="C32" s="10"/>
      <c r="D32" s="10" t="s">
        <v>31</v>
      </c>
      <c r="E32" s="11" t="n">
        <v>46235</v>
      </c>
      <c r="F32" t="n">
        <v>1613</v>
      </c>
      <c r="H32" t="n">
        <v>293</v>
      </c>
      <c r="I32" t="n">
        <v>1320</v>
      </c>
      <c r="J32" s="10"/>
      <c r="K32" s="10"/>
      <c r="L32" s="10"/>
      <c r="P32" s="11"/>
      <c r="S32" t="n">
        <v>6</v>
      </c>
      <c r="T32" t="n">
        <v>12</v>
      </c>
      <c r="U32" t="n">
        <v>12</v>
      </c>
      <c r="V32" t="n">
        <v>4.5051194539249151</v>
      </c>
    </row>
    <row r="33">
      <c r="A33" s="10" t="s">
        <v>72</v>
      </c>
      <c r="B33" s="10" t="s">
        <v>36</v>
      </c>
      <c r="C33" s="10"/>
      <c r="D33" s="10" t="s">
        <v>31</v>
      </c>
      <c r="E33" s="11" t="n">
        <v>46266</v>
      </c>
      <c r="F33" t="n">
        <v>1320</v>
      </c>
      <c r="H33" t="n">
        <v>293</v>
      </c>
      <c r="I33" t="n">
        <v>1027</v>
      </c>
      <c r="J33" s="10"/>
      <c r="K33" s="10"/>
      <c r="L33" s="10"/>
      <c r="P33" s="11"/>
      <c r="S33" t="n">
        <v>6</v>
      </c>
      <c r="T33" t="n">
        <v>12</v>
      </c>
      <c r="U33" t="n">
        <v>12</v>
      </c>
      <c r="V33" t="n">
        <v>3.5051194539249146</v>
      </c>
    </row>
    <row r="34">
      <c r="A34" s="10" t="s">
        <v>72</v>
      </c>
      <c r="B34" s="10" t="s">
        <v>36</v>
      </c>
      <c r="C34" s="10"/>
      <c r="D34" s="10" t="s">
        <v>31</v>
      </c>
      <c r="E34" s="11" t="n">
        <v>46296</v>
      </c>
      <c r="F34" t="n">
        <v>1027</v>
      </c>
      <c r="H34" t="n">
        <v>293</v>
      </c>
      <c r="I34" t="n">
        <v>734</v>
      </c>
      <c r="J34" s="10"/>
      <c r="K34" s="10"/>
      <c r="L34" s="10"/>
      <c r="P34" s="11"/>
      <c r="S34" t="n">
        <v>6</v>
      </c>
      <c r="T34" t="n">
        <v>12</v>
      </c>
      <c r="U34" t="n">
        <v>12</v>
      </c>
      <c r="V34" t="n">
        <v>2.5051194539249146</v>
      </c>
    </row>
    <row r="35">
      <c r="A35" s="10" t="s">
        <v>72</v>
      </c>
      <c r="B35" s="10" t="s">
        <v>36</v>
      </c>
      <c r="C35" s="10"/>
      <c r="D35" s="10" t="s">
        <v>31</v>
      </c>
      <c r="E35" s="11" t="n">
        <v>46327</v>
      </c>
      <c r="F35" t="n">
        <v>734</v>
      </c>
      <c r="H35" t="n">
        <v>293</v>
      </c>
      <c r="I35" t="n">
        <v>441</v>
      </c>
      <c r="J35" s="10"/>
      <c r="K35" s="10"/>
      <c r="L35" s="10"/>
      <c r="P35" s="11"/>
      <c r="S35" t="n">
        <v>6</v>
      </c>
      <c r="T35" t="n">
        <v>12</v>
      </c>
      <c r="U35" t="n">
        <v>12</v>
      </c>
      <c r="V35" t="n">
        <v>1.5051194539249146</v>
      </c>
    </row>
    <row r="36">
      <c r="A36" s="10" t="s">
        <v>72</v>
      </c>
      <c r="B36" s="10" t="s">
        <v>36</v>
      </c>
      <c r="C36" s="10"/>
      <c r="D36" s="10" t="s">
        <v>31</v>
      </c>
      <c r="E36" s="11" t="n">
        <v>46357</v>
      </c>
      <c r="F36" t="n">
        <v>441</v>
      </c>
      <c r="H36" t="n">
        <v>293</v>
      </c>
      <c r="I36" t="n">
        <v>2209</v>
      </c>
      <c r="J36" s="10" t="s">
        <v>2</v>
      </c>
      <c r="K36" s="10" t="s">
        <v>2</v>
      </c>
      <c r="L36" s="10" t="s">
        <v>4</v>
      </c>
      <c r="M36" t="n">
        <v>2061</v>
      </c>
      <c r="O36" t="n">
        <v>3462</v>
      </c>
      <c r="P36" s="11" t="n">
        <v>46357</v>
      </c>
      <c r="S36" t="n">
        <v>6</v>
      </c>
      <c r="T36" t="n">
        <v>12</v>
      </c>
      <c r="U36" t="n">
        <v>12</v>
      </c>
      <c r="V36" t="n">
        <v>7.5392491467576788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8.089843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0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46</v>
      </c>
      <c r="C2" s="10" t="s">
        <v>151</v>
      </c>
      <c r="D2" s="10" t="s">
        <v>31</v>
      </c>
      <c r="E2" s="11" t="n">
        <v>45839</v>
      </c>
      <c r="F2" t="n">
        <v>4488</v>
      </c>
      <c r="H2" t="n">
        <v>906</v>
      </c>
      <c r="I2" t="n">
        <v>3582</v>
      </c>
      <c r="J2" s="10"/>
      <c r="K2" s="10"/>
      <c r="L2" s="10"/>
      <c r="N2" s="11"/>
      <c r="P2" s="11"/>
      <c r="S2" t="n">
        <v>9</v>
      </c>
      <c r="T2" t="n">
        <v>14</v>
      </c>
      <c r="U2" t="n">
        <v>13</v>
      </c>
      <c r="V2" t="n">
        <v>3.9536423841059603</v>
      </c>
    </row>
    <row r="3">
      <c r="A3" s="10" t="s">
        <v>28</v>
      </c>
      <c r="B3" s="10" t="s">
        <v>46</v>
      </c>
      <c r="C3" s="10" t="s">
        <v>151</v>
      </c>
      <c r="D3" s="10" t="s">
        <v>31</v>
      </c>
      <c r="E3" s="11" t="n">
        <v>45870</v>
      </c>
      <c r="F3" t="n">
        <v>3582</v>
      </c>
      <c r="H3" t="n">
        <v>906</v>
      </c>
      <c r="I3" t="n">
        <v>2676</v>
      </c>
      <c r="J3" s="10"/>
      <c r="K3" s="10"/>
      <c r="L3" s="10"/>
      <c r="N3" s="11"/>
      <c r="P3" s="11"/>
      <c r="S3" t="n">
        <v>9</v>
      </c>
      <c r="T3" t="n">
        <v>14</v>
      </c>
      <c r="U3" t="n">
        <v>13</v>
      </c>
      <c r="V3" t="n">
        <v>2.9536423841059603</v>
      </c>
    </row>
    <row r="4">
      <c r="A4" s="10" t="s">
        <v>28</v>
      </c>
      <c r="B4" s="10" t="s">
        <v>46</v>
      </c>
      <c r="C4" s="10" t="s">
        <v>151</v>
      </c>
      <c r="D4" s="10" t="s">
        <v>31</v>
      </c>
      <c r="E4" s="11" t="n">
        <v>45901</v>
      </c>
      <c r="F4" t="n">
        <v>2676</v>
      </c>
      <c r="H4" t="n">
        <v>906</v>
      </c>
      <c r="I4" t="n">
        <v>1770</v>
      </c>
      <c r="J4" s="10"/>
      <c r="K4" s="10"/>
      <c r="L4" s="10"/>
      <c r="N4" s="11"/>
      <c r="P4" s="11"/>
      <c r="S4" t="n">
        <v>9</v>
      </c>
      <c r="T4" t="n">
        <v>14</v>
      </c>
      <c r="U4" t="n">
        <v>13</v>
      </c>
      <c r="V4" t="n">
        <v>1.9536423841059603</v>
      </c>
    </row>
    <row r="5">
      <c r="A5" s="10" t="s">
        <v>28</v>
      </c>
      <c r="B5" s="10" t="s">
        <v>46</v>
      </c>
      <c r="C5" s="10" t="s">
        <v>151</v>
      </c>
      <c r="D5" s="10" t="s">
        <v>31</v>
      </c>
      <c r="E5" s="11" t="n">
        <v>45931</v>
      </c>
      <c r="F5" t="n">
        <v>1770</v>
      </c>
      <c r="H5" t="n">
        <v>906</v>
      </c>
      <c r="I5" t="n">
        <v>864</v>
      </c>
      <c r="J5" s="10"/>
      <c r="K5" s="10"/>
      <c r="L5" s="10"/>
      <c r="N5" s="11"/>
      <c r="P5" s="11"/>
      <c r="S5" t="n">
        <v>9</v>
      </c>
      <c r="T5" t="n">
        <v>14</v>
      </c>
      <c r="U5" t="n">
        <v>13</v>
      </c>
      <c r="V5" t="n">
        <v>0.95364238410596025</v>
      </c>
    </row>
    <row r="6">
      <c r="A6" s="10" t="s">
        <v>28</v>
      </c>
      <c r="B6" s="10" t="s">
        <v>46</v>
      </c>
      <c r="C6" s="10" t="s">
        <v>151</v>
      </c>
      <c r="D6" s="10" t="s">
        <v>31</v>
      </c>
      <c r="E6" s="11" t="n">
        <v>45962</v>
      </c>
      <c r="F6" t="n">
        <v>864</v>
      </c>
      <c r="H6" t="n">
        <v>906</v>
      </c>
      <c r="I6" t="n">
        <v>4541</v>
      </c>
      <c r="J6" s="10" t="s">
        <v>2</v>
      </c>
      <c r="K6" s="10" t="s">
        <v>2</v>
      </c>
      <c r="L6" s="10" t="s">
        <v>4</v>
      </c>
      <c r="M6" t="n">
        <v>4583</v>
      </c>
      <c r="N6" s="11"/>
      <c r="O6" t="n">
        <v>2310</v>
      </c>
      <c r="P6" s="11"/>
      <c r="S6" t="n">
        <v>9</v>
      </c>
      <c r="T6" t="n">
        <v>14</v>
      </c>
      <c r="U6" t="n">
        <v>13</v>
      </c>
      <c r="V6" t="n">
        <v>5.0121412803532008</v>
      </c>
    </row>
    <row r="7">
      <c r="A7" s="10" t="s">
        <v>28</v>
      </c>
      <c r="B7" s="10" t="s">
        <v>46</v>
      </c>
      <c r="C7" s="10" t="s">
        <v>151</v>
      </c>
      <c r="D7" s="10" t="s">
        <v>31</v>
      </c>
      <c r="E7" s="11" t="n">
        <v>45992</v>
      </c>
      <c r="F7" t="n">
        <v>4541</v>
      </c>
      <c r="H7" t="n">
        <v>906</v>
      </c>
      <c r="I7" t="n">
        <v>3635</v>
      </c>
      <c r="J7" s="10"/>
      <c r="K7" s="10"/>
      <c r="L7" s="10"/>
      <c r="N7" s="11"/>
      <c r="P7" s="11"/>
      <c r="S7" t="n">
        <v>9</v>
      </c>
      <c r="T7" t="n">
        <v>14</v>
      </c>
      <c r="U7" t="n">
        <v>13</v>
      </c>
      <c r="V7" t="n">
        <v>4.0121412803532008</v>
      </c>
    </row>
    <row r="8">
      <c r="A8" s="10" t="s">
        <v>28</v>
      </c>
      <c r="B8" s="10" t="s">
        <v>46</v>
      </c>
      <c r="C8" s="10" t="s">
        <v>151</v>
      </c>
      <c r="D8" s="10" t="s">
        <v>31</v>
      </c>
      <c r="E8" s="11" t="n">
        <v>46023</v>
      </c>
      <c r="F8" t="n">
        <v>3635</v>
      </c>
      <c r="H8" t="n">
        <v>906</v>
      </c>
      <c r="I8" t="n">
        <v>2729</v>
      </c>
      <c r="J8" s="10"/>
      <c r="K8" s="10"/>
      <c r="L8" s="10"/>
      <c r="N8" s="11"/>
      <c r="P8" s="11"/>
      <c r="S8" t="n">
        <v>9</v>
      </c>
      <c r="T8" t="n">
        <v>14</v>
      </c>
      <c r="U8" t="n">
        <v>13</v>
      </c>
      <c r="V8" t="n">
        <v>3.0121412803532008</v>
      </c>
    </row>
    <row r="9">
      <c r="A9" s="10" t="s">
        <v>28</v>
      </c>
      <c r="B9" s="10" t="s">
        <v>46</v>
      </c>
      <c r="C9" s="10" t="s">
        <v>151</v>
      </c>
      <c r="D9" s="10" t="s">
        <v>31</v>
      </c>
      <c r="E9" s="11" t="n">
        <v>46054</v>
      </c>
      <c r="F9" t="n">
        <v>2729</v>
      </c>
      <c r="H9" t="n">
        <v>906</v>
      </c>
      <c r="I9" t="n">
        <v>1823</v>
      </c>
      <c r="J9" s="10"/>
      <c r="K9" s="10"/>
      <c r="L9" s="10"/>
      <c r="N9" s="11"/>
      <c r="P9" s="11"/>
      <c r="S9" t="n">
        <v>9</v>
      </c>
      <c r="T9" t="n">
        <v>14</v>
      </c>
      <c r="U9" t="n">
        <v>13</v>
      </c>
      <c r="V9" t="n">
        <v>2.0121412803532008</v>
      </c>
    </row>
    <row r="10">
      <c r="A10" s="10" t="s">
        <v>28</v>
      </c>
      <c r="B10" s="10" t="s">
        <v>46</v>
      </c>
      <c r="C10" s="10" t="s">
        <v>151</v>
      </c>
      <c r="D10" s="10" t="s">
        <v>31</v>
      </c>
      <c r="E10" s="11" t="n">
        <v>46082</v>
      </c>
      <c r="F10" t="n">
        <v>1823</v>
      </c>
      <c r="H10" t="n">
        <v>906</v>
      </c>
      <c r="I10" t="n">
        <v>917</v>
      </c>
      <c r="J10" s="10"/>
      <c r="K10" s="10"/>
      <c r="L10" s="10"/>
      <c r="N10" s="11"/>
      <c r="P10" s="11"/>
      <c r="S10" t="n">
        <v>9</v>
      </c>
      <c r="T10" t="n">
        <v>14</v>
      </c>
      <c r="U10" t="n">
        <v>13</v>
      </c>
      <c r="V10" t="n">
        <v>1.0121412803532008</v>
      </c>
    </row>
    <row r="11">
      <c r="A11" s="10" t="s">
        <v>28</v>
      </c>
      <c r="B11" s="10" t="s">
        <v>46</v>
      </c>
      <c r="C11" s="10" t="s">
        <v>151</v>
      </c>
      <c r="D11" s="10" t="s">
        <v>31</v>
      </c>
      <c r="E11" s="11" t="n">
        <v>46113</v>
      </c>
      <c r="F11" t="n">
        <v>917</v>
      </c>
      <c r="H11" t="n">
        <v>906</v>
      </c>
      <c r="I11" t="n">
        <v>4616</v>
      </c>
      <c r="J11" s="10" t="s">
        <v>2</v>
      </c>
      <c r="K11" s="10" t="s">
        <v>2</v>
      </c>
      <c r="L11" s="10" t="s">
        <v>4</v>
      </c>
      <c r="M11" t="n">
        <v>4605</v>
      </c>
      <c r="N11" s="11"/>
      <c r="O11" t="n">
        <v>2321</v>
      </c>
      <c r="P11" s="11"/>
      <c r="S11" t="n">
        <v>9</v>
      </c>
      <c r="T11" t="n">
        <v>14</v>
      </c>
      <c r="U11" t="n">
        <v>13</v>
      </c>
      <c r="V11" t="n">
        <v>5.0949227373068435</v>
      </c>
    </row>
    <row r="12">
      <c r="A12" s="10" t="s">
        <v>28</v>
      </c>
      <c r="B12" s="10" t="s">
        <v>46</v>
      </c>
      <c r="C12" s="10" t="s">
        <v>151</v>
      </c>
      <c r="D12" s="10" t="s">
        <v>31</v>
      </c>
      <c r="E12" s="11" t="n">
        <v>46143</v>
      </c>
      <c r="F12" t="n">
        <v>4616</v>
      </c>
      <c r="H12" t="n">
        <v>906</v>
      </c>
      <c r="I12" t="n">
        <v>3710</v>
      </c>
      <c r="J12" s="10"/>
      <c r="K12" s="10"/>
      <c r="L12" s="10"/>
      <c r="N12" s="11"/>
      <c r="P12" s="11"/>
      <c r="S12" t="n">
        <v>9</v>
      </c>
      <c r="T12" t="n">
        <v>14</v>
      </c>
      <c r="U12" t="n">
        <v>13</v>
      </c>
      <c r="V12" t="n">
        <v>4.0949227373068435</v>
      </c>
    </row>
    <row r="13">
      <c r="A13" s="10" t="s">
        <v>28</v>
      </c>
      <c r="B13" s="10" t="s">
        <v>46</v>
      </c>
      <c r="C13" s="10" t="s">
        <v>151</v>
      </c>
      <c r="D13" s="10" t="s">
        <v>31</v>
      </c>
      <c r="E13" s="11" t="n">
        <v>46174</v>
      </c>
      <c r="F13" t="n">
        <v>3710</v>
      </c>
      <c r="H13" t="n">
        <v>906</v>
      </c>
      <c r="I13" t="n">
        <v>2804</v>
      </c>
      <c r="J13" s="10"/>
      <c r="K13" s="10"/>
      <c r="L13" s="10"/>
      <c r="N13" s="11"/>
      <c r="P13" s="11"/>
      <c r="S13" t="n">
        <v>9</v>
      </c>
      <c r="T13" t="n">
        <v>14</v>
      </c>
      <c r="U13" t="n">
        <v>13</v>
      </c>
      <c r="V13" t="n">
        <v>3.0949227373068431</v>
      </c>
    </row>
    <row r="14">
      <c r="A14" s="10" t="s">
        <v>75</v>
      </c>
      <c r="B14" s="10" t="s">
        <v>46</v>
      </c>
      <c r="C14" s="10" t="s">
        <v>151</v>
      </c>
      <c r="D14" s="10" t="s">
        <v>31</v>
      </c>
      <c r="E14" s="11" t="n">
        <v>45748</v>
      </c>
      <c r="F14" t="n">
        <v>17844</v>
      </c>
      <c r="H14" t="n">
        <v>1662</v>
      </c>
      <c r="I14" t="n">
        <v>16182</v>
      </c>
      <c r="J14" s="10"/>
      <c r="K14" s="10"/>
      <c r="L14" s="10"/>
      <c r="N14" s="11"/>
      <c r="P14" s="11"/>
      <c r="V14" t="n">
        <v>9.7364620938628157</v>
      </c>
    </row>
    <row r="15">
      <c r="A15" s="10" t="s">
        <v>75</v>
      </c>
      <c r="B15" s="10" t="s">
        <v>46</v>
      </c>
      <c r="C15" s="10" t="s">
        <v>151</v>
      </c>
      <c r="D15" s="10" t="s">
        <v>31</v>
      </c>
      <c r="E15" s="11" t="n">
        <v>45778</v>
      </c>
      <c r="F15" t="n">
        <v>16182</v>
      </c>
      <c r="H15" t="n">
        <v>1665</v>
      </c>
      <c r="I15" t="n">
        <v>14517</v>
      </c>
      <c r="J15" s="10"/>
      <c r="K15" s="10"/>
      <c r="L15" s="10"/>
      <c r="N15" s="11"/>
      <c r="P15" s="11"/>
      <c r="V15" t="n">
        <v>8.7189189189189182</v>
      </c>
    </row>
    <row r="16">
      <c r="A16" s="10" t="s">
        <v>75</v>
      </c>
      <c r="B16" s="10" t="s">
        <v>46</v>
      </c>
      <c r="C16" s="10" t="s">
        <v>151</v>
      </c>
      <c r="D16" s="10" t="s">
        <v>31</v>
      </c>
      <c r="E16" s="11" t="n">
        <v>45809</v>
      </c>
      <c r="F16" t="n">
        <v>14517</v>
      </c>
      <c r="H16" t="n">
        <v>1668</v>
      </c>
      <c r="I16" t="n">
        <v>12849</v>
      </c>
      <c r="J16" s="10"/>
      <c r="K16" s="10"/>
      <c r="L16" s="10"/>
      <c r="N16" s="11"/>
      <c r="P16" s="11"/>
      <c r="V16" t="n">
        <v>7.7032374100719423</v>
      </c>
    </row>
    <row r="17">
      <c r="A17" s="10" t="s">
        <v>75</v>
      </c>
      <c r="B17" s="10" t="s">
        <v>46</v>
      </c>
      <c r="C17" s="10" t="s">
        <v>151</v>
      </c>
      <c r="D17" s="10" t="s">
        <v>31</v>
      </c>
      <c r="E17" s="11" t="n">
        <v>45839</v>
      </c>
      <c r="F17" t="n">
        <v>12849</v>
      </c>
      <c r="H17" t="n">
        <v>1671</v>
      </c>
      <c r="I17" t="n">
        <v>11178</v>
      </c>
      <c r="J17" s="10"/>
      <c r="K17" s="10"/>
      <c r="L17" s="10"/>
      <c r="N17" s="11"/>
      <c r="P17" s="11"/>
      <c r="S17" t="n">
        <v>7</v>
      </c>
      <c r="T17" t="n">
        <v>15</v>
      </c>
      <c r="U17" t="n">
        <v>15</v>
      </c>
      <c r="V17" t="n">
        <v>6.6894075403949733</v>
      </c>
    </row>
    <row r="18">
      <c r="A18" s="10" t="s">
        <v>75</v>
      </c>
      <c r="B18" s="10" t="s">
        <v>46</v>
      </c>
      <c r="C18" s="10" t="s">
        <v>151</v>
      </c>
      <c r="D18" s="10" t="s">
        <v>31</v>
      </c>
      <c r="E18" s="11" t="n">
        <v>45870</v>
      </c>
      <c r="F18" t="n">
        <v>11178</v>
      </c>
      <c r="H18" t="n">
        <v>1674</v>
      </c>
      <c r="I18" t="n">
        <v>17504</v>
      </c>
      <c r="J18" s="10"/>
      <c r="K18" s="10"/>
      <c r="L18" s="10" t="s">
        <v>152</v>
      </c>
      <c r="M18" t="n">
        <v>8000</v>
      </c>
      <c r="N18" s="11"/>
      <c r="P18" s="11"/>
      <c r="S18" t="n">
        <v>7</v>
      </c>
      <c r="T18" t="n">
        <v>15</v>
      </c>
      <c r="U18" t="n">
        <v>15</v>
      </c>
      <c r="V18" t="n">
        <v>10.456391875746714</v>
      </c>
    </row>
    <row r="19">
      <c r="A19" s="10" t="s">
        <v>75</v>
      </c>
      <c r="B19" s="10" t="s">
        <v>46</v>
      </c>
      <c r="C19" s="10" t="s">
        <v>151</v>
      </c>
      <c r="D19" s="10" t="s">
        <v>31</v>
      </c>
      <c r="E19" s="11" t="n">
        <v>45901</v>
      </c>
      <c r="F19" t="n">
        <v>17504</v>
      </c>
      <c r="H19" t="n">
        <v>1677</v>
      </c>
      <c r="I19" t="n">
        <v>15827</v>
      </c>
      <c r="J19" s="10"/>
      <c r="K19" s="10"/>
      <c r="L19" s="10"/>
      <c r="N19" s="11"/>
      <c r="P19" s="11"/>
      <c r="S19" t="n">
        <v>7</v>
      </c>
      <c r="T19" t="n">
        <v>15</v>
      </c>
      <c r="U19" t="n">
        <v>15</v>
      </c>
      <c r="V19" t="n">
        <v>9.4376863446630885</v>
      </c>
    </row>
    <row r="20">
      <c r="A20" s="10" t="s">
        <v>75</v>
      </c>
      <c r="B20" s="10" t="s">
        <v>46</v>
      </c>
      <c r="C20" s="10" t="s">
        <v>151</v>
      </c>
      <c r="D20" s="10" t="s">
        <v>31</v>
      </c>
      <c r="E20" s="11" t="n">
        <v>45931</v>
      </c>
      <c r="F20" t="n">
        <v>15827</v>
      </c>
      <c r="H20" t="n">
        <v>1680</v>
      </c>
      <c r="I20" t="n">
        <v>14147</v>
      </c>
      <c r="J20" s="10"/>
      <c r="K20" s="10"/>
      <c r="L20" s="10"/>
      <c r="N20" s="11"/>
      <c r="P20" s="11"/>
      <c r="S20" t="n">
        <v>7</v>
      </c>
      <c r="T20" t="n">
        <v>15</v>
      </c>
      <c r="U20" t="n">
        <v>15</v>
      </c>
      <c r="V20" t="n">
        <v>8.4208333333333325</v>
      </c>
    </row>
    <row r="21">
      <c r="A21" s="10" t="s">
        <v>75</v>
      </c>
      <c r="B21" s="10" t="s">
        <v>46</v>
      </c>
      <c r="C21" s="10" t="s">
        <v>151</v>
      </c>
      <c r="D21" s="10" t="s">
        <v>31</v>
      </c>
      <c r="E21" s="11" t="n">
        <v>45962</v>
      </c>
      <c r="F21" t="n">
        <v>14147</v>
      </c>
      <c r="H21" t="n">
        <v>1682</v>
      </c>
      <c r="I21" t="n">
        <v>12465</v>
      </c>
      <c r="J21" s="10"/>
      <c r="K21" s="10"/>
      <c r="L21" s="10"/>
      <c r="N21" s="11"/>
      <c r="P21" s="11"/>
      <c r="S21" t="n">
        <v>7</v>
      </c>
      <c r="T21" t="n">
        <v>15</v>
      </c>
      <c r="U21" t="n">
        <v>15</v>
      </c>
      <c r="V21" t="n">
        <v>7.4108204518430441</v>
      </c>
    </row>
    <row r="22">
      <c r="A22" s="10" t="s">
        <v>75</v>
      </c>
      <c r="B22" s="10" t="s">
        <v>46</v>
      </c>
      <c r="C22" s="10" t="s">
        <v>151</v>
      </c>
      <c r="D22" s="10" t="s">
        <v>31</v>
      </c>
      <c r="E22" s="11" t="n">
        <v>45992</v>
      </c>
      <c r="F22" t="n">
        <v>12465</v>
      </c>
      <c r="H22" t="n">
        <v>1685</v>
      </c>
      <c r="I22" t="n">
        <v>25130</v>
      </c>
      <c r="J22" s="10"/>
      <c r="K22" s="10"/>
      <c r="L22" s="10" t="s">
        <v>4</v>
      </c>
      <c r="M22" t="n">
        <v>14350</v>
      </c>
      <c r="N22" s="11"/>
      <c r="P22" s="11"/>
      <c r="S22" t="n">
        <v>7</v>
      </c>
      <c r="T22" t="n">
        <v>15</v>
      </c>
      <c r="U22" t="n">
        <v>15</v>
      </c>
      <c r="V22" t="n">
        <v>14.913946587537092</v>
      </c>
    </row>
    <row r="23">
      <c r="A23" s="10" t="s">
        <v>75</v>
      </c>
      <c r="B23" s="10" t="s">
        <v>46</v>
      </c>
      <c r="C23" s="10" t="s">
        <v>151</v>
      </c>
      <c r="D23" s="10" t="s">
        <v>31</v>
      </c>
      <c r="E23" s="11" t="n">
        <v>46023</v>
      </c>
      <c r="F23" t="n">
        <v>25130</v>
      </c>
      <c r="H23" t="n">
        <v>1685</v>
      </c>
      <c r="I23" t="n">
        <v>23445</v>
      </c>
      <c r="J23" s="10"/>
      <c r="K23" s="10"/>
      <c r="L23" s="10"/>
      <c r="N23" s="11"/>
      <c r="P23" s="11"/>
      <c r="S23" t="n">
        <v>7</v>
      </c>
      <c r="T23" t="n">
        <v>15</v>
      </c>
      <c r="U23" t="n">
        <v>15</v>
      </c>
      <c r="V23" t="n">
        <v>13.913946587537092</v>
      </c>
    </row>
    <row r="24">
      <c r="A24" s="10" t="s">
        <v>75</v>
      </c>
      <c r="B24" s="10" t="s">
        <v>46</v>
      </c>
      <c r="C24" s="10" t="s">
        <v>151</v>
      </c>
      <c r="D24" s="10" t="s">
        <v>31</v>
      </c>
      <c r="E24" s="11" t="n">
        <v>46054</v>
      </c>
      <c r="F24" t="n">
        <v>23445</v>
      </c>
      <c r="H24" t="n">
        <v>1685</v>
      </c>
      <c r="I24" t="n">
        <v>21760</v>
      </c>
      <c r="J24" s="10"/>
      <c r="K24" s="10"/>
      <c r="L24" s="10"/>
      <c r="N24" s="11"/>
      <c r="P24" s="11"/>
      <c r="S24" t="n">
        <v>7</v>
      </c>
      <c r="T24" t="n">
        <v>15</v>
      </c>
      <c r="U24" t="n">
        <v>15</v>
      </c>
      <c r="V24" t="n">
        <v>12.913946587537092</v>
      </c>
    </row>
    <row r="25">
      <c r="A25" s="10" t="s">
        <v>75</v>
      </c>
      <c r="B25" s="10" t="s">
        <v>46</v>
      </c>
      <c r="C25" s="10" t="s">
        <v>151</v>
      </c>
      <c r="D25" s="10" t="s">
        <v>31</v>
      </c>
      <c r="E25" s="11" t="n">
        <v>46082</v>
      </c>
      <c r="F25" t="n">
        <v>21760</v>
      </c>
      <c r="H25" t="n">
        <v>1685</v>
      </c>
      <c r="I25" t="n">
        <v>20075</v>
      </c>
      <c r="J25" s="10"/>
      <c r="K25" s="10"/>
      <c r="L25" s="10"/>
      <c r="N25" s="11"/>
      <c r="P25" s="11"/>
      <c r="S25" t="n">
        <v>7</v>
      </c>
      <c r="T25" t="n">
        <v>15</v>
      </c>
      <c r="U25" t="n">
        <v>15</v>
      </c>
      <c r="V25" t="n">
        <v>11.913946587537092</v>
      </c>
    </row>
    <row r="26">
      <c r="A26" s="10" t="s">
        <v>75</v>
      </c>
      <c r="B26" s="10" t="s">
        <v>46</v>
      </c>
      <c r="C26" s="10" t="s">
        <v>151</v>
      </c>
      <c r="D26" s="10" t="s">
        <v>31</v>
      </c>
      <c r="E26" s="11" t="n">
        <v>46113</v>
      </c>
      <c r="F26" t="n">
        <v>20075</v>
      </c>
      <c r="H26" t="n">
        <v>1685</v>
      </c>
      <c r="I26" t="n">
        <v>18390</v>
      </c>
      <c r="J26" s="10"/>
      <c r="K26" s="10"/>
      <c r="L26" s="10"/>
      <c r="N26" s="11"/>
      <c r="P26" s="11"/>
      <c r="S26" t="n">
        <v>7</v>
      </c>
      <c r="T26" t="n">
        <v>15</v>
      </c>
      <c r="U26" t="n">
        <v>15</v>
      </c>
      <c r="V26" t="n">
        <v>10.913946587537092</v>
      </c>
    </row>
    <row r="27">
      <c r="A27" s="10" t="s">
        <v>75</v>
      </c>
      <c r="B27" s="10" t="s">
        <v>46</v>
      </c>
      <c r="C27" s="10" t="s">
        <v>151</v>
      </c>
      <c r="D27" s="10" t="s">
        <v>31</v>
      </c>
      <c r="E27" s="11" t="n">
        <v>46143</v>
      </c>
      <c r="F27" t="n">
        <v>18390</v>
      </c>
      <c r="H27" t="n">
        <v>1685</v>
      </c>
      <c r="I27" t="n">
        <v>16705</v>
      </c>
      <c r="J27" s="10"/>
      <c r="K27" s="10"/>
      <c r="L27" s="10"/>
      <c r="N27" s="11"/>
      <c r="P27" s="11"/>
      <c r="S27" t="n">
        <v>7</v>
      </c>
      <c r="T27" t="n">
        <v>15</v>
      </c>
      <c r="U27" t="n">
        <v>15</v>
      </c>
      <c r="V27" t="n">
        <v>9.913946587537092</v>
      </c>
    </row>
    <row r="28">
      <c r="A28" s="10" t="s">
        <v>75</v>
      </c>
      <c r="B28" s="10" t="s">
        <v>46</v>
      </c>
      <c r="C28" s="10" t="s">
        <v>151</v>
      </c>
      <c r="D28" s="10" t="s">
        <v>31</v>
      </c>
      <c r="E28" s="11" t="n">
        <v>46174</v>
      </c>
      <c r="F28" t="n">
        <v>16705</v>
      </c>
      <c r="H28" t="n">
        <v>1685</v>
      </c>
      <c r="I28" t="n">
        <v>15020</v>
      </c>
      <c r="J28" s="10"/>
      <c r="K28" s="10"/>
      <c r="L28" s="10"/>
      <c r="N28" s="11"/>
      <c r="P28" s="11"/>
      <c r="S28" t="n">
        <v>7</v>
      </c>
      <c r="T28" t="n">
        <v>15</v>
      </c>
      <c r="U28" t="n">
        <v>15</v>
      </c>
      <c r="V28" t="n">
        <v>8.913946587537092</v>
      </c>
    </row>
    <row r="29">
      <c r="A29" s="10" t="s">
        <v>75</v>
      </c>
      <c r="B29" s="10" t="s">
        <v>46</v>
      </c>
      <c r="C29" s="10" t="s">
        <v>151</v>
      </c>
      <c r="D29" s="10" t="s">
        <v>31</v>
      </c>
      <c r="E29" s="11" t="n">
        <v>46204</v>
      </c>
      <c r="F29" t="n">
        <v>15020</v>
      </c>
      <c r="H29" t="n">
        <v>1685</v>
      </c>
      <c r="I29" t="n">
        <v>13335</v>
      </c>
      <c r="J29" s="10"/>
      <c r="K29" s="10"/>
      <c r="L29" s="10"/>
      <c r="N29" s="11"/>
      <c r="P29" s="11"/>
      <c r="S29" t="n">
        <v>7</v>
      </c>
      <c r="T29" t="n">
        <v>15</v>
      </c>
      <c r="U29" t="n">
        <v>15</v>
      </c>
      <c r="V29" t="n">
        <v>7.913946587537092</v>
      </c>
    </row>
    <row r="30">
      <c r="A30" s="10" t="s">
        <v>75</v>
      </c>
      <c r="B30" s="10" t="s">
        <v>46</v>
      </c>
      <c r="C30" s="10" t="s">
        <v>151</v>
      </c>
      <c r="D30" s="10" t="s">
        <v>31</v>
      </c>
      <c r="E30" s="11" t="n">
        <v>46235</v>
      </c>
      <c r="F30" t="n">
        <v>13335</v>
      </c>
      <c r="H30" t="n">
        <v>1685</v>
      </c>
      <c r="I30" t="n">
        <v>25275</v>
      </c>
      <c r="J30" s="10"/>
      <c r="K30" s="10"/>
      <c r="L30" s="10" t="s">
        <v>4</v>
      </c>
      <c r="M30" t="n">
        <v>13625</v>
      </c>
      <c r="N30" s="11"/>
      <c r="P30" s="11"/>
      <c r="S30" t="n">
        <v>7</v>
      </c>
      <c r="T30" t="n">
        <v>15</v>
      </c>
      <c r="U30" t="n">
        <v>15</v>
      </c>
      <c r="V30" t="n">
        <v>15</v>
      </c>
    </row>
    <row r="31">
      <c r="A31" s="10" t="s">
        <v>75</v>
      </c>
      <c r="B31" s="10" t="s">
        <v>46</v>
      </c>
      <c r="C31" s="10" t="s">
        <v>151</v>
      </c>
      <c r="D31" s="10" t="s">
        <v>31</v>
      </c>
      <c r="E31" s="11" t="n">
        <v>46266</v>
      </c>
      <c r="F31" t="n">
        <v>25275</v>
      </c>
      <c r="H31" t="n">
        <v>1685</v>
      </c>
      <c r="I31" t="n">
        <v>23590</v>
      </c>
      <c r="J31" s="10"/>
      <c r="K31" s="10"/>
      <c r="L31" s="10"/>
      <c r="N31" s="11"/>
      <c r="P31" s="11"/>
      <c r="S31" t="n">
        <v>7</v>
      </c>
      <c r="T31" t="n">
        <v>15</v>
      </c>
      <c r="U31" t="n">
        <v>15</v>
      </c>
      <c r="V31" t="n">
        <v>14</v>
      </c>
    </row>
    <row r="32">
      <c r="A32" s="10" t="s">
        <v>76</v>
      </c>
      <c r="B32" s="10" t="s">
        <v>46</v>
      </c>
      <c r="C32" s="10" t="s">
        <v>151</v>
      </c>
      <c r="D32" s="10" t="s">
        <v>31</v>
      </c>
      <c r="E32" s="11" t="n">
        <v>45748</v>
      </c>
      <c r="F32" t="n">
        <v>1193</v>
      </c>
      <c r="H32" t="n">
        <v>5693</v>
      </c>
      <c r="I32" t="n">
        <v>0</v>
      </c>
      <c r="J32" s="10"/>
      <c r="K32" s="10"/>
      <c r="L32" s="10"/>
      <c r="N32" s="11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46</v>
      </c>
      <c r="C33" s="10" t="s">
        <v>151</v>
      </c>
      <c r="D33" s="10" t="s">
        <v>31</v>
      </c>
      <c r="E33" s="11" t="n">
        <v>45778</v>
      </c>
      <c r="F33" t="n">
        <v>23590</v>
      </c>
      <c r="H33" t="n">
        <v>5693</v>
      </c>
      <c r="I33" t="n">
        <v>17897</v>
      </c>
      <c r="J33" s="10"/>
      <c r="K33" s="10"/>
      <c r="L33" s="10"/>
      <c r="N33" s="11"/>
      <c r="P33" s="11"/>
      <c r="S33" t="n">
        <v>3</v>
      </c>
      <c r="T33" t="n">
        <v>6</v>
      </c>
      <c r="U33" t="n">
        <v>6</v>
      </c>
      <c r="V33" t="n">
        <v>3.1436852274723344</v>
      </c>
    </row>
    <row r="34">
      <c r="A34" s="10" t="s">
        <v>76</v>
      </c>
      <c r="B34" s="10" t="s">
        <v>46</v>
      </c>
      <c r="C34" s="10" t="s">
        <v>151</v>
      </c>
      <c r="D34" s="10" t="s">
        <v>31</v>
      </c>
      <c r="E34" s="11" t="n">
        <v>45809</v>
      </c>
      <c r="F34" t="n">
        <v>0</v>
      </c>
      <c r="H34" t="n">
        <v>5693</v>
      </c>
      <c r="I34" t="n">
        <v>0</v>
      </c>
      <c r="J34" s="10"/>
      <c r="K34" s="10"/>
      <c r="L34" s="10"/>
      <c r="N34" s="11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46</v>
      </c>
      <c r="C35" s="10" t="s">
        <v>151</v>
      </c>
      <c r="D35" s="10" t="s">
        <v>31</v>
      </c>
      <c r="E35" s="11" t="n">
        <v>45839</v>
      </c>
      <c r="F35" t="n">
        <v>17897</v>
      </c>
      <c r="H35" t="n">
        <v>5693</v>
      </c>
      <c r="I35" t="n">
        <v>12204</v>
      </c>
      <c r="J35" s="10"/>
      <c r="K35" s="10"/>
      <c r="L35" s="10"/>
      <c r="N35" s="11"/>
      <c r="P35" s="11"/>
      <c r="S35" t="n">
        <v>3</v>
      </c>
      <c r="T35" t="n">
        <v>6</v>
      </c>
      <c r="U35" t="n">
        <v>6</v>
      </c>
      <c r="V35" t="n">
        <v>2.1436852274723344</v>
      </c>
    </row>
    <row r="36">
      <c r="A36" s="10" t="s">
        <v>76</v>
      </c>
      <c r="B36" s="10" t="s">
        <v>46</v>
      </c>
      <c r="C36" s="10" t="s">
        <v>151</v>
      </c>
      <c r="D36" s="10" t="s">
        <v>31</v>
      </c>
      <c r="E36" s="11" t="n">
        <v>45870</v>
      </c>
      <c r="F36" t="n">
        <v>0</v>
      </c>
      <c r="H36" t="n">
        <v>5693</v>
      </c>
      <c r="I36" t="n">
        <v>0</v>
      </c>
      <c r="J36" s="10"/>
      <c r="K36" s="10"/>
      <c r="L36" s="10"/>
      <c r="N36" s="11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46</v>
      </c>
      <c r="C37" s="10" t="s">
        <v>151</v>
      </c>
      <c r="D37" s="10" t="s">
        <v>31</v>
      </c>
      <c r="E37" s="11" t="n">
        <v>45901</v>
      </c>
      <c r="F37" t="n">
        <v>12204</v>
      </c>
      <c r="H37" t="n">
        <v>5693</v>
      </c>
      <c r="I37" t="n">
        <v>6511</v>
      </c>
      <c r="J37" s="10"/>
      <c r="K37" s="10"/>
      <c r="L37" s="10"/>
      <c r="N37" s="11"/>
      <c r="P37" s="11"/>
      <c r="S37" t="n">
        <v>3</v>
      </c>
      <c r="T37" t="n">
        <v>6</v>
      </c>
      <c r="U37" t="n">
        <v>6</v>
      </c>
      <c r="V37" t="n">
        <v>1.1436852274723344</v>
      </c>
    </row>
    <row r="38">
      <c r="A38" s="10" t="s">
        <v>76</v>
      </c>
      <c r="B38" s="10" t="s">
        <v>46</v>
      </c>
      <c r="C38" s="10" t="s">
        <v>151</v>
      </c>
      <c r="D38" s="10" t="s">
        <v>31</v>
      </c>
      <c r="E38" s="11" t="n">
        <v>45931</v>
      </c>
      <c r="F38" t="n">
        <v>0</v>
      </c>
      <c r="H38" t="n">
        <v>5693</v>
      </c>
      <c r="I38" t="n">
        <v>0</v>
      </c>
      <c r="J38" s="10"/>
      <c r="K38" s="10"/>
      <c r="L38" s="10"/>
      <c r="N38" s="11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46</v>
      </c>
      <c r="C39" s="10" t="s">
        <v>151</v>
      </c>
      <c r="D39" s="10" t="s">
        <v>31</v>
      </c>
      <c r="E39" s="11" t="n">
        <v>45962</v>
      </c>
      <c r="F39" t="n">
        <v>6511</v>
      </c>
      <c r="H39" t="n">
        <v>5693</v>
      </c>
      <c r="I39" t="n">
        <v>818</v>
      </c>
      <c r="J39" s="10"/>
      <c r="K39" s="10"/>
      <c r="L39" s="10"/>
      <c r="N39" s="11"/>
      <c r="P39" s="11"/>
      <c r="S39" t="n">
        <v>3</v>
      </c>
      <c r="T39" t="n">
        <v>6</v>
      </c>
      <c r="U39" t="n">
        <v>6</v>
      </c>
      <c r="V39" t="n">
        <v>0.14368522747233445</v>
      </c>
    </row>
    <row r="40">
      <c r="A40" s="10" t="s">
        <v>76</v>
      </c>
      <c r="B40" s="10" t="s">
        <v>46</v>
      </c>
      <c r="C40" s="10" t="s">
        <v>151</v>
      </c>
      <c r="D40" s="10" t="s">
        <v>31</v>
      </c>
      <c r="E40" s="11" t="n">
        <v>45992</v>
      </c>
      <c r="F40" t="n">
        <v>0</v>
      </c>
      <c r="H40" t="n">
        <v>5693</v>
      </c>
      <c r="I40" t="n">
        <v>0</v>
      </c>
      <c r="J40" s="10"/>
      <c r="K40" s="10"/>
      <c r="L40" s="10"/>
      <c r="N40" s="11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46</v>
      </c>
      <c r="C41" s="10" t="s">
        <v>151</v>
      </c>
      <c r="D41" s="10" t="s">
        <v>31</v>
      </c>
      <c r="E41" s="11" t="n">
        <v>46023</v>
      </c>
      <c r="F41" t="n">
        <v>818</v>
      </c>
      <c r="H41" t="n">
        <v>14161</v>
      </c>
      <c r="I41" t="n">
        <v>0</v>
      </c>
      <c r="J41" s="10"/>
      <c r="K41" s="10"/>
      <c r="L41" s="10"/>
      <c r="N41" s="11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46</v>
      </c>
      <c r="C42" s="10" t="s">
        <v>151</v>
      </c>
      <c r="D42" s="10" t="s">
        <v>31</v>
      </c>
      <c r="E42" s="11" t="n">
        <v>46054</v>
      </c>
      <c r="F42" t="n">
        <v>0</v>
      </c>
      <c r="H42" t="n">
        <v>14161</v>
      </c>
      <c r="I42" t="n">
        <v>0</v>
      </c>
      <c r="J42" s="10"/>
      <c r="K42" s="10"/>
      <c r="L42" s="10"/>
      <c r="N42" s="11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46</v>
      </c>
      <c r="C43" s="10" t="s">
        <v>151</v>
      </c>
      <c r="D43" s="10" t="s">
        <v>31</v>
      </c>
      <c r="E43" s="11" t="n">
        <v>46082</v>
      </c>
      <c r="F43" t="n">
        <v>0</v>
      </c>
      <c r="H43" t="n">
        <v>14161</v>
      </c>
      <c r="I43" t="n">
        <v>0</v>
      </c>
      <c r="J43" s="10"/>
      <c r="K43" s="10"/>
      <c r="L43" s="10"/>
      <c r="N43" s="11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46</v>
      </c>
      <c r="C44" s="10" t="s">
        <v>151</v>
      </c>
      <c r="D44" s="10" t="s">
        <v>31</v>
      </c>
      <c r="E44" s="11" t="n">
        <v>46113</v>
      </c>
      <c r="F44" t="n">
        <v>0</v>
      </c>
      <c r="H44" t="n">
        <v>14161</v>
      </c>
      <c r="I44" t="n">
        <v>0</v>
      </c>
      <c r="J44" s="10"/>
      <c r="K44" s="10"/>
      <c r="L44" s="10"/>
      <c r="N44" s="11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46</v>
      </c>
      <c r="C45" s="10" t="s">
        <v>151</v>
      </c>
      <c r="D45" s="10" t="s">
        <v>31</v>
      </c>
      <c r="E45" s="11" t="n">
        <v>46143</v>
      </c>
      <c r="F45" t="n">
        <v>0</v>
      </c>
      <c r="H45" t="n">
        <v>14161</v>
      </c>
      <c r="I45" t="n">
        <v>0</v>
      </c>
      <c r="J45" s="10"/>
      <c r="K45" s="10"/>
      <c r="L45" s="10"/>
      <c r="N45" s="11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46</v>
      </c>
      <c r="C46" s="10" t="s">
        <v>151</v>
      </c>
      <c r="D46" s="10" t="s">
        <v>31</v>
      </c>
      <c r="E46" s="11" t="n">
        <v>46174</v>
      </c>
      <c r="F46" t="n">
        <v>0</v>
      </c>
      <c r="H46" t="n">
        <v>14161</v>
      </c>
      <c r="I46" t="n">
        <v>0</v>
      </c>
      <c r="J46" s="10"/>
      <c r="K46" s="10"/>
      <c r="L46" s="10"/>
      <c r="N46" s="11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46</v>
      </c>
      <c r="C47" s="10" t="s">
        <v>151</v>
      </c>
      <c r="D47" s="10" t="s">
        <v>31</v>
      </c>
      <c r="E47" s="11" t="n">
        <v>46204</v>
      </c>
      <c r="F47" t="n">
        <v>0</v>
      </c>
      <c r="H47" t="n">
        <v>14161</v>
      </c>
      <c r="I47" t="n">
        <v>0</v>
      </c>
      <c r="J47" s="10"/>
      <c r="K47" s="10"/>
      <c r="L47" s="10"/>
      <c r="N47" s="11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46</v>
      </c>
      <c r="C48" s="10" t="s">
        <v>151</v>
      </c>
      <c r="D48" s="10" t="s">
        <v>31</v>
      </c>
      <c r="E48" s="11" t="n">
        <v>46235</v>
      </c>
      <c r="F48" t="n">
        <v>0</v>
      </c>
      <c r="H48" t="n">
        <v>14161</v>
      </c>
      <c r="I48" t="n">
        <v>0</v>
      </c>
      <c r="J48" s="10"/>
      <c r="K48" s="10"/>
      <c r="L48" s="10"/>
      <c r="N48" s="11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46</v>
      </c>
      <c r="C49" s="10" t="s">
        <v>151</v>
      </c>
      <c r="D49" s="10" t="s">
        <v>31</v>
      </c>
      <c r="E49" s="11" t="n">
        <v>46266</v>
      </c>
      <c r="F49" t="n">
        <v>0</v>
      </c>
      <c r="H49" t="n">
        <v>14161</v>
      </c>
      <c r="I49" t="n">
        <v>0</v>
      </c>
      <c r="J49" s="10"/>
      <c r="K49" s="10"/>
      <c r="L49" s="10"/>
      <c r="N49" s="11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46</v>
      </c>
      <c r="C50" s="10" t="s">
        <v>151</v>
      </c>
      <c r="D50" s="10" t="s">
        <v>31</v>
      </c>
      <c r="E50" s="11" t="n">
        <v>46296</v>
      </c>
      <c r="F50" t="n">
        <v>0</v>
      </c>
      <c r="H50" t="n">
        <v>14161</v>
      </c>
      <c r="I50" t="n">
        <v>0</v>
      </c>
      <c r="J50" s="10"/>
      <c r="K50" s="10"/>
      <c r="L50" s="10"/>
      <c r="N50" s="11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46</v>
      </c>
      <c r="C51" s="10" t="s">
        <v>151</v>
      </c>
      <c r="D51" s="10" t="s">
        <v>31</v>
      </c>
      <c r="E51" s="11" t="n">
        <v>46327</v>
      </c>
      <c r="F51" t="n">
        <v>0</v>
      </c>
      <c r="H51" t="n">
        <v>14161</v>
      </c>
      <c r="I51" t="n">
        <v>0</v>
      </c>
      <c r="J51" s="10"/>
      <c r="K51" s="10"/>
      <c r="L51" s="10"/>
      <c r="N51" s="11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46</v>
      </c>
      <c r="C52" s="10" t="s">
        <v>151</v>
      </c>
      <c r="D52" s="10" t="s">
        <v>31</v>
      </c>
      <c r="E52" s="11" t="n">
        <v>46357</v>
      </c>
      <c r="F52" t="n">
        <v>0</v>
      </c>
      <c r="H52" t="n">
        <v>14161</v>
      </c>
      <c r="I52" t="n">
        <v>0</v>
      </c>
      <c r="J52" s="10"/>
      <c r="K52" s="10"/>
      <c r="L52" s="10"/>
      <c r="N52" s="11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46</v>
      </c>
      <c r="C53" s="10" t="s">
        <v>151</v>
      </c>
      <c r="D53" s="10" t="s">
        <v>31</v>
      </c>
      <c r="E53" s="11" t="n">
        <v>45689</v>
      </c>
      <c r="F53" t="n">
        <v>14632</v>
      </c>
      <c r="G53" t="n">
        <v>988</v>
      </c>
      <c r="H53" t="n">
        <v>1785</v>
      </c>
      <c r="I53" t="n">
        <v>12847</v>
      </c>
      <c r="J53" s="10"/>
      <c r="K53" s="10"/>
      <c r="L53" s="10"/>
      <c r="N53" s="11"/>
      <c r="P53" s="11"/>
      <c r="S53" t="n">
        <v>6</v>
      </c>
      <c r="T53" t="n">
        <v>12</v>
      </c>
      <c r="U53" t="n">
        <v>12</v>
      </c>
      <c r="V53" t="n">
        <v>7.1971988795518209</v>
      </c>
    </row>
    <row r="54">
      <c r="A54" s="10" t="s">
        <v>72</v>
      </c>
      <c r="B54" s="10" t="s">
        <v>46</v>
      </c>
      <c r="C54" s="10" t="s">
        <v>151</v>
      </c>
      <c r="D54" s="10" t="s">
        <v>31</v>
      </c>
      <c r="E54" s="11" t="n">
        <v>45717</v>
      </c>
      <c r="F54" t="n">
        <v>12847</v>
      </c>
      <c r="G54" t="n">
        <v>670</v>
      </c>
      <c r="H54" t="n">
        <v>1785</v>
      </c>
      <c r="I54" t="n">
        <v>11062</v>
      </c>
      <c r="J54" s="10"/>
      <c r="K54" s="10"/>
      <c r="L54" s="10"/>
      <c r="N54" s="11"/>
      <c r="P54" s="11"/>
      <c r="S54" t="n">
        <v>6</v>
      </c>
      <c r="T54" t="n">
        <v>12</v>
      </c>
      <c r="U54" t="n">
        <v>12</v>
      </c>
      <c r="V54" t="n">
        <v>6.1971988795518209</v>
      </c>
    </row>
    <row r="55">
      <c r="A55" s="10" t="s">
        <v>72</v>
      </c>
      <c r="B55" s="10" t="s">
        <v>46</v>
      </c>
      <c r="C55" s="10" t="s">
        <v>151</v>
      </c>
      <c r="D55" s="10" t="s">
        <v>31</v>
      </c>
      <c r="E55" s="11" t="n">
        <v>45748</v>
      </c>
      <c r="F55" t="n">
        <v>11062</v>
      </c>
      <c r="G55" t="n">
        <v>1396</v>
      </c>
      <c r="H55" t="n">
        <v>1785</v>
      </c>
      <c r="I55" t="n">
        <v>9277</v>
      </c>
      <c r="J55" s="10"/>
      <c r="K55" s="10"/>
      <c r="L55" s="10"/>
      <c r="N55" s="11"/>
      <c r="P55" s="11"/>
      <c r="S55" t="n">
        <v>6</v>
      </c>
      <c r="T55" t="n">
        <v>12</v>
      </c>
      <c r="U55" t="n">
        <v>12</v>
      </c>
      <c r="V55" t="n">
        <v>5.1971988795518209</v>
      </c>
    </row>
    <row r="56">
      <c r="A56" s="10" t="s">
        <v>72</v>
      </c>
      <c r="B56" s="10" t="s">
        <v>46</v>
      </c>
      <c r="C56" s="10" t="s">
        <v>151</v>
      </c>
      <c r="D56" s="10" t="s">
        <v>31</v>
      </c>
      <c r="E56" s="11" t="n">
        <v>45778</v>
      </c>
      <c r="F56" t="n">
        <v>9277</v>
      </c>
      <c r="G56" t="n">
        <v>830</v>
      </c>
      <c r="H56" t="n">
        <v>1785</v>
      </c>
      <c r="I56" t="n">
        <v>7492</v>
      </c>
      <c r="J56" s="10"/>
      <c r="K56" s="10"/>
      <c r="L56" s="10"/>
      <c r="N56" s="11"/>
      <c r="P56" s="11"/>
      <c r="S56" t="n">
        <v>6</v>
      </c>
      <c r="T56" t="n">
        <v>12</v>
      </c>
      <c r="U56" t="n">
        <v>12</v>
      </c>
      <c r="V56" t="n">
        <v>4.1971988795518209</v>
      </c>
    </row>
    <row r="57">
      <c r="A57" s="10" t="s">
        <v>72</v>
      </c>
      <c r="B57" s="10" t="s">
        <v>46</v>
      </c>
      <c r="C57" s="10" t="s">
        <v>151</v>
      </c>
      <c r="D57" s="10" t="s">
        <v>31</v>
      </c>
      <c r="E57" s="11" t="n">
        <v>45809</v>
      </c>
      <c r="F57" t="n">
        <v>7492</v>
      </c>
      <c r="G57" t="n">
        <v>946</v>
      </c>
      <c r="H57" t="n">
        <v>1785</v>
      </c>
      <c r="I57" t="n">
        <v>5707</v>
      </c>
      <c r="J57" s="10"/>
      <c r="K57" s="10"/>
      <c r="L57" s="10"/>
      <c r="N57" s="11"/>
      <c r="P57" s="11"/>
      <c r="S57" t="n">
        <v>6</v>
      </c>
      <c r="T57" t="n">
        <v>12</v>
      </c>
      <c r="U57" t="n">
        <v>12</v>
      </c>
      <c r="V57" t="n">
        <v>3.1971988795518209</v>
      </c>
    </row>
    <row r="58">
      <c r="A58" s="10" t="s">
        <v>72</v>
      </c>
      <c r="B58" s="10" t="s">
        <v>46</v>
      </c>
      <c r="C58" s="10" t="s">
        <v>151</v>
      </c>
      <c r="D58" s="10" t="s">
        <v>31</v>
      </c>
      <c r="E58" s="11" t="n">
        <v>45839</v>
      </c>
      <c r="F58" t="n">
        <v>5707</v>
      </c>
      <c r="G58" t="n">
        <v>1178</v>
      </c>
      <c r="H58" t="n">
        <v>1785</v>
      </c>
      <c r="I58" t="n">
        <v>3922</v>
      </c>
      <c r="J58" s="10"/>
      <c r="K58" s="10"/>
      <c r="L58" s="10"/>
      <c r="N58" s="11"/>
      <c r="P58" s="11"/>
      <c r="S58" t="n">
        <v>6</v>
      </c>
      <c r="T58" t="n">
        <v>12</v>
      </c>
      <c r="U58" t="n">
        <v>12</v>
      </c>
      <c r="V58" t="n">
        <v>2.1971988795518209</v>
      </c>
    </row>
    <row r="59">
      <c r="A59" s="10" t="s">
        <v>72</v>
      </c>
      <c r="B59" s="10" t="s">
        <v>46</v>
      </c>
      <c r="C59" s="10" t="s">
        <v>151</v>
      </c>
      <c r="D59" s="10" t="s">
        <v>31</v>
      </c>
      <c r="E59" s="11" t="n">
        <v>45870</v>
      </c>
      <c r="F59" t="n">
        <v>3922</v>
      </c>
      <c r="H59" t="n">
        <v>1785</v>
      </c>
      <c r="I59" t="n">
        <v>24137</v>
      </c>
      <c r="J59" s="10" t="s">
        <v>51</v>
      </c>
      <c r="K59" s="10" t="s">
        <v>51</v>
      </c>
      <c r="L59" s="10" t="s">
        <v>147</v>
      </c>
      <c r="M59" t="n">
        <v>22000</v>
      </c>
      <c r="N59" s="11"/>
      <c r="O59" t="n">
        <v>14784</v>
      </c>
      <c r="P59" s="11" t="n">
        <v>45870</v>
      </c>
      <c r="S59" t="n">
        <v>6</v>
      </c>
      <c r="T59" t="n">
        <v>12</v>
      </c>
      <c r="U59" t="n">
        <v>12</v>
      </c>
      <c r="V59" t="n">
        <v>13.522128851540616</v>
      </c>
    </row>
    <row r="60">
      <c r="A60" s="10" t="s">
        <v>72</v>
      </c>
      <c r="B60" s="10" t="s">
        <v>46</v>
      </c>
      <c r="C60" s="10" t="s">
        <v>151</v>
      </c>
      <c r="D60" s="10" t="s">
        <v>31</v>
      </c>
      <c r="E60" s="11" t="n">
        <v>45901</v>
      </c>
      <c r="F60" t="n">
        <v>24137</v>
      </c>
      <c r="H60" t="n">
        <v>1785</v>
      </c>
      <c r="I60" t="n">
        <v>22352</v>
      </c>
      <c r="J60" s="10"/>
      <c r="K60" s="10"/>
      <c r="L60" s="10"/>
      <c r="N60" s="11"/>
      <c r="P60" s="11"/>
      <c r="S60" t="n">
        <v>6</v>
      </c>
      <c r="T60" t="n">
        <v>12</v>
      </c>
      <c r="U60" t="n">
        <v>12</v>
      </c>
      <c r="V60" t="n">
        <v>12.522128851540616</v>
      </c>
    </row>
    <row r="61">
      <c r="A61" s="10" t="s">
        <v>72</v>
      </c>
      <c r="B61" s="10" t="s">
        <v>46</v>
      </c>
      <c r="C61" s="10" t="s">
        <v>151</v>
      </c>
      <c r="D61" s="10" t="s">
        <v>31</v>
      </c>
      <c r="E61" s="11" t="n">
        <v>45931</v>
      </c>
      <c r="F61" t="n">
        <v>22352</v>
      </c>
      <c r="H61" t="n">
        <v>1785</v>
      </c>
      <c r="I61" t="n">
        <v>20567</v>
      </c>
      <c r="J61" s="10"/>
      <c r="K61" s="10"/>
      <c r="L61" s="10"/>
      <c r="N61" s="11"/>
      <c r="P61" s="11"/>
      <c r="S61" t="n">
        <v>6</v>
      </c>
      <c r="T61" t="n">
        <v>12</v>
      </c>
      <c r="U61" t="n">
        <v>12</v>
      </c>
      <c r="V61" t="n">
        <v>11.522128851540616</v>
      </c>
    </row>
    <row r="62">
      <c r="A62" s="10" t="s">
        <v>72</v>
      </c>
      <c r="B62" s="10" t="s">
        <v>46</v>
      </c>
      <c r="C62" s="10" t="s">
        <v>151</v>
      </c>
      <c r="D62" s="10" t="s">
        <v>31</v>
      </c>
      <c r="E62" s="11" t="n">
        <v>45962</v>
      </c>
      <c r="F62" t="n">
        <v>20567</v>
      </c>
      <c r="H62" t="n">
        <v>1785</v>
      </c>
      <c r="I62" t="n">
        <v>18782</v>
      </c>
      <c r="J62" s="10"/>
      <c r="K62" s="10"/>
      <c r="L62" s="10"/>
      <c r="N62" s="11"/>
      <c r="P62" s="11"/>
      <c r="S62" t="n">
        <v>6</v>
      </c>
      <c r="T62" t="n">
        <v>12</v>
      </c>
      <c r="U62" t="n">
        <v>12</v>
      </c>
      <c r="V62" t="n">
        <v>10.522128851540616</v>
      </c>
    </row>
    <row r="63">
      <c r="A63" s="10" t="s">
        <v>72</v>
      </c>
      <c r="B63" s="10" t="s">
        <v>46</v>
      </c>
      <c r="C63" s="10" t="s">
        <v>151</v>
      </c>
      <c r="D63" s="10" t="s">
        <v>31</v>
      </c>
      <c r="E63" s="11" t="n">
        <v>45992</v>
      </c>
      <c r="F63" t="n">
        <v>18782</v>
      </c>
      <c r="H63" t="n">
        <v>1785</v>
      </c>
      <c r="I63" t="n">
        <v>16997</v>
      </c>
      <c r="J63" s="10"/>
      <c r="K63" s="10"/>
      <c r="L63" s="10"/>
      <c r="N63" s="11"/>
      <c r="P63" s="11"/>
      <c r="S63" t="n">
        <v>6</v>
      </c>
      <c r="T63" t="n">
        <v>12</v>
      </c>
      <c r="U63" t="n">
        <v>12</v>
      </c>
      <c r="V63" t="n">
        <v>9.5221288515406162</v>
      </c>
    </row>
    <row r="64">
      <c r="A64" s="10" t="s">
        <v>72</v>
      </c>
      <c r="B64" s="10" t="s">
        <v>46</v>
      </c>
      <c r="C64" s="10" t="s">
        <v>151</v>
      </c>
      <c r="D64" s="10" t="s">
        <v>31</v>
      </c>
      <c r="E64" s="11" t="n">
        <v>46023</v>
      </c>
      <c r="F64" t="n">
        <v>16997</v>
      </c>
      <c r="H64" t="n">
        <v>1785</v>
      </c>
      <c r="I64" t="n">
        <v>15212</v>
      </c>
      <c r="J64" s="10"/>
      <c r="K64" s="10"/>
      <c r="L64" s="10"/>
      <c r="N64" s="11"/>
      <c r="P64" s="11"/>
      <c r="S64" t="n">
        <v>6</v>
      </c>
      <c r="T64" t="n">
        <v>12</v>
      </c>
      <c r="U64" t="n">
        <v>12</v>
      </c>
      <c r="V64" t="n">
        <v>8.5221288515406162</v>
      </c>
    </row>
    <row r="65">
      <c r="A65" s="10" t="s">
        <v>72</v>
      </c>
      <c r="B65" s="10" t="s">
        <v>46</v>
      </c>
      <c r="C65" s="10" t="s">
        <v>151</v>
      </c>
      <c r="D65" s="10" t="s">
        <v>31</v>
      </c>
      <c r="E65" s="11" t="n">
        <v>46054</v>
      </c>
      <c r="F65" t="n">
        <v>15212</v>
      </c>
      <c r="H65" t="n">
        <v>1785</v>
      </c>
      <c r="I65" t="n">
        <v>13427</v>
      </c>
      <c r="J65" s="10"/>
      <c r="K65" s="10"/>
      <c r="L65" s="10"/>
      <c r="N65" s="11"/>
      <c r="P65" s="11"/>
      <c r="S65" t="n">
        <v>6</v>
      </c>
      <c r="T65" t="n">
        <v>12</v>
      </c>
      <c r="U65" t="n">
        <v>12</v>
      </c>
      <c r="V65" t="n">
        <v>7.5221288515406162</v>
      </c>
    </row>
    <row r="66">
      <c r="A66" s="10" t="s">
        <v>72</v>
      </c>
      <c r="B66" s="10" t="s">
        <v>46</v>
      </c>
      <c r="C66" s="10" t="s">
        <v>151</v>
      </c>
      <c r="D66" s="10" t="s">
        <v>31</v>
      </c>
      <c r="E66" s="11" t="n">
        <v>46082</v>
      </c>
      <c r="F66" t="n">
        <v>13427</v>
      </c>
      <c r="H66" t="n">
        <v>1785</v>
      </c>
      <c r="I66" t="n">
        <v>11642</v>
      </c>
      <c r="J66" s="10"/>
      <c r="K66" s="10"/>
      <c r="L66" s="10"/>
      <c r="N66" s="11"/>
      <c r="P66" s="11"/>
      <c r="S66" t="n">
        <v>6</v>
      </c>
      <c r="T66" t="n">
        <v>12</v>
      </c>
      <c r="U66" t="n">
        <v>12</v>
      </c>
      <c r="V66" t="n">
        <v>6.5221288515406162</v>
      </c>
    </row>
    <row r="67">
      <c r="A67" s="10" t="s">
        <v>72</v>
      </c>
      <c r="B67" s="10" t="s">
        <v>46</v>
      </c>
      <c r="C67" s="10" t="s">
        <v>151</v>
      </c>
      <c r="D67" s="10" t="s">
        <v>31</v>
      </c>
      <c r="E67" s="11" t="n">
        <v>46113</v>
      </c>
      <c r="F67" t="n">
        <v>11642</v>
      </c>
      <c r="H67" t="n">
        <v>1785</v>
      </c>
      <c r="I67" t="n">
        <v>9857</v>
      </c>
      <c r="J67" s="10"/>
      <c r="K67" s="10"/>
      <c r="L67" s="10"/>
      <c r="N67" s="11"/>
      <c r="P67" s="11"/>
      <c r="S67" t="n">
        <v>6</v>
      </c>
      <c r="T67" t="n">
        <v>12</v>
      </c>
      <c r="U67" t="n">
        <v>12</v>
      </c>
      <c r="V67" t="n">
        <v>5.5221288515406162</v>
      </c>
    </row>
    <row r="68">
      <c r="A68" s="10" t="s">
        <v>72</v>
      </c>
      <c r="B68" s="10" t="s">
        <v>46</v>
      </c>
      <c r="C68" s="10" t="s">
        <v>151</v>
      </c>
      <c r="D68" s="10" t="s">
        <v>31</v>
      </c>
      <c r="E68" s="11" t="n">
        <v>46143</v>
      </c>
      <c r="F68" t="n">
        <v>9857</v>
      </c>
      <c r="H68" t="n">
        <v>1785</v>
      </c>
      <c r="I68" t="n">
        <v>20420</v>
      </c>
      <c r="J68" s="10" t="s">
        <v>2</v>
      </c>
      <c r="K68" s="10" t="s">
        <v>2</v>
      </c>
      <c r="L68" s="10" t="s">
        <v>4</v>
      </c>
      <c r="M68" t="n">
        <v>12348</v>
      </c>
      <c r="N68" s="11"/>
      <c r="O68" t="n">
        <v>8297.86</v>
      </c>
      <c r="P68" s="11" t="n">
        <v>46143</v>
      </c>
      <c r="S68" t="n">
        <v>6</v>
      </c>
      <c r="T68" t="n">
        <v>12</v>
      </c>
      <c r="U68" t="n">
        <v>12</v>
      </c>
      <c r="V68" t="n">
        <v>11.439775910364146</v>
      </c>
    </row>
    <row r="69">
      <c r="A69" s="10" t="s">
        <v>72</v>
      </c>
      <c r="B69" s="10" t="s">
        <v>46</v>
      </c>
      <c r="C69" s="10" t="s">
        <v>151</v>
      </c>
      <c r="D69" s="10" t="s">
        <v>31</v>
      </c>
      <c r="E69" s="11" t="n">
        <v>46174</v>
      </c>
      <c r="F69" t="n">
        <v>20420</v>
      </c>
      <c r="H69" t="n">
        <v>1785</v>
      </c>
      <c r="I69" t="n">
        <v>18635</v>
      </c>
      <c r="J69" s="10"/>
      <c r="K69" s="10"/>
      <c r="L69" s="10"/>
      <c r="N69" s="11"/>
      <c r="P69" s="11"/>
      <c r="S69" t="n">
        <v>6</v>
      </c>
      <c r="T69" t="n">
        <v>12</v>
      </c>
      <c r="U69" t="n">
        <v>12</v>
      </c>
      <c r="V69" t="n">
        <v>10.439775910364146</v>
      </c>
    </row>
    <row r="70">
      <c r="A70" s="10" t="s">
        <v>72</v>
      </c>
      <c r="B70" s="10" t="s">
        <v>46</v>
      </c>
      <c r="C70" s="10" t="s">
        <v>151</v>
      </c>
      <c r="D70" s="10" t="s">
        <v>31</v>
      </c>
      <c r="E70" s="11" t="n">
        <v>46204</v>
      </c>
      <c r="F70" t="n">
        <v>18635</v>
      </c>
      <c r="H70" t="n">
        <v>1785</v>
      </c>
      <c r="I70" t="n">
        <v>16850</v>
      </c>
      <c r="J70" s="10"/>
      <c r="K70" s="10"/>
      <c r="L70" s="10"/>
      <c r="N70" s="11"/>
      <c r="P70" s="11"/>
      <c r="S70" t="n">
        <v>6</v>
      </c>
      <c r="T70" t="n">
        <v>12</v>
      </c>
      <c r="U70" t="n">
        <v>12</v>
      </c>
      <c r="V70" t="n">
        <v>9.4397759103641459</v>
      </c>
    </row>
    <row r="71">
      <c r="A71" s="10" t="s">
        <v>72</v>
      </c>
      <c r="B71" s="10" t="s">
        <v>46</v>
      </c>
      <c r="C71" s="10" t="s">
        <v>151</v>
      </c>
      <c r="D71" s="10" t="s">
        <v>31</v>
      </c>
      <c r="E71" s="11" t="n">
        <v>46235</v>
      </c>
      <c r="F71" t="n">
        <v>16850</v>
      </c>
      <c r="H71" t="n">
        <v>1785</v>
      </c>
      <c r="I71" t="n">
        <v>15065</v>
      </c>
      <c r="J71" s="10"/>
      <c r="K71" s="10"/>
      <c r="L71" s="10"/>
      <c r="N71" s="11"/>
      <c r="P71" s="11"/>
      <c r="S71" t="n">
        <v>6</v>
      </c>
      <c r="T71" t="n">
        <v>12</v>
      </c>
      <c r="U71" t="n">
        <v>12</v>
      </c>
      <c r="V71" t="n">
        <v>8.4397759103641459</v>
      </c>
    </row>
    <row r="72">
      <c r="A72" s="10" t="s">
        <v>72</v>
      </c>
      <c r="B72" s="10" t="s">
        <v>46</v>
      </c>
      <c r="C72" s="10" t="s">
        <v>151</v>
      </c>
      <c r="D72" s="10" t="s">
        <v>31</v>
      </c>
      <c r="E72" s="11" t="n">
        <v>46266</v>
      </c>
      <c r="F72" t="n">
        <v>15065</v>
      </c>
      <c r="H72" t="n">
        <v>1785</v>
      </c>
      <c r="I72" t="n">
        <v>13280</v>
      </c>
      <c r="J72" s="10"/>
      <c r="K72" s="10"/>
      <c r="L72" s="10"/>
      <c r="N72" s="11"/>
      <c r="P72" s="11"/>
      <c r="S72" t="n">
        <v>6</v>
      </c>
      <c r="T72" t="n">
        <v>12</v>
      </c>
      <c r="U72" t="n">
        <v>12</v>
      </c>
      <c r="V72" t="n">
        <v>7.4397759103641459</v>
      </c>
    </row>
    <row r="73">
      <c r="A73" s="10" t="s">
        <v>72</v>
      </c>
      <c r="B73" s="10" t="s">
        <v>46</v>
      </c>
      <c r="C73" s="10" t="s">
        <v>151</v>
      </c>
      <c r="D73" s="10" t="s">
        <v>31</v>
      </c>
      <c r="E73" s="11" t="n">
        <v>46296</v>
      </c>
      <c r="F73" t="n">
        <v>13280</v>
      </c>
      <c r="H73" t="n">
        <v>1785</v>
      </c>
      <c r="I73" t="n">
        <v>11495</v>
      </c>
      <c r="J73" s="10"/>
      <c r="K73" s="10"/>
      <c r="L73" s="10"/>
      <c r="N73" s="11"/>
      <c r="P73" s="11"/>
      <c r="S73" t="n">
        <v>6</v>
      </c>
      <c r="T73" t="n">
        <v>12</v>
      </c>
      <c r="U73" t="n">
        <v>12</v>
      </c>
      <c r="V73" t="n">
        <v>6.4397759103641459</v>
      </c>
    </row>
    <row r="74">
      <c r="A74" s="10" t="s">
        <v>72</v>
      </c>
      <c r="B74" s="10" t="s">
        <v>46</v>
      </c>
      <c r="C74" s="10" t="s">
        <v>151</v>
      </c>
      <c r="D74" s="10" t="s">
        <v>31</v>
      </c>
      <c r="E74" s="11" t="n">
        <v>46327</v>
      </c>
      <c r="F74" t="n">
        <v>11495</v>
      </c>
      <c r="H74" t="n">
        <v>1785</v>
      </c>
      <c r="I74" t="n">
        <v>21840</v>
      </c>
      <c r="J74" s="10" t="s">
        <v>2</v>
      </c>
      <c r="K74" s="10" t="s">
        <v>2</v>
      </c>
      <c r="L74" s="10" t="s">
        <v>4</v>
      </c>
      <c r="M74" t="n">
        <v>12130</v>
      </c>
      <c r="N74" s="11"/>
      <c r="O74" t="n">
        <v>8151.36</v>
      </c>
      <c r="P74" s="11" t="n">
        <v>46327</v>
      </c>
      <c r="S74" t="n">
        <v>6</v>
      </c>
      <c r="T74" t="n">
        <v>12</v>
      </c>
      <c r="U74" t="n">
        <v>12</v>
      </c>
      <c r="V74" t="n">
        <v>12.235294117647058</v>
      </c>
    </row>
    <row r="75">
      <c r="A75" s="10" t="s">
        <v>72</v>
      </c>
      <c r="B75" s="10" t="s">
        <v>46</v>
      </c>
      <c r="C75" s="10" t="s">
        <v>151</v>
      </c>
      <c r="D75" s="10" t="s">
        <v>31</v>
      </c>
      <c r="E75" s="11" t="n">
        <v>46357</v>
      </c>
      <c r="F75" t="n">
        <v>21840</v>
      </c>
      <c r="H75" t="n">
        <v>1785</v>
      </c>
      <c r="I75" t="n">
        <v>20055</v>
      </c>
      <c r="J75" s="10"/>
      <c r="K75" s="10"/>
      <c r="L75" s="10"/>
      <c r="N75" s="11"/>
      <c r="P75" s="11"/>
      <c r="S75" t="n">
        <v>6</v>
      </c>
      <c r="T75" t="n">
        <v>12</v>
      </c>
      <c r="U75" t="n">
        <v>12</v>
      </c>
      <c r="V75" t="n">
        <v>11.235294117647058</v>
      </c>
    </row>
    <row r="76">
      <c r="A76" s="10" t="s">
        <v>77</v>
      </c>
      <c r="B76" s="10" t="s">
        <v>46</v>
      </c>
      <c r="C76" s="10" t="s">
        <v>151</v>
      </c>
      <c r="D76" s="10" t="s">
        <v>31</v>
      </c>
      <c r="E76" s="11" t="n">
        <v>45839</v>
      </c>
      <c r="F76" t="n">
        <v>0</v>
      </c>
      <c r="H76" t="n">
        <v>41941</v>
      </c>
      <c r="I76" t="n">
        <v>0</v>
      </c>
      <c r="J76" s="10"/>
      <c r="K76" s="10"/>
      <c r="L76" s="10"/>
      <c r="N76" s="11"/>
      <c r="P76" s="11"/>
      <c r="S76" t="n">
        <v>6</v>
      </c>
      <c r="T76" t="n">
        <v>12</v>
      </c>
      <c r="U76" t="n">
        <v>12</v>
      </c>
      <c r="V76" t="n">
        <v>0</v>
      </c>
    </row>
    <row r="77">
      <c r="A77" s="10" t="s">
        <v>77</v>
      </c>
      <c r="B77" s="10" t="s">
        <v>46</v>
      </c>
      <c r="C77" s="10" t="s">
        <v>151</v>
      </c>
      <c r="D77" s="10" t="s">
        <v>31</v>
      </c>
      <c r="E77" s="11" t="n">
        <v>45870</v>
      </c>
      <c r="F77" t="n">
        <v>0</v>
      </c>
      <c r="H77" t="n">
        <v>41941</v>
      </c>
      <c r="I77" t="n">
        <v>0</v>
      </c>
      <c r="J77" s="10"/>
      <c r="K77" s="10"/>
      <c r="L77" s="10"/>
      <c r="N77" s="11"/>
      <c r="P77" s="11"/>
      <c r="S77" t="n">
        <v>6</v>
      </c>
      <c r="T77" t="n">
        <v>12</v>
      </c>
      <c r="U77" t="n">
        <v>12</v>
      </c>
      <c r="V77" t="n">
        <v>0</v>
      </c>
    </row>
    <row r="78">
      <c r="A78" s="10" t="s">
        <v>77</v>
      </c>
      <c r="B78" s="10" t="s">
        <v>46</v>
      </c>
      <c r="C78" s="10" t="s">
        <v>151</v>
      </c>
      <c r="D78" s="10" t="s">
        <v>31</v>
      </c>
      <c r="E78" s="11" t="n">
        <v>45901</v>
      </c>
      <c r="F78" t="n">
        <v>0</v>
      </c>
      <c r="H78" t="n">
        <v>41941</v>
      </c>
      <c r="I78" t="n">
        <v>0</v>
      </c>
      <c r="J78" s="10"/>
      <c r="K78" s="10"/>
      <c r="L78" s="10"/>
      <c r="N78" s="11"/>
      <c r="P78" s="11"/>
      <c r="S78" t="n">
        <v>6</v>
      </c>
      <c r="T78" t="n">
        <v>12</v>
      </c>
      <c r="U78" t="n">
        <v>12</v>
      </c>
      <c r="V78" t="n">
        <v>0</v>
      </c>
    </row>
    <row r="79">
      <c r="A79" s="10" t="s">
        <v>77</v>
      </c>
      <c r="B79" s="10" t="s">
        <v>46</v>
      </c>
      <c r="C79" s="10" t="s">
        <v>151</v>
      </c>
      <c r="D79" s="10" t="s">
        <v>31</v>
      </c>
      <c r="E79" s="11" t="n">
        <v>45931</v>
      </c>
      <c r="F79" t="n">
        <v>0</v>
      </c>
      <c r="H79" t="n">
        <v>41941</v>
      </c>
      <c r="I79" t="n">
        <v>0</v>
      </c>
      <c r="J79" s="10"/>
      <c r="K79" s="10"/>
      <c r="L79" s="10"/>
      <c r="N79" s="11"/>
      <c r="P79" s="11"/>
      <c r="S79" t="n">
        <v>6</v>
      </c>
      <c r="T79" t="n">
        <v>12</v>
      </c>
      <c r="U79" t="n">
        <v>12</v>
      </c>
      <c r="V79" t="n">
        <v>0</v>
      </c>
    </row>
    <row r="80">
      <c r="A80" s="10" t="s">
        <v>77</v>
      </c>
      <c r="B80" s="10" t="s">
        <v>46</v>
      </c>
      <c r="C80" s="10" t="s">
        <v>151</v>
      </c>
      <c r="D80" s="10" t="s">
        <v>31</v>
      </c>
      <c r="E80" s="11" t="n">
        <v>45962</v>
      </c>
      <c r="F80" t="n">
        <v>0</v>
      </c>
      <c r="H80" t="n">
        <v>41941</v>
      </c>
      <c r="I80" t="n">
        <v>297935</v>
      </c>
      <c r="J80" s="10" t="s">
        <v>168</v>
      </c>
      <c r="K80" s="10" t="s">
        <v>155</v>
      </c>
      <c r="L80" s="10" t="s">
        <v>147</v>
      </c>
      <c r="M80" t="n">
        <v>339876</v>
      </c>
      <c r="N80" s="11"/>
      <c r="P80" s="11"/>
      <c r="S80" t="n">
        <v>6</v>
      </c>
      <c r="T80" t="n">
        <v>12</v>
      </c>
      <c r="U80" t="n">
        <v>12</v>
      </c>
      <c r="V80" t="n">
        <v>7.1036694404043779</v>
      </c>
    </row>
    <row r="81">
      <c r="A81" s="10" t="s">
        <v>77</v>
      </c>
      <c r="B81" s="10" t="s">
        <v>46</v>
      </c>
      <c r="C81" s="10" t="s">
        <v>151</v>
      </c>
      <c r="D81" s="10" t="s">
        <v>31</v>
      </c>
      <c r="E81" s="11" t="n">
        <v>45992</v>
      </c>
      <c r="F81" t="n">
        <v>297935</v>
      </c>
      <c r="H81" t="n">
        <v>41941</v>
      </c>
      <c r="I81" t="n">
        <v>255994</v>
      </c>
      <c r="J81" s="10"/>
      <c r="K81" s="10"/>
      <c r="L81" s="10"/>
      <c r="N81" s="11"/>
      <c r="P81" s="11"/>
      <c r="S81" t="n">
        <v>6</v>
      </c>
      <c r="T81" t="n">
        <v>12</v>
      </c>
      <c r="U81" t="n">
        <v>12</v>
      </c>
      <c r="V81" t="n">
        <v>6.1036694404043779</v>
      </c>
    </row>
    <row r="82">
      <c r="A82" s="10" t="s">
        <v>77</v>
      </c>
      <c r="B82" s="10" t="s">
        <v>46</v>
      </c>
      <c r="C82" s="10" t="s">
        <v>151</v>
      </c>
      <c r="D82" s="10" t="s">
        <v>31</v>
      </c>
      <c r="E82" s="11" t="n">
        <v>46023</v>
      </c>
      <c r="F82" t="n">
        <v>255994</v>
      </c>
      <c r="H82" t="n">
        <v>41941</v>
      </c>
      <c r="I82" t="n">
        <v>214053</v>
      </c>
      <c r="J82" s="10"/>
      <c r="K82" s="10"/>
      <c r="L82" s="10"/>
      <c r="N82" s="11"/>
      <c r="P82" s="11"/>
      <c r="S82" t="n">
        <v>6</v>
      </c>
      <c r="T82" t="n">
        <v>12</v>
      </c>
      <c r="U82" t="n">
        <v>12</v>
      </c>
      <c r="V82" t="n">
        <v>5.1036694404043779</v>
      </c>
    </row>
    <row r="83">
      <c r="A83" s="10" t="s">
        <v>77</v>
      </c>
      <c r="B83" s="10" t="s">
        <v>46</v>
      </c>
      <c r="C83" s="10" t="s">
        <v>151</v>
      </c>
      <c r="D83" s="10" t="s">
        <v>31</v>
      </c>
      <c r="E83" s="11" t="n">
        <v>46054</v>
      </c>
      <c r="F83" t="n">
        <v>214053</v>
      </c>
      <c r="H83" t="n">
        <v>41941</v>
      </c>
      <c r="I83" t="n">
        <v>172112</v>
      </c>
      <c r="J83" s="10"/>
      <c r="K83" s="10"/>
      <c r="L83" s="10"/>
      <c r="N83" s="11"/>
      <c r="P83" s="11"/>
      <c r="S83" t="n">
        <v>6</v>
      </c>
      <c r="T83" t="n">
        <v>12</v>
      </c>
      <c r="U83" t="n">
        <v>12</v>
      </c>
      <c r="V83" t="n">
        <v>4.1036694404043779</v>
      </c>
    </row>
    <row r="84">
      <c r="A84" s="10" t="s">
        <v>77</v>
      </c>
      <c r="B84" s="10" t="s">
        <v>46</v>
      </c>
      <c r="C84" s="10" t="s">
        <v>151</v>
      </c>
      <c r="D84" s="10" t="s">
        <v>31</v>
      </c>
      <c r="E84" s="11" t="n">
        <v>46082</v>
      </c>
      <c r="F84" t="n">
        <v>172112</v>
      </c>
      <c r="H84" t="n">
        <v>41941</v>
      </c>
      <c r="I84" t="n">
        <v>130171</v>
      </c>
      <c r="J84" s="10"/>
      <c r="K84" s="10"/>
      <c r="L84" s="10"/>
      <c r="N84" s="11"/>
      <c r="P84" s="11"/>
      <c r="S84" t="n">
        <v>6</v>
      </c>
      <c r="T84" t="n">
        <v>12</v>
      </c>
      <c r="U84" t="n">
        <v>12</v>
      </c>
      <c r="V84" t="n">
        <v>3.1036694404043774</v>
      </c>
    </row>
    <row r="85">
      <c r="A85" s="10" t="s">
        <v>77</v>
      </c>
      <c r="B85" s="10" t="s">
        <v>46</v>
      </c>
      <c r="C85" s="10" t="s">
        <v>151</v>
      </c>
      <c r="D85" s="10" t="s">
        <v>31</v>
      </c>
      <c r="E85" s="11" t="n">
        <v>46113</v>
      </c>
      <c r="F85" t="n">
        <v>130171</v>
      </c>
      <c r="H85" t="n">
        <v>41941</v>
      </c>
      <c r="I85" t="n">
        <v>88230</v>
      </c>
      <c r="J85" s="10"/>
      <c r="K85" s="10"/>
      <c r="L85" s="10"/>
      <c r="N85" s="11"/>
      <c r="P85" s="11"/>
      <c r="S85" t="n">
        <v>6</v>
      </c>
      <c r="T85" t="n">
        <v>12</v>
      </c>
      <c r="U85" t="n">
        <v>12</v>
      </c>
      <c r="V85" t="n">
        <v>2.1036694404043774</v>
      </c>
    </row>
    <row r="86">
      <c r="A86" s="10" t="s">
        <v>77</v>
      </c>
      <c r="B86" s="10" t="s">
        <v>46</v>
      </c>
      <c r="C86" s="10" t="s">
        <v>151</v>
      </c>
      <c r="D86" s="10" t="s">
        <v>31</v>
      </c>
      <c r="E86" s="11" t="n">
        <v>46143</v>
      </c>
      <c r="F86" t="n">
        <v>88230</v>
      </c>
      <c r="H86" t="n">
        <v>41941</v>
      </c>
      <c r="I86" t="n">
        <v>46289</v>
      </c>
      <c r="J86" s="10"/>
      <c r="K86" s="10"/>
      <c r="L86" s="10"/>
      <c r="N86" s="11"/>
      <c r="P86" s="11"/>
      <c r="S86" t="n">
        <v>6</v>
      </c>
      <c r="T86" t="n">
        <v>12</v>
      </c>
      <c r="U86" t="n">
        <v>12</v>
      </c>
      <c r="V86" t="n">
        <v>1.1036694404043776</v>
      </c>
    </row>
    <row r="87">
      <c r="A87" s="10" t="s">
        <v>77</v>
      </c>
      <c r="B87" s="10" t="s">
        <v>46</v>
      </c>
      <c r="C87" s="10" t="s">
        <v>151</v>
      </c>
      <c r="D87" s="10" t="s">
        <v>31</v>
      </c>
      <c r="E87" s="11" t="n">
        <v>46174</v>
      </c>
      <c r="F87" t="n">
        <v>46289</v>
      </c>
      <c r="H87" t="n">
        <v>41941</v>
      </c>
      <c r="I87" t="n">
        <v>4348</v>
      </c>
      <c r="J87" s="10"/>
      <c r="K87" s="10"/>
      <c r="L87" s="10"/>
      <c r="N87" s="11"/>
      <c r="P87" s="11"/>
      <c r="S87" t="n">
        <v>6</v>
      </c>
      <c r="T87" t="n">
        <v>12</v>
      </c>
      <c r="U87" t="n">
        <v>12</v>
      </c>
      <c r="V87" t="n">
        <v>0.10366944040437757</v>
      </c>
    </row>
    <row r="88">
      <c r="A88" s="10" t="s">
        <v>77</v>
      </c>
      <c r="B88" s="10" t="s">
        <v>163</v>
      </c>
      <c r="C88" s="10" t="s">
        <v>164</v>
      </c>
      <c r="D88" s="10" t="s">
        <v>31</v>
      </c>
      <c r="E88" s="11" t="n">
        <v>45839</v>
      </c>
      <c r="F88" t="n">
        <v>68632</v>
      </c>
      <c r="H88" t="n">
        <v>5230</v>
      </c>
      <c r="I88" t="n">
        <v>63402</v>
      </c>
      <c r="J88" s="10"/>
      <c r="K88" s="10"/>
      <c r="L88" s="10"/>
      <c r="N88" s="11"/>
      <c r="P88" s="11"/>
      <c r="S88" t="n">
        <v>6</v>
      </c>
      <c r="T88" t="n">
        <v>12</v>
      </c>
      <c r="U88" t="n">
        <v>12</v>
      </c>
      <c r="V88" t="n">
        <v>12.122753346080305</v>
      </c>
    </row>
    <row r="89">
      <c r="A89" s="10" t="s">
        <v>77</v>
      </c>
      <c r="B89" s="10" t="s">
        <v>163</v>
      </c>
      <c r="C89" s="10" t="s">
        <v>164</v>
      </c>
      <c r="D89" s="10" t="s">
        <v>31</v>
      </c>
      <c r="E89" s="11" t="n">
        <v>45870</v>
      </c>
      <c r="F89" t="n">
        <v>63402</v>
      </c>
      <c r="H89" t="n">
        <v>5230</v>
      </c>
      <c r="I89" t="n">
        <v>58172</v>
      </c>
      <c r="J89" s="10"/>
      <c r="K89" s="10"/>
      <c r="L89" s="10"/>
      <c r="N89" s="11"/>
      <c r="P89" s="11"/>
      <c r="S89" t="n">
        <v>6</v>
      </c>
      <c r="T89" t="n">
        <v>12</v>
      </c>
      <c r="U89" t="n">
        <v>12</v>
      </c>
      <c r="V89" t="n">
        <v>11.122753346080305</v>
      </c>
    </row>
    <row r="90">
      <c r="A90" s="10" t="s">
        <v>77</v>
      </c>
      <c r="B90" s="10" t="s">
        <v>163</v>
      </c>
      <c r="C90" s="10" t="s">
        <v>164</v>
      </c>
      <c r="D90" s="10" t="s">
        <v>31</v>
      </c>
      <c r="E90" s="11" t="n">
        <v>45901</v>
      </c>
      <c r="F90" t="n">
        <v>58172</v>
      </c>
      <c r="H90" t="n">
        <v>5230</v>
      </c>
      <c r="I90" t="n">
        <v>52942</v>
      </c>
      <c r="J90" s="10"/>
      <c r="K90" s="10"/>
      <c r="L90" s="10"/>
      <c r="N90" s="11"/>
      <c r="P90" s="11"/>
      <c r="S90" t="n">
        <v>6</v>
      </c>
      <c r="T90" t="n">
        <v>12</v>
      </c>
      <c r="U90" t="n">
        <v>12</v>
      </c>
      <c r="V90" t="n">
        <v>10.122753346080305</v>
      </c>
    </row>
    <row r="91">
      <c r="A91" s="10" t="s">
        <v>77</v>
      </c>
      <c r="B91" s="10" t="s">
        <v>163</v>
      </c>
      <c r="C91" s="10" t="s">
        <v>164</v>
      </c>
      <c r="D91" s="10" t="s">
        <v>31</v>
      </c>
      <c r="E91" s="11" t="n">
        <v>45931</v>
      </c>
      <c r="F91" t="n">
        <v>52942</v>
      </c>
      <c r="H91" t="n">
        <v>5230</v>
      </c>
      <c r="I91" t="n">
        <v>47712</v>
      </c>
      <c r="J91" s="10"/>
      <c r="K91" s="10"/>
      <c r="L91" s="10"/>
      <c r="N91" s="11"/>
      <c r="P91" s="11"/>
      <c r="S91" t="n">
        <v>6</v>
      </c>
      <c r="T91" t="n">
        <v>12</v>
      </c>
      <c r="U91" t="n">
        <v>12</v>
      </c>
      <c r="V91" t="n">
        <v>9.1227533460803052</v>
      </c>
    </row>
    <row r="92">
      <c r="A92" s="10" t="s">
        <v>77</v>
      </c>
      <c r="B92" s="10" t="s">
        <v>163</v>
      </c>
      <c r="C92" s="10" t="s">
        <v>164</v>
      </c>
      <c r="D92" s="10" t="s">
        <v>31</v>
      </c>
      <c r="E92" s="11" t="n">
        <v>45962</v>
      </c>
      <c r="F92" t="n">
        <v>47712</v>
      </c>
      <c r="H92" t="n">
        <v>5230</v>
      </c>
      <c r="I92" t="n">
        <v>42482</v>
      </c>
      <c r="J92" s="10"/>
      <c r="K92" s="10"/>
      <c r="L92" s="10"/>
      <c r="N92" s="11"/>
      <c r="P92" s="11"/>
      <c r="S92" t="n">
        <v>6</v>
      </c>
      <c r="T92" t="n">
        <v>12</v>
      </c>
      <c r="U92" t="n">
        <v>12</v>
      </c>
      <c r="V92" t="n">
        <v>8.1227533460803052</v>
      </c>
    </row>
    <row r="93">
      <c r="A93" s="10" t="s">
        <v>77</v>
      </c>
      <c r="B93" s="10" t="s">
        <v>163</v>
      </c>
      <c r="C93" s="10" t="s">
        <v>164</v>
      </c>
      <c r="D93" s="10" t="s">
        <v>31</v>
      </c>
      <c r="E93" s="11" t="n">
        <v>45992</v>
      </c>
      <c r="F93" t="n">
        <v>42482</v>
      </c>
      <c r="H93" t="n">
        <v>5230</v>
      </c>
      <c r="I93" t="n">
        <v>37252</v>
      </c>
      <c r="J93" s="10"/>
      <c r="K93" s="10"/>
      <c r="L93" s="10"/>
      <c r="N93" s="11"/>
      <c r="P93" s="11"/>
      <c r="S93" t="n">
        <v>6</v>
      </c>
      <c r="T93" t="n">
        <v>12</v>
      </c>
      <c r="U93" t="n">
        <v>12</v>
      </c>
      <c r="V93" t="n">
        <v>7.1227533460803061</v>
      </c>
    </row>
    <row r="94">
      <c r="A94" s="10" t="s">
        <v>77</v>
      </c>
      <c r="B94" s="10" t="s">
        <v>163</v>
      </c>
      <c r="C94" s="10" t="s">
        <v>164</v>
      </c>
      <c r="D94" s="10" t="s">
        <v>31</v>
      </c>
      <c r="E94" s="11" t="n">
        <v>46023</v>
      </c>
      <c r="F94" t="n">
        <v>37252</v>
      </c>
      <c r="H94" t="n">
        <v>5230</v>
      </c>
      <c r="I94" t="n">
        <v>32022</v>
      </c>
      <c r="J94" s="10"/>
      <c r="K94" s="10"/>
      <c r="L94" s="10"/>
      <c r="N94" s="11"/>
      <c r="P94" s="11"/>
      <c r="S94" t="n">
        <v>6</v>
      </c>
      <c r="T94" t="n">
        <v>12</v>
      </c>
      <c r="U94" t="n">
        <v>12</v>
      </c>
      <c r="V94" t="n">
        <v>6.1227533460803061</v>
      </c>
    </row>
    <row r="95">
      <c r="A95" s="10" t="s">
        <v>77</v>
      </c>
      <c r="B95" s="10" t="s">
        <v>163</v>
      </c>
      <c r="C95" s="10" t="s">
        <v>164</v>
      </c>
      <c r="D95" s="10" t="s">
        <v>31</v>
      </c>
      <c r="E95" s="11" t="n">
        <v>46054</v>
      </c>
      <c r="F95" t="n">
        <v>32022</v>
      </c>
      <c r="H95" t="n">
        <v>5230</v>
      </c>
      <c r="I95" t="n">
        <v>26792</v>
      </c>
      <c r="J95" s="10"/>
      <c r="K95" s="10"/>
      <c r="L95" s="10"/>
      <c r="N95" s="11"/>
      <c r="P95" s="11"/>
      <c r="S95" t="n">
        <v>6</v>
      </c>
      <c r="T95" t="n">
        <v>12</v>
      </c>
      <c r="U95" t="n">
        <v>12</v>
      </c>
      <c r="V95" t="n">
        <v>5.1227533460803061</v>
      </c>
    </row>
    <row r="96">
      <c r="A96" s="10" t="s">
        <v>77</v>
      </c>
      <c r="B96" s="10" t="s">
        <v>163</v>
      </c>
      <c r="C96" s="10" t="s">
        <v>164</v>
      </c>
      <c r="D96" s="10" t="s">
        <v>31</v>
      </c>
      <c r="E96" s="11" t="n">
        <v>46082</v>
      </c>
      <c r="F96" t="n">
        <v>26792</v>
      </c>
      <c r="H96" t="n">
        <v>5230</v>
      </c>
      <c r="I96" t="n">
        <v>21562</v>
      </c>
      <c r="J96" s="10"/>
      <c r="K96" s="10"/>
      <c r="L96" s="10"/>
      <c r="N96" s="11"/>
      <c r="P96" s="11"/>
      <c r="S96" t="n">
        <v>6</v>
      </c>
      <c r="T96" t="n">
        <v>12</v>
      </c>
      <c r="U96" t="n">
        <v>12</v>
      </c>
      <c r="V96" t="n">
        <v>4.1227533460803061</v>
      </c>
    </row>
    <row r="97">
      <c r="A97" s="10" t="s">
        <v>77</v>
      </c>
      <c r="B97" s="10" t="s">
        <v>163</v>
      </c>
      <c r="C97" s="10" t="s">
        <v>164</v>
      </c>
      <c r="D97" s="10" t="s">
        <v>31</v>
      </c>
      <c r="E97" s="11" t="n">
        <v>46113</v>
      </c>
      <c r="F97" t="n">
        <v>21562</v>
      </c>
      <c r="H97" t="n">
        <v>5230</v>
      </c>
      <c r="I97" t="n">
        <v>16332</v>
      </c>
      <c r="J97" s="10"/>
      <c r="K97" s="10"/>
      <c r="L97" s="10"/>
      <c r="N97" s="11"/>
      <c r="P97" s="11"/>
      <c r="S97" t="n">
        <v>6</v>
      </c>
      <c r="T97" t="n">
        <v>12</v>
      </c>
      <c r="U97" t="n">
        <v>12</v>
      </c>
      <c r="V97" t="n">
        <v>3.1227533460803061</v>
      </c>
    </row>
    <row r="98">
      <c r="A98" s="10" t="s">
        <v>77</v>
      </c>
      <c r="B98" s="10" t="s">
        <v>163</v>
      </c>
      <c r="C98" s="10" t="s">
        <v>164</v>
      </c>
      <c r="D98" s="10" t="s">
        <v>31</v>
      </c>
      <c r="E98" s="11" t="n">
        <v>46143</v>
      </c>
      <c r="F98" t="n">
        <v>16332</v>
      </c>
      <c r="H98" t="n">
        <v>5230</v>
      </c>
      <c r="I98" t="n">
        <v>11102</v>
      </c>
      <c r="J98" s="10"/>
      <c r="K98" s="10"/>
      <c r="L98" s="10"/>
      <c r="N98" s="11"/>
      <c r="P98" s="11"/>
      <c r="S98" t="n">
        <v>6</v>
      </c>
      <c r="T98" t="n">
        <v>12</v>
      </c>
      <c r="U98" t="n">
        <v>12</v>
      </c>
      <c r="V98" t="n">
        <v>2.1227533460803061</v>
      </c>
    </row>
    <row r="99">
      <c r="A99" s="10" t="s">
        <v>77</v>
      </c>
      <c r="B99" s="10" t="s">
        <v>163</v>
      </c>
      <c r="C99" s="10" t="s">
        <v>164</v>
      </c>
      <c r="D99" s="10" t="s">
        <v>31</v>
      </c>
      <c r="E99" s="11" t="n">
        <v>46174</v>
      </c>
      <c r="F99" t="n">
        <v>11102</v>
      </c>
      <c r="H99" t="n">
        <v>5230</v>
      </c>
      <c r="I99" t="n">
        <v>5872</v>
      </c>
      <c r="J99" s="10"/>
      <c r="K99" s="10"/>
      <c r="L99" s="10"/>
      <c r="N99" s="11"/>
      <c r="P99" s="11"/>
      <c r="S99" t="n">
        <v>6</v>
      </c>
      <c r="T99" t="n">
        <v>12</v>
      </c>
      <c r="U99" t="n">
        <v>12</v>
      </c>
      <c r="V99" t="n">
        <v>1.1227533460803059</v>
      </c>
    </row>
    <row r="100">
      <c r="A100" s="10" t="s">
        <v>166</v>
      </c>
      <c r="B100" s="10" t="s">
        <v>46</v>
      </c>
      <c r="C100" s="10" t="s">
        <v>164</v>
      </c>
      <c r="D100" s="10" t="s">
        <v>31</v>
      </c>
      <c r="E100" s="11" t="n">
        <v>45748</v>
      </c>
      <c r="F100" t="n">
        <v>7000</v>
      </c>
      <c r="H100" t="n">
        <v>2253</v>
      </c>
      <c r="I100" t="n">
        <v>4747</v>
      </c>
      <c r="J100" s="10"/>
      <c r="K100" s="10"/>
      <c r="L100" s="10"/>
      <c r="N100" s="11"/>
      <c r="P100" s="11"/>
      <c r="V100" t="n">
        <v>2.1069684864624945</v>
      </c>
    </row>
    <row r="101">
      <c r="A101" s="10" t="s">
        <v>166</v>
      </c>
      <c r="B101" s="10" t="s">
        <v>46</v>
      </c>
      <c r="C101" s="10" t="s">
        <v>164</v>
      </c>
      <c r="D101" s="10" t="s">
        <v>31</v>
      </c>
      <c r="E101" s="11" t="n">
        <v>45778</v>
      </c>
      <c r="F101" t="n">
        <v>4747</v>
      </c>
      <c r="H101" t="n">
        <v>2253</v>
      </c>
      <c r="I101" t="n">
        <v>2494</v>
      </c>
      <c r="J101" s="10"/>
      <c r="K101" s="10"/>
      <c r="L101" s="10"/>
      <c r="N101" s="11"/>
      <c r="P101" s="11"/>
      <c r="V101" t="n">
        <v>1.1069684864624945</v>
      </c>
    </row>
    <row r="102">
      <c r="A102" s="10" t="s">
        <v>166</v>
      </c>
      <c r="B102" s="10" t="s">
        <v>46</v>
      </c>
      <c r="C102" s="10" t="s">
        <v>164</v>
      </c>
      <c r="D102" s="10" t="s">
        <v>31</v>
      </c>
      <c r="E102" s="11" t="n">
        <v>45809</v>
      </c>
      <c r="F102" t="n">
        <v>2494</v>
      </c>
      <c r="H102" t="n">
        <v>2253</v>
      </c>
      <c r="I102" t="n">
        <v>33691</v>
      </c>
      <c r="J102" s="10"/>
      <c r="K102" s="10"/>
      <c r="L102" s="10"/>
      <c r="M102" t="n">
        <v>33450</v>
      </c>
      <c r="N102" s="11" t="n">
        <v>45809</v>
      </c>
      <c r="P102" s="11"/>
      <c r="V102" t="n">
        <v>14.953839325343985</v>
      </c>
    </row>
    <row r="103">
      <c r="A103" s="10" t="s">
        <v>166</v>
      </c>
      <c r="B103" s="10" t="s">
        <v>46</v>
      </c>
      <c r="C103" s="10" t="s">
        <v>164</v>
      </c>
      <c r="D103" s="10" t="s">
        <v>31</v>
      </c>
      <c r="E103" s="11" t="n">
        <v>45839</v>
      </c>
      <c r="F103" t="n">
        <v>33691</v>
      </c>
      <c r="H103" t="n">
        <v>2253</v>
      </c>
      <c r="I103" t="n">
        <v>31438</v>
      </c>
      <c r="J103" s="10"/>
      <c r="K103" s="10"/>
      <c r="L103" s="10"/>
      <c r="N103" s="11"/>
      <c r="P103" s="11"/>
      <c r="V103" t="n">
        <v>13.953839325343985</v>
      </c>
    </row>
    <row r="104">
      <c r="A104" s="10" t="s">
        <v>166</v>
      </c>
      <c r="B104" s="10" t="s">
        <v>46</v>
      </c>
      <c r="C104" s="10" t="s">
        <v>164</v>
      </c>
      <c r="D104" s="10" t="s">
        <v>31</v>
      </c>
      <c r="E104" s="11" t="n">
        <v>45870</v>
      </c>
      <c r="F104" t="n">
        <v>31438</v>
      </c>
      <c r="H104" t="n">
        <v>2253</v>
      </c>
      <c r="I104" t="n">
        <v>29185</v>
      </c>
      <c r="J104" s="10"/>
      <c r="K104" s="10"/>
      <c r="L104" s="10"/>
      <c r="N104" s="11"/>
      <c r="P104" s="11"/>
      <c r="V104" t="n">
        <v>12.953839325343985</v>
      </c>
    </row>
    <row r="105">
      <c r="A105" s="10" t="s">
        <v>166</v>
      </c>
      <c r="B105" s="10" t="s">
        <v>46</v>
      </c>
      <c r="C105" s="10" t="s">
        <v>164</v>
      </c>
      <c r="D105" s="10" t="s">
        <v>31</v>
      </c>
      <c r="E105" s="11" t="n">
        <v>45901</v>
      </c>
      <c r="F105" t="n">
        <v>29185</v>
      </c>
      <c r="H105" t="n">
        <v>2253</v>
      </c>
      <c r="I105" t="n">
        <v>26932</v>
      </c>
      <c r="J105" s="10"/>
      <c r="K105" s="10"/>
      <c r="L105" s="10"/>
      <c r="N105" s="11"/>
      <c r="P105" s="11"/>
      <c r="V105" t="n">
        <v>11.953839325343985</v>
      </c>
    </row>
    <row r="106">
      <c r="A106" s="10" t="s">
        <v>166</v>
      </c>
      <c r="B106" s="10" t="s">
        <v>46</v>
      </c>
      <c r="C106" s="10" t="s">
        <v>164</v>
      </c>
      <c r="D106" s="10" t="s">
        <v>31</v>
      </c>
      <c r="E106" s="11" t="n">
        <v>45931</v>
      </c>
      <c r="F106" t="n">
        <v>26932</v>
      </c>
      <c r="H106" t="n">
        <v>2253</v>
      </c>
      <c r="I106" t="n">
        <v>24679</v>
      </c>
      <c r="J106" s="10"/>
      <c r="K106" s="10"/>
      <c r="L106" s="10"/>
      <c r="N106" s="11"/>
      <c r="P106" s="11"/>
      <c r="V106" t="n">
        <v>10.953839325343985</v>
      </c>
    </row>
    <row r="107">
      <c r="A107" s="10" t="s">
        <v>166</v>
      </c>
      <c r="B107" s="10" t="s">
        <v>46</v>
      </c>
      <c r="C107" s="10" t="s">
        <v>164</v>
      </c>
      <c r="D107" s="10" t="s">
        <v>31</v>
      </c>
      <c r="E107" s="11" t="n">
        <v>45962</v>
      </c>
      <c r="F107" t="n">
        <v>24679</v>
      </c>
      <c r="H107" t="n">
        <v>2253</v>
      </c>
      <c r="I107" t="n">
        <v>22426</v>
      </c>
      <c r="J107" s="10"/>
      <c r="K107" s="10"/>
      <c r="L107" s="10"/>
      <c r="N107" s="11"/>
      <c r="P107" s="11"/>
      <c r="V107" t="n">
        <v>9.953839325343985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75.81640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49</v>
      </c>
      <c r="C2" s="10" t="s">
        <v>50</v>
      </c>
      <c r="D2" s="10" t="s">
        <v>31</v>
      </c>
      <c r="E2" s="11" t="n">
        <v>45839</v>
      </c>
      <c r="F2" t="n">
        <v>369278</v>
      </c>
      <c r="H2" t="n">
        <v>94644</v>
      </c>
      <c r="I2" t="n">
        <v>274634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2.901758167448544</v>
      </c>
    </row>
    <row r="3">
      <c r="A3" s="10" t="s">
        <v>28</v>
      </c>
      <c r="B3" s="10" t="s">
        <v>49</v>
      </c>
      <c r="C3" s="10" t="s">
        <v>50</v>
      </c>
      <c r="D3" s="10" t="s">
        <v>31</v>
      </c>
      <c r="E3" s="11" t="n">
        <v>45870</v>
      </c>
      <c r="F3" t="n">
        <v>274634</v>
      </c>
      <c r="H3" t="n">
        <v>94644</v>
      </c>
      <c r="I3" t="n">
        <v>698529</v>
      </c>
      <c r="J3" s="10" t="s">
        <v>51</v>
      </c>
      <c r="K3" s="10" t="s">
        <v>51</v>
      </c>
      <c r="L3" s="10" t="s">
        <v>4</v>
      </c>
      <c r="M3" t="n">
        <v>518539</v>
      </c>
      <c r="O3" t="n">
        <v>136894</v>
      </c>
      <c r="P3" s="11" t="n">
        <v>45870</v>
      </c>
      <c r="S3" t="n">
        <v>9</v>
      </c>
      <c r="T3" t="n">
        <v>14</v>
      </c>
      <c r="U3" t="n">
        <v>13</v>
      </c>
      <c r="V3" t="n">
        <v>7.3805946494231014</v>
      </c>
    </row>
    <row r="4">
      <c r="A4" s="10" t="s">
        <v>28</v>
      </c>
      <c r="B4" s="10" t="s">
        <v>49</v>
      </c>
      <c r="C4" s="10" t="s">
        <v>50</v>
      </c>
      <c r="D4" s="10" t="s">
        <v>31</v>
      </c>
      <c r="E4" s="11" t="n">
        <v>45901</v>
      </c>
      <c r="F4" t="n">
        <v>698529</v>
      </c>
      <c r="H4" t="n">
        <v>94644</v>
      </c>
      <c r="I4" t="n">
        <v>603885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6.3805946494231014</v>
      </c>
    </row>
    <row r="5">
      <c r="A5" s="10" t="s">
        <v>28</v>
      </c>
      <c r="B5" s="10" t="s">
        <v>49</v>
      </c>
      <c r="C5" s="10" t="s">
        <v>50</v>
      </c>
      <c r="D5" s="10" t="s">
        <v>31</v>
      </c>
      <c r="E5" s="11" t="n">
        <v>45931</v>
      </c>
      <c r="F5" t="n">
        <v>603885</v>
      </c>
      <c r="H5" t="n">
        <v>94644</v>
      </c>
      <c r="I5" t="n">
        <v>509241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5.3805946494231014</v>
      </c>
    </row>
    <row r="6">
      <c r="A6" s="10" t="s">
        <v>28</v>
      </c>
      <c r="B6" s="10" t="s">
        <v>49</v>
      </c>
      <c r="C6" s="10" t="s">
        <v>50</v>
      </c>
      <c r="D6" s="10" t="s">
        <v>31</v>
      </c>
      <c r="E6" s="11" t="n">
        <v>45962</v>
      </c>
      <c r="F6" t="n">
        <v>509241</v>
      </c>
      <c r="H6" t="n">
        <v>94644</v>
      </c>
      <c r="I6" t="n">
        <v>414597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4.3805946494231014</v>
      </c>
    </row>
    <row r="7">
      <c r="A7" s="10" t="s">
        <v>28</v>
      </c>
      <c r="B7" s="10" t="s">
        <v>49</v>
      </c>
      <c r="C7" s="10" t="s">
        <v>50</v>
      </c>
      <c r="D7" s="10" t="s">
        <v>31</v>
      </c>
      <c r="E7" s="11" t="n">
        <v>45992</v>
      </c>
      <c r="F7" t="n">
        <v>414597</v>
      </c>
      <c r="H7" t="n">
        <v>94644</v>
      </c>
      <c r="I7" t="n">
        <v>319953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3.3805946494231014</v>
      </c>
    </row>
    <row r="8">
      <c r="A8" s="10" t="s">
        <v>28</v>
      </c>
      <c r="B8" s="10" t="s">
        <v>49</v>
      </c>
      <c r="C8" s="10" t="s">
        <v>50</v>
      </c>
      <c r="D8" s="10" t="s">
        <v>31</v>
      </c>
      <c r="E8" s="11" t="n">
        <v>46023</v>
      </c>
      <c r="F8" t="n">
        <v>319953</v>
      </c>
      <c r="H8" t="n">
        <v>94644</v>
      </c>
      <c r="I8" t="n">
        <v>733789</v>
      </c>
      <c r="J8" s="10" t="s">
        <v>2</v>
      </c>
      <c r="K8" s="10" t="s">
        <v>2</v>
      </c>
      <c r="L8" s="10" t="s">
        <v>4</v>
      </c>
      <c r="M8" t="n">
        <v>508480</v>
      </c>
      <c r="O8" t="n">
        <v>134239</v>
      </c>
      <c r="P8" s="11" t="n">
        <v>46023</v>
      </c>
      <c r="S8" t="n">
        <v>9</v>
      </c>
      <c r="T8" t="n">
        <v>14</v>
      </c>
      <c r="U8" t="n">
        <v>13</v>
      </c>
      <c r="V8" t="n">
        <v>7.7531486412239552</v>
      </c>
    </row>
    <row r="9">
      <c r="A9" s="10" t="s">
        <v>28</v>
      </c>
      <c r="B9" s="10" t="s">
        <v>49</v>
      </c>
      <c r="C9" s="10" t="s">
        <v>50</v>
      </c>
      <c r="D9" s="10" t="s">
        <v>31</v>
      </c>
      <c r="E9" s="11" t="n">
        <v>46054</v>
      </c>
      <c r="F9" t="n">
        <v>733789</v>
      </c>
      <c r="H9" t="n">
        <v>94644</v>
      </c>
      <c r="I9" t="n">
        <v>639145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6.7531486412239552</v>
      </c>
    </row>
    <row r="10">
      <c r="A10" s="10" t="s">
        <v>28</v>
      </c>
      <c r="B10" s="10" t="s">
        <v>49</v>
      </c>
      <c r="C10" s="10" t="s">
        <v>50</v>
      </c>
      <c r="D10" s="10" t="s">
        <v>31</v>
      </c>
      <c r="E10" s="11" t="n">
        <v>46082</v>
      </c>
      <c r="F10" t="n">
        <v>639145</v>
      </c>
      <c r="H10" t="n">
        <v>94644</v>
      </c>
      <c r="I10" t="n">
        <v>544501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5.7531486412239552</v>
      </c>
    </row>
    <row r="11">
      <c r="A11" s="10" t="s">
        <v>28</v>
      </c>
      <c r="B11" s="10" t="s">
        <v>49</v>
      </c>
      <c r="C11" s="10" t="s">
        <v>50</v>
      </c>
      <c r="D11" s="10" t="s">
        <v>31</v>
      </c>
      <c r="E11" s="11" t="n">
        <v>46113</v>
      </c>
      <c r="F11" t="n">
        <v>544501</v>
      </c>
      <c r="H11" t="n">
        <v>94644</v>
      </c>
      <c r="I11" t="n">
        <v>449857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4.7531486412239552</v>
      </c>
    </row>
    <row r="12">
      <c r="A12" s="10" t="s">
        <v>28</v>
      </c>
      <c r="B12" s="10" t="s">
        <v>49</v>
      </c>
      <c r="C12" s="10" t="s">
        <v>50</v>
      </c>
      <c r="D12" s="10" t="s">
        <v>31</v>
      </c>
      <c r="E12" s="11" t="n">
        <v>46143</v>
      </c>
      <c r="F12" t="n">
        <v>449857</v>
      </c>
      <c r="H12" t="n">
        <v>94644</v>
      </c>
      <c r="I12" t="n">
        <v>355213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3.7531486412239552</v>
      </c>
    </row>
    <row r="13">
      <c r="A13" s="10" t="s">
        <v>28</v>
      </c>
      <c r="B13" s="10" t="s">
        <v>49</v>
      </c>
      <c r="C13" s="10" t="s">
        <v>50</v>
      </c>
      <c r="D13" s="10" t="s">
        <v>31</v>
      </c>
      <c r="E13" s="11" t="n">
        <v>46174</v>
      </c>
      <c r="F13" t="n">
        <v>355213</v>
      </c>
      <c r="H13" t="n">
        <v>94644</v>
      </c>
      <c r="I13" t="n">
        <v>783151</v>
      </c>
      <c r="J13" s="10" t="s">
        <v>2</v>
      </c>
      <c r="K13" s="10" t="s">
        <v>2</v>
      </c>
      <c r="L13" s="10" t="s">
        <v>4</v>
      </c>
      <c r="M13" t="n">
        <v>522582</v>
      </c>
      <c r="O13" t="n">
        <v>137962</v>
      </c>
      <c r="P13" s="11" t="n">
        <v>46174</v>
      </c>
      <c r="S13" t="n">
        <v>9</v>
      </c>
      <c r="T13" t="n">
        <v>14</v>
      </c>
      <c r="U13" t="n">
        <v>13</v>
      </c>
      <c r="V13" t="n">
        <v>8.2747030979248546</v>
      </c>
    </row>
    <row r="14">
      <c r="A14" s="10" t="s">
        <v>75</v>
      </c>
      <c r="B14" s="10" t="s">
        <v>125</v>
      </c>
      <c r="C14" s="10" t="s">
        <v>50</v>
      </c>
      <c r="D14" s="10" t="s">
        <v>31</v>
      </c>
      <c r="E14" s="11" t="n">
        <v>45748</v>
      </c>
      <c r="F14" t="n">
        <v>1382615</v>
      </c>
      <c r="H14" t="n">
        <v>150366</v>
      </c>
      <c r="I14" t="n">
        <v>1232249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8.1949975393373506</v>
      </c>
    </row>
    <row r="15">
      <c r="A15" s="10" t="s">
        <v>75</v>
      </c>
      <c r="B15" s="10" t="s">
        <v>125</v>
      </c>
      <c r="C15" s="10" t="s">
        <v>50</v>
      </c>
      <c r="D15" s="10" t="s">
        <v>31</v>
      </c>
      <c r="E15" s="11" t="n">
        <v>45778</v>
      </c>
      <c r="F15" t="n">
        <v>1232249</v>
      </c>
      <c r="H15" t="n">
        <v>150778</v>
      </c>
      <c r="I15" t="n">
        <v>1081471</v>
      </c>
      <c r="J15" s="10"/>
      <c r="K15" s="10"/>
      <c r="L15" s="10"/>
      <c r="P15" s="11"/>
      <c r="S15" t="n">
        <v>7</v>
      </c>
      <c r="T15" t="n">
        <v>15</v>
      </c>
      <c r="U15" t="n">
        <v>15</v>
      </c>
      <c r="V15" t="n">
        <v>7.1726047566621123</v>
      </c>
    </row>
    <row r="16">
      <c r="A16" s="10" t="s">
        <v>75</v>
      </c>
      <c r="B16" s="10" t="s">
        <v>125</v>
      </c>
      <c r="C16" s="10" t="s">
        <v>50</v>
      </c>
      <c r="D16" s="10" t="s">
        <v>31</v>
      </c>
      <c r="E16" s="11" t="n">
        <v>45809</v>
      </c>
      <c r="F16" t="n">
        <v>1081471</v>
      </c>
      <c r="H16" t="n">
        <v>151190</v>
      </c>
      <c r="I16" t="n">
        <v>930281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6.1530590647529602</v>
      </c>
    </row>
    <row r="17">
      <c r="A17" s="10" t="s">
        <v>75</v>
      </c>
      <c r="B17" s="10" t="s">
        <v>125</v>
      </c>
      <c r="C17" s="10" t="s">
        <v>50</v>
      </c>
      <c r="D17" s="10" t="s">
        <v>31</v>
      </c>
      <c r="E17" s="11" t="n">
        <v>45839</v>
      </c>
      <c r="F17" t="n">
        <v>930281</v>
      </c>
      <c r="H17" t="n">
        <v>151602</v>
      </c>
      <c r="I17" t="n">
        <v>778679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5.136337251487447</v>
      </c>
    </row>
    <row r="18">
      <c r="A18" s="10" t="s">
        <v>75</v>
      </c>
      <c r="B18" s="10" t="s">
        <v>125</v>
      </c>
      <c r="C18" s="10" t="s">
        <v>50</v>
      </c>
      <c r="D18" s="10" t="s">
        <v>31</v>
      </c>
      <c r="E18" s="11" t="n">
        <v>45870</v>
      </c>
      <c r="F18" t="n">
        <v>778679</v>
      </c>
      <c r="H18" t="n">
        <v>152014</v>
      </c>
      <c r="I18" t="n">
        <v>626665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4.1224163563882277</v>
      </c>
    </row>
    <row r="19">
      <c r="A19" s="10" t="s">
        <v>75</v>
      </c>
      <c r="B19" s="10" t="s">
        <v>125</v>
      </c>
      <c r="C19" s="10" t="s">
        <v>50</v>
      </c>
      <c r="D19" s="10" t="s">
        <v>31</v>
      </c>
      <c r="E19" s="11" t="n">
        <v>45901</v>
      </c>
      <c r="F19" t="n">
        <v>626665</v>
      </c>
      <c r="H19" t="n">
        <v>152426</v>
      </c>
      <c r="I19" t="n">
        <v>474239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3.1112736672221275</v>
      </c>
    </row>
    <row r="20">
      <c r="A20" s="10" t="s">
        <v>75</v>
      </c>
      <c r="B20" s="10" t="s">
        <v>125</v>
      </c>
      <c r="C20" s="10" t="s">
        <v>50</v>
      </c>
      <c r="D20" s="10" t="s">
        <v>31</v>
      </c>
      <c r="E20" s="11" t="n">
        <v>45931</v>
      </c>
      <c r="F20" t="n">
        <v>474239</v>
      </c>
      <c r="H20" t="n">
        <v>152838</v>
      </c>
      <c r="I20" t="n">
        <v>2283300</v>
      </c>
      <c r="J20" s="10"/>
      <c r="K20" s="10"/>
      <c r="L20" s="10" t="s">
        <v>4</v>
      </c>
      <c r="M20" t="n">
        <v>1961899</v>
      </c>
      <c r="P20" s="11"/>
      <c r="S20" t="n">
        <v>7</v>
      </c>
      <c r="T20" t="n">
        <v>15</v>
      </c>
      <c r="U20" t="n">
        <v>15</v>
      </c>
      <c r="V20" t="n">
        <v>14.939347544458839</v>
      </c>
    </row>
    <row r="21">
      <c r="A21" s="10" t="s">
        <v>75</v>
      </c>
      <c r="B21" s="10" t="s">
        <v>125</v>
      </c>
      <c r="C21" s="10" t="s">
        <v>50</v>
      </c>
      <c r="D21" s="10" t="s">
        <v>31</v>
      </c>
      <c r="E21" s="11" t="n">
        <v>45962</v>
      </c>
      <c r="F21" t="n">
        <v>2283300</v>
      </c>
      <c r="H21" t="n">
        <v>153250</v>
      </c>
      <c r="I21" t="n">
        <v>2130050</v>
      </c>
      <c r="J21" s="10"/>
      <c r="K21" s="10"/>
      <c r="L21" s="10"/>
      <c r="P21" s="11"/>
      <c r="S21" t="n">
        <v>7</v>
      </c>
      <c r="T21" t="n">
        <v>15</v>
      </c>
      <c r="U21" t="n">
        <v>15</v>
      </c>
      <c r="V21" t="n">
        <v>13.899184339314845</v>
      </c>
    </row>
    <row r="22">
      <c r="A22" s="10" t="s">
        <v>75</v>
      </c>
      <c r="B22" s="10" t="s">
        <v>125</v>
      </c>
      <c r="C22" s="10" t="s">
        <v>50</v>
      </c>
      <c r="D22" s="10" t="s">
        <v>31</v>
      </c>
      <c r="E22" s="11" t="n">
        <v>45992</v>
      </c>
      <c r="F22" t="n">
        <v>2130050</v>
      </c>
      <c r="H22" t="n">
        <v>153662</v>
      </c>
      <c r="I22" t="n">
        <v>1976388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12.861917715505459</v>
      </c>
    </row>
    <row r="23">
      <c r="A23" s="10" t="s">
        <v>75</v>
      </c>
      <c r="B23" s="10" t="s">
        <v>125</v>
      </c>
      <c r="C23" s="10" t="s">
        <v>50</v>
      </c>
      <c r="D23" s="10" t="s">
        <v>31</v>
      </c>
      <c r="E23" s="11" t="n">
        <v>46023</v>
      </c>
      <c r="F23" t="n">
        <v>1976388</v>
      </c>
      <c r="H23" t="n">
        <v>154074</v>
      </c>
      <c r="I23" t="n">
        <v>1822314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11.827524436309826</v>
      </c>
    </row>
    <row r="24">
      <c r="A24" s="10" t="s">
        <v>75</v>
      </c>
      <c r="B24" s="10" t="s">
        <v>125</v>
      </c>
      <c r="C24" s="10" t="s">
        <v>50</v>
      </c>
      <c r="D24" s="10" t="s">
        <v>31</v>
      </c>
      <c r="E24" s="11" t="n">
        <v>46054</v>
      </c>
      <c r="F24" t="n">
        <v>1822314</v>
      </c>
      <c r="H24" t="n">
        <v>154486</v>
      </c>
      <c r="I24" t="n">
        <v>1667828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10.795981512887899</v>
      </c>
    </row>
    <row r="25">
      <c r="A25" s="10" t="s">
        <v>75</v>
      </c>
      <c r="B25" s="10" t="s">
        <v>125</v>
      </c>
      <c r="C25" s="10" t="s">
        <v>50</v>
      </c>
      <c r="D25" s="10" t="s">
        <v>31</v>
      </c>
      <c r="E25" s="11" t="n">
        <v>46082</v>
      </c>
      <c r="F25" t="n">
        <v>1667828</v>
      </c>
      <c r="H25" t="n">
        <v>154898</v>
      </c>
      <c r="I25" t="n">
        <v>1512930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9.7672662009838724</v>
      </c>
    </row>
    <row r="26">
      <c r="A26" s="10" t="s">
        <v>75</v>
      </c>
      <c r="B26" s="10" t="s">
        <v>125</v>
      </c>
      <c r="C26" s="10" t="s">
        <v>50</v>
      </c>
      <c r="D26" s="10" t="s">
        <v>31</v>
      </c>
      <c r="E26" s="11" t="n">
        <v>46113</v>
      </c>
      <c r="F26" t="n">
        <v>1512930</v>
      </c>
      <c r="H26" t="n">
        <v>155310</v>
      </c>
      <c r="I26" t="n">
        <v>1357620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8.7413559976820547</v>
      </c>
    </row>
    <row r="27">
      <c r="A27" s="10" t="s">
        <v>75</v>
      </c>
      <c r="B27" s="10" t="s">
        <v>125</v>
      </c>
      <c r="C27" s="10" t="s">
        <v>50</v>
      </c>
      <c r="D27" s="10" t="s">
        <v>31</v>
      </c>
      <c r="E27" s="11" t="n">
        <v>46143</v>
      </c>
      <c r="F27" t="n">
        <v>1357620</v>
      </c>
      <c r="H27" t="n">
        <v>155722</v>
      </c>
      <c r="I27" t="n">
        <v>1201898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7.7182286382142538</v>
      </c>
    </row>
    <row r="28">
      <c r="A28" s="10" t="s">
        <v>75</v>
      </c>
      <c r="B28" s="10" t="s">
        <v>125</v>
      </c>
      <c r="C28" s="10" t="s">
        <v>50</v>
      </c>
      <c r="D28" s="10" t="s">
        <v>31</v>
      </c>
      <c r="E28" s="11" t="n">
        <v>46174</v>
      </c>
      <c r="F28" t="n">
        <v>1201898</v>
      </c>
      <c r="H28" t="n">
        <v>156134</v>
      </c>
      <c r="I28" t="n">
        <v>2332740</v>
      </c>
      <c r="J28" s="10"/>
      <c r="K28" s="10"/>
      <c r="L28" s="10" t="s">
        <v>4</v>
      </c>
      <c r="M28" t="n">
        <v>1286976</v>
      </c>
      <c r="P28" s="11"/>
      <c r="S28" t="n">
        <v>7</v>
      </c>
      <c r="T28" t="n">
        <v>15</v>
      </c>
      <c r="U28" t="n">
        <v>15</v>
      </c>
      <c r="V28" t="n">
        <v>14.940627922169419</v>
      </c>
    </row>
    <row r="29">
      <c r="A29" s="10" t="s">
        <v>75</v>
      </c>
      <c r="B29" s="10" t="s">
        <v>125</v>
      </c>
      <c r="C29" s="10" t="s">
        <v>50</v>
      </c>
      <c r="D29" s="10" t="s">
        <v>31</v>
      </c>
      <c r="E29" s="11" t="n">
        <v>46204</v>
      </c>
      <c r="F29" t="n">
        <v>2332740</v>
      </c>
      <c r="H29" t="n">
        <v>156546</v>
      </c>
      <c r="I29" t="n">
        <v>2176194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13.901306964087233</v>
      </c>
    </row>
    <row r="30">
      <c r="A30" s="10" t="s">
        <v>75</v>
      </c>
      <c r="B30" s="10" t="s">
        <v>125</v>
      </c>
      <c r="C30" s="10" t="s">
        <v>50</v>
      </c>
      <c r="D30" s="10" t="s">
        <v>31</v>
      </c>
      <c r="E30" s="11" t="n">
        <v>46235</v>
      </c>
      <c r="F30" t="n">
        <v>2176194</v>
      </c>
      <c r="H30" t="n">
        <v>156958</v>
      </c>
      <c r="I30" t="n">
        <v>2019236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12.864817339670486</v>
      </c>
    </row>
    <row r="31">
      <c r="A31" s="10" t="s">
        <v>75</v>
      </c>
      <c r="B31" s="10" t="s">
        <v>125</v>
      </c>
      <c r="C31" s="10" t="s">
        <v>50</v>
      </c>
      <c r="D31" s="10" t="s">
        <v>31</v>
      </c>
      <c r="E31" s="11" t="n">
        <v>46266</v>
      </c>
      <c r="F31" t="n">
        <v>2019236</v>
      </c>
      <c r="H31" t="n">
        <v>157370</v>
      </c>
      <c r="I31" t="n">
        <v>1861866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11.831136811336341</v>
      </c>
    </row>
    <row r="32">
      <c r="A32" s="10" t="s">
        <v>76</v>
      </c>
      <c r="B32" s="10" t="s">
        <v>125</v>
      </c>
      <c r="C32" s="10" t="s">
        <v>50</v>
      </c>
      <c r="D32" s="10" t="s">
        <v>31</v>
      </c>
      <c r="E32" s="11" t="n">
        <v>45748</v>
      </c>
      <c r="F32" t="n">
        <v>2715813</v>
      </c>
      <c r="H32" t="n">
        <v>161418</v>
      </c>
      <c r="I32" t="n">
        <v>2554395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15.824722149946103</v>
      </c>
    </row>
    <row r="33">
      <c r="A33" s="10" t="s">
        <v>76</v>
      </c>
      <c r="B33" s="10" t="s">
        <v>125</v>
      </c>
      <c r="C33" s="10" t="s">
        <v>50</v>
      </c>
      <c r="D33" s="10" t="s">
        <v>31</v>
      </c>
      <c r="E33" s="11" t="n">
        <v>45778</v>
      </c>
      <c r="F33" t="n">
        <v>2554395</v>
      </c>
      <c r="H33" t="n">
        <v>161418</v>
      </c>
      <c r="I33" t="n">
        <v>2392977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14.824722149946103</v>
      </c>
    </row>
    <row r="34">
      <c r="A34" s="10" t="s">
        <v>76</v>
      </c>
      <c r="B34" s="10" t="s">
        <v>125</v>
      </c>
      <c r="C34" s="10" t="s">
        <v>50</v>
      </c>
      <c r="D34" s="10" t="s">
        <v>31</v>
      </c>
      <c r="E34" s="11" t="n">
        <v>45809</v>
      </c>
      <c r="F34" t="n">
        <v>2392977</v>
      </c>
      <c r="H34" t="n">
        <v>161418</v>
      </c>
      <c r="I34" t="n">
        <v>2231559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13.824722149946103</v>
      </c>
    </row>
    <row r="35">
      <c r="A35" s="10" t="s">
        <v>76</v>
      </c>
      <c r="B35" s="10" t="s">
        <v>125</v>
      </c>
      <c r="C35" s="10" t="s">
        <v>50</v>
      </c>
      <c r="D35" s="10" t="s">
        <v>31</v>
      </c>
      <c r="E35" s="11" t="n">
        <v>45839</v>
      </c>
      <c r="F35" t="n">
        <v>2231559</v>
      </c>
      <c r="H35" t="n">
        <v>161418</v>
      </c>
      <c r="I35" t="n">
        <v>2070141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12.824722149946103</v>
      </c>
    </row>
    <row r="36">
      <c r="A36" s="10" t="s">
        <v>76</v>
      </c>
      <c r="B36" s="10" t="s">
        <v>125</v>
      </c>
      <c r="C36" s="10" t="s">
        <v>50</v>
      </c>
      <c r="D36" s="10" t="s">
        <v>31</v>
      </c>
      <c r="E36" s="11" t="n">
        <v>45870</v>
      </c>
      <c r="F36" t="n">
        <v>2070141</v>
      </c>
      <c r="H36" t="n">
        <v>161418</v>
      </c>
      <c r="I36" t="n">
        <v>1908723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11.824722149946103</v>
      </c>
    </row>
    <row r="37">
      <c r="A37" s="10" t="s">
        <v>76</v>
      </c>
      <c r="B37" s="10" t="s">
        <v>125</v>
      </c>
      <c r="C37" s="10" t="s">
        <v>50</v>
      </c>
      <c r="D37" s="10" t="s">
        <v>31</v>
      </c>
      <c r="E37" s="11" t="n">
        <v>45901</v>
      </c>
      <c r="F37" t="n">
        <v>1908723</v>
      </c>
      <c r="H37" t="n">
        <v>161418</v>
      </c>
      <c r="I37" t="n">
        <v>1747305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10.824722149946103</v>
      </c>
    </row>
    <row r="38">
      <c r="A38" s="10" t="s">
        <v>76</v>
      </c>
      <c r="B38" s="10" t="s">
        <v>125</v>
      </c>
      <c r="C38" s="10" t="s">
        <v>50</v>
      </c>
      <c r="D38" s="10" t="s">
        <v>31</v>
      </c>
      <c r="E38" s="11" t="n">
        <v>45931</v>
      </c>
      <c r="F38" t="n">
        <v>1747305</v>
      </c>
      <c r="H38" t="n">
        <v>161418</v>
      </c>
      <c r="I38" t="n">
        <v>1585887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9.824722149946103</v>
      </c>
    </row>
    <row r="39">
      <c r="A39" s="10" t="s">
        <v>76</v>
      </c>
      <c r="B39" s="10" t="s">
        <v>125</v>
      </c>
      <c r="C39" s="10" t="s">
        <v>50</v>
      </c>
      <c r="D39" s="10" t="s">
        <v>31</v>
      </c>
      <c r="E39" s="11" t="n">
        <v>45962</v>
      </c>
      <c r="F39" t="n">
        <v>1585887</v>
      </c>
      <c r="H39" t="n">
        <v>161418</v>
      </c>
      <c r="I39" t="n">
        <v>1424469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8.824722149946103</v>
      </c>
    </row>
    <row r="40">
      <c r="A40" s="10" t="s">
        <v>76</v>
      </c>
      <c r="B40" s="10" t="s">
        <v>125</v>
      </c>
      <c r="C40" s="10" t="s">
        <v>50</v>
      </c>
      <c r="D40" s="10" t="s">
        <v>31</v>
      </c>
      <c r="E40" s="11" t="n">
        <v>45992</v>
      </c>
      <c r="F40" t="n">
        <v>1424469</v>
      </c>
      <c r="H40" t="n">
        <v>161418</v>
      </c>
      <c r="I40" t="n">
        <v>1263051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7.824722149946103</v>
      </c>
    </row>
    <row r="41">
      <c r="A41" s="10" t="s">
        <v>76</v>
      </c>
      <c r="B41" s="10" t="s">
        <v>125</v>
      </c>
      <c r="C41" s="10" t="s">
        <v>50</v>
      </c>
      <c r="D41" s="10" t="s">
        <v>31</v>
      </c>
      <c r="E41" s="11" t="n">
        <v>46023</v>
      </c>
      <c r="F41" t="n">
        <v>1263051</v>
      </c>
      <c r="H41" t="n">
        <v>104925</v>
      </c>
      <c r="I41" t="n">
        <v>1158126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11.037655468191565</v>
      </c>
    </row>
    <row r="42">
      <c r="A42" s="10" t="s">
        <v>76</v>
      </c>
      <c r="B42" s="10" t="s">
        <v>125</v>
      </c>
      <c r="C42" s="10" t="s">
        <v>50</v>
      </c>
      <c r="D42" s="10" t="s">
        <v>31</v>
      </c>
      <c r="E42" s="11" t="n">
        <v>46054</v>
      </c>
      <c r="F42" t="n">
        <v>1158126</v>
      </c>
      <c r="H42" t="n">
        <v>104925</v>
      </c>
      <c r="I42" t="n">
        <v>1053201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10.037655468191565</v>
      </c>
    </row>
    <row r="43">
      <c r="A43" s="10" t="s">
        <v>76</v>
      </c>
      <c r="B43" s="10" t="s">
        <v>125</v>
      </c>
      <c r="C43" s="10" t="s">
        <v>50</v>
      </c>
      <c r="D43" s="10" t="s">
        <v>31</v>
      </c>
      <c r="E43" s="11" t="n">
        <v>46082</v>
      </c>
      <c r="F43" t="n">
        <v>1053201</v>
      </c>
      <c r="H43" t="n">
        <v>104925</v>
      </c>
      <c r="I43" t="n">
        <v>948276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9.0376554681915646</v>
      </c>
    </row>
    <row r="44">
      <c r="A44" s="10" t="s">
        <v>76</v>
      </c>
      <c r="B44" s="10" t="s">
        <v>125</v>
      </c>
      <c r="C44" s="10" t="s">
        <v>50</v>
      </c>
      <c r="D44" s="10" t="s">
        <v>31</v>
      </c>
      <c r="E44" s="11" t="n">
        <v>46113</v>
      </c>
      <c r="F44" t="n">
        <v>948276</v>
      </c>
      <c r="H44" t="n">
        <v>104925</v>
      </c>
      <c r="I44" t="n">
        <v>843351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8.0376554681915646</v>
      </c>
    </row>
    <row r="45">
      <c r="A45" s="10" t="s">
        <v>76</v>
      </c>
      <c r="B45" s="10" t="s">
        <v>125</v>
      </c>
      <c r="C45" s="10" t="s">
        <v>50</v>
      </c>
      <c r="D45" s="10" t="s">
        <v>31</v>
      </c>
      <c r="E45" s="11" t="n">
        <v>46143</v>
      </c>
      <c r="F45" t="n">
        <v>843351</v>
      </c>
      <c r="H45" t="n">
        <v>104925</v>
      </c>
      <c r="I45" t="n">
        <v>738426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7.0376554681915655</v>
      </c>
    </row>
    <row r="46">
      <c r="A46" s="10" t="s">
        <v>76</v>
      </c>
      <c r="B46" s="10" t="s">
        <v>125</v>
      </c>
      <c r="C46" s="10" t="s">
        <v>50</v>
      </c>
      <c r="D46" s="10" t="s">
        <v>31</v>
      </c>
      <c r="E46" s="11" t="n">
        <v>46174</v>
      </c>
      <c r="F46" t="n">
        <v>738426</v>
      </c>
      <c r="H46" t="n">
        <v>104925</v>
      </c>
      <c r="I46" t="n">
        <v>633501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6.0376554681915655</v>
      </c>
    </row>
    <row r="47">
      <c r="A47" s="10" t="s">
        <v>76</v>
      </c>
      <c r="B47" s="10" t="s">
        <v>125</v>
      </c>
      <c r="C47" s="10" t="s">
        <v>50</v>
      </c>
      <c r="D47" s="10" t="s">
        <v>31</v>
      </c>
      <c r="E47" s="11" t="n">
        <v>46204</v>
      </c>
      <c r="F47" t="n">
        <v>633501</v>
      </c>
      <c r="H47" t="n">
        <v>104925</v>
      </c>
      <c r="I47" t="n">
        <v>528576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5.0376554681915655</v>
      </c>
    </row>
    <row r="48">
      <c r="A48" s="10" t="s">
        <v>76</v>
      </c>
      <c r="B48" s="10" t="s">
        <v>125</v>
      </c>
      <c r="C48" s="10" t="s">
        <v>50</v>
      </c>
      <c r="D48" s="10" t="s">
        <v>31</v>
      </c>
      <c r="E48" s="11" t="n">
        <v>46235</v>
      </c>
      <c r="F48" t="n">
        <v>528576</v>
      </c>
      <c r="H48" t="n">
        <v>104925</v>
      </c>
      <c r="I48" t="n">
        <v>423651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4.0376554681915655</v>
      </c>
    </row>
    <row r="49">
      <c r="A49" s="10" t="s">
        <v>76</v>
      </c>
      <c r="B49" s="10" t="s">
        <v>125</v>
      </c>
      <c r="C49" s="10" t="s">
        <v>50</v>
      </c>
      <c r="D49" s="10" t="s">
        <v>31</v>
      </c>
      <c r="E49" s="11" t="n">
        <v>46266</v>
      </c>
      <c r="F49" t="n">
        <v>423651</v>
      </c>
      <c r="H49" t="n">
        <v>104925</v>
      </c>
      <c r="I49" t="n">
        <v>318726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3.0376554681915655</v>
      </c>
    </row>
    <row r="50">
      <c r="A50" s="10" t="s">
        <v>76</v>
      </c>
      <c r="B50" s="10" t="s">
        <v>125</v>
      </c>
      <c r="C50" s="10" t="s">
        <v>50</v>
      </c>
      <c r="D50" s="10" t="s">
        <v>31</v>
      </c>
      <c r="E50" s="11" t="n">
        <v>46296</v>
      </c>
      <c r="F50" t="n">
        <v>318726</v>
      </c>
      <c r="H50" t="n">
        <v>104925</v>
      </c>
      <c r="I50" t="n">
        <v>213801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2.0376554681915655</v>
      </c>
    </row>
    <row r="51">
      <c r="A51" s="10" t="s">
        <v>76</v>
      </c>
      <c r="B51" s="10" t="s">
        <v>125</v>
      </c>
      <c r="C51" s="10" t="s">
        <v>50</v>
      </c>
      <c r="D51" s="10" t="s">
        <v>31</v>
      </c>
      <c r="E51" s="11" t="n">
        <v>46327</v>
      </c>
      <c r="F51" t="n">
        <v>213801</v>
      </c>
      <c r="H51" t="n">
        <v>104925</v>
      </c>
      <c r="I51" t="n">
        <v>108876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1.0376554681915655</v>
      </c>
    </row>
    <row r="52">
      <c r="A52" s="10" t="s">
        <v>76</v>
      </c>
      <c r="B52" s="10" t="s">
        <v>125</v>
      </c>
      <c r="C52" s="10" t="s">
        <v>50</v>
      </c>
      <c r="D52" s="10" t="s">
        <v>31</v>
      </c>
      <c r="E52" s="11" t="n">
        <v>46357</v>
      </c>
      <c r="F52" t="n">
        <v>108876</v>
      </c>
      <c r="H52" t="n">
        <v>104925</v>
      </c>
      <c r="I52" t="n">
        <v>3951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3.7655468191565407E-2</v>
      </c>
    </row>
    <row r="53">
      <c r="A53" s="10" t="s">
        <v>72</v>
      </c>
      <c r="B53" s="10" t="s">
        <v>125</v>
      </c>
      <c r="C53" s="10" t="s">
        <v>50</v>
      </c>
      <c r="D53" s="10" t="s">
        <v>31</v>
      </c>
      <c r="E53" s="11" t="n">
        <v>45689</v>
      </c>
      <c r="F53" t="n">
        <v>446096</v>
      </c>
      <c r="H53" t="n">
        <v>43147</v>
      </c>
      <c r="I53" t="n">
        <v>477685</v>
      </c>
      <c r="J53" s="10" t="s">
        <v>51</v>
      </c>
      <c r="K53" s="10" t="s">
        <v>51</v>
      </c>
      <c r="L53" s="10" t="s">
        <v>153</v>
      </c>
      <c r="M53" t="n">
        <v>74736</v>
      </c>
      <c r="O53" t="n">
        <v>21763</v>
      </c>
      <c r="P53" s="11"/>
      <c r="S53" t="n">
        <v>6</v>
      </c>
      <c r="T53" t="n">
        <v>12</v>
      </c>
      <c r="U53" t="n">
        <v>12</v>
      </c>
      <c r="V53" t="n">
        <v>11.071105754745405</v>
      </c>
    </row>
    <row r="54">
      <c r="A54" s="10" t="s">
        <v>72</v>
      </c>
      <c r="B54" s="10" t="s">
        <v>125</v>
      </c>
      <c r="C54" s="10" t="s">
        <v>50</v>
      </c>
      <c r="D54" s="10" t="s">
        <v>31</v>
      </c>
      <c r="E54" s="11" t="n">
        <v>45717</v>
      </c>
      <c r="F54" t="n">
        <v>477685</v>
      </c>
      <c r="H54" t="n">
        <v>43147</v>
      </c>
      <c r="I54" t="n">
        <v>434538</v>
      </c>
      <c r="J54" s="10"/>
      <c r="K54" s="10"/>
      <c r="L54" s="10"/>
      <c r="P54" s="11"/>
      <c r="S54" t="n">
        <v>6</v>
      </c>
      <c r="T54" t="n">
        <v>12</v>
      </c>
      <c r="U54" t="n">
        <v>12</v>
      </c>
      <c r="V54" t="n">
        <v>10.071105754745405</v>
      </c>
    </row>
    <row r="55">
      <c r="A55" s="10" t="s">
        <v>72</v>
      </c>
      <c r="B55" s="10" t="s">
        <v>125</v>
      </c>
      <c r="C55" s="10" t="s">
        <v>50</v>
      </c>
      <c r="D55" s="10" t="s">
        <v>31</v>
      </c>
      <c r="E55" s="11" t="n">
        <v>45748</v>
      </c>
      <c r="F55" t="n">
        <v>434538</v>
      </c>
      <c r="H55" t="n">
        <v>43147</v>
      </c>
      <c r="I55" t="n">
        <v>391391</v>
      </c>
      <c r="J55" s="10"/>
      <c r="K55" s="10"/>
      <c r="L55" s="10"/>
      <c r="P55" s="11"/>
      <c r="S55" t="n">
        <v>6</v>
      </c>
      <c r="T55" t="n">
        <v>12</v>
      </c>
      <c r="U55" t="n">
        <v>12</v>
      </c>
      <c r="V55" t="n">
        <v>9.071105754745405</v>
      </c>
    </row>
    <row r="56">
      <c r="A56" s="10" t="s">
        <v>72</v>
      </c>
      <c r="B56" s="10" t="s">
        <v>125</v>
      </c>
      <c r="C56" s="10" t="s">
        <v>50</v>
      </c>
      <c r="D56" s="10" t="s">
        <v>31</v>
      </c>
      <c r="E56" s="11" t="n">
        <v>45778</v>
      </c>
      <c r="F56" t="n">
        <v>391391</v>
      </c>
      <c r="H56" t="n">
        <v>43147</v>
      </c>
      <c r="I56" t="n">
        <v>348244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8.071105754745405</v>
      </c>
    </row>
    <row r="57">
      <c r="A57" s="10" t="s">
        <v>72</v>
      </c>
      <c r="B57" s="10" t="s">
        <v>125</v>
      </c>
      <c r="C57" s="10" t="s">
        <v>50</v>
      </c>
      <c r="D57" s="10" t="s">
        <v>31</v>
      </c>
      <c r="E57" s="11" t="n">
        <v>45809</v>
      </c>
      <c r="F57" t="n">
        <v>348244</v>
      </c>
      <c r="H57" t="n">
        <v>43147</v>
      </c>
      <c r="I57" t="n">
        <v>305097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7.071105754745405</v>
      </c>
    </row>
    <row r="58">
      <c r="A58" s="10" t="s">
        <v>72</v>
      </c>
      <c r="B58" s="10" t="s">
        <v>125</v>
      </c>
      <c r="C58" s="10" t="s">
        <v>50</v>
      </c>
      <c r="D58" s="10" t="s">
        <v>31</v>
      </c>
      <c r="E58" s="11" t="n">
        <v>45839</v>
      </c>
      <c r="F58" t="n">
        <v>305097</v>
      </c>
      <c r="H58" t="n">
        <v>43147</v>
      </c>
      <c r="I58" t="n">
        <v>261950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6.071105754745405</v>
      </c>
    </row>
    <row r="59">
      <c r="A59" s="10" t="s">
        <v>72</v>
      </c>
      <c r="B59" s="10" t="s">
        <v>125</v>
      </c>
      <c r="C59" s="10" t="s">
        <v>50</v>
      </c>
      <c r="D59" s="10" t="s">
        <v>31</v>
      </c>
      <c r="E59" s="11" t="n">
        <v>45870</v>
      </c>
      <c r="F59" t="n">
        <v>261950</v>
      </c>
      <c r="H59" t="n">
        <v>43147</v>
      </c>
      <c r="I59" t="n">
        <v>519187</v>
      </c>
      <c r="J59" s="10" t="s">
        <v>51</v>
      </c>
      <c r="K59" s="10" t="s">
        <v>51</v>
      </c>
      <c r="L59" s="10" t="s">
        <v>154</v>
      </c>
      <c r="M59" t="n">
        <v>300384</v>
      </c>
      <c r="O59" t="n">
        <v>87472</v>
      </c>
      <c r="P59" s="11"/>
      <c r="S59" t="n">
        <v>6</v>
      </c>
      <c r="T59" t="n">
        <v>12</v>
      </c>
      <c r="U59" t="n">
        <v>12</v>
      </c>
      <c r="V59" t="n">
        <v>12.032980276728393</v>
      </c>
    </row>
    <row r="60">
      <c r="A60" s="10" t="s">
        <v>72</v>
      </c>
      <c r="B60" s="10" t="s">
        <v>125</v>
      </c>
      <c r="C60" s="10" t="s">
        <v>50</v>
      </c>
      <c r="D60" s="10" t="s">
        <v>31</v>
      </c>
      <c r="E60" s="11" t="n">
        <v>45901</v>
      </c>
      <c r="F60" t="n">
        <v>519187</v>
      </c>
      <c r="H60" t="n">
        <v>43147</v>
      </c>
      <c r="I60" t="n">
        <v>676632</v>
      </c>
      <c r="J60" s="10" t="s">
        <v>51</v>
      </c>
      <c r="K60" s="10" t="s">
        <v>51</v>
      </c>
      <c r="L60" s="10" t="s">
        <v>154</v>
      </c>
      <c r="M60" t="n">
        <v>200592</v>
      </c>
      <c r="O60" t="n">
        <v>58412</v>
      </c>
      <c r="P60" s="11"/>
      <c r="S60" t="n">
        <v>6</v>
      </c>
      <c r="T60" t="n">
        <v>12</v>
      </c>
      <c r="U60" t="n">
        <v>12</v>
      </c>
      <c r="V60" t="n">
        <v>15.682017289730457</v>
      </c>
    </row>
    <row r="61">
      <c r="A61" s="10" t="s">
        <v>72</v>
      </c>
      <c r="B61" s="10" t="s">
        <v>125</v>
      </c>
      <c r="C61" s="10" t="s">
        <v>50</v>
      </c>
      <c r="D61" s="10" t="s">
        <v>31</v>
      </c>
      <c r="E61" s="11" t="n">
        <v>45931</v>
      </c>
      <c r="F61" t="n">
        <v>676632</v>
      </c>
      <c r="H61" t="n">
        <v>43147</v>
      </c>
      <c r="I61" t="n">
        <v>633485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14.682017289730457</v>
      </c>
    </row>
    <row r="62">
      <c r="A62" s="10" t="s">
        <v>72</v>
      </c>
      <c r="B62" s="10" t="s">
        <v>125</v>
      </c>
      <c r="C62" s="10" t="s">
        <v>50</v>
      </c>
      <c r="D62" s="10" t="s">
        <v>31</v>
      </c>
      <c r="E62" s="11" t="n">
        <v>45962</v>
      </c>
      <c r="F62" t="n">
        <v>633485</v>
      </c>
      <c r="H62" t="n">
        <v>43147</v>
      </c>
      <c r="I62" t="n">
        <v>590338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13.682017289730457</v>
      </c>
    </row>
    <row r="63">
      <c r="A63" s="10" t="s">
        <v>72</v>
      </c>
      <c r="B63" s="10" t="s">
        <v>125</v>
      </c>
      <c r="C63" s="10" t="s">
        <v>50</v>
      </c>
      <c r="D63" s="10" t="s">
        <v>31</v>
      </c>
      <c r="E63" s="11" t="n">
        <v>45992</v>
      </c>
      <c r="F63" t="n">
        <v>590338</v>
      </c>
      <c r="H63" t="n">
        <v>43147</v>
      </c>
      <c r="I63" t="n">
        <v>547191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12.682017289730457</v>
      </c>
    </row>
    <row r="64">
      <c r="A64" s="10" t="s">
        <v>72</v>
      </c>
      <c r="B64" s="10" t="s">
        <v>125</v>
      </c>
      <c r="C64" s="10" t="s">
        <v>50</v>
      </c>
      <c r="D64" s="10" t="s">
        <v>31</v>
      </c>
      <c r="E64" s="11" t="n">
        <v>46023</v>
      </c>
      <c r="F64" t="n">
        <v>547191</v>
      </c>
      <c r="H64" t="n">
        <v>43147</v>
      </c>
      <c r="I64" t="n">
        <v>809715</v>
      </c>
      <c r="J64" s="10" t="s">
        <v>2</v>
      </c>
      <c r="K64" s="10" t="s">
        <v>2</v>
      </c>
      <c r="L64" s="10" t="s">
        <v>4</v>
      </c>
      <c r="M64" t="n">
        <v>305671</v>
      </c>
      <c r="O64" t="n">
        <v>89011</v>
      </c>
      <c r="P64" s="11" t="n">
        <v>46023</v>
      </c>
      <c r="S64" t="n">
        <v>6</v>
      </c>
      <c r="T64" t="n">
        <v>12</v>
      </c>
      <c r="U64" t="n">
        <v>12</v>
      </c>
      <c r="V64" t="n">
        <v>18.766426402762647</v>
      </c>
    </row>
    <row r="65">
      <c r="A65" s="10" t="s">
        <v>72</v>
      </c>
      <c r="B65" s="10" t="s">
        <v>125</v>
      </c>
      <c r="C65" s="10" t="s">
        <v>50</v>
      </c>
      <c r="D65" s="10" t="s">
        <v>31</v>
      </c>
      <c r="E65" s="11" t="n">
        <v>46054</v>
      </c>
      <c r="F65" t="n">
        <v>809715</v>
      </c>
      <c r="H65" t="n">
        <v>43147</v>
      </c>
      <c r="I65" t="n">
        <v>766568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17.766426402762647</v>
      </c>
    </row>
    <row r="66">
      <c r="A66" s="10" t="s">
        <v>72</v>
      </c>
      <c r="B66" s="10" t="s">
        <v>125</v>
      </c>
      <c r="C66" s="10" t="s">
        <v>50</v>
      </c>
      <c r="D66" s="10" t="s">
        <v>31</v>
      </c>
      <c r="E66" s="11" t="n">
        <v>46082</v>
      </c>
      <c r="F66" t="n">
        <v>766568</v>
      </c>
      <c r="H66" t="n">
        <v>43147</v>
      </c>
      <c r="I66" t="n">
        <v>723421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16.766426402762647</v>
      </c>
    </row>
    <row r="67">
      <c r="A67" s="10" t="s">
        <v>72</v>
      </c>
      <c r="B67" s="10" t="s">
        <v>125</v>
      </c>
      <c r="C67" s="10" t="s">
        <v>50</v>
      </c>
      <c r="D67" s="10" t="s">
        <v>31</v>
      </c>
      <c r="E67" s="11" t="n">
        <v>46113</v>
      </c>
      <c r="F67" t="n">
        <v>723421</v>
      </c>
      <c r="H67" t="n">
        <v>43147</v>
      </c>
      <c r="I67" t="n">
        <v>680274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15.766426402762649</v>
      </c>
    </row>
    <row r="68">
      <c r="A68" s="10" t="s">
        <v>72</v>
      </c>
      <c r="B68" s="10" t="s">
        <v>125</v>
      </c>
      <c r="C68" s="10" t="s">
        <v>50</v>
      </c>
      <c r="D68" s="10" t="s">
        <v>31</v>
      </c>
      <c r="E68" s="11" t="n">
        <v>46143</v>
      </c>
      <c r="F68" t="n">
        <v>680274</v>
      </c>
      <c r="H68" t="n">
        <v>43147</v>
      </c>
      <c r="I68" t="n">
        <v>637127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14.766426402762649</v>
      </c>
    </row>
    <row r="69">
      <c r="A69" s="10" t="s">
        <v>72</v>
      </c>
      <c r="B69" s="10" t="s">
        <v>125</v>
      </c>
      <c r="C69" s="10" t="s">
        <v>50</v>
      </c>
      <c r="D69" s="10" t="s">
        <v>31</v>
      </c>
      <c r="E69" s="11" t="n">
        <v>46174</v>
      </c>
      <c r="F69" t="n">
        <v>637127</v>
      </c>
      <c r="H69" t="n">
        <v>43147</v>
      </c>
      <c r="I69" t="n">
        <v>593980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13.766426402762649</v>
      </c>
    </row>
    <row r="70">
      <c r="A70" s="10" t="s">
        <v>72</v>
      </c>
      <c r="B70" s="10" t="s">
        <v>125</v>
      </c>
      <c r="C70" s="10" t="s">
        <v>50</v>
      </c>
      <c r="D70" s="10" t="s">
        <v>31</v>
      </c>
      <c r="E70" s="11" t="n">
        <v>46204</v>
      </c>
      <c r="F70" t="n">
        <v>593980</v>
      </c>
      <c r="H70" t="n">
        <v>43147</v>
      </c>
      <c r="I70" t="n">
        <v>550833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12.766426402762649</v>
      </c>
    </row>
    <row r="71">
      <c r="A71" s="10" t="s">
        <v>72</v>
      </c>
      <c r="B71" s="10" t="s">
        <v>125</v>
      </c>
      <c r="C71" s="10" t="s">
        <v>50</v>
      </c>
      <c r="D71" s="10" t="s">
        <v>31</v>
      </c>
      <c r="E71" s="11" t="n">
        <v>46235</v>
      </c>
      <c r="F71" t="n">
        <v>550833</v>
      </c>
      <c r="H71" t="n">
        <v>43147</v>
      </c>
      <c r="I71" t="n">
        <v>507686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11.766426402762649</v>
      </c>
    </row>
    <row r="72">
      <c r="A72" s="10" t="s">
        <v>72</v>
      </c>
      <c r="B72" s="10" t="s">
        <v>125</v>
      </c>
      <c r="C72" s="10" t="s">
        <v>50</v>
      </c>
      <c r="D72" s="10" t="s">
        <v>31</v>
      </c>
      <c r="E72" s="11" t="n">
        <v>46266</v>
      </c>
      <c r="F72" t="n">
        <v>507686</v>
      </c>
      <c r="H72" t="n">
        <v>43147</v>
      </c>
      <c r="I72" t="n">
        <v>464539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10.766426402762649</v>
      </c>
    </row>
    <row r="73">
      <c r="A73" s="10" t="s">
        <v>72</v>
      </c>
      <c r="B73" s="10" t="s">
        <v>125</v>
      </c>
      <c r="C73" s="10" t="s">
        <v>50</v>
      </c>
      <c r="D73" s="10" t="s">
        <v>31</v>
      </c>
      <c r="E73" s="11" t="n">
        <v>46296</v>
      </c>
      <c r="F73" t="n">
        <v>464539</v>
      </c>
      <c r="H73" t="n">
        <v>43147</v>
      </c>
      <c r="I73" t="n">
        <v>421392</v>
      </c>
      <c r="J73" s="10"/>
      <c r="K73" s="10"/>
      <c r="L73" s="10"/>
      <c r="P73" s="11"/>
      <c r="S73" t="n">
        <v>6</v>
      </c>
      <c r="T73" t="n">
        <v>12</v>
      </c>
      <c r="U73" t="n">
        <v>12</v>
      </c>
      <c r="V73" t="n">
        <v>9.7664264027626491</v>
      </c>
    </row>
    <row r="74">
      <c r="A74" s="10" t="s">
        <v>72</v>
      </c>
      <c r="B74" s="10" t="s">
        <v>125</v>
      </c>
      <c r="C74" s="10" t="s">
        <v>50</v>
      </c>
      <c r="D74" s="10" t="s">
        <v>31</v>
      </c>
      <c r="E74" s="11" t="n">
        <v>46327</v>
      </c>
      <c r="F74" t="n">
        <v>421392</v>
      </c>
      <c r="H74" t="n">
        <v>43147</v>
      </c>
      <c r="I74" t="n">
        <v>378245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8.7664264027626491</v>
      </c>
    </row>
    <row r="75">
      <c r="A75" s="10" t="s">
        <v>72</v>
      </c>
      <c r="B75" s="10" t="s">
        <v>125</v>
      </c>
      <c r="C75" s="10" t="s">
        <v>50</v>
      </c>
      <c r="D75" s="10" t="s">
        <v>31</v>
      </c>
      <c r="E75" s="11" t="n">
        <v>46357</v>
      </c>
      <c r="F75" t="n">
        <v>378245</v>
      </c>
      <c r="H75" t="n">
        <v>43147</v>
      </c>
      <c r="I75" t="n">
        <v>603989</v>
      </c>
      <c r="J75" s="10" t="s">
        <v>2</v>
      </c>
      <c r="K75" s="10" t="s">
        <v>2</v>
      </c>
      <c r="L75" s="10" t="s">
        <v>4</v>
      </c>
      <c r="M75" t="n">
        <v>268891</v>
      </c>
      <c r="O75" t="n">
        <v>78302</v>
      </c>
      <c r="P75" s="11" t="n">
        <v>46357</v>
      </c>
      <c r="S75" t="n">
        <v>6</v>
      </c>
      <c r="T75" t="n">
        <v>12</v>
      </c>
      <c r="U75" t="n">
        <v>12</v>
      </c>
      <c r="V75" t="n">
        <v>13.9984008158157</v>
      </c>
    </row>
    <row r="76">
      <c r="A76" s="10" t="s">
        <v>77</v>
      </c>
      <c r="B76" s="10" t="s">
        <v>125</v>
      </c>
      <c r="C76" s="10" t="s">
        <v>50</v>
      </c>
      <c r="D76" s="10" t="s">
        <v>31</v>
      </c>
      <c r="E76" s="11" t="n">
        <v>45658</v>
      </c>
      <c r="F76" t="n">
        <v>603989</v>
      </c>
      <c r="H76" t="n">
        <v>43147</v>
      </c>
      <c r="I76" t="n">
        <v>560842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12.9984008158157</v>
      </c>
    </row>
    <row r="77">
      <c r="A77" s="10" t="s">
        <v>77</v>
      </c>
      <c r="B77" s="10" t="s">
        <v>125</v>
      </c>
      <c r="C77" s="10" t="s">
        <v>50</v>
      </c>
      <c r="D77" s="10" t="s">
        <v>31</v>
      </c>
      <c r="E77" s="11" t="n">
        <v>45689</v>
      </c>
      <c r="F77" t="n">
        <v>560842</v>
      </c>
      <c r="H77" t="n">
        <v>43147</v>
      </c>
      <c r="I77" t="n">
        <v>517695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11.9984008158157</v>
      </c>
    </row>
    <row r="78">
      <c r="A78" s="10" t="s">
        <v>77</v>
      </c>
      <c r="B78" s="10" t="s">
        <v>125</v>
      </c>
      <c r="C78" s="10" t="s">
        <v>50</v>
      </c>
      <c r="D78" s="10" t="s">
        <v>31</v>
      </c>
      <c r="E78" s="11" t="n">
        <v>45717</v>
      </c>
      <c r="F78" t="n">
        <v>517695</v>
      </c>
      <c r="H78" t="n">
        <v>43147</v>
      </c>
      <c r="I78" t="n">
        <v>474548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10.9984008158157</v>
      </c>
    </row>
    <row r="79">
      <c r="A79" s="10" t="s">
        <v>77</v>
      </c>
      <c r="B79" s="10" t="s">
        <v>125</v>
      </c>
      <c r="C79" s="10" t="s">
        <v>50</v>
      </c>
      <c r="D79" s="10" t="s">
        <v>31</v>
      </c>
      <c r="E79" s="11" t="n">
        <v>45748</v>
      </c>
      <c r="F79" t="n">
        <v>474548</v>
      </c>
      <c r="H79" t="n">
        <v>43147</v>
      </c>
      <c r="I79" t="n">
        <v>431401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9.9984008158156996</v>
      </c>
    </row>
    <row r="80">
      <c r="A80" s="10" t="s">
        <v>77</v>
      </c>
      <c r="B80" s="10" t="s">
        <v>125</v>
      </c>
      <c r="C80" s="10" t="s">
        <v>50</v>
      </c>
      <c r="D80" s="10" t="s">
        <v>31</v>
      </c>
      <c r="E80" s="11" t="n">
        <v>45778</v>
      </c>
      <c r="F80" t="n">
        <v>431401</v>
      </c>
      <c r="H80" t="n">
        <v>43147</v>
      </c>
      <c r="I80" t="n">
        <v>388254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8.9984008158156996</v>
      </c>
    </row>
    <row r="81">
      <c r="A81" s="10" t="s">
        <v>77</v>
      </c>
      <c r="B81" s="10" t="s">
        <v>125</v>
      </c>
      <c r="C81" s="10" t="s">
        <v>50</v>
      </c>
      <c r="D81" s="10" t="s">
        <v>31</v>
      </c>
      <c r="E81" s="11" t="n">
        <v>45809</v>
      </c>
      <c r="F81" t="n">
        <v>388254</v>
      </c>
      <c r="H81" t="n">
        <v>43147</v>
      </c>
      <c r="I81" t="n">
        <v>345107</v>
      </c>
      <c r="J81" s="10"/>
      <c r="K81" s="10"/>
      <c r="L81" s="10"/>
      <c r="P81" s="11"/>
      <c r="S81" t="n">
        <v>6</v>
      </c>
      <c r="T81" t="n">
        <v>12</v>
      </c>
      <c r="U81" t="n">
        <v>12</v>
      </c>
      <c r="V81" t="n">
        <v>7.9984008158156996</v>
      </c>
    </row>
    <row r="82">
      <c r="A82" s="10" t="s">
        <v>77</v>
      </c>
      <c r="B82" s="10" t="s">
        <v>125</v>
      </c>
      <c r="C82" s="10" t="s">
        <v>50</v>
      </c>
      <c r="D82" s="10" t="s">
        <v>31</v>
      </c>
      <c r="E82" s="11" t="n">
        <v>45839</v>
      </c>
      <c r="F82" t="n">
        <v>1493412</v>
      </c>
      <c r="H82" t="n">
        <v>283568</v>
      </c>
      <c r="I82" t="n">
        <v>1209844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4.2665039778818485</v>
      </c>
    </row>
    <row r="83">
      <c r="A83" s="10" t="s">
        <v>77</v>
      </c>
      <c r="B83" s="10" t="s">
        <v>125</v>
      </c>
      <c r="C83" s="10" t="s">
        <v>50</v>
      </c>
      <c r="D83" s="10" t="s">
        <v>31</v>
      </c>
      <c r="E83" s="11" t="n">
        <v>45870</v>
      </c>
      <c r="F83" t="n">
        <v>1209844</v>
      </c>
      <c r="H83" t="n">
        <v>283568</v>
      </c>
      <c r="I83" t="n">
        <v>926276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3.2665039778818485</v>
      </c>
    </row>
    <row r="84">
      <c r="A84" s="10" t="s">
        <v>77</v>
      </c>
      <c r="B84" s="10" t="s">
        <v>125</v>
      </c>
      <c r="C84" s="10" t="s">
        <v>50</v>
      </c>
      <c r="D84" s="10" t="s">
        <v>31</v>
      </c>
      <c r="E84" s="11" t="n">
        <v>45901</v>
      </c>
      <c r="F84" t="n">
        <v>926276</v>
      </c>
      <c r="H84" t="n">
        <v>283568</v>
      </c>
      <c r="I84" t="n">
        <v>1643652</v>
      </c>
      <c r="J84" s="10" t="s">
        <v>51</v>
      </c>
      <c r="K84" s="10" t="s">
        <v>51</v>
      </c>
      <c r="L84" s="10" t="s">
        <v>154</v>
      </c>
      <c r="M84" t="n">
        <v>1000944</v>
      </c>
      <c r="P84" s="11"/>
      <c r="S84" t="n">
        <v>6</v>
      </c>
      <c r="T84" t="n">
        <v>12</v>
      </c>
      <c r="U84" t="n">
        <v>12</v>
      </c>
      <c r="V84" t="n">
        <v>5.7963239857811883</v>
      </c>
    </row>
    <row r="85">
      <c r="A85" s="10" t="s">
        <v>77</v>
      </c>
      <c r="B85" s="10" t="s">
        <v>125</v>
      </c>
      <c r="C85" s="10" t="s">
        <v>50</v>
      </c>
      <c r="D85" s="10" t="s">
        <v>31</v>
      </c>
      <c r="E85" s="11" t="n">
        <v>45931</v>
      </c>
      <c r="F85" t="n">
        <v>1643652</v>
      </c>
      <c r="H85" t="n">
        <v>283568</v>
      </c>
      <c r="I85" t="n">
        <v>3157204</v>
      </c>
      <c r="J85" s="10" t="s">
        <v>168</v>
      </c>
      <c r="K85" s="10" t="s">
        <v>168</v>
      </c>
      <c r="L85" s="10" t="s">
        <v>147</v>
      </c>
      <c r="M85" t="n">
        <v>1797120</v>
      </c>
      <c r="P85" s="11"/>
      <c r="S85" t="n">
        <v>6</v>
      </c>
      <c r="T85" t="n">
        <v>12</v>
      </c>
      <c r="U85" t="n">
        <v>12</v>
      </c>
      <c r="V85" t="n">
        <v>11.133851492410992</v>
      </c>
    </row>
    <row r="86">
      <c r="A86" s="10" t="s">
        <v>77</v>
      </c>
      <c r="B86" s="10" t="s">
        <v>125</v>
      </c>
      <c r="C86" s="10" t="s">
        <v>50</v>
      </c>
      <c r="D86" s="10" t="s">
        <v>31</v>
      </c>
      <c r="E86" s="11" t="n">
        <v>45962</v>
      </c>
      <c r="F86" t="n">
        <v>3157204</v>
      </c>
      <c r="H86" t="n">
        <v>283568</v>
      </c>
      <c r="I86" t="n">
        <v>2873636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10.133851492410992</v>
      </c>
    </row>
    <row r="87">
      <c r="A87" s="10" t="s">
        <v>77</v>
      </c>
      <c r="B87" s="10" t="s">
        <v>125</v>
      </c>
      <c r="C87" s="10" t="s">
        <v>50</v>
      </c>
      <c r="D87" s="10" t="s">
        <v>31</v>
      </c>
      <c r="E87" s="11" t="n">
        <v>45992</v>
      </c>
      <c r="F87" t="n">
        <v>2873636</v>
      </c>
      <c r="H87" t="n">
        <v>283568</v>
      </c>
      <c r="I87" t="n">
        <v>2590068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9.1338514924109919</v>
      </c>
    </row>
    <row r="88">
      <c r="A88" s="10" t="s">
        <v>77</v>
      </c>
      <c r="B88" s="10" t="s">
        <v>125</v>
      </c>
      <c r="C88" s="10" t="s">
        <v>50</v>
      </c>
      <c r="D88" s="10" t="s">
        <v>31</v>
      </c>
      <c r="E88" s="11" t="n">
        <v>46023</v>
      </c>
      <c r="F88" t="n">
        <v>2590068</v>
      </c>
      <c r="H88" t="n">
        <v>283568</v>
      </c>
      <c r="I88" t="n">
        <v>2306500</v>
      </c>
      <c r="J88" s="10"/>
      <c r="K88" s="10"/>
      <c r="L88" s="10"/>
      <c r="P88" s="11"/>
      <c r="S88" t="n">
        <v>6</v>
      </c>
      <c r="T88" t="n">
        <v>12</v>
      </c>
      <c r="U88" t="n">
        <v>12</v>
      </c>
      <c r="V88" t="n">
        <v>8.1338514924109919</v>
      </c>
    </row>
    <row r="89">
      <c r="A89" s="10" t="s">
        <v>77</v>
      </c>
      <c r="B89" s="10" t="s">
        <v>125</v>
      </c>
      <c r="C89" s="10" t="s">
        <v>50</v>
      </c>
      <c r="D89" s="10" t="s">
        <v>31</v>
      </c>
      <c r="E89" s="11" t="n">
        <v>46054</v>
      </c>
      <c r="F89" t="n">
        <v>2306500</v>
      </c>
      <c r="H89" t="n">
        <v>283568</v>
      </c>
      <c r="I89" t="n">
        <v>2022932</v>
      </c>
      <c r="J89" s="10"/>
      <c r="K89" s="10"/>
      <c r="L89" s="10"/>
      <c r="P89" s="11"/>
      <c r="S89" t="n">
        <v>6</v>
      </c>
      <c r="T89" t="n">
        <v>12</v>
      </c>
      <c r="U89" t="n">
        <v>12</v>
      </c>
      <c r="V89" t="n">
        <v>7.133851492410991</v>
      </c>
    </row>
    <row r="90">
      <c r="A90" s="10" t="s">
        <v>77</v>
      </c>
      <c r="B90" s="10" t="s">
        <v>125</v>
      </c>
      <c r="C90" s="10" t="s">
        <v>50</v>
      </c>
      <c r="D90" s="10" t="s">
        <v>31</v>
      </c>
      <c r="E90" s="11" t="n">
        <v>46082</v>
      </c>
      <c r="F90" t="n">
        <v>2022932</v>
      </c>
      <c r="H90" t="n">
        <v>283568</v>
      </c>
      <c r="I90" t="n">
        <v>1739364</v>
      </c>
      <c r="J90" s="10"/>
      <c r="K90" s="10"/>
      <c r="L90" s="10"/>
      <c r="P90" s="11"/>
      <c r="S90" t="n">
        <v>6</v>
      </c>
      <c r="T90" t="n">
        <v>12</v>
      </c>
      <c r="U90" t="n">
        <v>12</v>
      </c>
      <c r="V90" t="n">
        <v>6.133851492410991</v>
      </c>
    </row>
    <row r="91">
      <c r="A91" s="10" t="s">
        <v>77</v>
      </c>
      <c r="B91" s="10" t="s">
        <v>125</v>
      </c>
      <c r="C91" s="10" t="s">
        <v>50</v>
      </c>
      <c r="D91" s="10" t="s">
        <v>31</v>
      </c>
      <c r="E91" s="11" t="n">
        <v>46113</v>
      </c>
      <c r="F91" t="n">
        <v>1739364</v>
      </c>
      <c r="H91" t="n">
        <v>283568</v>
      </c>
      <c r="I91" t="n">
        <v>1455796</v>
      </c>
      <c r="J91" s="10"/>
      <c r="K91" s="10"/>
      <c r="L91" s="10"/>
      <c r="P91" s="11"/>
      <c r="S91" t="n">
        <v>6</v>
      </c>
      <c r="T91" t="n">
        <v>12</v>
      </c>
      <c r="U91" t="n">
        <v>12</v>
      </c>
      <c r="V91" t="n">
        <v>5.133851492410991</v>
      </c>
    </row>
    <row r="92">
      <c r="A92" s="10" t="s">
        <v>77</v>
      </c>
      <c r="B92" s="10" t="s">
        <v>125</v>
      </c>
      <c r="C92" s="10" t="s">
        <v>50</v>
      </c>
      <c r="D92" s="10" t="s">
        <v>31</v>
      </c>
      <c r="E92" s="11" t="n">
        <v>46143</v>
      </c>
      <c r="F92" t="n">
        <v>1455796</v>
      </c>
      <c r="H92" t="n">
        <v>283568</v>
      </c>
      <c r="I92" t="n">
        <v>1172228</v>
      </c>
      <c r="J92" s="10"/>
      <c r="K92" s="10"/>
      <c r="L92" s="10"/>
      <c r="P92" s="11"/>
      <c r="S92" t="n">
        <v>6</v>
      </c>
      <c r="T92" t="n">
        <v>12</v>
      </c>
      <c r="U92" t="n">
        <v>12</v>
      </c>
      <c r="V92" t="n">
        <v>4.133851492410991</v>
      </c>
    </row>
    <row r="93">
      <c r="A93" s="10" t="s">
        <v>77</v>
      </c>
      <c r="B93" s="10" t="s">
        <v>125</v>
      </c>
      <c r="C93" s="10" t="s">
        <v>50</v>
      </c>
      <c r="D93" s="10" t="s">
        <v>31</v>
      </c>
      <c r="E93" s="11" t="n">
        <v>46174</v>
      </c>
      <c r="F93" t="n">
        <v>1172228</v>
      </c>
      <c r="H93" t="n">
        <v>283568</v>
      </c>
      <c r="I93" t="n">
        <v>888660</v>
      </c>
      <c r="J93" s="10"/>
      <c r="K93" s="10"/>
      <c r="L93" s="10"/>
      <c r="P93" s="11"/>
      <c r="S93" t="n">
        <v>6</v>
      </c>
      <c r="T93" t="n">
        <v>12</v>
      </c>
      <c r="U93" t="n">
        <v>12</v>
      </c>
      <c r="V93" t="n">
        <v>3.1338514924109915</v>
      </c>
    </row>
    <row r="94">
      <c r="A94" s="10" t="s">
        <v>74</v>
      </c>
      <c r="B94" s="10" t="s">
        <v>125</v>
      </c>
      <c r="C94" s="10" t="s">
        <v>50</v>
      </c>
      <c r="D94" s="10" t="s">
        <v>31</v>
      </c>
      <c r="E94" s="11" t="n">
        <v>45870</v>
      </c>
      <c r="F94" t="n">
        <v>133925</v>
      </c>
      <c r="H94" t="n">
        <v>78000</v>
      </c>
      <c r="I94" t="n">
        <v>85925</v>
      </c>
      <c r="J94" s="10" t="s">
        <v>51</v>
      </c>
      <c r="K94" s="10" t="s">
        <v>51</v>
      </c>
      <c r="L94" s="10" t="s">
        <v>154</v>
      </c>
      <c r="M94" t="n">
        <v>30000</v>
      </c>
      <c r="P94" s="11"/>
      <c r="S94" t="n">
        <v>3</v>
      </c>
      <c r="T94" t="n">
        <v>6</v>
      </c>
      <c r="U94" t="n">
        <v>6</v>
      </c>
      <c r="V94" t="n">
        <v>1.1016025641025642</v>
      </c>
    </row>
    <row r="95">
      <c r="A95" s="10" t="s">
        <v>74</v>
      </c>
      <c r="B95" s="10" t="s">
        <v>125</v>
      </c>
      <c r="C95" s="10" t="s">
        <v>50</v>
      </c>
      <c r="D95" s="10" t="s">
        <v>31</v>
      </c>
      <c r="E95" s="11" t="n">
        <v>45901</v>
      </c>
      <c r="F95" t="n">
        <v>85925</v>
      </c>
      <c r="H95" t="n">
        <v>78000</v>
      </c>
      <c r="I95" t="n">
        <v>68405</v>
      </c>
      <c r="J95" s="10" t="s">
        <v>51</v>
      </c>
      <c r="K95" s="10" t="s">
        <v>51</v>
      </c>
      <c r="L95" s="10" t="s">
        <v>154</v>
      </c>
      <c r="M95" t="n">
        <v>60480</v>
      </c>
      <c r="P95" s="11"/>
      <c r="S95" t="n">
        <v>3</v>
      </c>
      <c r="T95" t="n">
        <v>6</v>
      </c>
      <c r="U95" t="n">
        <v>6</v>
      </c>
      <c r="V95" t="n">
        <v>0.87698717948717952</v>
      </c>
    </row>
    <row r="96">
      <c r="A96" s="10" t="s">
        <v>74</v>
      </c>
      <c r="B96" s="10" t="s">
        <v>125</v>
      </c>
      <c r="C96" s="10" t="s">
        <v>50</v>
      </c>
      <c r="D96" s="10" t="s">
        <v>31</v>
      </c>
      <c r="E96" s="11" t="n">
        <v>45931</v>
      </c>
      <c r="F96" t="n">
        <v>68405</v>
      </c>
      <c r="H96" t="n">
        <v>78000</v>
      </c>
      <c r="I96" t="n">
        <v>121445</v>
      </c>
      <c r="J96" s="10" t="s">
        <v>51</v>
      </c>
      <c r="K96" s="10" t="s">
        <v>51</v>
      </c>
      <c r="L96" s="10" t="s">
        <v>154</v>
      </c>
      <c r="M96" t="n">
        <v>131040</v>
      </c>
      <c r="P96" s="11"/>
      <c r="S96" t="n">
        <v>3</v>
      </c>
      <c r="T96" t="n">
        <v>6</v>
      </c>
      <c r="U96" t="n">
        <v>6</v>
      </c>
      <c r="V96" t="n">
        <v>1.5569871794871795</v>
      </c>
    </row>
    <row r="97">
      <c r="A97" s="10" t="s">
        <v>74</v>
      </c>
      <c r="B97" s="10" t="s">
        <v>125</v>
      </c>
      <c r="C97" s="10" t="s">
        <v>50</v>
      </c>
      <c r="D97" s="10" t="s">
        <v>31</v>
      </c>
      <c r="E97" s="11" t="n">
        <v>45962</v>
      </c>
      <c r="F97" t="n">
        <v>121445</v>
      </c>
      <c r="H97" t="n">
        <v>78000</v>
      </c>
      <c r="I97" t="n">
        <v>43445</v>
      </c>
      <c r="J97" s="10"/>
      <c r="K97" s="10"/>
      <c r="L97" s="10"/>
      <c r="P97" s="11"/>
      <c r="S97" t="n">
        <v>3</v>
      </c>
      <c r="T97" t="n">
        <v>6</v>
      </c>
      <c r="U97" t="n">
        <v>6</v>
      </c>
      <c r="V97" t="n">
        <v>0.55698717948717946</v>
      </c>
    </row>
    <row r="98">
      <c r="A98" s="10" t="s">
        <v>74</v>
      </c>
      <c r="B98" s="10" t="s">
        <v>125</v>
      </c>
      <c r="C98" s="10" t="s">
        <v>50</v>
      </c>
      <c r="D98" s="10" t="s">
        <v>31</v>
      </c>
      <c r="E98" s="11" t="n">
        <v>45992</v>
      </c>
      <c r="F98" t="n">
        <v>43445</v>
      </c>
      <c r="H98" t="n">
        <v>78000</v>
      </c>
      <c r="I98" t="n">
        <v>0</v>
      </c>
      <c r="J98" s="10"/>
      <c r="K98" s="10"/>
      <c r="L98" s="10"/>
      <c r="P98" s="11"/>
      <c r="S98" t="n">
        <v>3</v>
      </c>
      <c r="T98" t="n">
        <v>6</v>
      </c>
      <c r="U98" t="n">
        <v>6</v>
      </c>
      <c r="V98" t="n">
        <v>0</v>
      </c>
    </row>
    <row r="99">
      <c r="A99" s="10" t="s">
        <v>74</v>
      </c>
      <c r="B99" s="10" t="s">
        <v>125</v>
      </c>
      <c r="C99" s="10" t="s">
        <v>50</v>
      </c>
      <c r="D99" s="10" t="s">
        <v>31</v>
      </c>
      <c r="E99" s="11" t="n">
        <v>46023</v>
      </c>
      <c r="F99" t="n">
        <v>0</v>
      </c>
      <c r="H99" t="n">
        <v>78000</v>
      </c>
      <c r="I99" t="n">
        <v>371800</v>
      </c>
      <c r="J99" s="10" t="s">
        <v>2</v>
      </c>
      <c r="K99" s="10" t="s">
        <v>2</v>
      </c>
      <c r="L99" s="10" t="s">
        <v>4</v>
      </c>
      <c r="M99" t="n">
        <v>449800</v>
      </c>
      <c r="P99" s="11"/>
      <c r="S99" t="n">
        <v>3</v>
      </c>
      <c r="T99" t="n">
        <v>6</v>
      </c>
      <c r="U99" t="n">
        <v>6</v>
      </c>
      <c r="V99" t="n">
        <v>4.7666666666666666</v>
      </c>
    </row>
    <row r="100">
      <c r="A100" s="10" t="s">
        <v>74</v>
      </c>
      <c r="B100" s="10" t="s">
        <v>125</v>
      </c>
      <c r="C100" s="10" t="s">
        <v>50</v>
      </c>
      <c r="D100" s="10" t="s">
        <v>31</v>
      </c>
      <c r="E100" s="11" t="n">
        <v>46054</v>
      </c>
      <c r="F100" t="n">
        <v>371800</v>
      </c>
      <c r="H100" t="n">
        <v>78000</v>
      </c>
      <c r="I100" t="n">
        <v>293800</v>
      </c>
      <c r="J100" s="10"/>
      <c r="K100" s="10"/>
      <c r="L100" s="10"/>
      <c r="P100" s="11"/>
      <c r="S100" t="n">
        <v>3</v>
      </c>
      <c r="T100" t="n">
        <v>6</v>
      </c>
      <c r="U100" t="n">
        <v>6</v>
      </c>
      <c r="V100" t="n">
        <v>3.7666666666666666</v>
      </c>
    </row>
    <row r="101">
      <c r="A101" s="10" t="s">
        <v>74</v>
      </c>
      <c r="B101" s="10" t="s">
        <v>125</v>
      </c>
      <c r="C101" s="10" t="s">
        <v>50</v>
      </c>
      <c r="D101" s="10" t="s">
        <v>31</v>
      </c>
      <c r="E101" s="11" t="n">
        <v>46082</v>
      </c>
      <c r="F101" t="n">
        <v>293800</v>
      </c>
      <c r="H101" t="n">
        <v>78000</v>
      </c>
      <c r="I101" t="n">
        <v>215800</v>
      </c>
      <c r="J101" s="10"/>
      <c r="K101" s="10"/>
      <c r="L101" s="10"/>
      <c r="P101" s="11"/>
      <c r="S101" t="n">
        <v>3</v>
      </c>
      <c r="T101" t="n">
        <v>6</v>
      </c>
      <c r="U101" t="n">
        <v>6</v>
      </c>
      <c r="V101" t="n">
        <v>2.7666666666666666</v>
      </c>
    </row>
    <row r="102">
      <c r="A102" s="10" t="s">
        <v>74</v>
      </c>
      <c r="B102" s="10" t="s">
        <v>125</v>
      </c>
      <c r="C102" s="10" t="s">
        <v>50</v>
      </c>
      <c r="D102" s="10" t="s">
        <v>31</v>
      </c>
      <c r="E102" s="11" t="n">
        <v>46113</v>
      </c>
      <c r="F102" t="n">
        <v>215800</v>
      </c>
      <c r="H102" t="n">
        <v>78000</v>
      </c>
      <c r="I102" t="n">
        <v>380417</v>
      </c>
      <c r="J102" s="10" t="s">
        <v>2</v>
      </c>
      <c r="K102" s="10" t="s">
        <v>2</v>
      </c>
      <c r="L102" s="10" t="s">
        <v>4</v>
      </c>
      <c r="M102" t="n">
        <v>242617</v>
      </c>
      <c r="P102" s="11"/>
      <c r="S102" t="n">
        <v>3</v>
      </c>
      <c r="T102" t="n">
        <v>6</v>
      </c>
      <c r="U102" t="n">
        <v>6</v>
      </c>
      <c r="V102" t="n">
        <v>4.8771410256410253</v>
      </c>
    </row>
    <row r="103">
      <c r="A103" s="10" t="s">
        <v>74</v>
      </c>
      <c r="B103" s="10" t="s">
        <v>125</v>
      </c>
      <c r="C103" s="10" t="s">
        <v>50</v>
      </c>
      <c r="D103" s="10" t="s">
        <v>31</v>
      </c>
      <c r="E103" s="11" t="n">
        <v>46143</v>
      </c>
      <c r="F103" t="n">
        <v>380417</v>
      </c>
      <c r="H103" t="n">
        <v>78000</v>
      </c>
      <c r="I103" t="n">
        <v>302417</v>
      </c>
      <c r="J103" s="10"/>
      <c r="K103" s="10"/>
      <c r="L103" s="10"/>
      <c r="P103" s="11"/>
      <c r="S103" t="n">
        <v>3</v>
      </c>
      <c r="T103" t="n">
        <v>6</v>
      </c>
      <c r="U103" t="n">
        <v>6</v>
      </c>
      <c r="V103" t="n">
        <v>3.8771410256410257</v>
      </c>
    </row>
    <row r="104">
      <c r="A104" s="10" t="s">
        <v>74</v>
      </c>
      <c r="B104" s="10" t="s">
        <v>125</v>
      </c>
      <c r="C104" s="10" t="s">
        <v>50</v>
      </c>
      <c r="D104" s="10" t="s">
        <v>31</v>
      </c>
      <c r="E104" s="11" t="n">
        <v>46174</v>
      </c>
      <c r="F104" t="n">
        <v>302417</v>
      </c>
      <c r="H104" t="n">
        <v>78000</v>
      </c>
      <c r="I104" t="n">
        <v>224417</v>
      </c>
      <c r="J104" s="10"/>
      <c r="K104" s="10"/>
      <c r="L104" s="10"/>
      <c r="P104" s="11"/>
      <c r="S104" t="n">
        <v>3</v>
      </c>
      <c r="T104" t="n">
        <v>6</v>
      </c>
      <c r="U104" t="n">
        <v>6</v>
      </c>
      <c r="V104" t="n">
        <v>2.8771410256410257</v>
      </c>
    </row>
    <row r="105">
      <c r="A105" s="10" t="s">
        <v>74</v>
      </c>
      <c r="B105" s="10" t="s">
        <v>125</v>
      </c>
      <c r="C105" s="10" t="s">
        <v>50</v>
      </c>
      <c r="D105" s="10" t="s">
        <v>31</v>
      </c>
      <c r="E105" s="11" t="n">
        <v>46204</v>
      </c>
      <c r="F105" t="n">
        <v>224417</v>
      </c>
      <c r="H105" t="n">
        <v>78000</v>
      </c>
      <c r="I105" t="n">
        <v>399917</v>
      </c>
      <c r="J105" s="10" t="s">
        <v>2</v>
      </c>
      <c r="K105" s="10" t="s">
        <v>2</v>
      </c>
      <c r="L105" s="10" t="s">
        <v>4</v>
      </c>
      <c r="M105" t="n">
        <v>253500</v>
      </c>
      <c r="P105" s="11"/>
      <c r="S105" t="n">
        <v>3</v>
      </c>
      <c r="T105" t="n">
        <v>6</v>
      </c>
      <c r="U105" t="n">
        <v>6</v>
      </c>
      <c r="V105" t="n">
        <v>5.1271410256410253</v>
      </c>
    </row>
    <row r="106">
      <c r="A106" s="10" t="s">
        <v>74</v>
      </c>
      <c r="B106" s="10" t="s">
        <v>125</v>
      </c>
      <c r="C106" s="10" t="s">
        <v>50</v>
      </c>
      <c r="D106" s="10" t="s">
        <v>31</v>
      </c>
      <c r="E106" s="11" t="n">
        <v>46235</v>
      </c>
      <c r="F106" t="n">
        <v>399917</v>
      </c>
      <c r="H106" t="n">
        <v>78000</v>
      </c>
      <c r="I106" t="n">
        <v>321917</v>
      </c>
      <c r="J106" s="10"/>
      <c r="K106" s="10"/>
      <c r="L106" s="10"/>
      <c r="P106" s="11"/>
      <c r="S106" t="n">
        <v>3</v>
      </c>
      <c r="T106" t="n">
        <v>6</v>
      </c>
      <c r="U106" t="n">
        <v>6</v>
      </c>
      <c r="V106" t="n">
        <v>4.1271410256410253</v>
      </c>
    </row>
    <row r="107">
      <c r="A107" s="10" t="s">
        <v>166</v>
      </c>
      <c r="B107" s="10" t="s">
        <v>125</v>
      </c>
      <c r="C107" s="10" t="s">
        <v>50</v>
      </c>
      <c r="D107" s="10" t="s">
        <v>31</v>
      </c>
      <c r="E107" s="11" t="n">
        <v>45748</v>
      </c>
      <c r="F107" t="n">
        <v>528688</v>
      </c>
      <c r="H107" t="n">
        <v>46807</v>
      </c>
      <c r="I107" t="n">
        <v>481881</v>
      </c>
      <c r="J107" s="10"/>
      <c r="K107" s="10"/>
      <c r="L107" s="10"/>
      <c r="P107" s="11"/>
      <c r="S107" t="n">
        <v>9</v>
      </c>
      <c r="T107" t="n">
        <v>15</v>
      </c>
      <c r="U107" t="n">
        <v>15</v>
      </c>
      <c r="V107" t="n">
        <v>10.295062704296367</v>
      </c>
    </row>
    <row r="108">
      <c r="A108" s="10" t="s">
        <v>166</v>
      </c>
      <c r="B108" s="10" t="s">
        <v>125</v>
      </c>
      <c r="C108" s="10" t="s">
        <v>50</v>
      </c>
      <c r="D108" s="10" t="s">
        <v>31</v>
      </c>
      <c r="E108" s="11" t="n">
        <v>45778</v>
      </c>
      <c r="F108" t="n">
        <v>481881</v>
      </c>
      <c r="H108" t="n">
        <v>46807</v>
      </c>
      <c r="I108" t="n">
        <v>435074</v>
      </c>
      <c r="J108" s="10"/>
      <c r="K108" s="10"/>
      <c r="L108" s="10"/>
      <c r="P108" s="11"/>
      <c r="S108" t="n">
        <v>9</v>
      </c>
      <c r="T108" t="n">
        <v>15</v>
      </c>
      <c r="U108" t="n">
        <v>15</v>
      </c>
      <c r="V108" t="n">
        <v>9.2950627042963667</v>
      </c>
    </row>
    <row r="109">
      <c r="A109" s="10" t="s">
        <v>166</v>
      </c>
      <c r="B109" s="10" t="s">
        <v>125</v>
      </c>
      <c r="C109" s="10" t="s">
        <v>50</v>
      </c>
      <c r="D109" s="10" t="s">
        <v>31</v>
      </c>
      <c r="E109" s="11" t="n">
        <v>45809</v>
      </c>
      <c r="F109" t="n">
        <v>435074</v>
      </c>
      <c r="H109" t="n">
        <v>46807</v>
      </c>
      <c r="I109" t="n">
        <v>388267</v>
      </c>
      <c r="J109" s="10"/>
      <c r="K109" s="10"/>
      <c r="L109" s="10"/>
      <c r="P109" s="11"/>
      <c r="S109" t="n">
        <v>9</v>
      </c>
      <c r="T109" t="n">
        <v>15</v>
      </c>
      <c r="U109" t="n">
        <v>15</v>
      </c>
      <c r="V109" t="n">
        <v>8.2950627042963667</v>
      </c>
    </row>
    <row r="110">
      <c r="A110" s="10" t="s">
        <v>166</v>
      </c>
      <c r="B110" s="10" t="s">
        <v>125</v>
      </c>
      <c r="C110" s="10" t="s">
        <v>50</v>
      </c>
      <c r="D110" s="10" t="s">
        <v>31</v>
      </c>
      <c r="E110" s="11" t="n">
        <v>45839</v>
      </c>
      <c r="F110" t="n">
        <v>388267</v>
      </c>
      <c r="H110" t="n">
        <v>46807</v>
      </c>
      <c r="I110" t="n">
        <v>444276</v>
      </c>
      <c r="J110" s="10"/>
      <c r="K110" s="10"/>
      <c r="L110" s="10"/>
      <c r="M110" t="n">
        <v>102816</v>
      </c>
      <c r="P110" s="11"/>
      <c r="S110" t="n">
        <v>9</v>
      </c>
      <c r="T110" t="n">
        <v>15</v>
      </c>
      <c r="U110" t="n">
        <v>15</v>
      </c>
      <c r="V110" t="n">
        <v>9.4916572307560827</v>
      </c>
    </row>
    <row r="111">
      <c r="A111" s="10" t="s">
        <v>166</v>
      </c>
      <c r="B111" s="10" t="s">
        <v>125</v>
      </c>
      <c r="C111" s="10" t="s">
        <v>50</v>
      </c>
      <c r="D111" s="10" t="s">
        <v>31</v>
      </c>
      <c r="E111" s="11" t="n">
        <v>45870</v>
      </c>
      <c r="F111" t="n">
        <v>444276</v>
      </c>
      <c r="H111" t="n">
        <v>46807</v>
      </c>
      <c r="I111" t="n">
        <v>397469</v>
      </c>
      <c r="J111" s="10"/>
      <c r="K111" s="10"/>
      <c r="L111" s="10"/>
      <c r="P111" s="11"/>
      <c r="S111" t="n">
        <v>9</v>
      </c>
      <c r="T111" t="n">
        <v>15</v>
      </c>
      <c r="U111" t="n">
        <v>15</v>
      </c>
      <c r="V111" t="n">
        <v>8.4916572307560827</v>
      </c>
    </row>
    <row r="112">
      <c r="A112" s="10" t="s">
        <v>166</v>
      </c>
      <c r="B112" s="10" t="s">
        <v>125</v>
      </c>
      <c r="C112" s="10" t="s">
        <v>50</v>
      </c>
      <c r="D112" s="10" t="s">
        <v>31</v>
      </c>
      <c r="E112" s="11" t="n">
        <v>45901</v>
      </c>
      <c r="F112" t="n">
        <v>397469</v>
      </c>
      <c r="H112" t="n">
        <v>46807</v>
      </c>
      <c r="I112" t="n">
        <v>350662</v>
      </c>
      <c r="J112" s="10"/>
      <c r="K112" s="10"/>
      <c r="L112" s="10"/>
      <c r="P112" s="11"/>
      <c r="S112" t="n">
        <v>9</v>
      </c>
      <c r="T112" t="n">
        <v>15</v>
      </c>
      <c r="U112" t="n">
        <v>15</v>
      </c>
      <c r="V112" t="n">
        <v>7.4916572307560836</v>
      </c>
    </row>
    <row r="113">
      <c r="A113" s="10" t="s">
        <v>166</v>
      </c>
      <c r="B113" s="10" t="s">
        <v>125</v>
      </c>
      <c r="C113" s="10" t="s">
        <v>50</v>
      </c>
      <c r="D113" s="10" t="s">
        <v>31</v>
      </c>
      <c r="E113" s="11" t="n">
        <v>45931</v>
      </c>
      <c r="F113" t="n">
        <v>350662</v>
      </c>
      <c r="H113" t="n">
        <v>46807</v>
      </c>
      <c r="I113" t="n">
        <v>303855</v>
      </c>
      <c r="J113" s="10"/>
      <c r="K113" s="10"/>
      <c r="L113" s="10"/>
      <c r="P113" s="11"/>
      <c r="S113" t="n">
        <v>9</v>
      </c>
      <c r="T113" t="n">
        <v>15</v>
      </c>
      <c r="U113" t="n">
        <v>15</v>
      </c>
      <c r="V113" t="n">
        <v>6.4916572307560836</v>
      </c>
    </row>
    <row r="114">
      <c r="A114" s="10" t="s">
        <v>166</v>
      </c>
      <c r="B114" s="10" t="s">
        <v>125</v>
      </c>
      <c r="C114" s="10" t="s">
        <v>50</v>
      </c>
      <c r="D114" s="10" t="s">
        <v>31</v>
      </c>
      <c r="E114" s="11" t="n">
        <v>45962</v>
      </c>
      <c r="F114" t="n">
        <v>303855</v>
      </c>
      <c r="H114" t="n">
        <v>46807</v>
      </c>
      <c r="I114" t="n">
        <v>257048</v>
      </c>
      <c r="J114" s="10"/>
      <c r="K114" s="10"/>
      <c r="L114" s="10"/>
      <c r="P114" s="11"/>
      <c r="S114" t="n">
        <v>9</v>
      </c>
      <c r="T114" t="n">
        <v>15</v>
      </c>
      <c r="U114" t="n">
        <v>15</v>
      </c>
      <c r="V114" t="n">
        <v>5.4916572307560836</v>
      </c>
    </row>
    <row r="115">
      <c r="A115" s="10" t="s">
        <v>166</v>
      </c>
      <c r="B115" s="10" t="s">
        <v>125</v>
      </c>
      <c r="C115" s="10" t="s">
        <v>50</v>
      </c>
      <c r="D115" s="10" t="s">
        <v>31</v>
      </c>
      <c r="E115" s="11" t="n">
        <v>45992</v>
      </c>
      <c r="F115" t="n">
        <v>257048</v>
      </c>
      <c r="H115" t="n">
        <v>46807</v>
      </c>
      <c r="I115" t="n">
        <v>210241</v>
      </c>
      <c r="J115" s="10"/>
      <c r="K115" s="10"/>
      <c r="L115" s="10"/>
      <c r="P115" s="11"/>
      <c r="S115" t="n">
        <v>9</v>
      </c>
      <c r="T115" t="n">
        <v>15</v>
      </c>
      <c r="U115" t="n">
        <v>15</v>
      </c>
      <c r="V115" t="n">
        <v>4.4916572307560836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B1" zoomScale="80" zoomScaleNormal="80" workbookViewId="0"/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8.81640625" hidden="0" customWidth="1"/>
    <col min="14" max="14" width="12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</row>
    <row r="4">
      <c r="B4" s="27" t="s">
        <v>148</v>
      </c>
      <c r="C4" s="26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29</v>
      </c>
      <c r="D7" s="17" t="s">
        <v>30</v>
      </c>
      <c r="E7" s="18" t="s">
        <v>31</v>
      </c>
      <c r="F7" s="19" t="n">
        <v>45839</v>
      </c>
      <c r="G7" s="20" t="n">
        <v>12652697</v>
      </c>
      <c r="H7" s="20"/>
      <c r="I7" s="20" t="n">
        <v>1099123</v>
      </c>
      <c r="J7" s="20" t="n">
        <f>MAX(Mcondomstable[[#This Row],[Stock on hand(opening balance)]]+Mcondomstable[[#This Row],[Quantity ]]-Mcondomstable[[#This Row],[Forecasted consumption]],0)</f>
        <v>11553574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Mcondomstable[[#This Row],[Closing balance ]]/Mcondomstable[[#This Row],[Forecasted consumption]]</f>
        <v>10.511629726609305</v>
      </c>
      <c r="X7" s="22"/>
    </row>
    <row r="8">
      <c r="B8" s="6" t="s">
        <v>28</v>
      </c>
      <c r="C8" s="17" t="s">
        <v>29</v>
      </c>
      <c r="D8" s="17" t="s">
        <v>30</v>
      </c>
      <c r="E8" s="18" t="s">
        <v>31</v>
      </c>
      <c r="F8" s="19" t="n">
        <v>45870</v>
      </c>
      <c r="G8" s="23" t="n">
        <f>J7</f>
        <v>11553574</v>
      </c>
      <c r="H8" s="23"/>
      <c r="I8" s="20" t="n">
        <v>1099123</v>
      </c>
      <c r="J8" s="23" t="n">
        <f>MAX(Mcondomstable[[#This Row],[Stock on hand(opening balance)]]+Mcondomstable[[#This Row],[Quantity ]]-Mcondomstable[[#This Row],[Forecasted consumption]],0)</f>
        <v>16547451</v>
      </c>
      <c r="K8" s="2" t="s">
        <v>32</v>
      </c>
      <c r="L8" s="2" t="s">
        <v>3</v>
      </c>
      <c r="M8" s="18" t="s">
        <v>4</v>
      </c>
      <c r="N8" s="23" t="n">
        <v>6093000</v>
      </c>
      <c r="O8" s="2"/>
      <c r="P8" s="2" t="n">
        <v>219348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Mcondomstable[[#This Row],[Closing balance ]]/Mcondomstable[[#This Row],[Forecasted consumption]]</f>
        <v>15.055140325514069</v>
      </c>
      <c r="X8" s="25"/>
    </row>
    <row r="9">
      <c r="B9" s="6" t="s">
        <v>28</v>
      </c>
      <c r="C9" s="17" t="s">
        <v>29</v>
      </c>
      <c r="D9" s="17" t="s">
        <v>30</v>
      </c>
      <c r="E9" s="18" t="s">
        <v>31</v>
      </c>
      <c r="F9" s="19" t="n">
        <v>45901</v>
      </c>
      <c r="G9" s="23" t="n">
        <f t="shared" ref="G9:G18" si="0">J8</f>
        <v>16547451</v>
      </c>
      <c r="H9" s="23"/>
      <c r="I9" s="20" t="n">
        <v>1099123</v>
      </c>
      <c r="J9" s="23" t="n">
        <f>MAX(Mcondomstable[[#This Row],[Stock on hand(opening balance)]]+Mcondomstable[[#This Row],[Quantity ]]-Mcondomstable[[#This Row],[Forecasted consumption]],0)</f>
        <v>17464328</v>
      </c>
      <c r="K9" s="2" t="s">
        <v>51</v>
      </c>
      <c r="L9" s="2" t="s">
        <v>146</v>
      </c>
      <c r="M9" s="18" t="s">
        <v>147</v>
      </c>
      <c r="N9" s="23" t="n">
        <v>2016000</v>
      </c>
      <c r="O9" s="2"/>
      <c r="P9" s="23" t="n">
        <v>65722</v>
      </c>
      <c r="Q9" s="24" t="n">
        <v>45901</v>
      </c>
      <c r="R9" s="2"/>
      <c r="S9" s="2"/>
      <c r="T9" s="18" t="n">
        <v>9</v>
      </c>
      <c r="U9" s="18" t="n">
        <v>14</v>
      </c>
      <c r="V9" s="18" t="n">
        <v>13</v>
      </c>
      <c r="W9" s="3" t="n">
        <f>Mcondomstable[[#This Row],[Closing balance ]]/Mcondomstable[[#This Row],[Forecasted consumption]]</f>
        <v>15.889329947603681</v>
      </c>
      <c r="X9" s="25"/>
    </row>
    <row r="10">
      <c r="B10" s="6" t="s">
        <v>28</v>
      </c>
      <c r="C10" s="17" t="s">
        <v>29</v>
      </c>
      <c r="D10" s="17" t="s">
        <v>30</v>
      </c>
      <c r="E10" s="18" t="s">
        <v>31</v>
      </c>
      <c r="F10" s="19" t="n">
        <v>45931</v>
      </c>
      <c r="G10" s="23" t="n">
        <f t="shared" si="0"/>
        <v>17464328</v>
      </c>
      <c r="H10" s="23"/>
      <c r="I10" s="20" t="n">
        <v>1099123</v>
      </c>
      <c r="J10" s="23" t="n">
        <f>MAX(Mcondomstable[[#This Row],[Stock on hand(opening balance)]]+Mcondomstable[[#This Row],[Quantity ]]-Mcondomstable[[#This Row],[Forecasted consumption]],0)</f>
        <v>16365205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Mcondomstable[[#This Row],[Closing balance ]]/Mcondomstable[[#This Row],[Forecasted consumption]]</f>
        <v>14.889329947603681</v>
      </c>
      <c r="X10" s="25"/>
    </row>
    <row r="11">
      <c r="B11" s="6" t="s">
        <v>28</v>
      </c>
      <c r="C11" s="17" t="s">
        <v>29</v>
      </c>
      <c r="D11" s="17" t="s">
        <v>30</v>
      </c>
      <c r="E11" s="18" t="s">
        <v>31</v>
      </c>
      <c r="F11" s="19" t="n">
        <v>45962</v>
      </c>
      <c r="G11" s="23" t="n">
        <f t="shared" si="0"/>
        <v>16365205</v>
      </c>
      <c r="H11" s="23"/>
      <c r="I11" s="20" t="n">
        <v>1099123</v>
      </c>
      <c r="J11" s="23" t="n">
        <f>MAX(Mcondomstable[[#This Row],[Stock on hand(opening balance)]]+Mcondomstable[[#This Row],[Quantity ]]-Mcondomstable[[#This Row],[Forecasted consumption]],0)</f>
        <v>15266082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Mcondomstable[[#This Row],[Closing balance ]]/Mcondomstable[[#This Row],[Forecasted consumption]]</f>
        <v>13.889329947603681</v>
      </c>
      <c r="X11" s="25"/>
    </row>
    <row r="12">
      <c r="B12" s="6" t="s">
        <v>28</v>
      </c>
      <c r="C12" s="17" t="s">
        <v>29</v>
      </c>
      <c r="D12" s="17" t="s">
        <v>30</v>
      </c>
      <c r="E12" s="18" t="s">
        <v>31</v>
      </c>
      <c r="F12" s="19" t="n">
        <v>45992</v>
      </c>
      <c r="G12" s="23" t="n">
        <f t="shared" si="0"/>
        <v>15266082</v>
      </c>
      <c r="H12" s="23"/>
      <c r="I12" s="20" t="n">
        <v>1099123</v>
      </c>
      <c r="J12" s="23" t="n">
        <f>MAX(Mcondomstable[[#This Row],[Stock on hand(opening balance)]]+Mcondomstable[[#This Row],[Quantity ]]-Mcondomstable[[#This Row],[Forecasted consumption]],0)</f>
        <v>14166959</v>
      </c>
      <c r="K12" s="2"/>
      <c r="L12" s="2"/>
      <c r="M12" s="18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Mcondomstable[[#This Row],[Closing balance ]]/Mcondomstable[[#This Row],[Forecasted consumption]]</f>
        <v>12.889329947603681</v>
      </c>
      <c r="X12" s="25"/>
    </row>
    <row r="13">
      <c r="B13" s="6" t="s">
        <v>28</v>
      </c>
      <c r="C13" s="17" t="s">
        <v>29</v>
      </c>
      <c r="D13" s="17" t="s">
        <v>30</v>
      </c>
      <c r="E13" s="18" t="s">
        <v>31</v>
      </c>
      <c r="F13" s="19" t="n">
        <v>46023</v>
      </c>
      <c r="G13" s="23" t="n">
        <f t="shared" si="0"/>
        <v>14166959</v>
      </c>
      <c r="H13" s="23"/>
      <c r="I13" s="20" t="n">
        <v>1099123</v>
      </c>
      <c r="J13" s="23" t="n">
        <f>MAX(Mcondomstable[[#This Row],[Stock on hand(opening balance)]]+Mcondomstable[[#This Row],[Quantity ]]-Mcondomstable[[#This Row],[Forecasted consumption]],0)</f>
        <v>19774036</v>
      </c>
      <c r="K13" s="2" t="s">
        <v>2</v>
      </c>
      <c r="L13" s="2" t="s">
        <v>2</v>
      </c>
      <c r="M13" s="18" t="s">
        <v>4</v>
      </c>
      <c r="N13" s="23" t="n">
        <v>6706200</v>
      </c>
      <c r="O13" s="2"/>
      <c r="P13" s="2" t="n">
        <v>241423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Mcondomstable[[#This Row],[Closing balance ]]/Mcondomstable[[#This Row],[Forecasted consumption]]</f>
        <v>17.990739889894034</v>
      </c>
      <c r="X13" s="25"/>
    </row>
    <row r="14">
      <c r="B14" s="6" t="s">
        <v>28</v>
      </c>
      <c r="C14" s="17" t="s">
        <v>29</v>
      </c>
      <c r="D14" s="17" t="s">
        <v>30</v>
      </c>
      <c r="E14" s="18" t="s">
        <v>31</v>
      </c>
      <c r="F14" s="19" t="n">
        <v>46054</v>
      </c>
      <c r="G14" s="23" t="n">
        <f t="shared" si="0"/>
        <v>19774036</v>
      </c>
      <c r="H14" s="23"/>
      <c r="I14" s="20" t="n">
        <v>1099123</v>
      </c>
      <c r="J14" s="23" t="n">
        <f>MAX(Mcondomstable[[#This Row],[Stock on hand(opening balance)]]+Mcondomstable[[#This Row],[Quantity ]]-Mcondomstable[[#This Row],[Forecasted consumption]],0)</f>
        <v>18674913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Mcondomstable[[#This Row],[Closing balance ]]/Mcondomstable[[#This Row],[Forecasted consumption]]</f>
        <v>16.990739889894034</v>
      </c>
      <c r="X14" s="25"/>
    </row>
    <row r="15">
      <c r="B15" s="6" t="s">
        <v>28</v>
      </c>
      <c r="C15" s="17" t="s">
        <v>29</v>
      </c>
      <c r="D15" s="17" t="s">
        <v>30</v>
      </c>
      <c r="E15" s="18" t="s">
        <v>31</v>
      </c>
      <c r="F15" s="19" t="n">
        <v>46082</v>
      </c>
      <c r="G15" s="23" t="n">
        <f t="shared" si="0"/>
        <v>18674913</v>
      </c>
      <c r="H15" s="23"/>
      <c r="I15" s="20" t="n">
        <v>1099123</v>
      </c>
      <c r="J15" s="23" t="n">
        <f>MAX(Mcondomstable[[#This Row],[Stock on hand(opening balance)]]+Mcondomstable[[#This Row],[Quantity ]]-Mcondomstable[[#This Row],[Forecasted consumption]],0)</f>
        <v>17575790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Mcondomstable[[#This Row],[Closing balance ]]/Mcondomstable[[#This Row],[Forecasted consumption]]</f>
        <v>15.990739889894034</v>
      </c>
      <c r="X15" s="25"/>
    </row>
    <row r="16">
      <c r="B16" s="6" t="s">
        <v>28</v>
      </c>
      <c r="C16" s="17" t="s">
        <v>29</v>
      </c>
      <c r="D16" s="17" t="s">
        <v>30</v>
      </c>
      <c r="E16" s="18" t="s">
        <v>31</v>
      </c>
      <c r="F16" s="19" t="n">
        <v>46113</v>
      </c>
      <c r="G16" s="23" t="n">
        <f t="shared" si="0"/>
        <v>17575790</v>
      </c>
      <c r="H16" s="23"/>
      <c r="I16" s="20" t="n">
        <v>1099123</v>
      </c>
      <c r="J16" s="23" t="n">
        <f>MAX(Mcondomstable[[#This Row],[Stock on hand(opening balance)]]+Mcondomstable[[#This Row],[Quantity ]]-Mcondomstable[[#This Row],[Forecasted consumption]],0)</f>
        <v>16476667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Mcondomstable[[#This Row],[Closing balance ]]/Mcondomstable[[#This Row],[Forecasted consumption]]</f>
        <v>14.990739889894034</v>
      </c>
      <c r="X16" s="25"/>
    </row>
    <row r="17">
      <c r="B17" s="6" t="s">
        <v>28</v>
      </c>
      <c r="C17" s="17" t="s">
        <v>29</v>
      </c>
      <c r="D17" s="17" t="s">
        <v>30</v>
      </c>
      <c r="E17" s="18" t="s">
        <v>31</v>
      </c>
      <c r="F17" s="19" t="n">
        <v>46143</v>
      </c>
      <c r="G17" s="23" t="n">
        <f t="shared" si="0"/>
        <v>16476667</v>
      </c>
      <c r="H17" s="23"/>
      <c r="I17" s="20" t="n">
        <v>1099123</v>
      </c>
      <c r="J17" s="23" t="n">
        <f>MAX(Mcondomstable[[#This Row],[Stock on hand(opening balance)]]+Mcondomstable[[#This Row],[Quantity ]]-Mcondomstable[[#This Row],[Forecasted consumption]],0)</f>
        <v>15377544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Mcondomstable[[#This Row],[Closing balance ]]/Mcondomstable[[#This Row],[Forecasted consumption]]</f>
        <v>13.990739889894034</v>
      </c>
      <c r="X17" s="25"/>
    </row>
    <row r="18">
      <c r="B18" s="6" t="s">
        <v>28</v>
      </c>
      <c r="C18" s="17" t="s">
        <v>29</v>
      </c>
      <c r="D18" s="17" t="s">
        <v>30</v>
      </c>
      <c r="E18" s="18" t="s">
        <v>31</v>
      </c>
      <c r="F18" s="19" t="n">
        <v>46174</v>
      </c>
      <c r="G18" s="23" t="n">
        <f t="shared" si="0"/>
        <v>15377544</v>
      </c>
      <c r="H18" s="23"/>
      <c r="I18" s="20" t="n">
        <v>1099123</v>
      </c>
      <c r="J18" s="23" t="n">
        <f>MAX(Mcondomstable[[#This Row],[Stock on hand(opening balance)]]+Mcondomstable[[#This Row],[Quantity ]]-Mcondomstable[[#This Row],[Forecasted consumption]],0)</f>
        <v>20360008</v>
      </c>
      <c r="K18" s="2" t="s">
        <v>2</v>
      </c>
      <c r="L18" s="2" t="s">
        <v>2</v>
      </c>
      <c r="M18" s="18" t="s">
        <v>4</v>
      </c>
      <c r="N18" s="23" t="n">
        <v>6081587</v>
      </c>
      <c r="O18" s="2"/>
      <c r="P18" s="2" t="n">
        <v>218937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Mcondomstable[[#This Row],[Closing balance ]]/Mcondomstable[[#This Row],[Forecasted consumption]]</f>
        <v>18.523866755586045</v>
      </c>
      <c r="X18" s="25"/>
    </row>
    <row r="19">
      <c r="B19" s="6" t="s">
        <v>75</v>
      </c>
      <c r="C19" s="18" t="s">
        <v>29</v>
      </c>
      <c r="D19" s="17"/>
      <c r="E19" s="18" t="s">
        <v>31</v>
      </c>
      <c r="F19" s="19" t="n">
        <v>45748</v>
      </c>
      <c r="G19" s="20" t="n">
        <v>22567</v>
      </c>
      <c r="H19" s="20"/>
      <c r="I19" s="20" t="n">
        <v>3689</v>
      </c>
      <c r="J19" s="20" t="n">
        <f>MAX(Mcondomstable[[#This Row],[Stock on hand(opening balance)]]+Mcondomstable[[#This Row],[Quantity ]]-Mcondomstable[[#This Row],[Forecasted consumption]],0)</f>
        <v>26270</v>
      </c>
      <c r="K19" s="18"/>
      <c r="L19" s="18"/>
      <c r="M19" s="18" t="s">
        <v>154</v>
      </c>
      <c r="N19" s="20" t="n">
        <v>7392</v>
      </c>
      <c r="O19" s="18"/>
      <c r="P19" s="18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Mcondomstable[[#This Row],[Closing balance ]]/Mcondomstable[[#This Row],[Forecasted consumption]]</f>
        <v>7.1211710490647873</v>
      </c>
      <c r="X19" s="22"/>
    </row>
    <row r="20">
      <c r="B20" s="6" t="s">
        <v>75</v>
      </c>
      <c r="C20" s="18" t="s">
        <v>29</v>
      </c>
      <c r="D20" s="17"/>
      <c r="E20" s="18" t="s">
        <v>31</v>
      </c>
      <c r="F20" s="19" t="n">
        <v>45778</v>
      </c>
      <c r="G20" s="23" t="n">
        <f>J19</f>
        <v>26270</v>
      </c>
      <c r="H20" s="23"/>
      <c r="I20" s="23" t="n">
        <v>3695</v>
      </c>
      <c r="J20" s="23" t="n">
        <f>MAX(Mcondomstable[[#This Row],[Stock on hand(opening balance)]]+Mcondomstable[[#This Row],[Quantity ]]-Mcondomstable[[#This Row],[Forecasted consumption]],0)</f>
        <v>29487</v>
      </c>
      <c r="K20" s="2"/>
      <c r="L20" s="2"/>
      <c r="M20" s="18" t="s">
        <v>154</v>
      </c>
      <c r="N20" s="23" t="n">
        <v>6912</v>
      </c>
      <c r="O20" s="2"/>
      <c r="P20" s="2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Mcondomstable[[#This Row],[Closing balance ]]/Mcondomstable[[#This Row],[Forecasted consumption]]</f>
        <v>7.9802435723951284</v>
      </c>
      <c r="X20" s="25"/>
    </row>
    <row r="21">
      <c r="B21" s="6" t="s">
        <v>75</v>
      </c>
      <c r="C21" s="18" t="s">
        <v>29</v>
      </c>
      <c r="D21" s="17"/>
      <c r="E21" s="18" t="s">
        <v>31</v>
      </c>
      <c r="F21" s="19" t="n">
        <v>45809</v>
      </c>
      <c r="G21" s="23" t="n">
        <f t="shared" ref="G21:G36" si="1">J20</f>
        <v>29487</v>
      </c>
      <c r="H21" s="23"/>
      <c r="I21" s="23" t="n">
        <v>3681</v>
      </c>
      <c r="J21" s="23" t="n">
        <f>MAX(Mcondomstable[[#This Row],[Stock on hand(opening balance)]]+Mcondomstable[[#This Row],[Quantity ]]-Mcondomstable[[#This Row],[Forecasted consumption]],0)</f>
        <v>25806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Mcondomstable[[#This Row],[Closing balance ]]/Mcondomstable[[#This Row],[Forecasted consumption]]</f>
        <v>7.0105949470252646</v>
      </c>
      <c r="X21" s="25"/>
    </row>
    <row r="22">
      <c r="B22" s="6" t="s">
        <v>75</v>
      </c>
      <c r="C22" s="18" t="s">
        <v>29</v>
      </c>
      <c r="D22" s="17"/>
      <c r="E22" s="18" t="s">
        <v>31</v>
      </c>
      <c r="F22" s="19" t="n">
        <v>45839</v>
      </c>
      <c r="G22" s="23" t="n">
        <f t="shared" si="1"/>
        <v>25806</v>
      </c>
      <c r="H22" s="23"/>
      <c r="I22" s="23" t="n">
        <v>3677</v>
      </c>
      <c r="J22" s="23" t="n">
        <f>MAX(Mcondomstable[[#This Row],[Stock on hand(opening balance)]]+Mcondomstable[[#This Row],[Quantity ]]-Mcondomstable[[#This Row],[Forecasted consumption]],0)</f>
        <v>30246</v>
      </c>
      <c r="K22" s="2"/>
      <c r="L22" s="2"/>
      <c r="M22" s="18" t="s">
        <v>154</v>
      </c>
      <c r="N22" s="23" t="n">
        <v>8117</v>
      </c>
      <c r="O22" s="2"/>
      <c r="P22" s="2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Mcondomstable[[#This Row],[Closing balance ]]/Mcondomstable[[#This Row],[Forecasted consumption]]</f>
        <v>8.2257274952406849</v>
      </c>
      <c r="X22" s="25"/>
    </row>
    <row r="23">
      <c r="B23" s="6" t="s">
        <v>75</v>
      </c>
      <c r="C23" s="18" t="s">
        <v>29</v>
      </c>
      <c r="D23" s="17"/>
      <c r="E23" s="18" t="s">
        <v>31</v>
      </c>
      <c r="F23" s="19" t="n">
        <v>45870</v>
      </c>
      <c r="G23" s="23" t="n">
        <f t="shared" si="1"/>
        <v>30246</v>
      </c>
      <c r="H23" s="23"/>
      <c r="I23" s="23" t="n">
        <v>3677</v>
      </c>
      <c r="J23" s="23" t="n">
        <f>MAX(Mcondomstable[[#This Row],[Stock on hand(opening balance)]]+Mcondomstable[[#This Row],[Quantity ]]-Mcondomstable[[#This Row],[Forecasted consumption]],0)</f>
        <v>26569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Mcondomstable[[#This Row],[Closing balance ]]/Mcondomstable[[#This Row],[Forecasted consumption]]</f>
        <v>7.2257274952406849</v>
      </c>
      <c r="X23" s="25"/>
    </row>
    <row r="24">
      <c r="B24" s="6" t="s">
        <v>75</v>
      </c>
      <c r="C24" s="18" t="s">
        <v>29</v>
      </c>
      <c r="D24" s="17"/>
      <c r="E24" s="18" t="s">
        <v>31</v>
      </c>
      <c r="F24" s="19" t="n">
        <v>45901</v>
      </c>
      <c r="G24" s="23" t="n">
        <f t="shared" si="1"/>
        <v>26569</v>
      </c>
      <c r="H24" s="23"/>
      <c r="I24" s="23" t="n">
        <v>3685</v>
      </c>
      <c r="J24" s="23" t="n">
        <f>MAX(Mcondomstable[[#This Row],[Stock on hand(opening balance)]]+Mcondomstable[[#This Row],[Quantity ]]-Mcondomstable[[#This Row],[Forecasted consumption]],0)</f>
        <v>22884</v>
      </c>
      <c r="K24" s="2"/>
      <c r="L24" s="2"/>
      <c r="M24" s="18"/>
      <c r="N24" s="23"/>
      <c r="O24" s="2"/>
      <c r="P24" s="2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Mcondomstable[[#This Row],[Closing balance ]]/Mcondomstable[[#This Row],[Forecasted consumption]]</f>
        <v>6.2100407055630935</v>
      </c>
      <c r="X24" s="25"/>
    </row>
    <row r="25">
      <c r="B25" s="6" t="s">
        <v>75</v>
      </c>
      <c r="C25" s="18" t="s">
        <v>29</v>
      </c>
      <c r="D25" s="17"/>
      <c r="E25" s="18" t="s">
        <v>31</v>
      </c>
      <c r="F25" s="19" t="n">
        <v>45931</v>
      </c>
      <c r="G25" s="23" t="n">
        <f t="shared" si="1"/>
        <v>22884</v>
      </c>
      <c r="H25" s="23"/>
      <c r="I25" s="23" t="n">
        <v>3684</v>
      </c>
      <c r="J25" s="23" t="n">
        <f>MAX(Mcondomstable[[#This Row],[Stock on hand(opening balance)]]+Mcondomstable[[#This Row],[Quantity ]]-Mcondomstable[[#This Row],[Forecasted consumption]],0)</f>
        <v>55218</v>
      </c>
      <c r="K25" s="2"/>
      <c r="L25" s="2"/>
      <c r="M25" s="18" t="s">
        <v>4</v>
      </c>
      <c r="N25" s="23" t="n">
        <v>36018</v>
      </c>
      <c r="O25" s="2"/>
      <c r="P25" s="2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Mcondomstable[[#This Row],[Closing balance ]]/Mcondomstable[[#This Row],[Forecasted consumption]]</f>
        <v>14.988599348534201</v>
      </c>
      <c r="X25" s="25"/>
    </row>
    <row r="26">
      <c r="B26" s="6" t="s">
        <v>75</v>
      </c>
      <c r="C26" s="18" t="s">
        <v>29</v>
      </c>
      <c r="D26" s="17"/>
      <c r="E26" s="18" t="s">
        <v>31</v>
      </c>
      <c r="F26" s="19" t="n">
        <v>45962</v>
      </c>
      <c r="G26" s="23" t="n">
        <f t="shared" si="1"/>
        <v>55218</v>
      </c>
      <c r="H26" s="23"/>
      <c r="I26" s="23" t="n">
        <v>3683</v>
      </c>
      <c r="J26" s="23" t="n">
        <f>MAX(Mcondomstable[[#This Row],[Stock on hand(opening balance)]]+Mcondomstable[[#This Row],[Quantity ]]-Mcondomstable[[#This Row],[Forecasted consumption]],0)</f>
        <v>51535</v>
      </c>
      <c r="K26" s="2"/>
      <c r="L26" s="2"/>
      <c r="M26" s="18"/>
      <c r="N26" s="23"/>
      <c r="O26" s="2"/>
      <c r="P26" s="2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Mcondomstable[[#This Row],[Closing balance ]]/Mcondomstable[[#This Row],[Forecasted consumption]]</f>
        <v>13.992669019820799</v>
      </c>
      <c r="X26" s="25"/>
    </row>
    <row r="27">
      <c r="B27" s="6" t="s">
        <v>75</v>
      </c>
      <c r="C27" s="18" t="s">
        <v>29</v>
      </c>
      <c r="D27" s="17"/>
      <c r="E27" s="18" t="s">
        <v>31</v>
      </c>
      <c r="F27" s="19" t="n">
        <v>45992</v>
      </c>
      <c r="G27" s="23" t="n">
        <f t="shared" si="1"/>
        <v>51535</v>
      </c>
      <c r="H27" s="23"/>
      <c r="I27" s="23" t="n">
        <v>3681</v>
      </c>
      <c r="J27" s="23" t="n">
        <f>MAX(Mcondomstable[[#This Row],[Stock on hand(opening balance)]]+Mcondomstable[[#This Row],[Quantity ]]-Mcondomstable[[#This Row],[Forecasted consumption]],0)</f>
        <v>47854</v>
      </c>
      <c r="K27" s="2"/>
      <c r="L27" s="2"/>
      <c r="M27" s="18"/>
      <c r="N27" s="23"/>
      <c r="O27" s="2"/>
      <c r="P27" s="2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Mcondomstable[[#This Row],[Closing balance ]]/Mcondomstable[[#This Row],[Forecasted consumption]]</f>
        <v>13.00027166530834</v>
      </c>
      <c r="X27" s="25"/>
    </row>
    <row r="28">
      <c r="B28" s="6" t="s">
        <v>75</v>
      </c>
      <c r="C28" s="18" t="s">
        <v>29</v>
      </c>
      <c r="D28" s="17"/>
      <c r="E28" s="18" t="s">
        <v>31</v>
      </c>
      <c r="F28" s="19" t="n">
        <v>46023</v>
      </c>
      <c r="G28" s="23" t="n">
        <f t="shared" si="1"/>
        <v>47854</v>
      </c>
      <c r="H28" s="23"/>
      <c r="I28" s="23" t="n">
        <v>3681</v>
      </c>
      <c r="J28" s="23" t="n">
        <f>MAX(Mcondomstable[[#This Row],[Stock on hand(opening balance)]]+Mcondomstable[[#This Row],[Quantity ]]-Mcondomstable[[#This Row],[Forecasted consumption]],0)</f>
        <v>44173</v>
      </c>
      <c r="K28" s="2"/>
      <c r="L28" s="2"/>
      <c r="M28" s="18"/>
      <c r="N28" s="23"/>
      <c r="O28" s="2"/>
      <c r="P28" s="2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Mcondomstable[[#This Row],[Closing balance ]]/Mcondomstable[[#This Row],[Forecasted consumption]]</f>
        <v>12.00027166530834</v>
      </c>
      <c r="X28" s="25"/>
    </row>
    <row r="29">
      <c r="B29" s="6" t="s">
        <v>75</v>
      </c>
      <c r="C29" s="18" t="s">
        <v>29</v>
      </c>
      <c r="D29" s="17"/>
      <c r="E29" s="18" t="s">
        <v>31</v>
      </c>
      <c r="F29" s="19" t="n">
        <v>46054</v>
      </c>
      <c r="G29" s="23" t="n">
        <f t="shared" si="1"/>
        <v>44173</v>
      </c>
      <c r="H29" s="23"/>
      <c r="I29" s="23" t="n">
        <v>3682</v>
      </c>
      <c r="J29" s="23" t="n">
        <f>MAX(Mcondomstable[[#This Row],[Stock on hand(opening balance)]]+Mcondomstable[[#This Row],[Quantity ]]-Mcondomstable[[#This Row],[Forecasted consumption]],0)</f>
        <v>40491</v>
      </c>
      <c r="K29" s="2"/>
      <c r="L29" s="2"/>
      <c r="M29" s="18"/>
      <c r="N29" s="23"/>
      <c r="O29" s="2"/>
      <c r="P29" s="2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Mcondomstable[[#This Row],[Closing balance ]]/Mcondomstable[[#This Row],[Forecasted consumption]]</f>
        <v>10.997012493210212</v>
      </c>
      <c r="X29" s="25"/>
    </row>
    <row r="30">
      <c r="B30" s="6" t="s">
        <v>75</v>
      </c>
      <c r="C30" s="18" t="s">
        <v>29</v>
      </c>
      <c r="D30" s="17"/>
      <c r="E30" s="18" t="s">
        <v>31</v>
      </c>
      <c r="F30" s="19" t="n">
        <v>46082</v>
      </c>
      <c r="G30" s="23" t="n">
        <f t="shared" si="1"/>
        <v>40491</v>
      </c>
      <c r="H30" s="23"/>
      <c r="I30" s="23" t="n">
        <v>3683</v>
      </c>
      <c r="J30" s="23" t="n">
        <f>MAX(Mcondomstable[[#This Row],[Stock on hand(opening balance)]]+Mcondomstable[[#This Row],[Quantity ]]-Mcondomstable[[#This Row],[Forecasted consumption]],0)</f>
        <v>36808</v>
      </c>
      <c r="K30" s="2"/>
      <c r="L30" s="2"/>
      <c r="M30" s="18"/>
      <c r="N30" s="23"/>
      <c r="O30" s="2"/>
      <c r="P30" s="2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Mcondomstable[[#This Row],[Closing balance ]]/Mcondomstable[[#This Row],[Forecasted consumption]]</f>
        <v>9.9940266087428729</v>
      </c>
      <c r="X30" s="25"/>
    </row>
    <row r="31">
      <c r="B31" s="6" t="s">
        <v>75</v>
      </c>
      <c r="C31" s="18" t="s">
        <v>29</v>
      </c>
      <c r="D31" s="17"/>
      <c r="E31" s="18" t="s">
        <v>31</v>
      </c>
      <c r="F31" s="19" t="n">
        <v>46113</v>
      </c>
      <c r="G31" s="23" t="n">
        <f t="shared" si="1"/>
        <v>36808</v>
      </c>
      <c r="H31" s="23"/>
      <c r="I31" s="23" t="n">
        <v>3682</v>
      </c>
      <c r="J31" s="23" t="n">
        <f>MAX(Mcondomstable[[#This Row],[Stock on hand(opening balance)]]+Mcondomstable[[#This Row],[Quantity ]]-Mcondomstable[[#This Row],[Forecasted consumption]],0)</f>
        <v>33126</v>
      </c>
      <c r="K31" s="2"/>
      <c r="L31" s="2"/>
      <c r="M31" s="18"/>
      <c r="N31" s="23"/>
      <c r="O31" s="2"/>
      <c r="P31" s="2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Mcondomstable[[#This Row],[Closing balance ]]/Mcondomstable[[#This Row],[Forecasted consumption]]</f>
        <v>8.996740901683868</v>
      </c>
      <c r="X31" s="25"/>
    </row>
    <row r="32">
      <c r="B32" s="6" t="s">
        <v>75</v>
      </c>
      <c r="C32" s="18" t="s">
        <v>29</v>
      </c>
      <c r="D32" s="17"/>
      <c r="E32" s="18" t="s">
        <v>31</v>
      </c>
      <c r="F32" s="19" t="n">
        <v>46143</v>
      </c>
      <c r="G32" s="23" t="n">
        <f t="shared" si="1"/>
        <v>33126</v>
      </c>
      <c r="H32" s="23"/>
      <c r="I32" s="23" t="n">
        <v>3682</v>
      </c>
      <c r="J32" s="23" t="n">
        <f>MAX(Mcondomstable[[#This Row],[Stock on hand(opening balance)]]+Mcondomstable[[#This Row],[Quantity ]]-Mcondomstable[[#This Row],[Forecasted consumption]],0)</f>
        <v>29444</v>
      </c>
      <c r="K32" s="2"/>
      <c r="L32" s="2"/>
      <c r="M32" s="18"/>
      <c r="N32" s="23"/>
      <c r="O32" s="2"/>
      <c r="P32" s="2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Mcondomstable[[#This Row],[Closing balance ]]/Mcondomstable[[#This Row],[Forecasted consumption]]</f>
        <v>7.9967409016838671</v>
      </c>
      <c r="X32" s="25"/>
    </row>
    <row r="33">
      <c r="B33" s="6" t="s">
        <v>75</v>
      </c>
      <c r="C33" s="18" t="s">
        <v>29</v>
      </c>
      <c r="D33" s="17"/>
      <c r="E33" s="18" t="s">
        <v>31</v>
      </c>
      <c r="F33" s="19" t="n">
        <v>46174</v>
      </c>
      <c r="G33" s="23" t="n">
        <f t="shared" si="1"/>
        <v>29444</v>
      </c>
      <c r="H33" s="23"/>
      <c r="I33" s="23" t="n">
        <v>3682</v>
      </c>
      <c r="J33" s="23" t="n">
        <f>MAX(Mcondomstable[[#This Row],[Stock on hand(opening balance)]]+Mcondomstable[[#This Row],[Quantity ]]-Mcondomstable[[#This Row],[Forecasted consumption]],0)</f>
        <v>25762</v>
      </c>
      <c r="K33" s="2"/>
      <c r="L33" s="2"/>
      <c r="M33" s="18"/>
      <c r="N33" s="23"/>
      <c r="O33" s="2"/>
      <c r="P33" s="2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Mcondomstable[[#This Row],[Closing balance ]]/Mcondomstable[[#This Row],[Forecasted consumption]]</f>
        <v>6.9967409016838671</v>
      </c>
      <c r="X33" s="25"/>
    </row>
    <row r="34">
      <c r="B34" s="6" t="s">
        <v>75</v>
      </c>
      <c r="C34" s="18" t="s">
        <v>29</v>
      </c>
      <c r="D34" s="17"/>
      <c r="E34" s="18" t="s">
        <v>31</v>
      </c>
      <c r="F34" s="19" t="n">
        <v>46204</v>
      </c>
      <c r="G34" s="23" t="n">
        <f t="shared" si="1"/>
        <v>25762</v>
      </c>
      <c r="H34" s="23"/>
      <c r="I34" s="23" t="n">
        <v>3682</v>
      </c>
      <c r="J34" s="23" t="n">
        <f>MAX(Mcondomstable[[#This Row],[Stock on hand(opening balance)]]+Mcondomstable[[#This Row],[Quantity ]]-Mcondomstable[[#This Row],[Forecasted consumption]],0)</f>
        <v>55240</v>
      </c>
      <c r="K34" s="2"/>
      <c r="L34" s="2"/>
      <c r="M34" s="18" t="s">
        <v>4</v>
      </c>
      <c r="N34" s="23" t="n">
        <v>33160</v>
      </c>
      <c r="O34" s="2"/>
      <c r="P34" s="2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Mcondomstable[[#This Row],[Closing balance ]]/Mcondomstable[[#This Row],[Forecasted consumption]]</f>
        <v>15.002715915263444</v>
      </c>
      <c r="X34" s="25"/>
    </row>
    <row r="35">
      <c r="B35" s="6" t="s">
        <v>75</v>
      </c>
      <c r="C35" s="18" t="s">
        <v>29</v>
      </c>
      <c r="D35" s="17"/>
      <c r="E35" s="18" t="s">
        <v>31</v>
      </c>
      <c r="F35" s="19" t="n">
        <v>46235</v>
      </c>
      <c r="G35" s="23" t="n">
        <f t="shared" si="1"/>
        <v>55240</v>
      </c>
      <c r="H35" s="23"/>
      <c r="I35" s="23" t="n">
        <v>3682</v>
      </c>
      <c r="J35" s="23" t="n">
        <f>MAX(Mcondomstable[[#This Row],[Stock on hand(opening balance)]]+Mcondomstable[[#This Row],[Quantity ]]-Mcondomstable[[#This Row],[Forecasted consumption]],0)</f>
        <v>51558</v>
      </c>
      <c r="K35" s="2"/>
      <c r="L35" s="2"/>
      <c r="M35" s="18"/>
      <c r="N35" s="23"/>
      <c r="O35" s="2"/>
      <c r="P35" s="2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Mcondomstable[[#This Row],[Closing balance ]]/Mcondomstable[[#This Row],[Forecasted consumption]]</f>
        <v>14.002715915263444</v>
      </c>
      <c r="X35" s="25"/>
    </row>
    <row r="36">
      <c r="B36" s="6" t="s">
        <v>75</v>
      </c>
      <c r="C36" s="18" t="s">
        <v>29</v>
      </c>
      <c r="D36" s="17"/>
      <c r="E36" s="18" t="s">
        <v>31</v>
      </c>
      <c r="F36" s="19" t="n">
        <v>46266</v>
      </c>
      <c r="G36" s="23" t="n">
        <f t="shared" si="1"/>
        <v>51558</v>
      </c>
      <c r="H36" s="23"/>
      <c r="I36" s="23" t="n">
        <v>3682</v>
      </c>
      <c r="J36" s="23" t="n">
        <f>MAX(Mcondomstable[[#This Row],[Stock on hand(opening balance)]]+Mcondomstable[[#This Row],[Quantity ]]-Mcondomstable[[#This Row],[Forecasted consumption]],0)</f>
        <v>47876</v>
      </c>
      <c r="K36" s="2"/>
      <c r="L36" s="2"/>
      <c r="M36" s="18"/>
      <c r="N36" s="23"/>
      <c r="O36" s="2"/>
      <c r="P36" s="2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Mcondomstable[[#This Row],[Closing balance ]]/Mcondomstable[[#This Row],[Forecasted consumption]]</f>
        <v>13.002715915263444</v>
      </c>
      <c r="X36" s="25"/>
    </row>
    <row r="37">
      <c r="B37" s="6" t="s">
        <v>76</v>
      </c>
      <c r="C37" s="18" t="s">
        <v>29</v>
      </c>
      <c r="D37" s="17"/>
      <c r="E37" s="18" t="s">
        <v>31</v>
      </c>
      <c r="F37" s="19" t="n">
        <v>45658</v>
      </c>
      <c r="G37" s="20"/>
      <c r="H37" s="20"/>
      <c r="I37" s="20" t="n">
        <v>14208920</v>
      </c>
      <c r="J37" s="20" t="n">
        <f>MAX(Mcondomstable[[#This Row],[Stock on hand(opening balance)]]+Mcondomstable[[#This Row],[Quantity ]]-Mcondomstable[[#This Row],[Forecasted consumption]],0)</f>
        <v>0</v>
      </c>
      <c r="K37" s="18"/>
      <c r="L37" s="18"/>
      <c r="M37" s="18"/>
      <c r="N37" s="20"/>
      <c r="O37" s="18"/>
      <c r="P37" s="18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Mcondomstable[[#This Row],[Closing balance ]]/Mcondomstable[[#This Row],[Forecasted consumption]]</f>
        <v>0</v>
      </c>
      <c r="X37" s="22"/>
    </row>
    <row r="38">
      <c r="B38" s="6" t="s">
        <v>76</v>
      </c>
      <c r="C38" s="18" t="s">
        <v>29</v>
      </c>
      <c r="D38" s="17"/>
      <c r="E38" s="18" t="s">
        <v>31</v>
      </c>
      <c r="F38" s="19" t="n">
        <v>45689</v>
      </c>
      <c r="G38" s="23"/>
      <c r="H38" s="23"/>
      <c r="I38" s="20" t="n">
        <v>14208920</v>
      </c>
      <c r="J38" s="23" t="n">
        <f>MAX(Mcondomstable[[#This Row],[Stock on hand(opening balance)]]+Mcondomstable[[#This Row],[Quantity ]]-Mcondomstable[[#This Row],[Forecasted consumption]],0)</f>
        <v>0</v>
      </c>
      <c r="K38" s="2"/>
      <c r="L38" s="2"/>
      <c r="M38" s="18"/>
      <c r="N38" s="23"/>
      <c r="O38" s="2"/>
      <c r="P38" s="2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Mcondomstable[[#This Row],[Closing balance ]]/Mcondomstable[[#This Row],[Forecasted consumption]]</f>
        <v>0</v>
      </c>
      <c r="X38" s="25"/>
    </row>
    <row r="39">
      <c r="B39" s="6" t="s">
        <v>76</v>
      </c>
      <c r="C39" s="18" t="s">
        <v>29</v>
      </c>
      <c r="D39" s="17"/>
      <c r="E39" s="18" t="s">
        <v>31</v>
      </c>
      <c r="F39" s="19" t="n">
        <v>45717</v>
      </c>
      <c r="G39" s="23"/>
      <c r="H39" s="23"/>
      <c r="I39" s="20" t="n">
        <v>14208920</v>
      </c>
      <c r="J39" s="23" t="n">
        <f>MAX(Mcondomstable[[#This Row],[Stock on hand(opening balance)]]+Mcondomstable[[#This Row],[Quantity ]]-Mcondomstable[[#This Row],[Forecasted consumption]],0)</f>
        <v>0</v>
      </c>
      <c r="K39" s="2"/>
      <c r="L39" s="2"/>
      <c r="M39" s="18"/>
      <c r="N39" s="23"/>
      <c r="O39" s="2"/>
      <c r="P39" s="2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Mcondomstable[[#This Row],[Closing balance ]]/Mcondomstable[[#This Row],[Forecasted consumption]]</f>
        <v>0</v>
      </c>
      <c r="X39" s="25"/>
    </row>
    <row r="40">
      <c r="B40" s="6" t="s">
        <v>76</v>
      </c>
      <c r="C40" s="18" t="s">
        <v>29</v>
      </c>
      <c r="D40" s="17"/>
      <c r="E40" s="18" t="s">
        <v>31</v>
      </c>
      <c r="F40" s="19" t="n">
        <v>45748</v>
      </c>
      <c r="G40" s="23" t="n">
        <v>181834416</v>
      </c>
      <c r="H40" s="23"/>
      <c r="I40" s="20" t="n">
        <v>14208920</v>
      </c>
      <c r="J40" s="23" t="n">
        <f>MAX(Mcondomstable[[#This Row],[Stock on hand(opening balance)]]+Mcondomstable[[#This Row],[Quantity ]]-Mcondomstable[[#This Row],[Forecasted consumption]],0)</f>
        <v>167625496</v>
      </c>
      <c r="K40" s="2"/>
      <c r="L40" s="2"/>
      <c r="M40" s="18"/>
      <c r="N40" s="23"/>
      <c r="O40" s="2"/>
      <c r="P40" s="2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Mcondomstable[[#This Row],[Closing balance ]]/Mcondomstable[[#This Row],[Forecasted consumption]]</f>
        <v>11.797201757769063</v>
      </c>
      <c r="X40" s="25"/>
    </row>
    <row r="41">
      <c r="B41" s="6" t="s">
        <v>76</v>
      </c>
      <c r="C41" s="18" t="s">
        <v>29</v>
      </c>
      <c r="D41" s="17"/>
      <c r="E41" s="18" t="s">
        <v>31</v>
      </c>
      <c r="F41" s="19" t="n">
        <v>45778</v>
      </c>
      <c r="G41" s="23" t="n">
        <f>J40</f>
        <v>167625496</v>
      </c>
      <c r="H41" s="23"/>
      <c r="I41" s="20" t="n">
        <v>14208920</v>
      </c>
      <c r="J41" s="23" t="n">
        <f>MAX(Mcondomstable[[#This Row],[Stock on hand(opening balance)]]+Mcondomstable[[#This Row],[Quantity ]]-Mcondomstable[[#This Row],[Forecasted consumption]],0)</f>
        <v>153416576</v>
      </c>
      <c r="K41" s="2"/>
      <c r="L41" s="2"/>
      <c r="M41" s="18"/>
      <c r="N41" s="23"/>
      <c r="O41" s="2"/>
      <c r="P41" s="2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Mcondomstable[[#This Row],[Closing balance ]]/Mcondomstable[[#This Row],[Forecasted consumption]]</f>
        <v>10.797201757769063</v>
      </c>
      <c r="X41" s="25"/>
    </row>
    <row r="42">
      <c r="B42" s="6" t="s">
        <v>76</v>
      </c>
      <c r="C42" s="18" t="s">
        <v>29</v>
      </c>
      <c r="D42" s="17"/>
      <c r="E42" s="18" t="s">
        <v>31</v>
      </c>
      <c r="F42" s="19" t="n">
        <v>45809</v>
      </c>
      <c r="G42" s="23" t="n">
        <f t="shared" ref="G42:G60" si="2">J41</f>
        <v>153416576</v>
      </c>
      <c r="H42" s="23"/>
      <c r="I42" s="20" t="n">
        <v>14208920</v>
      </c>
      <c r="J42" s="23" t="n">
        <f>MAX(Mcondomstable[[#This Row],[Stock on hand(opening balance)]]+Mcondomstable[[#This Row],[Quantity ]]-Mcondomstable[[#This Row],[Forecasted consumption]],0)</f>
        <v>153607656</v>
      </c>
      <c r="K42" s="2"/>
      <c r="L42" s="2"/>
      <c r="M42" s="18" t="s">
        <v>154</v>
      </c>
      <c r="N42" s="23" t="n">
        <v>14400000</v>
      </c>
      <c r="O42" s="2"/>
      <c r="P42" s="2" t="n">
        <v>432000</v>
      </c>
      <c r="Q42" s="24" t="n">
        <v>45809</v>
      </c>
      <c r="R42" s="2"/>
      <c r="S42" s="2"/>
      <c r="T42" s="18" t="n">
        <v>3</v>
      </c>
      <c r="U42" s="18" t="n">
        <v>6</v>
      </c>
      <c r="V42" s="18" t="n">
        <v>6</v>
      </c>
      <c r="W42" s="3" t="n">
        <f>Mcondomstable[[#This Row],[Closing balance ]]/Mcondomstable[[#This Row],[Forecasted consumption]]</f>
        <v>10.810649648249129</v>
      </c>
      <c r="X42" s="25"/>
    </row>
    <row r="43">
      <c r="B43" s="6" t="s">
        <v>76</v>
      </c>
      <c r="C43" s="18" t="s">
        <v>29</v>
      </c>
      <c r="D43" s="17"/>
      <c r="E43" s="18" t="s">
        <v>31</v>
      </c>
      <c r="F43" s="19" t="n">
        <v>45839</v>
      </c>
      <c r="G43" s="23" t="n">
        <f t="shared" si="2"/>
        <v>153607656</v>
      </c>
      <c r="H43" s="23"/>
      <c r="I43" s="20" t="n">
        <v>14208920</v>
      </c>
      <c r="J43" s="23" t="n">
        <f>MAX(Mcondomstable[[#This Row],[Stock on hand(opening balance)]]+Mcondomstable[[#This Row],[Quantity ]]-Mcondomstable[[#This Row],[Forecasted consumption]],0)</f>
        <v>141016144</v>
      </c>
      <c r="K43" s="2" t="s">
        <v>155</v>
      </c>
      <c r="L43" s="2" t="s">
        <v>155</v>
      </c>
      <c r="M43" s="18" t="s">
        <v>147</v>
      </c>
      <c r="N43" s="23" t="n">
        <v>1617408</v>
      </c>
      <c r="O43" s="2"/>
      <c r="P43" s="2" t="n">
        <v>48522.239999999998</v>
      </c>
      <c r="Q43" s="24" t="n">
        <v>45839</v>
      </c>
      <c r="R43" s="2"/>
      <c r="S43" s="2"/>
      <c r="T43" s="18" t="n">
        <v>3</v>
      </c>
      <c r="U43" s="18" t="n">
        <v>6</v>
      </c>
      <c r="V43" s="18" t="n">
        <v>6</v>
      </c>
      <c r="W43" s="3" t="n">
        <f>Mcondomstable[[#This Row],[Closing balance ]]/Mcondomstable[[#This Row],[Forecasted consumption]]</f>
        <v>9.9244801153078495</v>
      </c>
      <c r="X43" s="25"/>
    </row>
    <row r="44">
      <c r="B44" s="6" t="s">
        <v>76</v>
      </c>
      <c r="C44" s="18" t="s">
        <v>29</v>
      </c>
      <c r="D44" s="17"/>
      <c r="E44" s="18" t="s">
        <v>31</v>
      </c>
      <c r="F44" s="19" t="n">
        <v>45870</v>
      </c>
      <c r="G44" s="23" t="n">
        <f t="shared" si="2"/>
        <v>141016144</v>
      </c>
      <c r="H44" s="23"/>
      <c r="I44" s="20" t="n">
        <v>14208920</v>
      </c>
      <c r="J44" s="23" t="n">
        <f>MAX(Mcondomstable[[#This Row],[Stock on hand(opening balance)]]+Mcondomstable[[#This Row],[Quantity ]]-Mcondomstable[[#This Row],[Forecasted consumption]],0)</f>
        <v>126807224</v>
      </c>
      <c r="K44" s="2"/>
      <c r="L44" s="2"/>
      <c r="M44" s="18"/>
      <c r="N44" s="23"/>
      <c r="O44" s="2"/>
      <c r="P44" s="2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Mcondomstable[[#This Row],[Closing balance ]]/Mcondomstable[[#This Row],[Forecasted consumption]]</f>
        <v>8.9244801153078495</v>
      </c>
      <c r="X44" s="25"/>
    </row>
    <row r="45">
      <c r="B45" s="6" t="s">
        <v>76</v>
      </c>
      <c r="C45" s="18" t="s">
        <v>29</v>
      </c>
      <c r="D45" s="17"/>
      <c r="E45" s="18" t="s">
        <v>31</v>
      </c>
      <c r="F45" s="19" t="n">
        <v>45901</v>
      </c>
      <c r="G45" s="23" t="n">
        <f t="shared" si="2"/>
        <v>126807224</v>
      </c>
      <c r="H45" s="23"/>
      <c r="I45" s="20" t="n">
        <v>14208920</v>
      </c>
      <c r="J45" s="23" t="n">
        <f>MAX(Mcondomstable[[#This Row],[Stock on hand(opening balance)]]+Mcondomstable[[#This Row],[Quantity ]]-Mcondomstable[[#This Row],[Forecasted consumption]],0)</f>
        <v>148581168</v>
      </c>
      <c r="K45" s="2" t="s">
        <v>156</v>
      </c>
      <c r="L45" s="2" t="s">
        <v>156</v>
      </c>
      <c r="M45" s="18" t="s">
        <v>147</v>
      </c>
      <c r="N45" s="23" t="n">
        <v>35982864</v>
      </c>
      <c r="O45" s="2"/>
      <c r="P45" s="2" t="n">
        <v>1079485.92</v>
      </c>
      <c r="Q45" s="24" t="n">
        <v>45901</v>
      </c>
      <c r="R45" s="2"/>
      <c r="S45" s="2"/>
      <c r="T45" s="18" t="n">
        <v>3</v>
      </c>
      <c r="U45" s="18" t="n">
        <v>6</v>
      </c>
      <c r="V45" s="18" t="n">
        <v>6</v>
      </c>
      <c r="W45" s="3" t="n">
        <f>Mcondomstable[[#This Row],[Closing balance ]]/Mcondomstable[[#This Row],[Forecasted consumption]]</f>
        <v>10.456893838518338</v>
      </c>
      <c r="X45" s="25"/>
    </row>
    <row r="46">
      <c r="B46" s="6" t="s">
        <v>76</v>
      </c>
      <c r="C46" s="18" t="s">
        <v>29</v>
      </c>
      <c r="D46" s="17"/>
      <c r="E46" s="18" t="s">
        <v>31</v>
      </c>
      <c r="F46" s="19" t="n">
        <v>45931</v>
      </c>
      <c r="G46" s="23" t="n">
        <f t="shared" si="2"/>
        <v>148581168</v>
      </c>
      <c r="H46" s="23"/>
      <c r="I46" s="20" t="n">
        <v>14208920</v>
      </c>
      <c r="J46" s="23" t="n">
        <f>MAX(Mcondomstable[[#This Row],[Stock on hand(opening balance)]]+Mcondomstable[[#This Row],[Quantity ]]-Mcondomstable[[#This Row],[Forecasted consumption]],0)</f>
        <v>167549848</v>
      </c>
      <c r="K46" s="2"/>
      <c r="L46" s="2"/>
      <c r="M46" s="18" t="s">
        <v>147</v>
      </c>
      <c r="N46" s="23" t="n">
        <v>33177600</v>
      </c>
      <c r="O46" s="2"/>
      <c r="P46" s="2" t="n">
        <v>995328</v>
      </c>
      <c r="Q46" s="24" t="n">
        <v>45931</v>
      </c>
      <c r="R46" s="2"/>
      <c r="S46" s="2"/>
      <c r="T46" s="18" t="n">
        <v>3</v>
      </c>
      <c r="U46" s="18" t="n">
        <v>6</v>
      </c>
      <c r="V46" s="18" t="n">
        <v>6</v>
      </c>
      <c r="W46" s="3" t="n">
        <f>Mcondomstable[[#This Row],[Closing balance ]]/Mcondomstable[[#This Row],[Forecasted consumption]]</f>
        <v>11.791877778184409</v>
      </c>
      <c r="X46" s="25"/>
    </row>
    <row r="47">
      <c r="B47" s="6" t="s">
        <v>76</v>
      </c>
      <c r="C47" s="18" t="s">
        <v>29</v>
      </c>
      <c r="D47" s="17"/>
      <c r="E47" s="18" t="s">
        <v>31</v>
      </c>
      <c r="F47" s="19" t="n">
        <v>45962</v>
      </c>
      <c r="G47" s="23" t="n">
        <f t="shared" si="2"/>
        <v>167549848</v>
      </c>
      <c r="H47" s="23"/>
      <c r="I47" s="20" t="n">
        <v>14208920</v>
      </c>
      <c r="J47" s="23" t="n">
        <f>MAX(Mcondomstable[[#This Row],[Stock on hand(opening balance)]]+Mcondomstable[[#This Row],[Quantity ]]-Mcondomstable[[#This Row],[Forecasted consumption]],0)</f>
        <v>153340928</v>
      </c>
      <c r="K47" s="2"/>
      <c r="L47" s="2"/>
      <c r="M47" s="18"/>
      <c r="N47" s="23"/>
      <c r="O47" s="2"/>
      <c r="P47" s="2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Mcondomstable[[#This Row],[Closing balance ]]/Mcondomstable[[#This Row],[Forecasted consumption]]</f>
        <v>10.791877778184409</v>
      </c>
      <c r="X47" s="25"/>
    </row>
    <row r="48">
      <c r="B48" s="6" t="s">
        <v>76</v>
      </c>
      <c r="C48" s="18" t="s">
        <v>29</v>
      </c>
      <c r="D48" s="17"/>
      <c r="E48" s="18" t="s">
        <v>31</v>
      </c>
      <c r="F48" s="19" t="n">
        <v>45992</v>
      </c>
      <c r="G48" s="23" t="n">
        <f t="shared" si="2"/>
        <v>153340928</v>
      </c>
      <c r="H48" s="23"/>
      <c r="I48" s="20" t="n">
        <v>14208920</v>
      </c>
      <c r="J48" s="23" t="n">
        <f>MAX(Mcondomstable[[#This Row],[Stock on hand(opening balance)]]+Mcondomstable[[#This Row],[Quantity ]]-Mcondomstable[[#This Row],[Forecasted consumption]],0)</f>
        <v>139132008</v>
      </c>
      <c r="K48" s="2"/>
      <c r="L48" s="2"/>
      <c r="M48" s="18"/>
      <c r="N48" s="23"/>
      <c r="O48" s="2"/>
      <c r="P48" s="2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Mcondomstable[[#This Row],[Closing balance ]]/Mcondomstable[[#This Row],[Forecasted consumption]]</f>
        <v>9.7918777781844089</v>
      </c>
      <c r="X48" s="25"/>
    </row>
    <row r="49">
      <c r="B49" s="6" t="s">
        <v>76</v>
      </c>
      <c r="C49" s="18" t="s">
        <v>29</v>
      </c>
      <c r="D49" s="17"/>
      <c r="E49" s="18" t="s">
        <v>31</v>
      </c>
      <c r="F49" s="19" t="n">
        <v>46023</v>
      </c>
      <c r="G49" s="23" t="n">
        <f t="shared" si="2"/>
        <v>139132008</v>
      </c>
      <c r="H49" s="23"/>
      <c r="I49" s="20" t="n">
        <v>16576898</v>
      </c>
      <c r="J49" s="23" t="n">
        <f>MAX(Mcondomstable[[#This Row],[Stock on hand(opening balance)]]+Mcondomstable[[#This Row],[Quantity ]]-Mcondomstable[[#This Row],[Forecasted consumption]],0)</f>
        <v>122555110</v>
      </c>
      <c r="K49" s="2"/>
      <c r="L49" s="2"/>
      <c r="M49" s="18"/>
      <c r="N49" s="23"/>
      <c r="O49" s="2"/>
      <c r="P49" s="2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Mcondomstable[[#This Row],[Closing balance ]]/Mcondomstable[[#This Row],[Forecasted consumption]]</f>
        <v>7.3931268684889053</v>
      </c>
      <c r="X49" s="25"/>
    </row>
    <row r="50">
      <c r="B50" s="6" t="s">
        <v>76</v>
      </c>
      <c r="C50" s="18" t="s">
        <v>29</v>
      </c>
      <c r="D50" s="17"/>
      <c r="E50" s="18" t="s">
        <v>31</v>
      </c>
      <c r="F50" s="19" t="n">
        <v>46054</v>
      </c>
      <c r="G50" s="23" t="n">
        <f t="shared" si="2"/>
        <v>122555110</v>
      </c>
      <c r="H50" s="23"/>
      <c r="I50" s="20" t="n">
        <v>16576898</v>
      </c>
      <c r="J50" s="23" t="n">
        <f>MAX(Mcondomstable[[#This Row],[Stock on hand(opening balance)]]+Mcondomstable[[#This Row],[Quantity ]]-Mcondomstable[[#This Row],[Forecasted consumption]],0)</f>
        <v>105978212</v>
      </c>
      <c r="K50" s="2"/>
      <c r="L50" s="2"/>
      <c r="M50" s="18"/>
      <c r="N50" s="23"/>
      <c r="O50" s="2"/>
      <c r="P50" s="2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Mcondomstable[[#This Row],[Closing balance ]]/Mcondomstable[[#This Row],[Forecasted consumption]]</f>
        <v>6.3931268684889053</v>
      </c>
      <c r="X50" s="25"/>
    </row>
    <row r="51">
      <c r="B51" s="6" t="s">
        <v>76</v>
      </c>
      <c r="C51" s="18" t="s">
        <v>29</v>
      </c>
      <c r="D51" s="17"/>
      <c r="E51" s="18" t="s">
        <v>31</v>
      </c>
      <c r="F51" s="19" t="n">
        <v>46082</v>
      </c>
      <c r="G51" s="23" t="n">
        <f t="shared" si="2"/>
        <v>105978212</v>
      </c>
      <c r="H51" s="23"/>
      <c r="I51" s="20" t="n">
        <v>16576898</v>
      </c>
      <c r="J51" s="23" t="n">
        <f>MAX(Mcondomstable[[#This Row],[Stock on hand(opening balance)]]+Mcondomstable[[#This Row],[Quantity ]]-Mcondomstable[[#This Row],[Forecasted consumption]],0)</f>
        <v>89401314</v>
      </c>
      <c r="K51" s="2"/>
      <c r="L51" s="2"/>
      <c r="M51" s="18"/>
      <c r="N51" s="23"/>
      <c r="O51" s="2"/>
      <c r="P51" s="2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Mcondomstable[[#This Row],[Closing balance ]]/Mcondomstable[[#This Row],[Forecasted consumption]]</f>
        <v>5.3931268684889053</v>
      </c>
      <c r="X51" s="25"/>
    </row>
    <row r="52">
      <c r="B52" s="6" t="s">
        <v>76</v>
      </c>
      <c r="C52" s="18" t="s">
        <v>29</v>
      </c>
      <c r="D52" s="17"/>
      <c r="E52" s="18" t="s">
        <v>31</v>
      </c>
      <c r="F52" s="19" t="n">
        <v>46113</v>
      </c>
      <c r="G52" s="23" t="n">
        <f t="shared" si="2"/>
        <v>89401314</v>
      </c>
      <c r="H52" s="23"/>
      <c r="I52" s="20" t="n">
        <v>16576898</v>
      </c>
      <c r="J52" s="23" t="n">
        <f>MAX(Mcondomstable[[#This Row],[Stock on hand(opening balance)]]+Mcondomstable[[#This Row],[Quantity ]]-Mcondomstable[[#This Row],[Forecasted consumption]],0)</f>
        <v>72824416</v>
      </c>
      <c r="K52" s="2"/>
      <c r="L52" s="2"/>
      <c r="M52" s="18"/>
      <c r="N52" s="23"/>
      <c r="O52" s="2"/>
      <c r="P52" s="2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Mcondomstable[[#This Row],[Closing balance ]]/Mcondomstable[[#This Row],[Forecasted consumption]]</f>
        <v>4.3931268684889053</v>
      </c>
      <c r="X52" s="25"/>
    </row>
    <row r="53">
      <c r="B53" s="6" t="s">
        <v>76</v>
      </c>
      <c r="C53" s="18" t="s">
        <v>29</v>
      </c>
      <c r="D53" s="17"/>
      <c r="E53" s="18" t="s">
        <v>31</v>
      </c>
      <c r="F53" s="19" t="n">
        <v>46143</v>
      </c>
      <c r="G53" s="23" t="n">
        <f t="shared" si="2"/>
        <v>72824416</v>
      </c>
      <c r="H53" s="23"/>
      <c r="I53" s="20" t="n">
        <v>16576898</v>
      </c>
      <c r="J53" s="23" t="n">
        <f>MAX(Mcondomstable[[#This Row],[Stock on hand(opening balance)]]+Mcondomstable[[#This Row],[Quantity ]]-Mcondomstable[[#This Row],[Forecasted consumption]],0)</f>
        <v>56247518</v>
      </c>
      <c r="K53" s="2"/>
      <c r="L53" s="2"/>
      <c r="M53" s="18"/>
      <c r="N53" s="23"/>
      <c r="O53" s="2"/>
      <c r="P53" s="2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Mcondomstable[[#This Row],[Closing balance ]]/Mcondomstable[[#This Row],[Forecasted consumption]]</f>
        <v>3.3931268684889053</v>
      </c>
      <c r="X53" s="25"/>
    </row>
    <row r="54">
      <c r="B54" s="6" t="s">
        <v>76</v>
      </c>
      <c r="C54" s="18" t="s">
        <v>29</v>
      </c>
      <c r="D54" s="17"/>
      <c r="E54" s="18" t="s">
        <v>31</v>
      </c>
      <c r="F54" s="19" t="n">
        <v>46174</v>
      </c>
      <c r="G54" s="23" t="n">
        <f t="shared" si="2"/>
        <v>56247518</v>
      </c>
      <c r="H54" s="23"/>
      <c r="I54" s="20" t="n">
        <v>16576898</v>
      </c>
      <c r="J54" s="23" t="n">
        <f>MAX(Mcondomstable[[#This Row],[Stock on hand(opening balance)]]+Mcondomstable[[#This Row],[Quantity ]]-Mcondomstable[[#This Row],[Forecasted consumption]],0)</f>
        <v>39670620</v>
      </c>
      <c r="K54" s="2"/>
      <c r="L54" s="2"/>
      <c r="M54" s="18"/>
      <c r="N54" s="23"/>
      <c r="O54" s="2"/>
      <c r="P54" s="2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Mcondomstable[[#This Row],[Closing balance ]]/Mcondomstable[[#This Row],[Forecasted consumption]]</f>
        <v>2.3931268684889053</v>
      </c>
      <c r="X54" s="25"/>
    </row>
    <row r="55">
      <c r="B55" s="6" t="s">
        <v>76</v>
      </c>
      <c r="C55" s="18" t="s">
        <v>29</v>
      </c>
      <c r="D55" s="17"/>
      <c r="E55" s="18" t="s">
        <v>31</v>
      </c>
      <c r="F55" s="19" t="n">
        <v>46204</v>
      </c>
      <c r="G55" s="23" t="n">
        <f t="shared" si="2"/>
        <v>39670620</v>
      </c>
      <c r="H55" s="23"/>
      <c r="I55" s="20" t="n">
        <v>16576898</v>
      </c>
      <c r="J55" s="23" t="n">
        <f>MAX(Mcondomstable[[#This Row],[Stock on hand(opening balance)]]+Mcondomstable[[#This Row],[Quantity ]]-Mcondomstable[[#This Row],[Forecasted consumption]],0)</f>
        <v>23093722</v>
      </c>
      <c r="K55" s="2"/>
      <c r="L55" s="2"/>
      <c r="M55" s="18"/>
      <c r="N55" s="23"/>
      <c r="O55" s="2"/>
      <c r="P55" s="2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Mcondomstable[[#This Row],[Closing balance ]]/Mcondomstable[[#This Row],[Forecasted consumption]]</f>
        <v>1.3931268684889055</v>
      </c>
      <c r="X55" s="25"/>
    </row>
    <row r="56">
      <c r="B56" s="6" t="s">
        <v>76</v>
      </c>
      <c r="C56" s="18" t="s">
        <v>29</v>
      </c>
      <c r="D56" s="17"/>
      <c r="E56" s="18" t="s">
        <v>31</v>
      </c>
      <c r="F56" s="19" t="n">
        <v>46235</v>
      </c>
      <c r="G56" s="23" t="n">
        <f t="shared" si="2"/>
        <v>23093722</v>
      </c>
      <c r="H56" s="23"/>
      <c r="I56" s="20" t="n">
        <v>16576898</v>
      </c>
      <c r="J56" s="23" t="n">
        <f>MAX(Mcondomstable[[#This Row],[Stock on hand(opening balance)]]+Mcondomstable[[#This Row],[Quantity ]]-Mcondomstable[[#This Row],[Forecasted consumption]],0)</f>
        <v>6516824</v>
      </c>
      <c r="K56" s="2"/>
      <c r="L56" s="2"/>
      <c r="M56" s="18"/>
      <c r="N56" s="23"/>
      <c r="O56" s="2"/>
      <c r="P56" s="2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Mcondomstable[[#This Row],[Closing balance ]]/Mcondomstable[[#This Row],[Forecasted consumption]]</f>
        <v>0.39312686848890549</v>
      </c>
      <c r="X56" s="25"/>
    </row>
    <row r="57">
      <c r="B57" s="6" t="s">
        <v>76</v>
      </c>
      <c r="C57" s="18" t="s">
        <v>29</v>
      </c>
      <c r="D57" s="17"/>
      <c r="E57" s="18" t="s">
        <v>31</v>
      </c>
      <c r="F57" s="19" t="n">
        <v>46266</v>
      </c>
      <c r="G57" s="23" t="n">
        <f t="shared" si="2"/>
        <v>6516824</v>
      </c>
      <c r="H57" s="23"/>
      <c r="I57" s="20" t="n">
        <v>16576898</v>
      </c>
      <c r="J57" s="23" t="n">
        <f>MAX(Mcondomstable[[#This Row],[Stock on hand(opening balance)]]+Mcondomstable[[#This Row],[Quantity ]]-Mcondomstable[[#This Row],[Forecasted consumption]],0)</f>
        <v>0</v>
      </c>
      <c r="K57" s="2"/>
      <c r="L57" s="2"/>
      <c r="M57" s="18"/>
      <c r="N57" s="23"/>
      <c r="O57" s="2"/>
      <c r="P57" s="2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Mcondomstable[[#This Row],[Closing balance ]]/Mcondomstable[[#This Row],[Forecasted consumption]]</f>
        <v>0</v>
      </c>
      <c r="X57" s="25"/>
    </row>
    <row r="58">
      <c r="B58" s="6" t="s">
        <v>76</v>
      </c>
      <c r="C58" s="18" t="s">
        <v>29</v>
      </c>
      <c r="D58" s="17"/>
      <c r="E58" s="18" t="s">
        <v>31</v>
      </c>
      <c r="F58" s="19" t="n">
        <v>46296</v>
      </c>
      <c r="G58" s="23" t="n">
        <f t="shared" si="2"/>
        <v>0</v>
      </c>
      <c r="H58" s="23"/>
      <c r="I58" s="20" t="n">
        <v>16576898</v>
      </c>
      <c r="J58" s="23" t="n">
        <f>MAX(Mcondomstable[[#This Row],[Stock on hand(opening balance)]]+Mcondomstable[[#This Row],[Quantity ]]-Mcondomstable[[#This Row],[Forecasted consumption]],0)</f>
        <v>0</v>
      </c>
      <c r="K58" s="2"/>
      <c r="L58" s="2"/>
      <c r="M58" s="18"/>
      <c r="N58" s="23"/>
      <c r="O58" s="2"/>
      <c r="P58" s="2"/>
      <c r="Q58" s="24"/>
      <c r="R58" s="2"/>
      <c r="S58" s="2"/>
      <c r="T58" s="18" t="n">
        <v>3</v>
      </c>
      <c r="U58" s="18" t="n">
        <v>6</v>
      </c>
      <c r="V58" s="18" t="n">
        <v>6</v>
      </c>
      <c r="W58" s="3" t="n">
        <f>Mcondomstable[[#This Row],[Closing balance ]]/Mcondomstable[[#This Row],[Forecasted consumption]]</f>
        <v>0</v>
      </c>
      <c r="X58" s="25"/>
    </row>
    <row r="59">
      <c r="B59" s="6" t="s">
        <v>76</v>
      </c>
      <c r="C59" s="18" t="s">
        <v>29</v>
      </c>
      <c r="D59" s="17"/>
      <c r="E59" s="18" t="s">
        <v>31</v>
      </c>
      <c r="F59" s="19" t="n">
        <v>46327</v>
      </c>
      <c r="G59" s="23" t="n">
        <f t="shared" si="2"/>
        <v>0</v>
      </c>
      <c r="H59" s="23"/>
      <c r="I59" s="20" t="n">
        <v>16576898</v>
      </c>
      <c r="J59" s="23" t="n">
        <f>MAX(Mcondomstable[[#This Row],[Stock on hand(opening balance)]]+Mcondomstable[[#This Row],[Quantity ]]-Mcondomstable[[#This Row],[Forecasted consumption]],0)</f>
        <v>0</v>
      </c>
      <c r="K59" s="2"/>
      <c r="L59" s="2"/>
      <c r="M59" s="18"/>
      <c r="N59" s="23"/>
      <c r="O59" s="2"/>
      <c r="P59" s="2"/>
      <c r="Q59" s="24"/>
      <c r="R59" s="2"/>
      <c r="S59" s="2"/>
      <c r="T59" s="18" t="n">
        <v>3</v>
      </c>
      <c r="U59" s="18" t="n">
        <v>6</v>
      </c>
      <c r="V59" s="18" t="n">
        <v>6</v>
      </c>
      <c r="W59" s="3" t="n">
        <f>Mcondomstable[[#This Row],[Closing balance ]]/Mcondomstable[[#This Row],[Forecasted consumption]]</f>
        <v>0</v>
      </c>
      <c r="X59" s="25"/>
    </row>
    <row r="60">
      <c r="B60" s="6" t="s">
        <v>76</v>
      </c>
      <c r="C60" s="18" t="s">
        <v>29</v>
      </c>
      <c r="D60" s="17"/>
      <c r="E60" s="18" t="s">
        <v>31</v>
      </c>
      <c r="F60" s="19" t="n">
        <v>46357</v>
      </c>
      <c r="G60" s="23" t="n">
        <f t="shared" si="2"/>
        <v>0</v>
      </c>
      <c r="H60" s="23"/>
      <c r="I60" s="20" t="n">
        <v>16576898</v>
      </c>
      <c r="J60" s="23" t="n">
        <f>MAX(Mcondomstable[[#This Row],[Stock on hand(opening balance)]]+Mcondomstable[[#This Row],[Quantity ]]-Mcondomstable[[#This Row],[Forecasted consumption]],0)</f>
        <v>0</v>
      </c>
      <c r="K60" s="2"/>
      <c r="L60" s="2"/>
      <c r="M60" s="18"/>
      <c r="N60" s="23"/>
      <c r="O60" s="2"/>
      <c r="P60" s="2"/>
      <c r="Q60" s="24"/>
      <c r="R60" s="2"/>
      <c r="S60" s="2"/>
      <c r="T60" s="18" t="n">
        <v>3</v>
      </c>
      <c r="U60" s="18" t="n">
        <v>6</v>
      </c>
      <c r="V60" s="18" t="n">
        <v>6</v>
      </c>
      <c r="W60" s="3" t="n">
        <f>Mcondomstable[[#This Row],[Closing balance ]]/Mcondomstable[[#This Row],[Forecasted consumption]]</f>
        <v>0</v>
      </c>
      <c r="X60" s="25"/>
    </row>
    <row r="61">
      <c r="B61" s="6" t="s">
        <v>72</v>
      </c>
      <c r="C61" s="18" t="s">
        <v>29</v>
      </c>
      <c r="D61" s="17"/>
      <c r="E61" s="18" t="s">
        <v>31</v>
      </c>
      <c r="F61" s="19" t="n">
        <v>45689</v>
      </c>
      <c r="G61" s="23" t="n">
        <v>17368146</v>
      </c>
      <c r="H61" s="23"/>
      <c r="I61" s="23" t="n">
        <v>2556052</v>
      </c>
      <c r="J61" s="23" t="n">
        <f>MAX(Mcondomstable[[#This Row],[Stock on hand(opening balance)]]+Mcondomstable[[#This Row],[Quantity ]]-Mcondomstable[[#This Row],[Forecasted consumption]],0)</f>
        <v>14812094</v>
      </c>
      <c r="K61" s="2"/>
      <c r="L61" s="2"/>
      <c r="M61" s="18"/>
      <c r="N61" s="23"/>
      <c r="O61" s="2"/>
      <c r="P61" s="2"/>
      <c r="Q61" s="24"/>
      <c r="R61" s="2"/>
      <c r="S61" s="2"/>
      <c r="T61" s="2" t="n">
        <v>6</v>
      </c>
      <c r="U61" s="2" t="n">
        <v>12</v>
      </c>
      <c r="V61" s="18" t="n">
        <v>12</v>
      </c>
      <c r="W61" s="3" t="n">
        <f>Mcondomstable[[#This Row],[Closing balance ]]/Mcondomstable[[#This Row],[Forecasted consumption]]</f>
        <v>5.7949110581474867</v>
      </c>
      <c r="X61" s="25"/>
    </row>
    <row r="62">
      <c r="B62" s="6" t="s">
        <v>72</v>
      </c>
      <c r="C62" s="18" t="s">
        <v>29</v>
      </c>
      <c r="D62" s="17"/>
      <c r="E62" s="18" t="s">
        <v>31</v>
      </c>
      <c r="F62" s="19" t="n">
        <v>45717</v>
      </c>
      <c r="G62" s="23"/>
      <c r="H62" s="23"/>
      <c r="I62" s="23" t="n">
        <v>2556052</v>
      </c>
      <c r="J62" s="23" t="n">
        <f>MAX(Mcondomstable[[#This Row],[Stock on hand(opening balance)]]+Mcondomstable[[#This Row],[Quantity ]]-Mcondomstable[[#This Row],[Forecasted consumption]],0)</f>
        <v>0</v>
      </c>
      <c r="K62" s="2"/>
      <c r="L62" s="2"/>
      <c r="M62" s="18"/>
      <c r="N62" s="23"/>
      <c r="O62" s="2"/>
      <c r="P62" s="2"/>
      <c r="Q62" s="24"/>
      <c r="R62" s="2"/>
      <c r="S62" s="2"/>
      <c r="T62" s="2" t="n">
        <v>6</v>
      </c>
      <c r="U62" s="2" t="n">
        <v>12</v>
      </c>
      <c r="V62" s="18" t="n">
        <v>12</v>
      </c>
      <c r="W62" s="3" t="n">
        <f>Mcondomstable[[#This Row],[Closing balance ]]/Mcondomstable[[#This Row],[Forecasted consumption]]</f>
        <v>0</v>
      </c>
      <c r="X62" s="25"/>
    </row>
    <row r="63">
      <c r="B63" s="6" t="s">
        <v>72</v>
      </c>
      <c r="C63" s="18" t="s">
        <v>29</v>
      </c>
      <c r="D63" s="17"/>
      <c r="E63" s="18" t="s">
        <v>31</v>
      </c>
      <c r="F63" s="19" t="n">
        <v>45748</v>
      </c>
      <c r="G63" s="23"/>
      <c r="H63" s="23"/>
      <c r="I63" s="23" t="n">
        <v>2556052</v>
      </c>
      <c r="J63" s="23" t="n">
        <f>MAX(Mcondomstable[[#This Row],[Stock on hand(opening balance)]]+Mcondomstable[[#This Row],[Quantity ]]-Mcondomstable[[#This Row],[Forecasted consumption]],0)</f>
        <v>4139948</v>
      </c>
      <c r="K63" s="2" t="s">
        <v>161</v>
      </c>
      <c r="L63" s="2" t="s">
        <v>3</v>
      </c>
      <c r="M63" s="18" t="s">
        <v>153</v>
      </c>
      <c r="N63" s="23" t="n">
        <v>6696000</v>
      </c>
      <c r="O63" s="2"/>
      <c r="P63" s="2" t="n">
        <v>224986</v>
      </c>
      <c r="Q63" s="24" t="n">
        <v>45748</v>
      </c>
      <c r="R63" s="2"/>
      <c r="S63" s="2"/>
      <c r="T63" s="2" t="n">
        <v>6</v>
      </c>
      <c r="U63" s="2" t="n">
        <v>12</v>
      </c>
      <c r="V63" s="18" t="n">
        <v>12</v>
      </c>
      <c r="W63" s="3" t="n">
        <f>Mcondomstable[[#This Row],[Closing balance ]]/Mcondomstable[[#This Row],[Forecasted consumption]]</f>
        <v>1.6196650146397649</v>
      </c>
      <c r="X63" s="25"/>
    </row>
    <row r="64">
      <c r="B64" s="6" t="s">
        <v>72</v>
      </c>
      <c r="C64" s="18" t="s">
        <v>29</v>
      </c>
      <c r="D64" s="17"/>
      <c r="E64" s="18" t="s">
        <v>31</v>
      </c>
      <c r="F64" s="19" t="n">
        <v>45778</v>
      </c>
      <c r="G64" s="23"/>
      <c r="H64" s="23"/>
      <c r="I64" s="23" t="n">
        <v>2556052</v>
      </c>
      <c r="J64" s="23" t="n">
        <f>MAX(Mcondomstable[[#This Row],[Stock on hand(opening balance)]]+Mcondomstable[[#This Row],[Quantity ]]-Mcondomstable[[#This Row],[Forecasted consumption]],0)</f>
        <v>0</v>
      </c>
      <c r="K64" s="2"/>
      <c r="L64" s="2"/>
      <c r="M64" s="18"/>
      <c r="N64" s="23"/>
      <c r="O64" s="2"/>
      <c r="P64" s="2"/>
      <c r="Q64" s="24"/>
      <c r="R64" s="2"/>
      <c r="S64" s="2"/>
      <c r="T64" s="2" t="n">
        <v>6</v>
      </c>
      <c r="U64" s="2" t="n">
        <v>12</v>
      </c>
      <c r="V64" s="18" t="n">
        <v>12</v>
      </c>
      <c r="W64" s="3" t="n">
        <f>Mcondomstable[[#This Row],[Closing balance ]]/Mcondomstable[[#This Row],[Forecasted consumption]]</f>
        <v>0</v>
      </c>
      <c r="X64" s="25"/>
    </row>
    <row r="65">
      <c r="B65" s="6" t="s">
        <v>72</v>
      </c>
      <c r="C65" s="18" t="s">
        <v>29</v>
      </c>
      <c r="D65" s="17"/>
      <c r="E65" s="18" t="s">
        <v>31</v>
      </c>
      <c r="F65" s="19" t="n">
        <v>45809</v>
      </c>
      <c r="G65" s="23"/>
      <c r="H65" s="23"/>
      <c r="I65" s="23" t="n">
        <v>2556052</v>
      </c>
      <c r="J65" s="23" t="n">
        <f>MAX(Mcondomstable[[#This Row],[Stock on hand(opening balance)]]+Mcondomstable[[#This Row],[Quantity ]]-Mcondomstable[[#This Row],[Forecasted consumption]],0)</f>
        <v>0</v>
      </c>
      <c r="K65" s="2"/>
      <c r="L65" s="2"/>
      <c r="M65" s="18"/>
      <c r="N65" s="23"/>
      <c r="O65" s="2"/>
      <c r="P65" s="2"/>
      <c r="Q65" s="24"/>
      <c r="R65" s="2"/>
      <c r="S65" s="2"/>
      <c r="T65" s="2" t="n">
        <v>6</v>
      </c>
      <c r="U65" s="2" t="n">
        <v>12</v>
      </c>
      <c r="V65" s="18" t="n">
        <v>12</v>
      </c>
      <c r="W65" s="3" t="n">
        <f>Mcondomstable[[#This Row],[Closing balance ]]/Mcondomstable[[#This Row],[Forecasted consumption]]</f>
        <v>0</v>
      </c>
      <c r="X65" s="25"/>
    </row>
    <row r="66">
      <c r="B66" s="6" t="s">
        <v>72</v>
      </c>
      <c r="C66" s="18" t="s">
        <v>29</v>
      </c>
      <c r="D66" s="17"/>
      <c r="E66" s="18" t="s">
        <v>31</v>
      </c>
      <c r="F66" s="19" t="n">
        <v>45839</v>
      </c>
      <c r="G66" s="23"/>
      <c r="H66" s="23"/>
      <c r="I66" s="23" t="n">
        <v>2556052</v>
      </c>
      <c r="J66" s="23" t="n">
        <f>MAX(Mcondomstable[[#This Row],[Stock on hand(opening balance)]]+Mcondomstable[[#This Row],[Quantity ]]-Mcondomstable[[#This Row],[Forecasted consumption]],0)</f>
        <v>0</v>
      </c>
      <c r="K66" s="2"/>
      <c r="L66" s="2"/>
      <c r="M66" s="18"/>
      <c r="N66" s="23"/>
      <c r="O66" s="2"/>
      <c r="P66" s="2"/>
      <c r="Q66" s="24"/>
      <c r="R66" s="2"/>
      <c r="S66" s="2"/>
      <c r="T66" s="2" t="n">
        <v>6</v>
      </c>
      <c r="U66" s="2" t="n">
        <v>12</v>
      </c>
      <c r="V66" s="18" t="n">
        <v>12</v>
      </c>
      <c r="W66" s="3" t="n">
        <f>Mcondomstable[[#This Row],[Closing balance ]]/Mcondomstable[[#This Row],[Forecasted consumption]]</f>
        <v>0</v>
      </c>
      <c r="X66" s="25"/>
    </row>
    <row r="67">
      <c r="B67" s="6" t="s">
        <v>72</v>
      </c>
      <c r="C67" s="18" t="s">
        <v>29</v>
      </c>
      <c r="D67" s="17"/>
      <c r="E67" s="18" t="s">
        <v>31</v>
      </c>
      <c r="F67" s="19" t="n">
        <v>45870</v>
      </c>
      <c r="G67" s="23"/>
      <c r="H67" s="23"/>
      <c r="I67" s="23" t="n">
        <v>2556052</v>
      </c>
      <c r="J67" s="23" t="n">
        <f>MAX(Mcondomstable[[#This Row],[Stock on hand(opening balance)]]+Mcondomstable[[#This Row],[Quantity ]]-Mcondomstable[[#This Row],[Forecasted consumption]],0)</f>
        <v>0</v>
      </c>
      <c r="K67" s="2" t="s">
        <v>51</v>
      </c>
      <c r="L67" s="2" t="s">
        <v>146</v>
      </c>
      <c r="M67" s="18" t="s">
        <v>154</v>
      </c>
      <c r="N67" s="23" t="n">
        <v>2160000</v>
      </c>
      <c r="O67" s="2"/>
      <c r="P67" s="2" t="n">
        <v>72576</v>
      </c>
      <c r="Q67" s="24" t="n">
        <v>45870</v>
      </c>
      <c r="R67" s="2"/>
      <c r="S67" s="2"/>
      <c r="T67" s="2" t="n">
        <v>6</v>
      </c>
      <c r="U67" s="2" t="n">
        <v>12</v>
      </c>
      <c r="V67" s="18" t="n">
        <v>12</v>
      </c>
      <c r="W67" s="3" t="n">
        <f>Mcondomstable[[#This Row],[Closing balance ]]/Mcondomstable[[#This Row],[Forecasted consumption]]</f>
        <v>0</v>
      </c>
      <c r="X67" s="25"/>
    </row>
    <row r="68">
      <c r="B68" s="6" t="s">
        <v>72</v>
      </c>
      <c r="C68" s="18" t="s">
        <v>29</v>
      </c>
      <c r="D68" s="17"/>
      <c r="E68" s="18" t="s">
        <v>31</v>
      </c>
      <c r="F68" s="19" t="n">
        <v>45901</v>
      </c>
      <c r="G68" s="23"/>
      <c r="H68" s="23"/>
      <c r="I68" s="23" t="n">
        <v>2556052</v>
      </c>
      <c r="J68" s="23" t="n">
        <f>MAX(Mcondomstable[[#This Row],[Stock on hand(opening balance)]]+Mcondomstable[[#This Row],[Quantity ]]-Mcondomstable[[#This Row],[Forecasted consumption]],0)</f>
        <v>0</v>
      </c>
      <c r="K68" s="2"/>
      <c r="L68" s="2"/>
      <c r="M68" s="18"/>
      <c r="N68" s="23"/>
      <c r="O68" s="2"/>
      <c r="P68" s="2"/>
      <c r="Q68" s="24"/>
      <c r="R68" s="2"/>
      <c r="S68" s="2"/>
      <c r="T68" s="2" t="n">
        <v>6</v>
      </c>
      <c r="U68" s="2" t="n">
        <v>12</v>
      </c>
      <c r="V68" s="18" t="n">
        <v>12</v>
      </c>
      <c r="W68" s="3" t="n">
        <f>Mcondomstable[[#This Row],[Closing balance ]]/Mcondomstable[[#This Row],[Forecasted consumption]]</f>
        <v>0</v>
      </c>
      <c r="X68" s="25"/>
    </row>
    <row r="69">
      <c r="B69" s="6" t="s">
        <v>72</v>
      </c>
      <c r="C69" s="18" t="s">
        <v>29</v>
      </c>
      <c r="D69" s="17"/>
      <c r="E69" s="18" t="s">
        <v>31</v>
      </c>
      <c r="F69" s="19" t="n">
        <v>45931</v>
      </c>
      <c r="G69" s="23"/>
      <c r="H69" s="23"/>
      <c r="I69" s="23" t="n">
        <v>2556052</v>
      </c>
      <c r="J69" s="23" t="n">
        <f>MAX(Mcondomstable[[#This Row],[Stock on hand(opening balance)]]+Mcondomstable[[#This Row],[Quantity ]]-Mcondomstable[[#This Row],[Forecasted consumption]],0)</f>
        <v>0</v>
      </c>
      <c r="K69" s="2"/>
      <c r="L69" s="2"/>
      <c r="M69" s="18"/>
      <c r="N69" s="23"/>
      <c r="O69" s="2"/>
      <c r="P69" s="2"/>
      <c r="Q69" s="24"/>
      <c r="R69" s="2"/>
      <c r="S69" s="2"/>
      <c r="T69" s="2" t="n">
        <v>6</v>
      </c>
      <c r="U69" s="2" t="n">
        <v>12</v>
      </c>
      <c r="V69" s="18" t="n">
        <v>12</v>
      </c>
      <c r="W69" s="3" t="n">
        <f>Mcondomstable[[#This Row],[Closing balance ]]/Mcondomstable[[#This Row],[Forecasted consumption]]</f>
        <v>0</v>
      </c>
      <c r="X69" s="25"/>
    </row>
    <row r="70">
      <c r="B70" s="6" t="s">
        <v>72</v>
      </c>
      <c r="C70" s="18" t="s">
        <v>29</v>
      </c>
      <c r="D70" s="17"/>
      <c r="E70" s="18" t="s">
        <v>31</v>
      </c>
      <c r="F70" s="19" t="n">
        <v>45962</v>
      </c>
      <c r="G70" s="23"/>
      <c r="H70" s="23"/>
      <c r="I70" s="23" t="n">
        <v>2556052</v>
      </c>
      <c r="J70" s="23" t="n">
        <f>MAX(Mcondomstable[[#This Row],[Stock on hand(opening balance)]]+Mcondomstable[[#This Row],[Quantity ]]-Mcondomstable[[#This Row],[Forecasted consumption]],0)</f>
        <v>0</v>
      </c>
      <c r="K70" s="2"/>
      <c r="L70" s="2"/>
      <c r="M70" s="18"/>
      <c r="N70" s="23"/>
      <c r="O70" s="2"/>
      <c r="P70" s="2"/>
      <c r="Q70" s="24"/>
      <c r="R70" s="2"/>
      <c r="S70" s="2"/>
      <c r="T70" s="2" t="n">
        <v>6</v>
      </c>
      <c r="U70" s="2" t="n">
        <v>12</v>
      </c>
      <c r="V70" s="18" t="n">
        <v>12</v>
      </c>
      <c r="W70" s="3" t="n">
        <f>Mcondomstable[[#This Row],[Closing balance ]]/Mcondomstable[[#This Row],[Forecasted consumption]]</f>
        <v>0</v>
      </c>
      <c r="X70" s="25"/>
    </row>
    <row r="71">
      <c r="B71" s="6" t="s">
        <v>72</v>
      </c>
      <c r="C71" s="18" t="s">
        <v>29</v>
      </c>
      <c r="D71" s="17"/>
      <c r="E71" s="18" t="s">
        <v>31</v>
      </c>
      <c r="F71" s="19" t="n">
        <v>45992</v>
      </c>
      <c r="G71" s="23"/>
      <c r="H71" s="23"/>
      <c r="I71" s="23" t="n">
        <v>2556052</v>
      </c>
      <c r="J71" s="23" t="n">
        <f>MAX(Mcondomstable[[#This Row],[Stock on hand(opening balance)]]+Mcondomstable[[#This Row],[Quantity ]]-Mcondomstable[[#This Row],[Forecasted consumption]],0)</f>
        <v>0</v>
      </c>
      <c r="K71" s="2"/>
      <c r="L71" s="2"/>
      <c r="M71" s="18"/>
      <c r="N71" s="23"/>
      <c r="O71" s="2"/>
      <c r="P71" s="2"/>
      <c r="Q71" s="24"/>
      <c r="R71" s="2"/>
      <c r="S71" s="2"/>
      <c r="T71" s="2" t="n">
        <v>6</v>
      </c>
      <c r="U71" s="2" t="n">
        <v>12</v>
      </c>
      <c r="V71" s="18" t="n">
        <v>12</v>
      </c>
      <c r="W71" s="3" t="n">
        <f>Mcondomstable[[#This Row],[Closing balance ]]/Mcondomstable[[#This Row],[Forecasted consumption]]</f>
        <v>0</v>
      </c>
      <c r="X71" s="25"/>
    </row>
    <row r="72">
      <c r="B72" s="6" t="s">
        <v>72</v>
      </c>
      <c r="C72" s="18" t="s">
        <v>29</v>
      </c>
      <c r="D72" s="17"/>
      <c r="E72" s="18" t="s">
        <v>31</v>
      </c>
      <c r="F72" s="19" t="n">
        <v>46023</v>
      </c>
      <c r="G72" s="23"/>
      <c r="H72" s="23"/>
      <c r="I72" s="23" t="n">
        <v>2556052</v>
      </c>
      <c r="J72" s="23" t="n">
        <f>MAX(Mcondomstable[[#This Row],[Stock on hand(opening balance)]]+Mcondomstable[[#This Row],[Quantity ]]-Mcondomstable[[#This Row],[Forecasted consumption]],0)</f>
        <v>15793376</v>
      </c>
      <c r="K72" s="2" t="s">
        <v>2</v>
      </c>
      <c r="L72" s="2" t="s">
        <v>2</v>
      </c>
      <c r="M72" s="18" t="s">
        <v>4</v>
      </c>
      <c r="N72" s="23" t="n">
        <v>18349428</v>
      </c>
      <c r="O72" s="2"/>
      <c r="P72" s="2" t="n">
        <v>616540</v>
      </c>
      <c r="Q72" s="24" t="n">
        <v>46023</v>
      </c>
      <c r="R72" s="2"/>
      <c r="S72" s="2"/>
      <c r="T72" s="2" t="n">
        <v>6</v>
      </c>
      <c r="U72" s="2" t="n">
        <v>12</v>
      </c>
      <c r="V72" s="18" t="n">
        <v>12</v>
      </c>
      <c r="W72" s="3" t="n">
        <f>Mcondomstable[[#This Row],[Closing balance ]]/Mcondomstable[[#This Row],[Forecasted consumption]]</f>
        <v>6.1788163934067066</v>
      </c>
      <c r="X72" s="25"/>
    </row>
    <row r="73">
      <c r="B73" s="6" t="s">
        <v>72</v>
      </c>
      <c r="C73" s="18" t="s">
        <v>29</v>
      </c>
      <c r="D73" s="17"/>
      <c r="E73" s="18" t="s">
        <v>31</v>
      </c>
      <c r="F73" s="19" t="n">
        <v>46054</v>
      </c>
      <c r="G73" s="23"/>
      <c r="H73" s="23"/>
      <c r="I73" s="23" t="n">
        <v>2556052</v>
      </c>
      <c r="J73" s="23" t="n">
        <f>MAX(Mcondomstable[[#This Row],[Stock on hand(opening balance)]]+Mcondomstable[[#This Row],[Quantity ]]-Mcondomstable[[#This Row],[Forecasted consumption]],0)</f>
        <v>0</v>
      </c>
      <c r="K73" s="2"/>
      <c r="L73" s="2"/>
      <c r="M73" s="18"/>
      <c r="N73" s="23"/>
      <c r="O73" s="2"/>
      <c r="P73" s="2"/>
      <c r="Q73" s="24"/>
      <c r="R73" s="2"/>
      <c r="S73" s="2"/>
      <c r="T73" s="2" t="n">
        <v>6</v>
      </c>
      <c r="U73" s="2" t="n">
        <v>12</v>
      </c>
      <c r="V73" s="18" t="n">
        <v>12</v>
      </c>
      <c r="W73" s="3" t="n">
        <f>Mcondomstable[[#This Row],[Closing balance ]]/Mcondomstable[[#This Row],[Forecasted consumption]]</f>
        <v>0</v>
      </c>
      <c r="X73" s="25"/>
    </row>
    <row r="74">
      <c r="B74" s="6" t="s">
        <v>72</v>
      </c>
      <c r="C74" s="18" t="s">
        <v>29</v>
      </c>
      <c r="D74" s="17"/>
      <c r="E74" s="18" t="s">
        <v>31</v>
      </c>
      <c r="F74" s="19" t="n">
        <v>46082</v>
      </c>
      <c r="G74" s="23"/>
      <c r="H74" s="23"/>
      <c r="I74" s="23" t="n">
        <v>2556052</v>
      </c>
      <c r="J74" s="23" t="n">
        <f>MAX(Mcondomstable[[#This Row],[Stock on hand(opening balance)]]+Mcondomstable[[#This Row],[Quantity ]]-Mcondomstable[[#This Row],[Forecasted consumption]],0)</f>
        <v>0</v>
      </c>
      <c r="K74" s="2"/>
      <c r="L74" s="2"/>
      <c r="M74" s="18"/>
      <c r="N74" s="23"/>
      <c r="O74" s="2"/>
      <c r="P74" s="2"/>
      <c r="Q74" s="24"/>
      <c r="R74" s="2"/>
      <c r="S74" s="2"/>
      <c r="T74" s="2" t="n">
        <v>6</v>
      </c>
      <c r="U74" s="2" t="n">
        <v>12</v>
      </c>
      <c r="V74" s="18" t="n">
        <v>12</v>
      </c>
      <c r="W74" s="3" t="n">
        <f>Mcondomstable[[#This Row],[Closing balance ]]/Mcondomstable[[#This Row],[Forecasted consumption]]</f>
        <v>0</v>
      </c>
      <c r="X74" s="25"/>
    </row>
    <row r="75">
      <c r="B75" s="6" t="s">
        <v>72</v>
      </c>
      <c r="C75" s="18" t="s">
        <v>29</v>
      </c>
      <c r="D75" s="17"/>
      <c r="E75" s="18" t="s">
        <v>31</v>
      </c>
      <c r="F75" s="19" t="n">
        <v>46113</v>
      </c>
      <c r="G75" s="23"/>
      <c r="H75" s="23"/>
      <c r="I75" s="23" t="n">
        <v>2556052</v>
      </c>
      <c r="J75" s="23" t="n">
        <f>MAX(Mcondomstable[[#This Row],[Stock on hand(opening balance)]]+Mcondomstable[[#This Row],[Quantity ]]-Mcondomstable[[#This Row],[Forecasted consumption]],0)</f>
        <v>0</v>
      </c>
      <c r="K75" s="2"/>
      <c r="L75" s="2"/>
      <c r="M75" s="18"/>
      <c r="N75" s="23"/>
      <c r="O75" s="2"/>
      <c r="P75" s="2"/>
      <c r="Q75" s="24"/>
      <c r="R75" s="2"/>
      <c r="S75" s="2"/>
      <c r="T75" s="2" t="n">
        <v>6</v>
      </c>
      <c r="U75" s="2" t="n">
        <v>12</v>
      </c>
      <c r="V75" s="18" t="n">
        <v>12</v>
      </c>
      <c r="W75" s="3" t="n">
        <f>Mcondomstable[[#This Row],[Closing balance ]]/Mcondomstable[[#This Row],[Forecasted consumption]]</f>
        <v>0</v>
      </c>
      <c r="X75" s="25"/>
    </row>
    <row r="76">
      <c r="B76" s="6" t="s">
        <v>72</v>
      </c>
      <c r="C76" s="18" t="s">
        <v>29</v>
      </c>
      <c r="D76" s="17"/>
      <c r="E76" s="18" t="s">
        <v>31</v>
      </c>
      <c r="F76" s="19" t="n">
        <v>46143</v>
      </c>
      <c r="G76" s="23"/>
      <c r="H76" s="23"/>
      <c r="I76" s="23" t="n">
        <v>2556052</v>
      </c>
      <c r="J76" s="23" t="n">
        <f>MAX(Mcondomstable[[#This Row],[Stock on hand(opening balance)]]+Mcondomstable[[#This Row],[Quantity ]]-Mcondomstable[[#This Row],[Forecasted consumption]],0)</f>
        <v>0</v>
      </c>
      <c r="K76" s="2"/>
      <c r="L76" s="2"/>
      <c r="M76" s="18"/>
      <c r="N76" s="23"/>
      <c r="O76" s="2"/>
      <c r="P76" s="2"/>
      <c r="Q76" s="24"/>
      <c r="R76" s="2"/>
      <c r="S76" s="2"/>
      <c r="T76" s="2" t="n">
        <v>6</v>
      </c>
      <c r="U76" s="2" t="n">
        <v>12</v>
      </c>
      <c r="V76" s="18" t="n">
        <v>12</v>
      </c>
      <c r="W76" s="3" t="n">
        <f>Mcondomstable[[#This Row],[Closing balance ]]/Mcondomstable[[#This Row],[Forecasted consumption]]</f>
        <v>0</v>
      </c>
      <c r="X76" s="25"/>
    </row>
    <row r="77">
      <c r="B77" s="6" t="s">
        <v>72</v>
      </c>
      <c r="C77" s="18" t="s">
        <v>29</v>
      </c>
      <c r="D77" s="17"/>
      <c r="E77" s="18" t="s">
        <v>31</v>
      </c>
      <c r="F77" s="19" t="n">
        <v>46174</v>
      </c>
      <c r="G77" s="23"/>
      <c r="H77" s="23"/>
      <c r="I77" s="23" t="n">
        <v>2556052</v>
      </c>
      <c r="J77" s="23" t="n">
        <f>MAX(Mcondomstable[[#This Row],[Stock on hand(opening balance)]]+Mcondomstable[[#This Row],[Quantity ]]-Mcondomstable[[#This Row],[Forecasted consumption]],0)</f>
        <v>0</v>
      </c>
      <c r="K77" s="2"/>
      <c r="L77" s="2"/>
      <c r="M77" s="18"/>
      <c r="N77" s="23"/>
      <c r="O77" s="2"/>
      <c r="P77" s="2"/>
      <c r="Q77" s="24"/>
      <c r="R77" s="2"/>
      <c r="S77" s="2"/>
      <c r="T77" s="2" t="n">
        <v>6</v>
      </c>
      <c r="U77" s="2" t="n">
        <v>12</v>
      </c>
      <c r="V77" s="18" t="n">
        <v>12</v>
      </c>
      <c r="W77" s="3" t="n">
        <f>Mcondomstable[[#This Row],[Closing balance ]]/Mcondomstable[[#This Row],[Forecasted consumption]]</f>
        <v>0</v>
      </c>
      <c r="X77" s="25"/>
    </row>
    <row r="78">
      <c r="B78" s="6" t="s">
        <v>72</v>
      </c>
      <c r="C78" s="18" t="s">
        <v>29</v>
      </c>
      <c r="D78" s="17"/>
      <c r="E78" s="18" t="s">
        <v>31</v>
      </c>
      <c r="F78" s="19" t="n">
        <v>46204</v>
      </c>
      <c r="G78" s="23"/>
      <c r="H78" s="23"/>
      <c r="I78" s="23" t="n">
        <v>2556052</v>
      </c>
      <c r="J78" s="23" t="n">
        <f>MAX(Mcondomstable[[#This Row],[Stock on hand(opening balance)]]+Mcondomstable[[#This Row],[Quantity ]]-Mcondomstable[[#This Row],[Forecasted consumption]],0)</f>
        <v>16740599</v>
      </c>
      <c r="K78" s="2" t="s">
        <v>2</v>
      </c>
      <c r="L78" s="2" t="s">
        <v>2</v>
      </c>
      <c r="M78" s="18" t="s">
        <v>4</v>
      </c>
      <c r="N78" s="23" t="n">
        <v>19296651</v>
      </c>
      <c r="O78" s="2"/>
      <c r="P78" s="2" t="n">
        <v>648368</v>
      </c>
      <c r="Q78" s="24" t="n">
        <v>46204</v>
      </c>
      <c r="R78" s="2"/>
      <c r="S78" s="2"/>
      <c r="T78" s="2" t="n">
        <v>6</v>
      </c>
      <c r="U78" s="2" t="n">
        <v>12</v>
      </c>
      <c r="V78" s="18" t="n">
        <v>12</v>
      </c>
      <c r="W78" s="3" t="n">
        <f>Mcondomstable[[#This Row],[Closing balance ]]/Mcondomstable[[#This Row],[Forecasted consumption]]</f>
        <v>6.5493968823795443</v>
      </c>
      <c r="X78" s="25"/>
    </row>
    <row r="79">
      <c r="B79" s="6" t="s">
        <v>72</v>
      </c>
      <c r="C79" s="18" t="s">
        <v>29</v>
      </c>
      <c r="D79" s="17"/>
      <c r="E79" s="18" t="s">
        <v>31</v>
      </c>
      <c r="F79" s="19" t="n">
        <v>46235</v>
      </c>
      <c r="G79" s="23"/>
      <c r="H79" s="23"/>
      <c r="I79" s="23" t="n">
        <v>2556052</v>
      </c>
      <c r="J79" s="23" t="n">
        <f>MAX(Mcondomstable[[#This Row],[Stock on hand(opening balance)]]+Mcondomstable[[#This Row],[Quantity ]]-Mcondomstable[[#This Row],[Forecasted consumption]],0)</f>
        <v>0</v>
      </c>
      <c r="K79" s="2"/>
      <c r="L79" s="2"/>
      <c r="M79" s="18"/>
      <c r="N79" s="23"/>
      <c r="O79" s="2"/>
      <c r="P79" s="2"/>
      <c r="Q79" s="24"/>
      <c r="R79" s="2"/>
      <c r="S79" s="2"/>
      <c r="T79" s="2" t="n">
        <v>6</v>
      </c>
      <c r="U79" s="2" t="n">
        <v>12</v>
      </c>
      <c r="V79" s="18" t="n">
        <v>12</v>
      </c>
      <c r="W79" s="3" t="n">
        <f>Mcondomstable[[#This Row],[Closing balance ]]/Mcondomstable[[#This Row],[Forecasted consumption]]</f>
        <v>0</v>
      </c>
      <c r="X79" s="25"/>
    </row>
    <row r="80">
      <c r="B80" s="6" t="s">
        <v>72</v>
      </c>
      <c r="C80" s="18" t="s">
        <v>29</v>
      </c>
      <c r="D80" s="17"/>
      <c r="E80" s="18" t="s">
        <v>31</v>
      </c>
      <c r="F80" s="19" t="n">
        <v>46266</v>
      </c>
      <c r="G80" s="23"/>
      <c r="H80" s="23"/>
      <c r="I80" s="23" t="n">
        <v>2556052</v>
      </c>
      <c r="J80" s="23" t="n">
        <f>MAX(Mcondomstable[[#This Row],[Stock on hand(opening balance)]]+Mcondomstable[[#This Row],[Quantity ]]-Mcondomstable[[#This Row],[Forecasted consumption]],0)</f>
        <v>0</v>
      </c>
      <c r="K80" s="2"/>
      <c r="L80" s="2"/>
      <c r="M80" s="18"/>
      <c r="N80" s="23"/>
      <c r="O80" s="2"/>
      <c r="P80" s="2"/>
      <c r="Q80" s="24"/>
      <c r="R80" s="2"/>
      <c r="S80" s="2"/>
      <c r="T80" s="2" t="n">
        <v>6</v>
      </c>
      <c r="U80" s="2" t="n">
        <v>12</v>
      </c>
      <c r="V80" s="18" t="n">
        <v>12</v>
      </c>
      <c r="W80" s="3" t="n">
        <f>Mcondomstable[[#This Row],[Closing balance ]]/Mcondomstable[[#This Row],[Forecasted consumption]]</f>
        <v>0</v>
      </c>
      <c r="X80" s="25"/>
    </row>
    <row r="81">
      <c r="B81" s="6" t="s">
        <v>72</v>
      </c>
      <c r="C81" s="18" t="s">
        <v>29</v>
      </c>
      <c r="D81" s="17"/>
      <c r="E81" s="18" t="s">
        <v>31</v>
      </c>
      <c r="F81" s="19" t="n">
        <v>46296</v>
      </c>
      <c r="G81" s="23"/>
      <c r="H81" s="23"/>
      <c r="I81" s="23" t="n">
        <v>2556052</v>
      </c>
      <c r="J81" s="23" t="n">
        <f>MAX(Mcondomstable[[#This Row],[Stock on hand(opening balance)]]+Mcondomstable[[#This Row],[Quantity ]]-Mcondomstable[[#This Row],[Forecasted consumption]],0)</f>
        <v>0</v>
      </c>
      <c r="K81" s="2"/>
      <c r="L81" s="2"/>
      <c r="M81" s="18"/>
      <c r="N81" s="23"/>
      <c r="O81" s="2"/>
      <c r="P81" s="2"/>
      <c r="Q81" s="24"/>
      <c r="R81" s="2"/>
      <c r="S81" s="2"/>
      <c r="T81" s="2" t="n">
        <v>6</v>
      </c>
      <c r="U81" s="2" t="n">
        <v>12</v>
      </c>
      <c r="V81" s="18" t="n">
        <v>12</v>
      </c>
      <c r="W81" s="3" t="n">
        <f>Mcondomstable[[#This Row],[Closing balance ]]/Mcondomstable[[#This Row],[Forecasted consumption]]</f>
        <v>0</v>
      </c>
      <c r="X81" s="25"/>
    </row>
    <row r="82">
      <c r="B82" s="6" t="s">
        <v>72</v>
      </c>
      <c r="C82" s="18" t="s">
        <v>29</v>
      </c>
      <c r="D82" s="17"/>
      <c r="E82" s="18" t="s">
        <v>31</v>
      </c>
      <c r="F82" s="19" t="n">
        <v>46327</v>
      </c>
      <c r="G82" s="23"/>
      <c r="H82" s="23"/>
      <c r="I82" s="23" t="n">
        <v>2556052</v>
      </c>
      <c r="J82" s="23" t="n">
        <f>MAX(Mcondomstable[[#This Row],[Stock on hand(opening balance)]]+Mcondomstable[[#This Row],[Quantity ]]-Mcondomstable[[#This Row],[Forecasted consumption]],0)</f>
        <v>0</v>
      </c>
      <c r="K82" s="2"/>
      <c r="L82" s="2"/>
      <c r="M82" s="18"/>
      <c r="N82" s="23"/>
      <c r="O82" s="2"/>
      <c r="P82" s="2"/>
      <c r="Q82" s="24"/>
      <c r="R82" s="2"/>
      <c r="S82" s="2"/>
      <c r="T82" s="2" t="n">
        <v>6</v>
      </c>
      <c r="U82" s="2" t="n">
        <v>12</v>
      </c>
      <c r="V82" s="18" t="n">
        <v>12</v>
      </c>
      <c r="W82" s="3" t="n">
        <f>Mcondomstable[[#This Row],[Closing balance ]]/Mcondomstable[[#This Row],[Forecasted consumption]]</f>
        <v>0</v>
      </c>
      <c r="X82" s="25"/>
    </row>
    <row r="83">
      <c r="B83" s="6" t="s">
        <v>72</v>
      </c>
      <c r="C83" s="18" t="s">
        <v>29</v>
      </c>
      <c r="D83" s="17"/>
      <c r="E83" s="18" t="s">
        <v>31</v>
      </c>
      <c r="F83" s="19" t="n">
        <v>46357</v>
      </c>
      <c r="G83" s="23"/>
      <c r="H83" s="23"/>
      <c r="I83" s="23" t="n">
        <v>2556052</v>
      </c>
      <c r="J83" s="23" t="n">
        <f>MAX(Mcondomstable[[#This Row],[Stock on hand(opening balance)]]+Mcondomstable[[#This Row],[Quantity ]]-Mcondomstable[[#This Row],[Forecasted consumption]],0)</f>
        <v>12870812</v>
      </c>
      <c r="K83" s="2" t="s">
        <v>162</v>
      </c>
      <c r="L83" s="2" t="s">
        <v>162</v>
      </c>
      <c r="M83" s="18" t="s">
        <v>147</v>
      </c>
      <c r="N83" s="23" t="n">
        <v>15426864</v>
      </c>
      <c r="O83" s="2"/>
      <c r="P83" s="2" t="n">
        <v>518343</v>
      </c>
      <c r="Q83" s="24" t="n">
        <v>46357</v>
      </c>
      <c r="R83" s="2"/>
      <c r="S83" s="2"/>
      <c r="T83" s="2" t="n">
        <v>6</v>
      </c>
      <c r="U83" s="2" t="n">
        <v>12</v>
      </c>
      <c r="V83" s="18" t="n">
        <v>12</v>
      </c>
      <c r="W83" s="3" t="n">
        <f>Mcondomstable[[#This Row],[Closing balance ]]/Mcondomstable[[#This Row],[Forecasted consumption]]</f>
        <v>5.0354265093198416</v>
      </c>
      <c r="X83" s="25"/>
    </row>
    <row r="84">
      <c r="B84" s="6" t="s">
        <v>77</v>
      </c>
      <c r="C84" s="18" t="s">
        <v>29</v>
      </c>
      <c r="D84" s="17"/>
      <c r="E84" s="18" t="s">
        <v>31</v>
      </c>
      <c r="F84" s="19" t="n">
        <v>45839</v>
      </c>
      <c r="G84" s="23" t="n">
        <v>3400970</v>
      </c>
      <c r="H84" s="23"/>
      <c r="I84" s="23" t="n">
        <v>2035293</v>
      </c>
      <c r="J84" s="23" t="n">
        <f>MAX(Mcondomstable[[#This Row],[Stock on hand(opening balance)]]+Mcondomstable[[#This Row],[Quantity ]]-Mcondomstable[[#This Row],[Forecasted consumption]],0)</f>
        <v>1365677</v>
      </c>
      <c r="K84" s="2"/>
      <c r="L84" s="2"/>
      <c r="M84" s="2"/>
      <c r="N84" s="23"/>
      <c r="O84" s="2"/>
      <c r="P84" s="2"/>
      <c r="Q84" s="24"/>
      <c r="R84" s="2"/>
      <c r="S84" s="2"/>
      <c r="T84" s="18" t="n">
        <v>6</v>
      </c>
      <c r="U84" s="18" t="n">
        <v>12</v>
      </c>
      <c r="V84" s="18" t="n">
        <v>12</v>
      </c>
      <c r="W84" s="3" t="n">
        <f>Mcondomstable[[#This Row],[Closing balance ]]/Mcondomstable[[#This Row],[Forecasted consumption]]</f>
        <v>0.67099773840916266</v>
      </c>
      <c r="X84" s="25"/>
    </row>
    <row r="85">
      <c r="B85" s="6" t="s">
        <v>77</v>
      </c>
      <c r="C85" s="18" t="s">
        <v>29</v>
      </c>
      <c r="D85" s="17"/>
      <c r="E85" s="18" t="s">
        <v>31</v>
      </c>
      <c r="F85" s="19" t="n">
        <v>45870</v>
      </c>
      <c r="G85" s="23" t="n">
        <f>J84</f>
        <v>1365677</v>
      </c>
      <c r="H85" s="23"/>
      <c r="I85" s="23" t="n">
        <v>2035293</v>
      </c>
      <c r="J85" s="23" t="n">
        <f>MAX(Mcondomstable[[#This Row],[Stock on hand(opening balance)]]+Mcondomstable[[#This Row],[Quantity ]]-Mcondomstable[[#This Row],[Forecasted consumption]],0)</f>
        <v>0</v>
      </c>
      <c r="K85" s="2"/>
      <c r="L85" s="2"/>
      <c r="M85" s="2"/>
      <c r="N85" s="23"/>
      <c r="O85" s="2"/>
      <c r="P85" s="2"/>
      <c r="Q85" s="24"/>
      <c r="R85" s="2"/>
      <c r="S85" s="2"/>
      <c r="T85" s="18" t="n">
        <v>6</v>
      </c>
      <c r="U85" s="18" t="n">
        <v>12</v>
      </c>
      <c r="V85" s="18" t="n">
        <v>12</v>
      </c>
      <c r="W85" s="3" t="n">
        <f>Mcondomstable[[#This Row],[Closing balance ]]/Mcondomstable[[#This Row],[Forecasted consumption]]</f>
        <v>0</v>
      </c>
      <c r="X85" s="25"/>
    </row>
    <row r="86">
      <c r="B86" s="6" t="s">
        <v>77</v>
      </c>
      <c r="C86" s="18" t="s">
        <v>29</v>
      </c>
      <c r="D86" s="17"/>
      <c r="E86" s="18" t="s">
        <v>31</v>
      </c>
      <c r="F86" s="19" t="n">
        <v>45901</v>
      </c>
      <c r="G86" s="23" t="n">
        <f t="shared" ref="G86:G95" si="3">J85</f>
        <v>0</v>
      </c>
      <c r="H86" s="23"/>
      <c r="I86" s="23" t="n">
        <v>2035293</v>
      </c>
      <c r="J86" s="23" t="n">
        <f>MAX(Mcondomstable[[#This Row],[Stock on hand(opening balance)]]+Mcondomstable[[#This Row],[Quantity ]]-Mcondomstable[[#This Row],[Forecasted consumption]],0)</f>
        <v>7310307</v>
      </c>
      <c r="K86" s="2" t="s">
        <v>51</v>
      </c>
      <c r="L86" s="2" t="s">
        <v>146</v>
      </c>
      <c r="M86" s="2" t="s">
        <v>154</v>
      </c>
      <c r="N86" s="23" t="n">
        <v>9345600</v>
      </c>
      <c r="O86" s="2"/>
      <c r="P86" s="2"/>
      <c r="Q86" s="24"/>
      <c r="R86" s="2"/>
      <c r="S86" s="2"/>
      <c r="T86" s="18" t="n">
        <v>6</v>
      </c>
      <c r="U86" s="18" t="n">
        <v>12</v>
      </c>
      <c r="V86" s="18" t="n">
        <v>12</v>
      </c>
      <c r="W86" s="3" t="n">
        <f>Mcondomstable[[#This Row],[Closing balance ]]/Mcondomstable[[#This Row],[Forecasted consumption]]</f>
        <v>3.5917713076200823</v>
      </c>
      <c r="X86" s="25"/>
    </row>
    <row r="87">
      <c r="B87" s="6" t="s">
        <v>77</v>
      </c>
      <c r="C87" s="18" t="s">
        <v>29</v>
      </c>
      <c r="D87" s="17"/>
      <c r="E87" s="18" t="s">
        <v>31</v>
      </c>
      <c r="F87" s="19" t="n">
        <v>45931</v>
      </c>
      <c r="G87" s="23" t="n">
        <f t="shared" si="3"/>
        <v>7310307</v>
      </c>
      <c r="H87" s="23"/>
      <c r="I87" s="23" t="n">
        <v>2035293</v>
      </c>
      <c r="J87" s="23" t="n">
        <f>MAX(Mcondomstable[[#This Row],[Stock on hand(opening balance)]]+Mcondomstable[[#This Row],[Quantity ]]-Mcondomstable[[#This Row],[Forecasted consumption]],0)</f>
        <v>5275014</v>
      </c>
      <c r="K87" s="2"/>
      <c r="L87" s="2"/>
      <c r="M87" s="2"/>
      <c r="N87" s="23"/>
      <c r="O87" s="2"/>
      <c r="P87" s="2"/>
      <c r="Q87" s="24"/>
      <c r="R87" s="2"/>
      <c r="S87" s="2"/>
      <c r="T87" s="18" t="n">
        <v>6</v>
      </c>
      <c r="U87" s="18" t="n">
        <v>12</v>
      </c>
      <c r="V87" s="18" t="n">
        <v>12</v>
      </c>
      <c r="W87" s="3" t="n">
        <f>Mcondomstable[[#This Row],[Closing balance ]]/Mcondomstable[[#This Row],[Forecasted consumption]]</f>
        <v>2.5917713076200823</v>
      </c>
      <c r="X87" s="25"/>
    </row>
    <row r="88">
      <c r="B88" s="6" t="s">
        <v>77</v>
      </c>
      <c r="C88" s="18" t="s">
        <v>29</v>
      </c>
      <c r="D88" s="17"/>
      <c r="E88" s="18" t="s">
        <v>31</v>
      </c>
      <c r="F88" s="19" t="n">
        <v>45962</v>
      </c>
      <c r="G88" s="23" t="n">
        <f t="shared" si="3"/>
        <v>5275014</v>
      </c>
      <c r="H88" s="23"/>
      <c r="I88" s="23" t="n">
        <v>2035293</v>
      </c>
      <c r="J88" s="23" t="n">
        <f>MAX(Mcondomstable[[#This Row],[Stock on hand(opening balance)]]+Mcondomstable[[#This Row],[Quantity ]]-Mcondomstable[[#This Row],[Forecasted consumption]],0)</f>
        <v>24304579</v>
      </c>
      <c r="K88" s="2" t="s">
        <v>155</v>
      </c>
      <c r="L88" s="2" t="s">
        <v>155</v>
      </c>
      <c r="M88" s="2" t="s">
        <v>147</v>
      </c>
      <c r="N88" s="23" t="n">
        <v>21064858</v>
      </c>
      <c r="O88" s="2"/>
      <c r="P88" s="2"/>
      <c r="Q88" s="24"/>
      <c r="R88" s="2"/>
      <c r="S88" s="2"/>
      <c r="T88" s="18" t="n">
        <v>6</v>
      </c>
      <c r="U88" s="18" t="n">
        <v>12</v>
      </c>
      <c r="V88" s="18" t="n">
        <v>12</v>
      </c>
      <c r="W88" s="3" t="n">
        <f>Mcondomstable[[#This Row],[Closing balance ]]/Mcondomstable[[#This Row],[Forecasted consumption]]</f>
        <v>11.9415627135749</v>
      </c>
      <c r="X88" s="25"/>
    </row>
    <row r="89">
      <c r="B89" s="6" t="s">
        <v>77</v>
      </c>
      <c r="C89" s="18" t="s">
        <v>29</v>
      </c>
      <c r="D89" s="17"/>
      <c r="E89" s="18" t="s">
        <v>31</v>
      </c>
      <c r="F89" s="19" t="n">
        <v>45992</v>
      </c>
      <c r="G89" s="23" t="n">
        <f t="shared" si="3"/>
        <v>24304579</v>
      </c>
      <c r="H89" s="23"/>
      <c r="I89" s="23" t="n">
        <v>2035293</v>
      </c>
      <c r="J89" s="23" t="n">
        <f>MAX(Mcondomstable[[#This Row],[Stock on hand(opening balance)]]+Mcondomstable[[#This Row],[Quantity ]]-Mcondomstable[[#This Row],[Forecasted consumption]],0)</f>
        <v>22269286</v>
      </c>
      <c r="K89" s="2"/>
      <c r="L89" s="2"/>
      <c r="M89" s="2"/>
      <c r="N89" s="23"/>
      <c r="O89" s="2"/>
      <c r="P89" s="2"/>
      <c r="Q89" s="24"/>
      <c r="R89" s="2"/>
      <c r="S89" s="2"/>
      <c r="T89" s="18" t="n">
        <v>6</v>
      </c>
      <c r="U89" s="18" t="n">
        <v>12</v>
      </c>
      <c r="V89" s="18" t="n">
        <v>12</v>
      </c>
      <c r="W89" s="3" t="n">
        <f>Mcondomstable[[#This Row],[Closing balance ]]/Mcondomstable[[#This Row],[Forecasted consumption]]</f>
        <v>10.9415627135749</v>
      </c>
      <c r="X89" s="25"/>
    </row>
    <row r="90">
      <c r="B90" s="6" t="s">
        <v>77</v>
      </c>
      <c r="C90" s="18" t="s">
        <v>29</v>
      </c>
      <c r="D90" s="17"/>
      <c r="E90" s="18" t="s">
        <v>31</v>
      </c>
      <c r="F90" s="19" t="n">
        <v>46023</v>
      </c>
      <c r="G90" s="23" t="n">
        <f t="shared" si="3"/>
        <v>22269286</v>
      </c>
      <c r="H90" s="23"/>
      <c r="I90" s="23" t="n">
        <v>2035293</v>
      </c>
      <c r="J90" s="23" t="n">
        <f>MAX(Mcondomstable[[#This Row],[Stock on hand(opening balance)]]+Mcondomstable[[#This Row],[Quantity ]]-Mcondomstable[[#This Row],[Forecasted consumption]],0)</f>
        <v>20233993</v>
      </c>
      <c r="K90" s="2"/>
      <c r="L90" s="2"/>
      <c r="M90" s="2"/>
      <c r="N90" s="23"/>
      <c r="O90" s="2"/>
      <c r="P90" s="2"/>
      <c r="Q90" s="24"/>
      <c r="R90" s="2"/>
      <c r="S90" s="2"/>
      <c r="T90" s="18" t="n">
        <v>6</v>
      </c>
      <c r="U90" s="18" t="n">
        <v>12</v>
      </c>
      <c r="V90" s="18" t="n">
        <v>12</v>
      </c>
      <c r="W90" s="3" t="n">
        <f>Mcondomstable[[#This Row],[Closing balance ]]/Mcondomstable[[#This Row],[Forecasted consumption]]</f>
        <v>9.9415627135748998</v>
      </c>
      <c r="X90" s="25"/>
    </row>
    <row r="91">
      <c r="B91" s="6" t="s">
        <v>77</v>
      </c>
      <c r="C91" s="18" t="s">
        <v>29</v>
      </c>
      <c r="D91" s="17"/>
      <c r="E91" s="18" t="s">
        <v>31</v>
      </c>
      <c r="F91" s="19" t="n">
        <v>46054</v>
      </c>
      <c r="G91" s="23" t="n">
        <f t="shared" si="3"/>
        <v>20233993</v>
      </c>
      <c r="H91" s="23"/>
      <c r="I91" s="23" t="n">
        <v>2035293</v>
      </c>
      <c r="J91" s="23" t="n">
        <f>MAX(Mcondomstable[[#This Row],[Stock on hand(opening balance)]]+Mcondomstable[[#This Row],[Quantity ]]-Mcondomstable[[#This Row],[Forecasted consumption]],0)</f>
        <v>18198700</v>
      </c>
      <c r="K91" s="2"/>
      <c r="L91" s="2"/>
      <c r="M91" s="2"/>
      <c r="N91" s="23"/>
      <c r="O91" s="2"/>
      <c r="P91" s="2"/>
      <c r="Q91" s="24"/>
      <c r="R91" s="2"/>
      <c r="S91" s="2"/>
      <c r="T91" s="18" t="n">
        <v>6</v>
      </c>
      <c r="U91" s="18" t="n">
        <v>12</v>
      </c>
      <c r="V91" s="18" t="n">
        <v>12</v>
      </c>
      <c r="W91" s="3" t="n">
        <f>Mcondomstable[[#This Row],[Closing balance ]]/Mcondomstable[[#This Row],[Forecasted consumption]]</f>
        <v>8.9415627135748998</v>
      </c>
      <c r="X91" s="25"/>
    </row>
    <row r="92">
      <c r="B92" s="6" t="s">
        <v>77</v>
      </c>
      <c r="C92" s="18" t="s">
        <v>29</v>
      </c>
      <c r="D92" s="17"/>
      <c r="E92" s="18" t="s">
        <v>31</v>
      </c>
      <c r="F92" s="19" t="n">
        <v>46082</v>
      </c>
      <c r="G92" s="23" t="n">
        <f t="shared" si="3"/>
        <v>18198700</v>
      </c>
      <c r="H92" s="23"/>
      <c r="I92" s="23" t="n">
        <v>2035293</v>
      </c>
      <c r="J92" s="23" t="n">
        <f>MAX(Mcondomstable[[#This Row],[Stock on hand(opening balance)]]+Mcondomstable[[#This Row],[Quantity ]]-Mcondomstable[[#This Row],[Forecasted consumption]],0)</f>
        <v>16163407</v>
      </c>
      <c r="K92" s="2"/>
      <c r="L92" s="2"/>
      <c r="M92" s="2"/>
      <c r="N92" s="23"/>
      <c r="O92" s="2"/>
      <c r="P92" s="2"/>
      <c r="Q92" s="24"/>
      <c r="R92" s="2"/>
      <c r="S92" s="2"/>
      <c r="T92" s="18" t="n">
        <v>6</v>
      </c>
      <c r="U92" s="18" t="n">
        <v>12</v>
      </c>
      <c r="V92" s="18" t="n">
        <v>12</v>
      </c>
      <c r="W92" s="3" t="n">
        <f>Mcondomstable[[#This Row],[Closing balance ]]/Mcondomstable[[#This Row],[Forecasted consumption]]</f>
        <v>7.9415627135749007</v>
      </c>
      <c r="X92" s="25"/>
    </row>
    <row r="93">
      <c r="B93" s="6" t="s">
        <v>77</v>
      </c>
      <c r="C93" s="18" t="s">
        <v>29</v>
      </c>
      <c r="D93" s="17"/>
      <c r="E93" s="18" t="s">
        <v>31</v>
      </c>
      <c r="F93" s="19" t="n">
        <v>46113</v>
      </c>
      <c r="G93" s="23" t="n">
        <f t="shared" si="3"/>
        <v>16163407</v>
      </c>
      <c r="H93" s="23"/>
      <c r="I93" s="23" t="n">
        <v>2035293</v>
      </c>
      <c r="J93" s="23" t="n">
        <f>MAX(Mcondomstable[[#This Row],[Stock on hand(opening balance)]]+Mcondomstable[[#This Row],[Quantity ]]-Mcondomstable[[#This Row],[Forecasted consumption]],0)</f>
        <v>14128114</v>
      </c>
      <c r="K93" s="2"/>
      <c r="L93" s="2"/>
      <c r="M93" s="2"/>
      <c r="N93" s="23"/>
      <c r="O93" s="2"/>
      <c r="P93" s="2"/>
      <c r="Q93" s="24"/>
      <c r="R93" s="2"/>
      <c r="S93" s="2"/>
      <c r="T93" s="18" t="n">
        <v>6</v>
      </c>
      <c r="U93" s="18" t="n">
        <v>12</v>
      </c>
      <c r="V93" s="18" t="n">
        <v>12</v>
      </c>
      <c r="W93" s="3" t="n">
        <f>Mcondomstable[[#This Row],[Closing balance ]]/Mcondomstable[[#This Row],[Forecasted consumption]]</f>
        <v>6.9415627135749007</v>
      </c>
      <c r="X93" s="25"/>
    </row>
    <row r="94">
      <c r="B94" s="6" t="s">
        <v>77</v>
      </c>
      <c r="C94" s="18" t="s">
        <v>29</v>
      </c>
      <c r="D94" s="17"/>
      <c r="E94" s="18" t="s">
        <v>31</v>
      </c>
      <c r="F94" s="19" t="n">
        <v>46143</v>
      </c>
      <c r="G94" s="23" t="n">
        <f t="shared" si="3"/>
        <v>14128114</v>
      </c>
      <c r="H94" s="23"/>
      <c r="I94" s="23" t="n">
        <v>2035293</v>
      </c>
      <c r="J94" s="23" t="n">
        <f>MAX(Mcondomstable[[#This Row],[Stock on hand(opening balance)]]+Mcondomstable[[#This Row],[Quantity ]]-Mcondomstable[[#This Row],[Forecasted consumption]],0)</f>
        <v>12092821</v>
      </c>
      <c r="K94" s="2"/>
      <c r="L94" s="2"/>
      <c r="M94" s="2"/>
      <c r="N94" s="23"/>
      <c r="O94" s="2"/>
      <c r="P94" s="2"/>
      <c r="Q94" s="24"/>
      <c r="R94" s="2"/>
      <c r="S94" s="2"/>
      <c r="T94" s="18" t="n">
        <v>6</v>
      </c>
      <c r="U94" s="18" t="n">
        <v>12</v>
      </c>
      <c r="V94" s="18" t="n">
        <v>12</v>
      </c>
      <c r="W94" s="3" t="n">
        <f>Mcondomstable[[#This Row],[Closing balance ]]/Mcondomstable[[#This Row],[Forecasted consumption]]</f>
        <v>5.9415627135749007</v>
      </c>
      <c r="X94" s="25"/>
    </row>
    <row r="95">
      <c r="B95" s="6" t="s">
        <v>77</v>
      </c>
      <c r="C95" s="18" t="s">
        <v>29</v>
      </c>
      <c r="D95" s="17"/>
      <c r="E95" s="18" t="s">
        <v>31</v>
      </c>
      <c r="F95" s="19" t="n">
        <v>46174</v>
      </c>
      <c r="G95" s="23" t="n">
        <f t="shared" si="3"/>
        <v>12092821</v>
      </c>
      <c r="H95" s="23"/>
      <c r="I95" s="23" t="n">
        <v>2035293</v>
      </c>
      <c r="J95" s="23" t="n">
        <f>MAX(Mcondomstable[[#This Row],[Stock on hand(opening balance)]]+Mcondomstable[[#This Row],[Quantity ]]-Mcondomstable[[#This Row],[Forecasted consumption]],0)</f>
        <v>10057528</v>
      </c>
      <c r="K95" s="2"/>
      <c r="L95" s="2"/>
      <c r="M95" s="2"/>
      <c r="N95" s="23"/>
      <c r="O95" s="2"/>
      <c r="P95" s="2"/>
      <c r="Q95" s="24"/>
      <c r="R95" s="2"/>
      <c r="S95" s="2"/>
      <c r="T95" s="18" t="n">
        <v>6</v>
      </c>
      <c r="U95" s="18" t="n">
        <v>12</v>
      </c>
      <c r="V95" s="18" t="n">
        <v>12</v>
      </c>
      <c r="W95" s="3" t="n">
        <f>Mcondomstable[[#This Row],[Closing balance ]]/Mcondomstable[[#This Row],[Forecasted consumption]]</f>
        <v>4.9415627135749007</v>
      </c>
      <c r="X95" s="25"/>
    </row>
    <row r="96">
      <c r="B96" s="6" t="s">
        <v>166</v>
      </c>
      <c r="C96" s="18" t="s">
        <v>29</v>
      </c>
      <c r="D96" s="17"/>
      <c r="E96" s="18" t="s">
        <v>31</v>
      </c>
      <c r="F96" s="19" t="n">
        <v>45748</v>
      </c>
      <c r="G96" s="20" t="n">
        <v>7265492</v>
      </c>
      <c r="H96" s="20"/>
      <c r="I96" s="20" t="n">
        <v>329036</v>
      </c>
      <c r="J96" s="20" t="n">
        <f>MAX(Mcondomstable[[#This Row],[Stock on hand(opening balance)]]+Mcondomstable[[#This Row],[Quantity ]]-Mcondomstable[[#This Row],[Forecasted consumption]],0)</f>
        <v>6936456</v>
      </c>
      <c r="K96" s="18"/>
      <c r="L96" s="18"/>
      <c r="M96" s="18"/>
      <c r="N96" s="20"/>
      <c r="O96" s="18"/>
      <c r="P96" s="18"/>
      <c r="Q96" s="19"/>
      <c r="R96" s="18"/>
      <c r="S96" s="18"/>
      <c r="T96" s="18" t="n">
        <v>9</v>
      </c>
      <c r="U96" s="18" t="n">
        <v>15</v>
      </c>
      <c r="V96" s="18" t="n">
        <v>15</v>
      </c>
      <c r="W96" s="21" t="n">
        <f>Mcondomstable[[#This Row],[Closing balance ]]/Mcondomstable[[#This Row],[Forecasted consumption]]</f>
        <v>21.081146135985119</v>
      </c>
      <c r="X96" s="22"/>
    </row>
    <row r="97">
      <c r="B97" s="6" t="s">
        <v>166</v>
      </c>
      <c r="C97" s="18" t="s">
        <v>29</v>
      </c>
      <c r="D97" s="17"/>
      <c r="E97" s="18" t="s">
        <v>31</v>
      </c>
      <c r="F97" s="19" t="n">
        <v>45778</v>
      </c>
      <c r="G97" s="23" t="n">
        <f>J96</f>
        <v>6936456</v>
      </c>
      <c r="H97" s="23"/>
      <c r="I97" s="20" t="n">
        <v>329036</v>
      </c>
      <c r="J97" s="23" t="n">
        <f>MAX(Mcondomstable[[#This Row],[Stock on hand(opening balance)]]+Mcondomstable[[#This Row],[Quantity ]]-Mcondomstable[[#This Row],[Forecasted consumption]],0)</f>
        <v>6607420</v>
      </c>
      <c r="K97" s="2"/>
      <c r="L97" s="2"/>
      <c r="M97" s="2"/>
      <c r="N97" s="23"/>
      <c r="O97" s="2"/>
      <c r="P97" s="2"/>
      <c r="Q97" s="24"/>
      <c r="R97" s="2"/>
      <c r="S97" s="2"/>
      <c r="T97" s="18" t="n">
        <v>9</v>
      </c>
      <c r="U97" s="18" t="n">
        <v>15</v>
      </c>
      <c r="V97" s="18" t="n">
        <v>15</v>
      </c>
      <c r="W97" s="3" t="n">
        <f>Mcondomstable[[#This Row],[Closing balance ]]/Mcondomstable[[#This Row],[Forecasted consumption]]</f>
        <v>20.081146135985119</v>
      </c>
      <c r="X97" s="25"/>
    </row>
    <row r="98">
      <c r="B98" s="6" t="s">
        <v>166</v>
      </c>
      <c r="C98" s="18" t="s">
        <v>29</v>
      </c>
      <c r="D98" s="17"/>
      <c r="E98" s="18" t="s">
        <v>31</v>
      </c>
      <c r="F98" s="19" t="n">
        <v>45809</v>
      </c>
      <c r="G98" s="23" t="n">
        <f t="shared" ref="G98:G104" si="4">J97</f>
        <v>6607420</v>
      </c>
      <c r="H98" s="23"/>
      <c r="I98" s="20" t="n">
        <v>329036</v>
      </c>
      <c r="J98" s="23" t="n">
        <f>MAX(Mcondomstable[[#This Row],[Stock on hand(opening balance)]]+Mcondomstable[[#This Row],[Quantity ]]-Mcondomstable[[#This Row],[Forecasted consumption]],0)</f>
        <v>6278384</v>
      </c>
      <c r="K98" s="2"/>
      <c r="L98" s="2"/>
      <c r="M98" s="2"/>
      <c r="N98" s="23"/>
      <c r="O98" s="2"/>
      <c r="P98" s="2"/>
      <c r="Q98" s="24"/>
      <c r="R98" s="2"/>
      <c r="S98" s="2"/>
      <c r="T98" s="18" t="n">
        <v>9</v>
      </c>
      <c r="U98" s="18" t="n">
        <v>15</v>
      </c>
      <c r="V98" s="18" t="n">
        <v>15</v>
      </c>
      <c r="W98" s="3" t="n">
        <f>Mcondomstable[[#This Row],[Closing balance ]]/Mcondomstable[[#This Row],[Forecasted consumption]]</f>
        <v>19.081146135985119</v>
      </c>
      <c r="X98" s="25"/>
    </row>
    <row r="99">
      <c r="B99" s="6" t="s">
        <v>166</v>
      </c>
      <c r="C99" s="18" t="s">
        <v>29</v>
      </c>
      <c r="D99" s="17"/>
      <c r="E99" s="18" t="s">
        <v>31</v>
      </c>
      <c r="F99" s="19" t="n">
        <v>45839</v>
      </c>
      <c r="G99" s="23" t="n">
        <f t="shared" si="4"/>
        <v>6278384</v>
      </c>
      <c r="H99" s="23"/>
      <c r="I99" s="20" t="n">
        <v>329036</v>
      </c>
      <c r="J99" s="23" t="n">
        <f>MAX(Mcondomstable[[#This Row],[Stock on hand(opening balance)]]+Mcondomstable[[#This Row],[Quantity ]]-Mcondomstable[[#This Row],[Forecasted consumption]],0)</f>
        <v>5949348</v>
      </c>
      <c r="K99" s="2"/>
      <c r="L99" s="2"/>
      <c r="M99" s="2"/>
      <c r="N99" s="23"/>
      <c r="O99" s="2"/>
      <c r="P99" s="2"/>
      <c r="Q99" s="24"/>
      <c r="R99" s="2"/>
      <c r="S99" s="2"/>
      <c r="T99" s="18" t="n">
        <v>9</v>
      </c>
      <c r="U99" s="18" t="n">
        <v>15</v>
      </c>
      <c r="V99" s="18" t="n">
        <v>15</v>
      </c>
      <c r="W99" s="3" t="n">
        <f>Mcondomstable[[#This Row],[Closing balance ]]/Mcondomstable[[#This Row],[Forecasted consumption]]</f>
        <v>18.081146135985119</v>
      </c>
      <c r="X99" s="25"/>
    </row>
    <row r="100">
      <c r="B100" s="6" t="s">
        <v>166</v>
      </c>
      <c r="C100" s="18" t="s">
        <v>29</v>
      </c>
      <c r="D100" s="17"/>
      <c r="E100" s="18" t="s">
        <v>31</v>
      </c>
      <c r="F100" s="19" t="n">
        <v>45870</v>
      </c>
      <c r="G100" s="23" t="n">
        <f t="shared" si="4"/>
        <v>5949348</v>
      </c>
      <c r="H100" s="23"/>
      <c r="I100" s="20" t="n">
        <v>329036</v>
      </c>
      <c r="J100" s="23" t="n">
        <f>MAX(Mcondomstable[[#This Row],[Stock on hand(opening balance)]]+Mcondomstable[[#This Row],[Quantity ]]-Mcondomstable[[#This Row],[Forecasted consumption]],0)</f>
        <v>5620312</v>
      </c>
      <c r="K100" s="2"/>
      <c r="L100" s="2"/>
      <c r="M100" s="2"/>
      <c r="N100" s="23"/>
      <c r="O100" s="2"/>
      <c r="P100" s="2"/>
      <c r="Q100" s="24"/>
      <c r="R100" s="2"/>
      <c r="S100" s="2"/>
      <c r="T100" s="18" t="n">
        <v>9</v>
      </c>
      <c r="U100" s="18" t="n">
        <v>15</v>
      </c>
      <c r="V100" s="18" t="n">
        <v>15</v>
      </c>
      <c r="W100" s="3" t="n">
        <f>Mcondomstable[[#This Row],[Closing balance ]]/Mcondomstable[[#This Row],[Forecasted consumption]]</f>
        <v>17.081146135985119</v>
      </c>
      <c r="X100" s="25"/>
    </row>
    <row r="101">
      <c r="B101" s="6" t="s">
        <v>166</v>
      </c>
      <c r="C101" s="18" t="s">
        <v>29</v>
      </c>
      <c r="D101" s="17"/>
      <c r="E101" s="18" t="s">
        <v>31</v>
      </c>
      <c r="F101" s="19" t="n">
        <v>45901</v>
      </c>
      <c r="G101" s="23" t="n">
        <f t="shared" si="4"/>
        <v>5620312</v>
      </c>
      <c r="H101" s="23"/>
      <c r="I101" s="20" t="n">
        <v>329036</v>
      </c>
      <c r="J101" s="23" t="n">
        <f>MAX(Mcondomstable[[#This Row],[Stock on hand(opening balance)]]+Mcondomstable[[#This Row],[Quantity ]]-Mcondomstable[[#This Row],[Forecasted consumption]],0)</f>
        <v>5291276</v>
      </c>
      <c r="K101" s="2"/>
      <c r="L101" s="2"/>
      <c r="M101" s="2"/>
      <c r="N101" s="23"/>
      <c r="O101" s="2"/>
      <c r="P101" s="2"/>
      <c r="Q101" s="24"/>
      <c r="R101" s="2"/>
      <c r="S101" s="2"/>
      <c r="T101" s="18" t="n">
        <v>9</v>
      </c>
      <c r="U101" s="18" t="n">
        <v>15</v>
      </c>
      <c r="V101" s="18" t="n">
        <v>15</v>
      </c>
      <c r="W101" s="3" t="n">
        <f>Mcondomstable[[#This Row],[Closing balance ]]/Mcondomstable[[#This Row],[Forecasted consumption]]</f>
        <v>16.081146135985119</v>
      </c>
      <c r="X101" s="25"/>
    </row>
    <row r="102">
      <c r="B102" s="6" t="s">
        <v>166</v>
      </c>
      <c r="C102" s="18" t="s">
        <v>29</v>
      </c>
      <c r="D102" s="17"/>
      <c r="E102" s="18" t="s">
        <v>31</v>
      </c>
      <c r="F102" s="19" t="n">
        <v>45931</v>
      </c>
      <c r="G102" s="23" t="n">
        <f t="shared" si="4"/>
        <v>5291276</v>
      </c>
      <c r="H102" s="23"/>
      <c r="I102" s="20" t="n">
        <v>329036</v>
      </c>
      <c r="J102" s="23" t="n">
        <f>MAX(Mcondomstable[[#This Row],[Stock on hand(opening balance)]]+Mcondomstable[[#This Row],[Quantity ]]-Mcondomstable[[#This Row],[Forecasted consumption]],0)</f>
        <v>4962240</v>
      </c>
      <c r="K102" s="2"/>
      <c r="L102" s="2"/>
      <c r="M102" s="2"/>
      <c r="N102" s="23"/>
      <c r="O102" s="2"/>
      <c r="P102" s="2"/>
      <c r="Q102" s="24"/>
      <c r="R102" s="2"/>
      <c r="S102" s="2"/>
      <c r="T102" s="18" t="n">
        <v>9</v>
      </c>
      <c r="U102" s="18" t="n">
        <v>15</v>
      </c>
      <c r="V102" s="18" t="n">
        <v>15</v>
      </c>
      <c r="W102" s="3" t="n">
        <f>Mcondomstable[[#This Row],[Closing balance ]]/Mcondomstable[[#This Row],[Forecasted consumption]]</f>
        <v>15.08114613598512</v>
      </c>
      <c r="X102" s="25"/>
    </row>
    <row r="103">
      <c r="B103" s="6" t="s">
        <v>166</v>
      </c>
      <c r="C103" s="18" t="s">
        <v>29</v>
      </c>
      <c r="D103" s="17"/>
      <c r="E103" s="18" t="s">
        <v>31</v>
      </c>
      <c r="F103" s="19" t="n">
        <v>45962</v>
      </c>
      <c r="G103" s="23" t="n">
        <f t="shared" si="4"/>
        <v>4962240</v>
      </c>
      <c r="H103" s="23"/>
      <c r="I103" s="20" t="n">
        <v>329036</v>
      </c>
      <c r="J103" s="23" t="n">
        <f>MAX(Mcondomstable[[#This Row],[Stock on hand(opening balance)]]+Mcondomstable[[#This Row],[Quantity ]]-Mcondomstable[[#This Row],[Forecasted consumption]],0)</f>
        <v>4633204</v>
      </c>
      <c r="K103" s="2"/>
      <c r="L103" s="2"/>
      <c r="M103" s="2"/>
      <c r="N103" s="23"/>
      <c r="O103" s="2"/>
      <c r="P103" s="2"/>
      <c r="Q103" s="24"/>
      <c r="R103" s="2"/>
      <c r="S103" s="2"/>
      <c r="T103" s="18" t="n">
        <v>9</v>
      </c>
      <c r="U103" s="18" t="n">
        <v>15</v>
      </c>
      <c r="V103" s="18" t="n">
        <v>15</v>
      </c>
      <c r="W103" s="3" t="n">
        <f>Mcondomstable[[#This Row],[Closing balance ]]/Mcondomstable[[#This Row],[Forecasted consumption]]</f>
        <v>14.08114613598512</v>
      </c>
      <c r="X103" s="25"/>
    </row>
    <row r="104">
      <c r="B104" s="6" t="s">
        <v>166</v>
      </c>
      <c r="C104" s="18" t="s">
        <v>29</v>
      </c>
      <c r="D104" s="17"/>
      <c r="E104" s="18" t="s">
        <v>31</v>
      </c>
      <c r="F104" s="19" t="n">
        <v>45992</v>
      </c>
      <c r="G104" s="23" t="n">
        <f t="shared" si="4"/>
        <v>4633204</v>
      </c>
      <c r="H104" s="23"/>
      <c r="I104" s="20" t="n">
        <v>329036</v>
      </c>
      <c r="J104" s="23" t="n">
        <f>MAX(Mcondomstable[[#This Row],[Stock on hand(opening balance)]]+Mcondomstable[[#This Row],[Quantity ]]-Mcondomstable[[#This Row],[Forecasted consumption]],0)</f>
        <v>4304168</v>
      </c>
      <c r="K104" s="2"/>
      <c r="L104" s="2"/>
      <c r="M104" s="2"/>
      <c r="N104" s="23"/>
      <c r="O104" s="2"/>
      <c r="P104" s="2"/>
      <c r="Q104" s="24"/>
      <c r="R104" s="2"/>
      <c r="S104" s="2"/>
      <c r="T104" s="18" t="n">
        <v>9</v>
      </c>
      <c r="U104" s="18" t="n">
        <v>15</v>
      </c>
      <c r="V104" s="18" t="n">
        <v>15</v>
      </c>
      <c r="W104" s="3" t="n">
        <f>Mcondomstable[[#This Row],[Closing balance ]]/Mcondomstable[[#This Row],[Forecasted consumption]]</f>
        <v>13.08114613598512</v>
      </c>
      <c r="X104" s="25"/>
    </row>
  </sheetData>
  <dataValidations count="3">
    <dataValidation type="list" allowBlank="1" showInputMessage="1" showErrorMessage="1" sqref="M84:M190" xr:uid="{4FE093CE-BCE3-411F-B022-8D7FAEC8133A}">
      <formula1>"Committed,  Placed, Expected Deliveries, Received, cancelled"</formula1>
    </dataValidation>
    <dataValidation type="list" allowBlank="1" showInputMessage="1" showErrorMessage="1" sqref="M7:M83" xr:uid="{0176E760-4803-4FF2-94DA-B083480F4473}">
      <formula1>"Committed, Planned, Placed, Expected Deliveries, Received, cancelled"</formula1>
    </dataValidation>
    <dataValidation type="list" allowBlank="1" showInputMessage="1" showErrorMessage="1" sqref="E7:E104" xr:uid="{8A874F7B-5508-4A8E-9072-89C1F57DE267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1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D7334C1-B458-4C7C-B06D-7489373BB6DC}">
          <x14:formula1>
            <xm:f>'choices countries '!$B$3:$B$12</xm:f>
          </x14:formula1>
          <xm:sqref>B105:B491 B7:B95</xm:sqref>
        </x14:dataValidation>
        <x14:dataValidation type="list" allowBlank="1" showInputMessage="1" showErrorMessage="1" xr:uid="{42DB4F32-9CE6-46F3-9BCB-2740C390A441}">
          <x14:formula1>
            <xm:f>'choices countries '!$B$3:$B$15</xm:f>
          </x14:formula1>
          <xm:sqref>B96:B104</xm:sqref>
        </x14:dataValidation>
        <x14:dataValidation type="list" allowBlank="1" showInputMessage="1" showErrorMessage="1" xr:uid="{3F8104BE-3AD7-46D6-8D55-40532A47BDFF}">
          <x14:formula1>
            <xm:f>'product list '!$A$6:$A$28</xm:f>
          </x14:formula1>
          <xm:sqref>C7:C104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B6" zoomScale="80" zoomScaleNormal="80" workbookViewId="0">
      <selection activeCell="B6" sqref="B6:B92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34</v>
      </c>
      <c r="D7" s="17" t="s">
        <v>35</v>
      </c>
      <c r="E7" s="18" t="s">
        <v>31</v>
      </c>
      <c r="F7" s="19" t="n">
        <v>45839</v>
      </c>
      <c r="G7" s="20" t="n">
        <v>1408</v>
      </c>
      <c r="H7" s="20"/>
      <c r="I7" s="20" t="n">
        <v>58</v>
      </c>
      <c r="J7" s="20" t="n">
        <f>MAX(Fcondomstable[[#This Row],[Stock on hand(opening balance)]]+Fcondomstable[[#This Row],[Quantity ]]-Fcondomstable[[#This Row],[Forecasted consumption]],0)</f>
        <v>1350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Fcondomstable[[#This Row],[Closing balance ]]/Fcondomstable[[#This Row],[Forecasted consumption]]</f>
        <v>23.275862068965516</v>
      </c>
      <c r="X7" s="22"/>
    </row>
    <row r="8">
      <c r="B8" s="6" t="s">
        <v>28</v>
      </c>
      <c r="C8" s="17" t="s">
        <v>34</v>
      </c>
      <c r="D8" s="17" t="s">
        <v>35</v>
      </c>
      <c r="E8" s="18" t="s">
        <v>31</v>
      </c>
      <c r="F8" s="19" t="n">
        <v>45870</v>
      </c>
      <c r="G8" s="23" t="n">
        <f>J7</f>
        <v>1350</v>
      </c>
      <c r="H8" s="23"/>
      <c r="I8" s="20" t="n">
        <v>58</v>
      </c>
      <c r="J8" s="20" t="n">
        <f>MAX(Fcondomstable[[#This Row],[Stock on hand(opening balance)]]+Fcondomstable[[#This Row],[Quantity ]]-Fcondomstable[[#This Row],[Forecasted consumption]],0)</f>
        <v>1292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Fcondomstable[[#This Row],[Closing balance ]]/Fcondomstable[[#This Row],[Forecasted consumption]]</f>
        <v>22.275862068965516</v>
      </c>
      <c r="X8" s="25"/>
    </row>
    <row r="9">
      <c r="B9" s="6" t="s">
        <v>28</v>
      </c>
      <c r="C9" s="17" t="s">
        <v>34</v>
      </c>
      <c r="D9" s="17" t="s">
        <v>35</v>
      </c>
      <c r="E9" s="18" t="s">
        <v>31</v>
      </c>
      <c r="F9" s="19" t="n">
        <v>45901</v>
      </c>
      <c r="G9" s="23" t="n">
        <f t="shared" ref="G9:G18" si="0">J8</f>
        <v>1292</v>
      </c>
      <c r="H9" s="23"/>
      <c r="I9" s="20" t="n">
        <v>58</v>
      </c>
      <c r="J9" s="20" t="n">
        <f>MAX(Fcondomstable[[#This Row],[Stock on hand(opening balance)]]+Fcondomstable[[#This Row],[Quantity ]]-Fcondomstable[[#This Row],[Forecasted consumption]],0)</f>
        <v>1234</v>
      </c>
      <c r="K9" s="2"/>
      <c r="L9" s="2"/>
      <c r="M9" s="18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Fcondomstable[[#This Row],[Closing balance ]]/Fcondomstable[[#This Row],[Forecasted consumption]]</f>
        <v>21.275862068965516</v>
      </c>
      <c r="X9" s="25"/>
    </row>
    <row r="10">
      <c r="B10" s="6" t="s">
        <v>28</v>
      </c>
      <c r="C10" s="17" t="s">
        <v>34</v>
      </c>
      <c r="D10" s="17" t="s">
        <v>35</v>
      </c>
      <c r="E10" s="18" t="s">
        <v>31</v>
      </c>
      <c r="F10" s="19" t="n">
        <v>45931</v>
      </c>
      <c r="G10" s="23" t="n">
        <f t="shared" si="0"/>
        <v>1234</v>
      </c>
      <c r="H10" s="23"/>
      <c r="I10" s="20" t="n">
        <v>58</v>
      </c>
      <c r="J10" s="20" t="n">
        <f>MAX(Fcondomstable[[#This Row],[Stock on hand(opening balance)]]+Fcondomstable[[#This Row],[Quantity ]]-Fcondomstable[[#This Row],[Forecasted consumption]],0)</f>
        <v>1176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Fcondomstable[[#This Row],[Closing balance ]]/Fcondomstable[[#This Row],[Forecasted consumption]]</f>
        <v>20.275862068965516</v>
      </c>
      <c r="X10" s="25"/>
    </row>
    <row r="11">
      <c r="B11" s="6" t="s">
        <v>28</v>
      </c>
      <c r="C11" s="17" t="s">
        <v>34</v>
      </c>
      <c r="D11" s="17" t="s">
        <v>35</v>
      </c>
      <c r="E11" s="18" t="s">
        <v>31</v>
      </c>
      <c r="F11" s="19" t="n">
        <v>45962</v>
      </c>
      <c r="G11" s="23" t="n">
        <f t="shared" si="0"/>
        <v>1176</v>
      </c>
      <c r="H11" s="23"/>
      <c r="I11" s="20" t="n">
        <v>58</v>
      </c>
      <c r="J11" s="20" t="n">
        <f>MAX(Fcondomstable[[#This Row],[Stock on hand(opening balance)]]+Fcondomstable[[#This Row],[Quantity ]]-Fcondomstable[[#This Row],[Forecasted consumption]],0)</f>
        <v>1118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Fcondomstable[[#This Row],[Closing balance ]]/Fcondomstable[[#This Row],[Forecasted consumption]]</f>
        <v>19.275862068965516</v>
      </c>
      <c r="X11" s="25"/>
    </row>
    <row r="12">
      <c r="B12" s="6" t="s">
        <v>28</v>
      </c>
      <c r="C12" s="17" t="s">
        <v>34</v>
      </c>
      <c r="D12" s="17" t="s">
        <v>35</v>
      </c>
      <c r="E12" s="18" t="s">
        <v>31</v>
      </c>
      <c r="F12" s="19" t="n">
        <v>45992</v>
      </c>
      <c r="G12" s="23" t="n">
        <f t="shared" si="0"/>
        <v>1118</v>
      </c>
      <c r="H12" s="23"/>
      <c r="I12" s="20" t="n">
        <v>58</v>
      </c>
      <c r="J12" s="20" t="n">
        <f>MAX(Fcondomstable[[#This Row],[Stock on hand(opening balance)]]+Fcondomstable[[#This Row],[Quantity ]]-Fcondomstable[[#This Row],[Forecasted consumption]],0)</f>
        <v>1060</v>
      </c>
      <c r="K12" s="2"/>
      <c r="L12" s="2"/>
      <c r="M12" s="18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Fcondomstable[[#This Row],[Closing balance ]]/Fcondomstable[[#This Row],[Forecasted consumption]]</f>
        <v>18.275862068965516</v>
      </c>
      <c r="X12" s="25"/>
    </row>
    <row r="13">
      <c r="B13" s="6" t="s">
        <v>28</v>
      </c>
      <c r="C13" s="17" t="s">
        <v>34</v>
      </c>
      <c r="D13" s="17" t="s">
        <v>35</v>
      </c>
      <c r="E13" s="18" t="s">
        <v>31</v>
      </c>
      <c r="F13" s="19" t="n">
        <v>46023</v>
      </c>
      <c r="G13" s="23" t="n">
        <f t="shared" si="0"/>
        <v>1060</v>
      </c>
      <c r="H13" s="23"/>
      <c r="I13" s="20" t="n">
        <v>58</v>
      </c>
      <c r="J13" s="20" t="n">
        <f>MAX(Fcondomstable[[#This Row],[Stock on hand(opening balance)]]+Fcondomstable[[#This Row],[Quantity ]]-Fcondomstable[[#This Row],[Forecasted consumption]],0)</f>
        <v>1002</v>
      </c>
      <c r="K13" s="2"/>
      <c r="L13" s="2"/>
      <c r="M13" s="18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Fcondomstable[[#This Row],[Closing balance ]]/Fcondomstable[[#This Row],[Forecasted consumption]]</f>
        <v>17.275862068965516</v>
      </c>
      <c r="X13" s="25"/>
    </row>
    <row r="14">
      <c r="B14" s="6" t="s">
        <v>28</v>
      </c>
      <c r="C14" s="17" t="s">
        <v>34</v>
      </c>
      <c r="D14" s="17" t="s">
        <v>35</v>
      </c>
      <c r="E14" s="18" t="s">
        <v>31</v>
      </c>
      <c r="F14" s="19" t="n">
        <v>46054</v>
      </c>
      <c r="G14" s="23" t="n">
        <f t="shared" si="0"/>
        <v>1002</v>
      </c>
      <c r="H14" s="23"/>
      <c r="I14" s="20" t="n">
        <v>58</v>
      </c>
      <c r="J14" s="20" t="n">
        <f>MAX(Fcondomstable[[#This Row],[Stock on hand(opening balance)]]+Fcondomstable[[#This Row],[Quantity ]]-Fcondomstable[[#This Row],[Forecasted consumption]],0)</f>
        <v>944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Fcondomstable[[#This Row],[Closing balance ]]/Fcondomstable[[#This Row],[Forecasted consumption]]</f>
        <v>16.275862068965516</v>
      </c>
      <c r="X14" s="25"/>
    </row>
    <row r="15">
      <c r="B15" s="6" t="s">
        <v>28</v>
      </c>
      <c r="C15" s="17" t="s">
        <v>34</v>
      </c>
      <c r="D15" s="17" t="s">
        <v>35</v>
      </c>
      <c r="E15" s="18" t="s">
        <v>31</v>
      </c>
      <c r="F15" s="19" t="n">
        <v>46082</v>
      </c>
      <c r="G15" s="23" t="n">
        <f t="shared" si="0"/>
        <v>944</v>
      </c>
      <c r="H15" s="23"/>
      <c r="I15" s="20" t="n">
        <v>58</v>
      </c>
      <c r="J15" s="20" t="n">
        <f>MAX(Fcondomstable[[#This Row],[Stock on hand(opening balance)]]+Fcondomstable[[#This Row],[Quantity ]]-Fcondomstable[[#This Row],[Forecasted consumption]],0)</f>
        <v>886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Fcondomstable[[#This Row],[Closing balance ]]/Fcondomstable[[#This Row],[Forecasted consumption]]</f>
        <v>15.275862068965518</v>
      </c>
      <c r="X15" s="25"/>
    </row>
    <row r="16">
      <c r="B16" s="6" t="s">
        <v>28</v>
      </c>
      <c r="C16" s="17" t="s">
        <v>34</v>
      </c>
      <c r="D16" s="17" t="s">
        <v>35</v>
      </c>
      <c r="E16" s="18" t="s">
        <v>31</v>
      </c>
      <c r="F16" s="19" t="n">
        <v>46113</v>
      </c>
      <c r="G16" s="23" t="n">
        <f t="shared" si="0"/>
        <v>886</v>
      </c>
      <c r="H16" s="23"/>
      <c r="I16" s="20" t="n">
        <v>58</v>
      </c>
      <c r="J16" s="20" t="n">
        <f>MAX(Fcondomstable[[#This Row],[Stock on hand(opening balance)]]+Fcondomstable[[#This Row],[Quantity ]]-Fcondomstable[[#This Row],[Forecasted consumption]],0)</f>
        <v>828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Fcondomstable[[#This Row],[Closing balance ]]/Fcondomstable[[#This Row],[Forecasted consumption]]</f>
        <v>14.275862068965518</v>
      </c>
      <c r="X16" s="25"/>
    </row>
    <row r="17">
      <c r="B17" s="6" t="s">
        <v>28</v>
      </c>
      <c r="C17" s="17" t="s">
        <v>34</v>
      </c>
      <c r="D17" s="17" t="s">
        <v>35</v>
      </c>
      <c r="E17" s="18" t="s">
        <v>31</v>
      </c>
      <c r="F17" s="19" t="n">
        <v>46143</v>
      </c>
      <c r="G17" s="23" t="n">
        <f t="shared" si="0"/>
        <v>828</v>
      </c>
      <c r="H17" s="23"/>
      <c r="I17" s="20" t="n">
        <v>58</v>
      </c>
      <c r="J17" s="20" t="n">
        <f>MAX(Fcondomstable[[#This Row],[Stock on hand(opening balance)]]+Fcondomstable[[#This Row],[Quantity ]]-Fcondomstable[[#This Row],[Forecasted consumption]],0)</f>
        <v>770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Fcondomstable[[#This Row],[Closing balance ]]/Fcondomstable[[#This Row],[Forecasted consumption]]</f>
        <v>13.275862068965518</v>
      </c>
      <c r="X17" s="25"/>
    </row>
    <row r="18">
      <c r="B18" s="6" t="s">
        <v>28</v>
      </c>
      <c r="C18" s="17" t="s">
        <v>34</v>
      </c>
      <c r="D18" s="17" t="s">
        <v>35</v>
      </c>
      <c r="E18" s="18" t="s">
        <v>31</v>
      </c>
      <c r="F18" s="19" t="n">
        <v>46174</v>
      </c>
      <c r="G18" s="23" t="n">
        <f t="shared" si="0"/>
        <v>770</v>
      </c>
      <c r="H18" s="23"/>
      <c r="I18" s="20" t="n">
        <v>58</v>
      </c>
      <c r="J18" s="20" t="n">
        <f>MAX(Fcondomstable[[#This Row],[Stock on hand(opening balance)]]+Fcondomstable[[#This Row],[Quantity ]]-Fcondomstable[[#This Row],[Forecasted consumption]],0)</f>
        <v>712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Fcondomstable[[#This Row],[Closing balance ]]/Fcondomstable[[#This Row],[Forecasted consumption]]</f>
        <v>12.275862068965518</v>
      </c>
      <c r="X18" s="25"/>
    </row>
    <row r="19">
      <c r="B19" s="6" t="s">
        <v>75</v>
      </c>
      <c r="C19" s="18" t="s">
        <v>34</v>
      </c>
      <c r="D19" s="17" t="s">
        <v>35</v>
      </c>
      <c r="E19" s="18" t="s">
        <v>31</v>
      </c>
      <c r="F19" s="19" t="n">
        <v>45748</v>
      </c>
      <c r="G19" s="20" t="n">
        <v>331</v>
      </c>
      <c r="H19" s="20"/>
      <c r="I19" s="20" t="n">
        <v>34</v>
      </c>
      <c r="J19" s="20" t="n">
        <f>MAX(Fcondomstable[[#This Row],[Stock on hand(opening balance)]]+Fcondomstable[[#This Row],[Quantity ]]-Fcondomstable[[#This Row],[Forecasted consumption]],0)</f>
        <v>297</v>
      </c>
      <c r="K19" s="18"/>
      <c r="L19" s="18"/>
      <c r="M19" s="18"/>
      <c r="N19" s="20"/>
      <c r="O19" s="18"/>
      <c r="P19" s="18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Fcondomstable[[#This Row],[Closing balance ]]/Fcondomstable[[#This Row],[Forecasted consumption]]</f>
        <v>8.735294117647058</v>
      </c>
      <c r="X19" s="22"/>
    </row>
    <row r="20">
      <c r="B20" s="6" t="s">
        <v>75</v>
      </c>
      <c r="C20" s="18" t="s">
        <v>34</v>
      </c>
      <c r="D20" s="17" t="s">
        <v>35</v>
      </c>
      <c r="E20" s="18" t="s">
        <v>31</v>
      </c>
      <c r="F20" s="19" t="n">
        <v>45778</v>
      </c>
      <c r="G20" s="23" t="n">
        <f>J19</f>
        <v>297</v>
      </c>
      <c r="H20" s="23"/>
      <c r="I20" s="23" t="n">
        <v>31</v>
      </c>
      <c r="J20" s="23" t="n">
        <f>MAX(Fcondomstable[[#This Row],[Stock on hand(opening balance)]]+Fcondomstable[[#This Row],[Quantity ]]-Fcondomstable[[#This Row],[Forecasted consumption]],0)</f>
        <v>266</v>
      </c>
      <c r="K20" s="2"/>
      <c r="L20" s="2"/>
      <c r="M20" s="18"/>
      <c r="N20" s="23"/>
      <c r="O20" s="2"/>
      <c r="P20" s="2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Fcondomstable[[#This Row],[Closing balance ]]/Fcondomstable[[#This Row],[Forecasted consumption]]</f>
        <v>8.5806451612903221</v>
      </c>
      <c r="X20" s="25"/>
    </row>
    <row r="21">
      <c r="B21" s="6" t="s">
        <v>75</v>
      </c>
      <c r="C21" s="18" t="s">
        <v>34</v>
      </c>
      <c r="D21" s="17" t="s">
        <v>35</v>
      </c>
      <c r="E21" s="18" t="s">
        <v>31</v>
      </c>
      <c r="F21" s="19" t="n">
        <v>45809</v>
      </c>
      <c r="G21" s="23" t="n">
        <f t="shared" ref="G21:G36" si="1">J20</f>
        <v>266</v>
      </c>
      <c r="H21" s="23"/>
      <c r="I21" s="23" t="n">
        <v>32</v>
      </c>
      <c r="J21" s="23" t="n">
        <f>MAX(Fcondomstable[[#This Row],[Stock on hand(opening balance)]]+Fcondomstable[[#This Row],[Quantity ]]-Fcondomstable[[#This Row],[Forecasted consumption]],0)</f>
        <v>234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Fcondomstable[[#This Row],[Closing balance ]]/Fcondomstable[[#This Row],[Forecasted consumption]]</f>
        <v>7.3125</v>
      </c>
      <c r="X21" s="25"/>
    </row>
    <row r="22">
      <c r="B22" s="6" t="s">
        <v>75</v>
      </c>
      <c r="C22" s="18" t="s">
        <v>34</v>
      </c>
      <c r="D22" s="17" t="s">
        <v>35</v>
      </c>
      <c r="E22" s="18" t="s">
        <v>31</v>
      </c>
      <c r="F22" s="19" t="n">
        <v>45839</v>
      </c>
      <c r="G22" s="23" t="n">
        <f t="shared" si="1"/>
        <v>234</v>
      </c>
      <c r="H22" s="23"/>
      <c r="I22" s="23" t="n">
        <v>32</v>
      </c>
      <c r="J22" s="23" t="n">
        <f>MAX(Fcondomstable[[#This Row],[Stock on hand(opening balance)]]+Fcondomstable[[#This Row],[Quantity ]]-Fcondomstable[[#This Row],[Forecasted consumption]],0)</f>
        <v>202</v>
      </c>
      <c r="K22" s="2"/>
      <c r="L22" s="2"/>
      <c r="M22" s="18"/>
      <c r="N22" s="23"/>
      <c r="O22" s="2"/>
      <c r="P22" s="2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Fcondomstable[[#This Row],[Closing balance ]]/Fcondomstable[[#This Row],[Forecasted consumption]]</f>
        <v>6.3125</v>
      </c>
      <c r="X22" s="25"/>
    </row>
    <row r="23">
      <c r="B23" s="6" t="s">
        <v>75</v>
      </c>
      <c r="C23" s="18" t="s">
        <v>34</v>
      </c>
      <c r="D23" s="17" t="s">
        <v>35</v>
      </c>
      <c r="E23" s="18" t="s">
        <v>31</v>
      </c>
      <c r="F23" s="19" t="n">
        <v>45870</v>
      </c>
      <c r="G23" s="23" t="n">
        <f t="shared" si="1"/>
        <v>202</v>
      </c>
      <c r="H23" s="23"/>
      <c r="I23" s="23" t="n">
        <v>33</v>
      </c>
      <c r="J23" s="23" t="n">
        <f>MAX(Fcondomstable[[#This Row],[Stock on hand(opening balance)]]+Fcondomstable[[#This Row],[Quantity ]]-Fcondomstable[[#This Row],[Forecasted consumption]],0)</f>
        <v>169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Fcondomstable[[#This Row],[Closing balance ]]/Fcondomstable[[#This Row],[Forecasted consumption]]</f>
        <v>5.1212121212121211</v>
      </c>
      <c r="X23" s="25"/>
    </row>
    <row r="24">
      <c r="B24" s="6" t="s">
        <v>75</v>
      </c>
      <c r="C24" s="18" t="s">
        <v>34</v>
      </c>
      <c r="D24" s="17" t="s">
        <v>35</v>
      </c>
      <c r="E24" s="18" t="s">
        <v>31</v>
      </c>
      <c r="F24" s="19" t="n">
        <v>45901</v>
      </c>
      <c r="G24" s="23" t="n">
        <f t="shared" si="1"/>
        <v>169</v>
      </c>
      <c r="H24" s="23"/>
      <c r="I24" s="23" t="n">
        <v>32</v>
      </c>
      <c r="J24" s="23" t="n">
        <f>MAX(Fcondomstable[[#This Row],[Stock on hand(opening balance)]]+Fcondomstable[[#This Row],[Quantity ]]-Fcondomstable[[#This Row],[Forecasted consumption]],0)</f>
        <v>137</v>
      </c>
      <c r="K24" s="2"/>
      <c r="L24" s="2"/>
      <c r="M24" s="18"/>
      <c r="N24" s="23"/>
      <c r="O24" s="2"/>
      <c r="P24" s="2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Fcondomstable[[#This Row],[Closing balance ]]/Fcondomstable[[#This Row],[Forecasted consumption]]</f>
        <v>4.28125</v>
      </c>
      <c r="X24" s="25"/>
    </row>
    <row r="25">
      <c r="B25" s="6" t="s">
        <v>75</v>
      </c>
      <c r="C25" s="18" t="s">
        <v>34</v>
      </c>
      <c r="D25" s="17" t="s">
        <v>35</v>
      </c>
      <c r="E25" s="18" t="s">
        <v>31</v>
      </c>
      <c r="F25" s="19" t="n">
        <v>45931</v>
      </c>
      <c r="G25" s="23" t="n">
        <f t="shared" si="1"/>
        <v>137</v>
      </c>
      <c r="H25" s="23"/>
      <c r="I25" s="23" t="n">
        <v>32</v>
      </c>
      <c r="J25" s="23" t="n">
        <f>MAX(Fcondomstable[[#This Row],[Stock on hand(opening balance)]]+Fcondomstable[[#This Row],[Quantity ]]-Fcondomstable[[#This Row],[Forecasted consumption]],0)</f>
        <v>105</v>
      </c>
      <c r="K25" s="2"/>
      <c r="L25" s="2"/>
      <c r="M25" s="18"/>
      <c r="N25" s="23"/>
      <c r="O25" s="2"/>
      <c r="P25" s="2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Fcondomstable[[#This Row],[Closing balance ]]/Fcondomstable[[#This Row],[Forecasted consumption]]</f>
        <v>3.28125</v>
      </c>
      <c r="X25" s="25"/>
    </row>
    <row r="26">
      <c r="B26" s="6" t="s">
        <v>75</v>
      </c>
      <c r="C26" s="18" t="s">
        <v>34</v>
      </c>
      <c r="D26" s="17" t="s">
        <v>35</v>
      </c>
      <c r="E26" s="18" t="s">
        <v>31</v>
      </c>
      <c r="F26" s="19" t="n">
        <v>45962</v>
      </c>
      <c r="G26" s="23" t="n">
        <f t="shared" si="1"/>
        <v>105</v>
      </c>
      <c r="H26" s="23"/>
      <c r="I26" s="23" t="n">
        <v>32</v>
      </c>
      <c r="J26" s="23" t="n">
        <f>MAX(Fcondomstable[[#This Row],[Stock on hand(opening balance)]]+Fcondomstable[[#This Row],[Quantity ]]-Fcondomstable[[#This Row],[Forecasted consumption]],0)</f>
        <v>487</v>
      </c>
      <c r="K26" s="2"/>
      <c r="L26" s="2"/>
      <c r="M26" s="18" t="s">
        <v>4</v>
      </c>
      <c r="N26" s="23" t="n">
        <v>414</v>
      </c>
      <c r="O26" s="2"/>
      <c r="P26" s="2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Fcondomstable[[#This Row],[Closing balance ]]/Fcondomstable[[#This Row],[Forecasted consumption]]</f>
        <v>15.21875</v>
      </c>
      <c r="X26" s="25"/>
    </row>
    <row r="27">
      <c r="B27" s="6" t="s">
        <v>75</v>
      </c>
      <c r="C27" s="18" t="s">
        <v>34</v>
      </c>
      <c r="D27" s="17" t="s">
        <v>35</v>
      </c>
      <c r="E27" s="18" t="s">
        <v>31</v>
      </c>
      <c r="F27" s="19" t="n">
        <v>45992</v>
      </c>
      <c r="G27" s="23" t="n">
        <f t="shared" si="1"/>
        <v>487</v>
      </c>
      <c r="H27" s="23"/>
      <c r="I27" s="23" t="n">
        <v>32</v>
      </c>
      <c r="J27" s="23" t="n">
        <f>MAX(Fcondomstable[[#This Row],[Stock on hand(opening balance)]]+Fcondomstable[[#This Row],[Quantity ]]-Fcondomstable[[#This Row],[Forecasted consumption]],0)</f>
        <v>455</v>
      </c>
      <c r="K27" s="2"/>
      <c r="L27" s="2"/>
      <c r="M27" s="18"/>
      <c r="N27" s="23"/>
      <c r="O27" s="2"/>
      <c r="P27" s="2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Fcondomstable[[#This Row],[Closing balance ]]/Fcondomstable[[#This Row],[Forecasted consumption]]</f>
        <v>14.21875</v>
      </c>
      <c r="X27" s="25"/>
    </row>
    <row r="28">
      <c r="B28" s="6" t="s">
        <v>75</v>
      </c>
      <c r="C28" s="18" t="s">
        <v>34</v>
      </c>
      <c r="D28" s="17" t="s">
        <v>35</v>
      </c>
      <c r="E28" s="18" t="s">
        <v>31</v>
      </c>
      <c r="F28" s="19" t="n">
        <v>46023</v>
      </c>
      <c r="G28" s="23" t="n">
        <f t="shared" si="1"/>
        <v>455</v>
      </c>
      <c r="H28" s="23"/>
      <c r="I28" s="23" t="n">
        <v>32</v>
      </c>
      <c r="J28" s="23" t="n">
        <f>MAX(Fcondomstable[[#This Row],[Stock on hand(opening balance)]]+Fcondomstable[[#This Row],[Quantity ]]-Fcondomstable[[#This Row],[Forecasted consumption]],0)</f>
        <v>423</v>
      </c>
      <c r="K28" s="2"/>
      <c r="L28" s="2"/>
      <c r="M28" s="18"/>
      <c r="N28" s="23"/>
      <c r="O28" s="2"/>
      <c r="P28" s="2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Fcondomstable[[#This Row],[Closing balance ]]/Fcondomstable[[#This Row],[Forecasted consumption]]</f>
        <v>13.21875</v>
      </c>
      <c r="X28" s="25"/>
    </row>
    <row r="29">
      <c r="B29" s="6" t="s">
        <v>75</v>
      </c>
      <c r="C29" s="18" t="s">
        <v>34</v>
      </c>
      <c r="D29" s="17" t="s">
        <v>35</v>
      </c>
      <c r="E29" s="18" t="s">
        <v>31</v>
      </c>
      <c r="F29" s="19" t="n">
        <v>46054</v>
      </c>
      <c r="G29" s="23" t="n">
        <f t="shared" si="1"/>
        <v>423</v>
      </c>
      <c r="H29" s="23"/>
      <c r="I29" s="23" t="n">
        <v>32</v>
      </c>
      <c r="J29" s="23" t="n">
        <f>MAX(Fcondomstable[[#This Row],[Stock on hand(opening balance)]]+Fcondomstable[[#This Row],[Quantity ]]-Fcondomstable[[#This Row],[Forecasted consumption]],0)</f>
        <v>391</v>
      </c>
      <c r="K29" s="2"/>
      <c r="L29" s="2"/>
      <c r="M29" s="18"/>
      <c r="N29" s="23"/>
      <c r="O29" s="2"/>
      <c r="P29" s="2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Fcondomstable[[#This Row],[Closing balance ]]/Fcondomstable[[#This Row],[Forecasted consumption]]</f>
        <v>12.21875</v>
      </c>
      <c r="X29" s="25"/>
    </row>
    <row r="30">
      <c r="B30" s="6" t="s">
        <v>75</v>
      </c>
      <c r="C30" s="18" t="s">
        <v>34</v>
      </c>
      <c r="D30" s="17" t="s">
        <v>35</v>
      </c>
      <c r="E30" s="18" t="s">
        <v>31</v>
      </c>
      <c r="F30" s="19" t="n">
        <v>46082</v>
      </c>
      <c r="G30" s="23" t="n">
        <f t="shared" si="1"/>
        <v>391</v>
      </c>
      <c r="H30" s="23"/>
      <c r="I30" s="23" t="n">
        <v>32</v>
      </c>
      <c r="J30" s="23" t="n">
        <f>MAX(Fcondomstable[[#This Row],[Stock on hand(opening balance)]]+Fcondomstable[[#This Row],[Quantity ]]-Fcondomstable[[#This Row],[Forecasted consumption]],0)</f>
        <v>359</v>
      </c>
      <c r="K30" s="2"/>
      <c r="L30" s="2"/>
      <c r="M30" s="18"/>
      <c r="N30" s="23"/>
      <c r="O30" s="2"/>
      <c r="P30" s="2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Fcondomstable[[#This Row],[Closing balance ]]/Fcondomstable[[#This Row],[Forecasted consumption]]</f>
        <v>11.21875</v>
      </c>
      <c r="X30" s="25"/>
    </row>
    <row r="31">
      <c r="B31" s="6" t="s">
        <v>75</v>
      </c>
      <c r="C31" s="18" t="s">
        <v>34</v>
      </c>
      <c r="D31" s="17" t="s">
        <v>35</v>
      </c>
      <c r="E31" s="18" t="s">
        <v>31</v>
      </c>
      <c r="F31" s="19" t="n">
        <v>46113</v>
      </c>
      <c r="G31" s="23" t="n">
        <f t="shared" si="1"/>
        <v>359</v>
      </c>
      <c r="H31" s="23"/>
      <c r="I31" s="23" t="n">
        <v>32</v>
      </c>
      <c r="J31" s="23" t="n">
        <f>MAX(Fcondomstable[[#This Row],[Stock on hand(opening balance)]]+Fcondomstable[[#This Row],[Quantity ]]-Fcondomstable[[#This Row],[Forecasted consumption]],0)</f>
        <v>327</v>
      </c>
      <c r="K31" s="2"/>
      <c r="L31" s="2"/>
      <c r="M31" s="18"/>
      <c r="N31" s="23"/>
      <c r="O31" s="2"/>
      <c r="P31" s="2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Fcondomstable[[#This Row],[Closing balance ]]/Fcondomstable[[#This Row],[Forecasted consumption]]</f>
        <v>10.21875</v>
      </c>
      <c r="X31" s="25"/>
    </row>
    <row r="32">
      <c r="B32" s="6" t="s">
        <v>75</v>
      </c>
      <c r="C32" s="18" t="s">
        <v>34</v>
      </c>
      <c r="D32" s="17" t="s">
        <v>35</v>
      </c>
      <c r="E32" s="18" t="s">
        <v>31</v>
      </c>
      <c r="F32" s="19" t="n">
        <v>46143</v>
      </c>
      <c r="G32" s="23" t="n">
        <f t="shared" si="1"/>
        <v>327</v>
      </c>
      <c r="H32" s="23"/>
      <c r="I32" s="23" t="n">
        <v>32</v>
      </c>
      <c r="J32" s="23" t="n">
        <f>MAX(Fcondomstable[[#This Row],[Stock on hand(opening balance)]]+Fcondomstable[[#This Row],[Quantity ]]-Fcondomstable[[#This Row],[Forecasted consumption]],0)</f>
        <v>295</v>
      </c>
      <c r="K32" s="2"/>
      <c r="L32" s="2"/>
      <c r="M32" s="18"/>
      <c r="N32" s="23"/>
      <c r="O32" s="2"/>
      <c r="P32" s="2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Fcondomstable[[#This Row],[Closing balance ]]/Fcondomstable[[#This Row],[Forecasted consumption]]</f>
        <v>9.21875</v>
      </c>
      <c r="X32" s="25"/>
    </row>
    <row r="33">
      <c r="B33" s="6" t="s">
        <v>75</v>
      </c>
      <c r="C33" s="18" t="s">
        <v>34</v>
      </c>
      <c r="D33" s="17" t="s">
        <v>35</v>
      </c>
      <c r="E33" s="18" t="s">
        <v>31</v>
      </c>
      <c r="F33" s="19" t="n">
        <v>46174</v>
      </c>
      <c r="G33" s="23" t="n">
        <f t="shared" si="1"/>
        <v>295</v>
      </c>
      <c r="H33" s="23"/>
      <c r="I33" s="23" t="n">
        <v>32</v>
      </c>
      <c r="J33" s="23" t="n">
        <f>MAX(Fcondomstable[[#This Row],[Stock on hand(opening balance)]]+Fcondomstable[[#This Row],[Quantity ]]-Fcondomstable[[#This Row],[Forecasted consumption]],0)</f>
        <v>263</v>
      </c>
      <c r="K33" s="2"/>
      <c r="L33" s="2"/>
      <c r="M33" s="18"/>
      <c r="N33" s="23"/>
      <c r="O33" s="2"/>
      <c r="P33" s="2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Fcondomstable[[#This Row],[Closing balance ]]/Fcondomstable[[#This Row],[Forecasted consumption]]</f>
        <v>8.21875</v>
      </c>
      <c r="X33" s="25"/>
    </row>
    <row r="34">
      <c r="B34" s="6" t="s">
        <v>75</v>
      </c>
      <c r="C34" s="18" t="s">
        <v>34</v>
      </c>
      <c r="D34" s="17" t="s">
        <v>35</v>
      </c>
      <c r="E34" s="18" t="s">
        <v>31</v>
      </c>
      <c r="F34" s="19" t="n">
        <v>46204</v>
      </c>
      <c r="G34" s="23" t="n">
        <f t="shared" si="1"/>
        <v>263</v>
      </c>
      <c r="H34" s="23"/>
      <c r="I34" s="23" t="n">
        <v>32</v>
      </c>
      <c r="J34" s="23" t="n">
        <f>MAX(Fcondomstable[[#This Row],[Stock on hand(opening balance)]]+Fcondomstable[[#This Row],[Quantity ]]-Fcondomstable[[#This Row],[Forecasted consumption]],0)</f>
        <v>231</v>
      </c>
      <c r="K34" s="2"/>
      <c r="L34" s="2"/>
      <c r="M34" s="18"/>
      <c r="N34" s="23"/>
      <c r="O34" s="2"/>
      <c r="P34" s="2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Fcondomstable[[#This Row],[Closing balance ]]/Fcondomstable[[#This Row],[Forecasted consumption]]</f>
        <v>7.21875</v>
      </c>
      <c r="X34" s="25"/>
    </row>
    <row r="35">
      <c r="B35" s="6" t="s">
        <v>75</v>
      </c>
      <c r="C35" s="18" t="s">
        <v>34</v>
      </c>
      <c r="D35" s="17" t="s">
        <v>35</v>
      </c>
      <c r="E35" s="18" t="s">
        <v>31</v>
      </c>
      <c r="F35" s="19" t="n">
        <v>46235</v>
      </c>
      <c r="G35" s="23" t="n">
        <f t="shared" si="1"/>
        <v>231</v>
      </c>
      <c r="H35" s="23"/>
      <c r="I35" s="23" t="n">
        <v>32</v>
      </c>
      <c r="J35" s="23" t="n">
        <f>MAX(Fcondomstable[[#This Row],[Stock on hand(opening balance)]]+Fcondomstable[[#This Row],[Quantity ]]-Fcondomstable[[#This Row],[Forecasted consumption]],0)</f>
        <v>489</v>
      </c>
      <c r="K35" s="2"/>
      <c r="L35" s="2"/>
      <c r="M35" s="18" t="s">
        <v>4</v>
      </c>
      <c r="N35" s="23" t="n">
        <v>290</v>
      </c>
      <c r="O35" s="2"/>
      <c r="P35" s="2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Fcondomstable[[#This Row],[Closing balance ]]/Fcondomstable[[#This Row],[Forecasted consumption]]</f>
        <v>15.28125</v>
      </c>
      <c r="X35" s="25"/>
    </row>
    <row r="36">
      <c r="B36" s="6" t="s">
        <v>75</v>
      </c>
      <c r="C36" s="18" t="s">
        <v>34</v>
      </c>
      <c r="D36" s="17" t="s">
        <v>35</v>
      </c>
      <c r="E36" s="18" t="s">
        <v>31</v>
      </c>
      <c r="F36" s="19" t="n">
        <v>46266</v>
      </c>
      <c r="G36" s="23" t="n">
        <f t="shared" si="1"/>
        <v>489</v>
      </c>
      <c r="H36" s="23"/>
      <c r="I36" s="23" t="n">
        <v>32</v>
      </c>
      <c r="J36" s="23" t="n">
        <f>MAX(Fcondomstable[[#This Row],[Stock on hand(opening balance)]]+Fcondomstable[[#This Row],[Quantity ]]-Fcondomstable[[#This Row],[Forecasted consumption]],0)</f>
        <v>457</v>
      </c>
      <c r="K36" s="2"/>
      <c r="L36" s="2"/>
      <c r="M36" s="18"/>
      <c r="N36" s="23"/>
      <c r="O36" s="2"/>
      <c r="P36" s="2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Fcondomstable[[#This Row],[Closing balance ]]/Fcondomstable[[#This Row],[Forecasted consumption]]</f>
        <v>14.28125</v>
      </c>
      <c r="X36" s="25"/>
    </row>
    <row r="37">
      <c r="B37" s="6" t="s">
        <v>76</v>
      </c>
      <c r="C37" s="18" t="s">
        <v>34</v>
      </c>
      <c r="D37" s="17" t="s">
        <v>35</v>
      </c>
      <c r="E37" s="18" t="s">
        <v>31</v>
      </c>
      <c r="F37" s="19" t="n">
        <v>45658</v>
      </c>
      <c r="G37" s="20"/>
      <c r="H37" s="20"/>
      <c r="I37" s="20" t="n">
        <v>10000</v>
      </c>
      <c r="J37" s="20" t="n">
        <f>MAX(Fcondomstable[[#This Row],[Stock on hand(opening balance)]]+Fcondomstable[[#This Row],[Quantity ]]-Fcondomstable[[#This Row],[Forecasted consumption]],0)</f>
        <v>0</v>
      </c>
      <c r="K37" s="18"/>
      <c r="L37" s="18"/>
      <c r="M37" s="18"/>
      <c r="N37" s="20"/>
      <c r="O37" s="18"/>
      <c r="P37" s="18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Fcondomstable[[#This Row],[Closing balance ]]/Fcondomstable[[#This Row],[Forecasted consumption]]</f>
        <v>0</v>
      </c>
      <c r="X37" s="22"/>
    </row>
    <row r="38">
      <c r="B38" s="6" t="s">
        <v>76</v>
      </c>
      <c r="C38" s="18" t="s">
        <v>34</v>
      </c>
      <c r="D38" s="17" t="s">
        <v>35</v>
      </c>
      <c r="E38" s="18" t="s">
        <v>31</v>
      </c>
      <c r="F38" s="19" t="n">
        <v>45689</v>
      </c>
      <c r="G38" s="23"/>
      <c r="H38" s="23"/>
      <c r="I38" s="20" t="n">
        <v>10000</v>
      </c>
      <c r="J38" s="23" t="n">
        <f>MAX(Fcondomstable[[#This Row],[Stock on hand(opening balance)]]+Fcondomstable[[#This Row],[Quantity ]]-Fcondomstable[[#This Row],[Forecasted consumption]],0)</f>
        <v>0</v>
      </c>
      <c r="K38" s="2"/>
      <c r="L38" s="2"/>
      <c r="M38" s="18"/>
      <c r="N38" s="23"/>
      <c r="O38" s="2"/>
      <c r="P38" s="2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Fcondomstable[[#This Row],[Closing balance ]]/Fcondomstable[[#This Row],[Forecasted consumption]]</f>
        <v>0</v>
      </c>
      <c r="X38" s="25"/>
    </row>
    <row r="39">
      <c r="B39" s="6" t="s">
        <v>76</v>
      </c>
      <c r="C39" s="18" t="s">
        <v>34</v>
      </c>
      <c r="D39" s="17" t="s">
        <v>35</v>
      </c>
      <c r="E39" s="18" t="s">
        <v>31</v>
      </c>
      <c r="F39" s="19" t="n">
        <v>45717</v>
      </c>
      <c r="G39" s="23"/>
      <c r="H39" s="23"/>
      <c r="I39" s="20" t="n">
        <v>10000</v>
      </c>
      <c r="J39" s="23" t="n">
        <f>MAX(Fcondomstable[[#This Row],[Stock on hand(opening balance)]]+Fcondomstable[[#This Row],[Quantity ]]-Fcondomstable[[#This Row],[Forecasted consumption]],0)</f>
        <v>0</v>
      </c>
      <c r="K39" s="2"/>
      <c r="L39" s="2"/>
      <c r="M39" s="18"/>
      <c r="N39" s="23"/>
      <c r="O39" s="2"/>
      <c r="P39" s="2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Fcondomstable[[#This Row],[Closing balance ]]/Fcondomstable[[#This Row],[Forecasted consumption]]</f>
        <v>0</v>
      </c>
      <c r="X39" s="25"/>
    </row>
    <row r="40">
      <c r="B40" s="6" t="s">
        <v>76</v>
      </c>
      <c r="C40" s="18" t="s">
        <v>34</v>
      </c>
      <c r="D40" s="17" t="s">
        <v>35</v>
      </c>
      <c r="E40" s="18" t="s">
        <v>31</v>
      </c>
      <c r="F40" s="19" t="n">
        <v>45748</v>
      </c>
      <c r="G40" s="23" t="n">
        <v>111000</v>
      </c>
      <c r="H40" s="23"/>
      <c r="I40" s="20" t="n">
        <v>10000</v>
      </c>
      <c r="J40" s="23" t="n">
        <f>MAX(Fcondomstable[[#This Row],[Stock on hand(opening balance)]]+Fcondomstable[[#This Row],[Quantity ]]-Fcondomstable[[#This Row],[Forecasted consumption]],0)</f>
        <v>101000</v>
      </c>
      <c r="K40" s="2"/>
      <c r="L40" s="2"/>
      <c r="M40" s="18"/>
      <c r="N40" s="23"/>
      <c r="O40" s="2"/>
      <c r="P40" s="2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Fcondomstable[[#This Row],[Closing balance ]]/Fcondomstable[[#This Row],[Forecasted consumption]]</f>
        <v>10.1</v>
      </c>
      <c r="X40" s="25"/>
    </row>
    <row r="41">
      <c r="B41" s="6" t="s">
        <v>76</v>
      </c>
      <c r="C41" s="18" t="s">
        <v>34</v>
      </c>
      <c r="D41" s="17" t="s">
        <v>35</v>
      </c>
      <c r="E41" s="18" t="s">
        <v>31</v>
      </c>
      <c r="F41" s="19" t="n">
        <v>45778</v>
      </c>
      <c r="G41" s="23" t="n">
        <f>J40</f>
        <v>101000</v>
      </c>
      <c r="H41" s="23"/>
      <c r="I41" s="20" t="n">
        <v>10000</v>
      </c>
      <c r="J41" s="23" t="n">
        <f>MAX(Fcondomstable[[#This Row],[Stock on hand(opening balance)]]+Fcondomstable[[#This Row],[Quantity ]]-Fcondomstable[[#This Row],[Forecasted consumption]],0)</f>
        <v>91000</v>
      </c>
      <c r="K41" s="2"/>
      <c r="L41" s="2"/>
      <c r="M41" s="18"/>
      <c r="N41" s="23"/>
      <c r="O41" s="2"/>
      <c r="P41" s="2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Fcondomstable[[#This Row],[Closing balance ]]/Fcondomstable[[#This Row],[Forecasted consumption]]</f>
        <v>9.1</v>
      </c>
      <c r="X41" s="25"/>
    </row>
    <row r="42">
      <c r="B42" s="6" t="s">
        <v>76</v>
      </c>
      <c r="C42" s="18" t="s">
        <v>34</v>
      </c>
      <c r="D42" s="17" t="s">
        <v>35</v>
      </c>
      <c r="E42" s="18" t="s">
        <v>31</v>
      </c>
      <c r="F42" s="19" t="n">
        <v>45809</v>
      </c>
      <c r="G42" s="23" t="n">
        <f t="shared" ref="G42:G60" si="2">J41</f>
        <v>91000</v>
      </c>
      <c r="H42" s="23"/>
      <c r="I42" s="20" t="n">
        <v>10000</v>
      </c>
      <c r="J42" s="23" t="n">
        <f>MAX(Fcondomstable[[#This Row],[Stock on hand(opening balance)]]+Fcondomstable[[#This Row],[Quantity ]]-Fcondomstable[[#This Row],[Forecasted consumption]],0)</f>
        <v>81000</v>
      </c>
      <c r="K42" s="2"/>
      <c r="L42" s="2"/>
      <c r="M42" s="18"/>
      <c r="N42" s="23"/>
      <c r="O42" s="2"/>
      <c r="P42" s="2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Fcondomstable[[#This Row],[Closing balance ]]/Fcondomstable[[#This Row],[Forecasted consumption]]</f>
        <v>8.1</v>
      </c>
      <c r="X42" s="25"/>
    </row>
    <row r="43">
      <c r="B43" s="6" t="s">
        <v>76</v>
      </c>
      <c r="C43" s="18" t="s">
        <v>34</v>
      </c>
      <c r="D43" s="17" t="s">
        <v>35</v>
      </c>
      <c r="E43" s="18" t="s">
        <v>31</v>
      </c>
      <c r="F43" s="19" t="n">
        <v>45839</v>
      </c>
      <c r="G43" s="23" t="n">
        <f t="shared" si="2"/>
        <v>81000</v>
      </c>
      <c r="H43" s="23"/>
      <c r="I43" s="20" t="n">
        <v>10000</v>
      </c>
      <c r="J43" s="23" t="n">
        <f>MAX(Fcondomstable[[#This Row],[Stock on hand(opening balance)]]+Fcondomstable[[#This Row],[Quantity ]]-Fcondomstable[[#This Row],[Forecasted consumption]],0)</f>
        <v>71000</v>
      </c>
      <c r="K43" s="2"/>
      <c r="L43" s="2"/>
      <c r="M43" s="18"/>
      <c r="N43" s="23"/>
      <c r="O43" s="2"/>
      <c r="P43" s="2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Fcondomstable[[#This Row],[Closing balance ]]/Fcondomstable[[#This Row],[Forecasted consumption]]</f>
        <v>7.1</v>
      </c>
      <c r="X43" s="25"/>
    </row>
    <row r="44">
      <c r="B44" s="6" t="s">
        <v>76</v>
      </c>
      <c r="C44" s="18" t="s">
        <v>34</v>
      </c>
      <c r="D44" s="17" t="s">
        <v>35</v>
      </c>
      <c r="E44" s="18" t="s">
        <v>31</v>
      </c>
      <c r="F44" s="19" t="n">
        <v>45870</v>
      </c>
      <c r="G44" s="23" t="n">
        <f t="shared" si="2"/>
        <v>71000</v>
      </c>
      <c r="H44" s="23"/>
      <c r="I44" s="20" t="n">
        <v>10000</v>
      </c>
      <c r="J44" s="23" t="n">
        <f>MAX(Fcondomstable[[#This Row],[Stock on hand(opening balance)]]+Fcondomstable[[#This Row],[Quantity ]]-Fcondomstable[[#This Row],[Forecasted consumption]],0)</f>
        <v>61000</v>
      </c>
      <c r="K44" s="2"/>
      <c r="L44" s="2"/>
      <c r="M44" s="18"/>
      <c r="N44" s="23"/>
      <c r="O44" s="2"/>
      <c r="P44" s="2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Fcondomstable[[#This Row],[Closing balance ]]/Fcondomstable[[#This Row],[Forecasted consumption]]</f>
        <v>6.1</v>
      </c>
      <c r="X44" s="25"/>
    </row>
    <row r="45">
      <c r="B45" s="6" t="s">
        <v>76</v>
      </c>
      <c r="C45" s="18" t="s">
        <v>34</v>
      </c>
      <c r="D45" s="17" t="s">
        <v>35</v>
      </c>
      <c r="E45" s="18" t="s">
        <v>31</v>
      </c>
      <c r="F45" s="19" t="n">
        <v>45901</v>
      </c>
      <c r="G45" s="23" t="n">
        <f t="shared" si="2"/>
        <v>61000</v>
      </c>
      <c r="H45" s="23"/>
      <c r="I45" s="20" t="n">
        <v>10000</v>
      </c>
      <c r="J45" s="23" t="n">
        <f>MAX(Fcondomstable[[#This Row],[Stock on hand(opening balance)]]+Fcondomstable[[#This Row],[Quantity ]]-Fcondomstable[[#This Row],[Forecasted consumption]],0)</f>
        <v>51000</v>
      </c>
      <c r="K45" s="2"/>
      <c r="L45" s="2"/>
      <c r="M45" s="18"/>
      <c r="N45" s="23"/>
      <c r="O45" s="2"/>
      <c r="P45" s="2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Fcondomstable[[#This Row],[Closing balance ]]/Fcondomstable[[#This Row],[Forecasted consumption]]</f>
        <v>5.0999999999999996</v>
      </c>
      <c r="X45" s="25"/>
    </row>
    <row r="46">
      <c r="B46" s="6" t="s">
        <v>76</v>
      </c>
      <c r="C46" s="18" t="s">
        <v>34</v>
      </c>
      <c r="D46" s="17" t="s">
        <v>35</v>
      </c>
      <c r="E46" s="18" t="s">
        <v>31</v>
      </c>
      <c r="F46" s="19" t="n">
        <v>45931</v>
      </c>
      <c r="G46" s="23" t="n">
        <f t="shared" si="2"/>
        <v>51000</v>
      </c>
      <c r="H46" s="23"/>
      <c r="I46" s="20" t="n">
        <v>10000</v>
      </c>
      <c r="J46" s="23" t="n">
        <f>MAX(Fcondomstable[[#This Row],[Stock on hand(opening balance)]]+Fcondomstable[[#This Row],[Quantity ]]-Fcondomstable[[#This Row],[Forecasted consumption]],0)</f>
        <v>41000</v>
      </c>
      <c r="K46" s="2"/>
      <c r="L46" s="2"/>
      <c r="M46" s="18"/>
      <c r="N46" s="23"/>
      <c r="O46" s="2"/>
      <c r="P46" s="2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Fcondomstable[[#This Row],[Closing balance ]]/Fcondomstable[[#This Row],[Forecasted consumption]]</f>
        <v>4.0999999999999996</v>
      </c>
      <c r="X46" s="25"/>
    </row>
    <row r="47">
      <c r="B47" s="6" t="s">
        <v>76</v>
      </c>
      <c r="C47" s="18" t="s">
        <v>34</v>
      </c>
      <c r="D47" s="17" t="s">
        <v>35</v>
      </c>
      <c r="E47" s="18" t="s">
        <v>31</v>
      </c>
      <c r="F47" s="19" t="n">
        <v>45962</v>
      </c>
      <c r="G47" s="23" t="n">
        <f t="shared" si="2"/>
        <v>41000</v>
      </c>
      <c r="H47" s="23"/>
      <c r="I47" s="20" t="n">
        <v>10000</v>
      </c>
      <c r="J47" s="23" t="n">
        <f>MAX(Fcondomstable[[#This Row],[Stock on hand(opening balance)]]+Fcondomstable[[#This Row],[Quantity ]]-Fcondomstable[[#This Row],[Forecasted consumption]],0)</f>
        <v>31000</v>
      </c>
      <c r="K47" s="2"/>
      <c r="L47" s="2"/>
      <c r="M47" s="18"/>
      <c r="N47" s="23"/>
      <c r="O47" s="2"/>
      <c r="P47" s="2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Fcondomstable[[#This Row],[Closing balance ]]/Fcondomstable[[#This Row],[Forecasted consumption]]</f>
        <v>3.1</v>
      </c>
      <c r="X47" s="25"/>
    </row>
    <row r="48">
      <c r="B48" s="6" t="s">
        <v>76</v>
      </c>
      <c r="C48" s="18" t="s">
        <v>34</v>
      </c>
      <c r="D48" s="17" t="s">
        <v>35</v>
      </c>
      <c r="E48" s="18" t="s">
        <v>31</v>
      </c>
      <c r="F48" s="19" t="n">
        <v>45992</v>
      </c>
      <c r="G48" s="23" t="n">
        <f t="shared" si="2"/>
        <v>31000</v>
      </c>
      <c r="H48" s="23"/>
      <c r="I48" s="20" t="n">
        <v>10000</v>
      </c>
      <c r="J48" s="23" t="n">
        <f>MAX(Fcondomstable[[#This Row],[Stock on hand(opening balance)]]+Fcondomstable[[#This Row],[Quantity ]]-Fcondomstable[[#This Row],[Forecasted consumption]],0)</f>
        <v>116700</v>
      </c>
      <c r="K48" s="2" t="s">
        <v>156</v>
      </c>
      <c r="L48" s="2" t="s">
        <v>156</v>
      </c>
      <c r="M48" s="18" t="s">
        <v>4</v>
      </c>
      <c r="N48" s="23" t="n">
        <v>95700</v>
      </c>
      <c r="O48" s="2"/>
      <c r="P48" s="2" t="n">
        <v>47850</v>
      </c>
      <c r="Q48" s="24" t="n">
        <v>45992</v>
      </c>
      <c r="R48" s="2"/>
      <c r="S48" s="2"/>
      <c r="T48" s="18" t="n">
        <v>3</v>
      </c>
      <c r="U48" s="18" t="n">
        <v>6</v>
      </c>
      <c r="V48" s="18" t="n">
        <v>6</v>
      </c>
      <c r="W48" s="3" t="n">
        <f>Fcondomstable[[#This Row],[Closing balance ]]/Fcondomstable[[#This Row],[Forecasted consumption]]</f>
        <v>11.67</v>
      </c>
      <c r="X48" s="25"/>
    </row>
    <row r="49">
      <c r="B49" s="6" t="s">
        <v>76</v>
      </c>
      <c r="C49" s="18" t="s">
        <v>34</v>
      </c>
      <c r="D49" s="17" t="s">
        <v>35</v>
      </c>
      <c r="E49" s="18" t="s">
        <v>31</v>
      </c>
      <c r="F49" s="19" t="n">
        <v>46023</v>
      </c>
      <c r="G49" s="23" t="n">
        <f t="shared" si="2"/>
        <v>116700</v>
      </c>
      <c r="H49" s="23"/>
      <c r="I49" s="20" t="n">
        <v>10000</v>
      </c>
      <c r="J49" s="23" t="n">
        <f>MAX(Fcondomstable[[#This Row],[Stock on hand(opening balance)]]+Fcondomstable[[#This Row],[Quantity ]]-Fcondomstable[[#This Row],[Forecasted consumption]],0)</f>
        <v>106700</v>
      </c>
      <c r="K49" s="2"/>
      <c r="L49" s="2"/>
      <c r="M49" s="18"/>
      <c r="N49" s="23"/>
      <c r="O49" s="2"/>
      <c r="P49" s="2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Fcondomstable[[#This Row],[Closing balance ]]/Fcondomstable[[#This Row],[Forecasted consumption]]</f>
        <v>10.67</v>
      </c>
      <c r="X49" s="25"/>
    </row>
    <row r="50">
      <c r="B50" s="6" t="s">
        <v>76</v>
      </c>
      <c r="C50" s="18" t="s">
        <v>34</v>
      </c>
      <c r="D50" s="17" t="s">
        <v>35</v>
      </c>
      <c r="E50" s="18" t="s">
        <v>31</v>
      </c>
      <c r="F50" s="19" t="n">
        <v>46054</v>
      </c>
      <c r="G50" s="23" t="n">
        <f t="shared" si="2"/>
        <v>106700</v>
      </c>
      <c r="H50" s="23"/>
      <c r="I50" s="20" t="n">
        <v>10000</v>
      </c>
      <c r="J50" s="23" t="n">
        <f>MAX(Fcondomstable[[#This Row],[Stock on hand(opening balance)]]+Fcondomstable[[#This Row],[Quantity ]]-Fcondomstable[[#This Row],[Forecasted consumption]],0)</f>
        <v>96700</v>
      </c>
      <c r="K50" s="2"/>
      <c r="L50" s="2"/>
      <c r="M50" s="18"/>
      <c r="N50" s="23"/>
      <c r="O50" s="2"/>
      <c r="P50" s="2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Fcondomstable[[#This Row],[Closing balance ]]/Fcondomstable[[#This Row],[Forecasted consumption]]</f>
        <v>9.67</v>
      </c>
      <c r="X50" s="25"/>
    </row>
    <row r="51">
      <c r="B51" s="6" t="s">
        <v>76</v>
      </c>
      <c r="C51" s="18" t="s">
        <v>34</v>
      </c>
      <c r="D51" s="17" t="s">
        <v>35</v>
      </c>
      <c r="E51" s="18" t="s">
        <v>31</v>
      </c>
      <c r="F51" s="19" t="n">
        <v>46082</v>
      </c>
      <c r="G51" s="23" t="n">
        <f t="shared" si="2"/>
        <v>96700</v>
      </c>
      <c r="H51" s="23"/>
      <c r="I51" s="20" t="n">
        <v>10000</v>
      </c>
      <c r="J51" s="23" t="n">
        <f>MAX(Fcondomstable[[#This Row],[Stock on hand(opening balance)]]+Fcondomstable[[#This Row],[Quantity ]]-Fcondomstable[[#This Row],[Forecasted consumption]],0)</f>
        <v>86700</v>
      </c>
      <c r="K51" s="2"/>
      <c r="L51" s="2"/>
      <c r="M51" s="18"/>
      <c r="N51" s="23"/>
      <c r="O51" s="2"/>
      <c r="P51" s="2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Fcondomstable[[#This Row],[Closing balance ]]/Fcondomstable[[#This Row],[Forecasted consumption]]</f>
        <v>8.67</v>
      </c>
      <c r="X51" s="25"/>
    </row>
    <row r="52">
      <c r="B52" s="6" t="s">
        <v>76</v>
      </c>
      <c r="C52" s="18" t="s">
        <v>34</v>
      </c>
      <c r="D52" s="17" t="s">
        <v>35</v>
      </c>
      <c r="E52" s="18" t="s">
        <v>31</v>
      </c>
      <c r="F52" s="19" t="n">
        <v>46113</v>
      </c>
      <c r="G52" s="23" t="n">
        <f t="shared" si="2"/>
        <v>86700</v>
      </c>
      <c r="H52" s="23"/>
      <c r="I52" s="20" t="n">
        <v>10000</v>
      </c>
      <c r="J52" s="23" t="n">
        <f>MAX(Fcondomstable[[#This Row],[Stock on hand(opening balance)]]+Fcondomstable[[#This Row],[Quantity ]]-Fcondomstable[[#This Row],[Forecasted consumption]],0)</f>
        <v>76700</v>
      </c>
      <c r="K52" s="2"/>
      <c r="L52" s="2"/>
      <c r="M52" s="18"/>
      <c r="N52" s="23"/>
      <c r="O52" s="2"/>
      <c r="P52" s="2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Fcondomstable[[#This Row],[Closing balance ]]/Fcondomstable[[#This Row],[Forecasted consumption]]</f>
        <v>7.67</v>
      </c>
      <c r="X52" s="25"/>
    </row>
    <row r="53">
      <c r="B53" s="6" t="s">
        <v>76</v>
      </c>
      <c r="C53" s="18" t="s">
        <v>34</v>
      </c>
      <c r="D53" s="17" t="s">
        <v>35</v>
      </c>
      <c r="E53" s="18" t="s">
        <v>31</v>
      </c>
      <c r="F53" s="19" t="n">
        <v>46143</v>
      </c>
      <c r="G53" s="23" t="n">
        <f t="shared" si="2"/>
        <v>76700</v>
      </c>
      <c r="H53" s="23"/>
      <c r="I53" s="20" t="n">
        <v>10000</v>
      </c>
      <c r="J53" s="23" t="n">
        <f>MAX(Fcondomstable[[#This Row],[Stock on hand(opening balance)]]+Fcondomstable[[#This Row],[Quantity ]]-Fcondomstable[[#This Row],[Forecasted consumption]],0)</f>
        <v>66700</v>
      </c>
      <c r="K53" s="2"/>
      <c r="L53" s="2"/>
      <c r="M53" s="18"/>
      <c r="N53" s="23"/>
      <c r="O53" s="2"/>
      <c r="P53" s="2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Fcondomstable[[#This Row],[Closing balance ]]/Fcondomstable[[#This Row],[Forecasted consumption]]</f>
        <v>6.67</v>
      </c>
      <c r="X53" s="25"/>
    </row>
    <row r="54">
      <c r="B54" s="6" t="s">
        <v>76</v>
      </c>
      <c r="C54" s="18" t="s">
        <v>34</v>
      </c>
      <c r="D54" s="17" t="s">
        <v>35</v>
      </c>
      <c r="E54" s="18" t="s">
        <v>31</v>
      </c>
      <c r="F54" s="19" t="n">
        <v>46174</v>
      </c>
      <c r="G54" s="23" t="n">
        <f t="shared" si="2"/>
        <v>66700</v>
      </c>
      <c r="H54" s="23"/>
      <c r="I54" s="20" t="n">
        <v>10000</v>
      </c>
      <c r="J54" s="23" t="n">
        <f>MAX(Fcondomstable[[#This Row],[Stock on hand(opening balance)]]+Fcondomstable[[#This Row],[Quantity ]]-Fcondomstable[[#This Row],[Forecasted consumption]],0)</f>
        <v>67166</v>
      </c>
      <c r="K54" s="2"/>
      <c r="L54" s="2"/>
      <c r="M54" s="18" t="s">
        <v>4</v>
      </c>
      <c r="N54" s="23" t="n">
        <v>10466</v>
      </c>
      <c r="O54" s="2"/>
      <c r="P54" s="2" t="n">
        <v>6802.9</v>
      </c>
      <c r="Q54" s="24" t="n">
        <v>46174</v>
      </c>
      <c r="R54" s="2"/>
      <c r="S54" s="2"/>
      <c r="T54" s="18" t="n">
        <v>3</v>
      </c>
      <c r="U54" s="18" t="n">
        <v>6</v>
      </c>
      <c r="V54" s="18" t="n">
        <v>6</v>
      </c>
      <c r="W54" s="3" t="n">
        <f>Fcondomstable[[#This Row],[Closing balance ]]/Fcondomstable[[#This Row],[Forecasted consumption]]</f>
        <v>6.7165999999999997</v>
      </c>
      <c r="X54" s="25"/>
    </row>
    <row r="55">
      <c r="B55" s="6" t="s">
        <v>76</v>
      </c>
      <c r="C55" s="18" t="s">
        <v>34</v>
      </c>
      <c r="D55" s="17" t="s">
        <v>35</v>
      </c>
      <c r="E55" s="18" t="s">
        <v>31</v>
      </c>
      <c r="F55" s="19" t="n">
        <v>46204</v>
      </c>
      <c r="G55" s="23" t="n">
        <f t="shared" si="2"/>
        <v>67166</v>
      </c>
      <c r="H55" s="23"/>
      <c r="I55" s="20" t="n">
        <v>10000</v>
      </c>
      <c r="J55" s="23" t="n">
        <f>MAX(Fcondomstable[[#This Row],[Stock on hand(opening balance)]]+Fcondomstable[[#This Row],[Quantity ]]-Fcondomstable[[#This Row],[Forecasted consumption]],0)</f>
        <v>57166</v>
      </c>
      <c r="K55" s="2"/>
      <c r="L55" s="2"/>
      <c r="M55" s="18"/>
      <c r="N55" s="23"/>
      <c r="O55" s="2"/>
      <c r="P55" s="2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Fcondomstable[[#This Row],[Closing balance ]]/Fcondomstable[[#This Row],[Forecasted consumption]]</f>
        <v>5.7165999999999997</v>
      </c>
      <c r="X55" s="25"/>
    </row>
    <row r="56">
      <c r="B56" s="6" t="s">
        <v>76</v>
      </c>
      <c r="C56" s="18" t="s">
        <v>34</v>
      </c>
      <c r="D56" s="17" t="s">
        <v>35</v>
      </c>
      <c r="E56" s="18" t="s">
        <v>31</v>
      </c>
      <c r="F56" s="19" t="n">
        <v>46235</v>
      </c>
      <c r="G56" s="23" t="n">
        <f t="shared" si="2"/>
        <v>57166</v>
      </c>
      <c r="H56" s="23"/>
      <c r="I56" s="20" t="n">
        <v>10000</v>
      </c>
      <c r="J56" s="23" t="n">
        <f>MAX(Fcondomstable[[#This Row],[Stock on hand(opening balance)]]+Fcondomstable[[#This Row],[Quantity ]]-Fcondomstable[[#This Row],[Forecasted consumption]],0)</f>
        <v>47166</v>
      </c>
      <c r="K56" s="2"/>
      <c r="L56" s="2"/>
      <c r="M56" s="18"/>
      <c r="N56" s="23"/>
      <c r="O56" s="2"/>
      <c r="P56" s="2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Fcondomstable[[#This Row],[Closing balance ]]/Fcondomstable[[#This Row],[Forecasted consumption]]</f>
        <v>4.7165999999999997</v>
      </c>
      <c r="X56" s="25"/>
    </row>
    <row r="57">
      <c r="B57" s="6" t="s">
        <v>76</v>
      </c>
      <c r="C57" s="18" t="s">
        <v>34</v>
      </c>
      <c r="D57" s="17" t="s">
        <v>35</v>
      </c>
      <c r="E57" s="18" t="s">
        <v>31</v>
      </c>
      <c r="F57" s="19" t="n">
        <v>46266</v>
      </c>
      <c r="G57" s="23" t="n">
        <f t="shared" si="2"/>
        <v>47166</v>
      </c>
      <c r="H57" s="23"/>
      <c r="I57" s="20" t="n">
        <v>10000</v>
      </c>
      <c r="J57" s="23" t="n">
        <f>MAX(Fcondomstable[[#This Row],[Stock on hand(opening balance)]]+Fcondomstable[[#This Row],[Quantity ]]-Fcondomstable[[#This Row],[Forecasted consumption]],0)</f>
        <v>41166</v>
      </c>
      <c r="K57" s="2"/>
      <c r="L57" s="2"/>
      <c r="M57" s="18" t="s">
        <v>4</v>
      </c>
      <c r="N57" s="23" t="n">
        <v>4000</v>
      </c>
      <c r="O57" s="2"/>
      <c r="P57" s="2" t="n">
        <v>2600</v>
      </c>
      <c r="Q57" s="24" t="n">
        <v>46266</v>
      </c>
      <c r="R57" s="2"/>
      <c r="S57" s="2"/>
      <c r="T57" s="18" t="n">
        <v>3</v>
      </c>
      <c r="U57" s="18" t="n">
        <v>6</v>
      </c>
      <c r="V57" s="18" t="n">
        <v>6</v>
      </c>
      <c r="W57" s="3" t="n">
        <f>Fcondomstable[[#This Row],[Closing balance ]]/Fcondomstable[[#This Row],[Forecasted consumption]]</f>
        <v>4.1166</v>
      </c>
      <c r="X57" s="25"/>
    </row>
    <row r="58">
      <c r="B58" s="6" t="s">
        <v>76</v>
      </c>
      <c r="C58" s="18" t="s">
        <v>34</v>
      </c>
      <c r="D58" s="17" t="s">
        <v>35</v>
      </c>
      <c r="E58" s="18" t="s">
        <v>31</v>
      </c>
      <c r="F58" s="19" t="n">
        <v>46296</v>
      </c>
      <c r="G58" s="23" t="n">
        <f t="shared" si="2"/>
        <v>41166</v>
      </c>
      <c r="H58" s="23"/>
      <c r="I58" s="20" t="n">
        <v>10000</v>
      </c>
      <c r="J58" s="23" t="n">
        <f>MAX(Fcondomstable[[#This Row],[Stock on hand(opening balance)]]+Fcondomstable[[#This Row],[Quantity ]]-Fcondomstable[[#This Row],[Forecasted consumption]],0)</f>
        <v>31166</v>
      </c>
      <c r="K58" s="2"/>
      <c r="L58" s="2"/>
      <c r="M58" s="18"/>
      <c r="N58" s="23"/>
      <c r="O58" s="2"/>
      <c r="P58" s="2"/>
      <c r="Q58" s="24"/>
      <c r="R58" s="2"/>
      <c r="S58" s="2"/>
      <c r="T58" s="18" t="n">
        <v>3</v>
      </c>
      <c r="U58" s="18" t="n">
        <v>6</v>
      </c>
      <c r="V58" s="18" t="n">
        <v>6</v>
      </c>
      <c r="W58" s="3" t="n">
        <f>Fcondomstable[[#This Row],[Closing balance ]]/Fcondomstable[[#This Row],[Forecasted consumption]]</f>
        <v>3.1166</v>
      </c>
      <c r="X58" s="25"/>
    </row>
    <row r="59">
      <c r="B59" s="6" t="s">
        <v>76</v>
      </c>
      <c r="C59" s="18" t="s">
        <v>34</v>
      </c>
      <c r="D59" s="17" t="s">
        <v>35</v>
      </c>
      <c r="E59" s="18" t="s">
        <v>31</v>
      </c>
      <c r="F59" s="19" t="n">
        <v>46327</v>
      </c>
      <c r="G59" s="23" t="n">
        <f t="shared" si="2"/>
        <v>31166</v>
      </c>
      <c r="H59" s="23"/>
      <c r="I59" s="20" t="n">
        <v>10000</v>
      </c>
      <c r="J59" s="23" t="n">
        <f>MAX(Fcondomstable[[#This Row],[Stock on hand(opening balance)]]+Fcondomstable[[#This Row],[Quantity ]]-Fcondomstable[[#This Row],[Forecasted consumption]],0)</f>
        <v>21166</v>
      </c>
      <c r="K59" s="2"/>
      <c r="L59" s="2"/>
      <c r="M59" s="18"/>
      <c r="N59" s="23"/>
      <c r="O59" s="2"/>
      <c r="P59" s="2"/>
      <c r="Q59" s="24"/>
      <c r="R59" s="2"/>
      <c r="S59" s="2"/>
      <c r="T59" s="18" t="n">
        <v>3</v>
      </c>
      <c r="U59" s="18" t="n">
        <v>6</v>
      </c>
      <c r="V59" s="18" t="n">
        <v>6</v>
      </c>
      <c r="W59" s="3" t="n">
        <f>Fcondomstable[[#This Row],[Closing balance ]]/Fcondomstable[[#This Row],[Forecasted consumption]]</f>
        <v>2.1166</v>
      </c>
      <c r="X59" s="25"/>
    </row>
    <row r="60">
      <c r="B60" s="6" t="s">
        <v>76</v>
      </c>
      <c r="C60" s="18" t="s">
        <v>34</v>
      </c>
      <c r="D60" s="17" t="s">
        <v>35</v>
      </c>
      <c r="E60" s="18" t="s">
        <v>31</v>
      </c>
      <c r="F60" s="19" t="n">
        <v>46357</v>
      </c>
      <c r="G60" s="23" t="n">
        <f t="shared" si="2"/>
        <v>21166</v>
      </c>
      <c r="H60" s="23"/>
      <c r="I60" s="20" t="n">
        <v>10000</v>
      </c>
      <c r="J60" s="23" t="n">
        <f>MAX(Fcondomstable[[#This Row],[Stock on hand(opening balance)]]+Fcondomstable[[#This Row],[Quantity ]]-Fcondomstable[[#This Row],[Forecasted consumption]],0)</f>
        <v>42139</v>
      </c>
      <c r="K60" s="2"/>
      <c r="L60" s="2"/>
      <c r="M60" s="18" t="s">
        <v>4</v>
      </c>
      <c r="N60" s="23" t="n">
        <v>30973</v>
      </c>
      <c r="O60" s="2"/>
      <c r="P60" s="2" t="n">
        <v>20458.099999999999</v>
      </c>
      <c r="Q60" s="24" t="n">
        <v>46357</v>
      </c>
      <c r="R60" s="2"/>
      <c r="S60" s="2"/>
      <c r="T60" s="18" t="n">
        <v>3</v>
      </c>
      <c r="U60" s="18" t="n">
        <v>6</v>
      </c>
      <c r="V60" s="18" t="n">
        <v>6</v>
      </c>
      <c r="W60" s="3" t="n">
        <f>Fcondomstable[[#This Row],[Closing balance ]]/Fcondomstable[[#This Row],[Forecasted consumption]]</f>
        <v>4.2138999999999998</v>
      </c>
      <c r="X60" s="25"/>
    </row>
    <row r="61">
      <c r="B61" s="6" t="s">
        <v>72</v>
      </c>
      <c r="C61" s="18" t="s">
        <v>34</v>
      </c>
      <c r="D61" s="17" t="s">
        <v>35</v>
      </c>
      <c r="E61" s="18" t="s">
        <v>31</v>
      </c>
      <c r="F61" s="19" t="n">
        <v>45689</v>
      </c>
      <c r="G61" s="23" t="n">
        <v>0</v>
      </c>
      <c r="H61" s="23"/>
      <c r="I61" s="23" t="n">
        <v>7816</v>
      </c>
      <c r="J61" s="23" t="n">
        <f>MAX(Fcondomstable[[#This Row],[Stock on hand(opening balance)]]+Fcondomstable[[#This Row],[Quantity ]]-Fcondomstable[[#This Row],[Forecasted consumption]],0)</f>
        <v>0</v>
      </c>
      <c r="K61" s="2"/>
      <c r="L61" s="2"/>
      <c r="M61" s="18"/>
      <c r="N61" s="23"/>
      <c r="O61" s="2"/>
      <c r="P61" s="2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Fcondomstable[[#This Row],[Closing balance ]]/Fcondomstable[[#This Row],[Forecasted consumption]]</f>
        <v>0</v>
      </c>
      <c r="X61" s="25"/>
    </row>
    <row r="62">
      <c r="B62" s="6" t="s">
        <v>72</v>
      </c>
      <c r="C62" s="18" t="s">
        <v>34</v>
      </c>
      <c r="D62" s="17" t="s">
        <v>35</v>
      </c>
      <c r="E62" s="18" t="s">
        <v>31</v>
      </c>
      <c r="F62" s="19" t="n">
        <v>45717</v>
      </c>
      <c r="G62" s="23" t="n">
        <f>J61</f>
        <v>0</v>
      </c>
      <c r="H62" s="23"/>
      <c r="I62" s="23" t="n">
        <v>7816</v>
      </c>
      <c r="J62" s="23" t="n">
        <f>MAX(Fcondomstable[[#This Row],[Stock on hand(opening balance)]]+Fcondomstable[[#This Row],[Quantity ]]-Fcondomstable[[#This Row],[Forecasted consumption]],0)</f>
        <v>0</v>
      </c>
      <c r="K62" s="2"/>
      <c r="L62" s="2"/>
      <c r="M62" s="18"/>
      <c r="N62" s="23"/>
      <c r="O62" s="2"/>
      <c r="P62" s="2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Fcondomstable[[#This Row],[Closing balance ]]/Fcondomstable[[#This Row],[Forecasted consumption]]</f>
        <v>0</v>
      </c>
      <c r="X62" s="25"/>
    </row>
    <row r="63">
      <c r="B63" s="6" t="s">
        <v>72</v>
      </c>
      <c r="C63" s="18" t="s">
        <v>34</v>
      </c>
      <c r="D63" s="17" t="s">
        <v>35</v>
      </c>
      <c r="E63" s="18" t="s">
        <v>31</v>
      </c>
      <c r="F63" s="19" t="n">
        <v>45748</v>
      </c>
      <c r="G63" s="23" t="n">
        <f t="shared" ref="G63:G83" si="3">J62</f>
        <v>0</v>
      </c>
      <c r="H63" s="23"/>
      <c r="I63" s="23" t="n">
        <v>7816</v>
      </c>
      <c r="J63" s="23" t="n">
        <f>MAX(Fcondomstable[[#This Row],[Stock on hand(opening balance)]]+Fcondomstable[[#This Row],[Quantity ]]-Fcondomstable[[#This Row],[Forecasted consumption]],0)</f>
        <v>0</v>
      </c>
      <c r="K63" s="2"/>
      <c r="L63" s="2"/>
      <c r="M63" s="18"/>
      <c r="N63" s="23"/>
      <c r="O63" s="2"/>
      <c r="P63" s="2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Fcondomstable[[#This Row],[Closing balance ]]/Fcondomstable[[#This Row],[Forecasted consumption]]</f>
        <v>0</v>
      </c>
      <c r="X63" s="25"/>
    </row>
    <row r="64">
      <c r="B64" s="6" t="s">
        <v>72</v>
      </c>
      <c r="C64" s="18" t="s">
        <v>34</v>
      </c>
      <c r="D64" s="17" t="s">
        <v>35</v>
      </c>
      <c r="E64" s="18" t="s">
        <v>31</v>
      </c>
      <c r="F64" s="19" t="n">
        <v>45778</v>
      </c>
      <c r="G64" s="23" t="n">
        <f t="shared" si="3"/>
        <v>0</v>
      </c>
      <c r="H64" s="23"/>
      <c r="I64" s="23" t="n">
        <v>7816</v>
      </c>
      <c r="J64" s="23" t="n">
        <f>MAX(Fcondomstable[[#This Row],[Stock on hand(opening balance)]]+Fcondomstable[[#This Row],[Quantity ]]-Fcondomstable[[#This Row],[Forecasted consumption]],0)</f>
        <v>0</v>
      </c>
      <c r="K64" s="2"/>
      <c r="L64" s="2"/>
      <c r="M64" s="18"/>
      <c r="N64" s="23"/>
      <c r="O64" s="2"/>
      <c r="P64" s="2"/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Fcondomstable[[#This Row],[Closing balance ]]/Fcondomstable[[#This Row],[Forecasted consumption]]</f>
        <v>0</v>
      </c>
      <c r="X64" s="25"/>
    </row>
    <row r="65">
      <c r="B65" s="6" t="s">
        <v>72</v>
      </c>
      <c r="C65" s="18" t="s">
        <v>34</v>
      </c>
      <c r="D65" s="17" t="s">
        <v>35</v>
      </c>
      <c r="E65" s="18" t="s">
        <v>31</v>
      </c>
      <c r="F65" s="19" t="n">
        <v>45809</v>
      </c>
      <c r="G65" s="23" t="n">
        <f t="shared" si="3"/>
        <v>0</v>
      </c>
      <c r="H65" s="23"/>
      <c r="I65" s="23" t="n">
        <v>7816</v>
      </c>
      <c r="J65" s="23" t="n">
        <f>MAX(Fcondomstable[[#This Row],[Stock on hand(opening balance)]]+Fcondomstable[[#This Row],[Quantity ]]-Fcondomstable[[#This Row],[Forecasted consumption]],0)</f>
        <v>0</v>
      </c>
      <c r="K65" s="2"/>
      <c r="L65" s="2"/>
      <c r="M65" s="18"/>
      <c r="N65" s="23"/>
      <c r="O65" s="2"/>
      <c r="P65" s="2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Fcondomstable[[#This Row],[Closing balance ]]/Fcondomstable[[#This Row],[Forecasted consumption]]</f>
        <v>0</v>
      </c>
      <c r="X65" s="25"/>
    </row>
    <row r="66">
      <c r="B66" s="6" t="s">
        <v>72</v>
      </c>
      <c r="C66" s="18" t="s">
        <v>34</v>
      </c>
      <c r="D66" s="17" t="s">
        <v>35</v>
      </c>
      <c r="E66" s="18" t="s">
        <v>31</v>
      </c>
      <c r="F66" s="19" t="n">
        <v>45839</v>
      </c>
      <c r="G66" s="23" t="n">
        <f t="shared" si="3"/>
        <v>0</v>
      </c>
      <c r="H66" s="23"/>
      <c r="I66" s="23" t="n">
        <v>7816</v>
      </c>
      <c r="J66" s="23" t="n">
        <f>MAX(Fcondomstable[[#This Row],[Stock on hand(opening balance)]]+Fcondomstable[[#This Row],[Quantity ]]-Fcondomstable[[#This Row],[Forecasted consumption]],0)</f>
        <v>0</v>
      </c>
      <c r="K66" s="2"/>
      <c r="L66" s="2"/>
      <c r="M66" s="18"/>
      <c r="N66" s="23"/>
      <c r="O66" s="2"/>
      <c r="P66" s="2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Fcondomstable[[#This Row],[Closing balance ]]/Fcondomstable[[#This Row],[Forecasted consumption]]</f>
        <v>0</v>
      </c>
      <c r="X66" s="25"/>
    </row>
    <row r="67">
      <c r="B67" s="6" t="s">
        <v>72</v>
      </c>
      <c r="C67" s="18" t="s">
        <v>34</v>
      </c>
      <c r="D67" s="17" t="s">
        <v>35</v>
      </c>
      <c r="E67" s="18" t="s">
        <v>31</v>
      </c>
      <c r="F67" s="19" t="n">
        <v>45870</v>
      </c>
      <c r="G67" s="23" t="n">
        <f t="shared" si="3"/>
        <v>0</v>
      </c>
      <c r="H67" s="23"/>
      <c r="I67" s="23" t="n">
        <v>7816</v>
      </c>
      <c r="J67" s="23" t="n">
        <f>MAX(Fcondomstable[[#This Row],[Stock on hand(opening balance)]]+Fcondomstable[[#This Row],[Quantity ]]-Fcondomstable[[#This Row],[Forecasted consumption]],0)</f>
        <v>0</v>
      </c>
      <c r="K67" s="2"/>
      <c r="L67" s="2"/>
      <c r="M67" s="18"/>
      <c r="N67" s="23"/>
      <c r="O67" s="2"/>
      <c r="P67" s="2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Fcondomstable[[#This Row],[Closing balance ]]/Fcondomstable[[#This Row],[Forecasted consumption]]</f>
        <v>0</v>
      </c>
      <c r="X67" s="25"/>
    </row>
    <row r="68">
      <c r="B68" s="6" t="s">
        <v>72</v>
      </c>
      <c r="C68" s="18" t="s">
        <v>34</v>
      </c>
      <c r="D68" s="17" t="s">
        <v>35</v>
      </c>
      <c r="E68" s="18" t="s">
        <v>31</v>
      </c>
      <c r="F68" s="19" t="n">
        <v>45901</v>
      </c>
      <c r="G68" s="23" t="n">
        <f t="shared" si="3"/>
        <v>0</v>
      </c>
      <c r="H68" s="23"/>
      <c r="I68" s="23" t="n">
        <v>7816</v>
      </c>
      <c r="J68" s="23" t="n">
        <f>MAX(Fcondomstable[[#This Row],[Stock on hand(opening balance)]]+Fcondomstable[[#This Row],[Quantity ]]-Fcondomstable[[#This Row],[Forecasted consumption]],0)</f>
        <v>0</v>
      </c>
      <c r="K68" s="2"/>
      <c r="L68" s="2"/>
      <c r="M68" s="18"/>
      <c r="N68" s="23"/>
      <c r="O68" s="2"/>
      <c r="P68" s="2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Fcondomstable[[#This Row],[Closing balance ]]/Fcondomstable[[#This Row],[Forecasted consumption]]</f>
        <v>0</v>
      </c>
      <c r="X68" s="25"/>
    </row>
    <row r="69">
      <c r="B69" s="6" t="s">
        <v>72</v>
      </c>
      <c r="C69" s="18" t="s">
        <v>34</v>
      </c>
      <c r="D69" s="17" t="s">
        <v>35</v>
      </c>
      <c r="E69" s="18" t="s">
        <v>31</v>
      </c>
      <c r="F69" s="19" t="n">
        <v>45931</v>
      </c>
      <c r="G69" s="23" t="n">
        <f t="shared" si="3"/>
        <v>0</v>
      </c>
      <c r="H69" s="23"/>
      <c r="I69" s="23" t="n">
        <v>7816</v>
      </c>
      <c r="J69" s="23" t="n">
        <f>MAX(Fcondomstable[[#This Row],[Stock on hand(opening balance)]]+Fcondomstable[[#This Row],[Quantity ]]-Fcondomstable[[#This Row],[Forecasted consumption]],0)</f>
        <v>14184</v>
      </c>
      <c r="K69" s="2" t="s">
        <v>51</v>
      </c>
      <c r="L69" s="2" t="s">
        <v>51</v>
      </c>
      <c r="M69" s="18" t="s">
        <v>147</v>
      </c>
      <c r="N69" s="23" t="n">
        <v>22000</v>
      </c>
      <c r="O69" s="2"/>
      <c r="P69" s="2" t="n">
        <v>12320</v>
      </c>
      <c r="Q69" s="24" t="n">
        <v>45931</v>
      </c>
      <c r="R69" s="2"/>
      <c r="S69" s="2"/>
      <c r="T69" s="2" t="n">
        <v>6</v>
      </c>
      <c r="U69" s="2" t="n">
        <v>12</v>
      </c>
      <c r="V69" s="2" t="n">
        <v>12</v>
      </c>
      <c r="W69" s="3" t="n">
        <f>Fcondomstable[[#This Row],[Closing balance ]]/Fcondomstable[[#This Row],[Forecasted consumption]]</f>
        <v>1.8147389969293757</v>
      </c>
      <c r="X69" s="25"/>
    </row>
    <row r="70">
      <c r="B70" s="6" t="s">
        <v>72</v>
      </c>
      <c r="C70" s="18" t="s">
        <v>34</v>
      </c>
      <c r="D70" s="17" t="s">
        <v>35</v>
      </c>
      <c r="E70" s="18" t="s">
        <v>31</v>
      </c>
      <c r="F70" s="19" t="n">
        <v>45962</v>
      </c>
      <c r="G70" s="23" t="n">
        <f t="shared" si="3"/>
        <v>14184</v>
      </c>
      <c r="H70" s="23"/>
      <c r="I70" s="23" t="n">
        <v>7816</v>
      </c>
      <c r="J70" s="23" t="n">
        <f>MAX(Fcondomstable[[#This Row],[Stock on hand(opening balance)]]+Fcondomstable[[#This Row],[Quantity ]]-Fcondomstable[[#This Row],[Forecasted consumption]],0)</f>
        <v>6368</v>
      </c>
      <c r="K70" s="2"/>
      <c r="L70" s="2"/>
      <c r="M70" s="18"/>
      <c r="N70" s="23"/>
      <c r="O70" s="2"/>
      <c r="P70" s="2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Fcondomstable[[#This Row],[Closing balance ]]/Fcondomstable[[#This Row],[Forecasted consumption]]</f>
        <v>0.81473899692937568</v>
      </c>
      <c r="X70" s="25"/>
    </row>
    <row r="71">
      <c r="B71" s="6" t="s">
        <v>72</v>
      </c>
      <c r="C71" s="18" t="s">
        <v>34</v>
      </c>
      <c r="D71" s="17" t="s">
        <v>35</v>
      </c>
      <c r="E71" s="18" t="s">
        <v>31</v>
      </c>
      <c r="F71" s="19" t="n">
        <v>45992</v>
      </c>
      <c r="G71" s="23" t="n">
        <f t="shared" si="3"/>
        <v>6368</v>
      </c>
      <c r="H71" s="23"/>
      <c r="I71" s="23" t="n">
        <v>7816</v>
      </c>
      <c r="J71" s="23" t="n">
        <f>MAX(Fcondomstable[[#This Row],[Stock on hand(opening balance)]]+Fcondomstable[[#This Row],[Quantity ]]-Fcondomstable[[#This Row],[Forecasted consumption]],0)</f>
        <v>0</v>
      </c>
      <c r="K71" s="2"/>
      <c r="L71" s="2"/>
      <c r="M71" s="18"/>
      <c r="N71" s="23"/>
      <c r="O71" s="2"/>
      <c r="P71" s="2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Fcondomstable[[#This Row],[Closing balance ]]/Fcondomstable[[#This Row],[Forecasted consumption]]</f>
        <v>0</v>
      </c>
      <c r="X71" s="25"/>
    </row>
    <row r="72">
      <c r="B72" s="6" t="s">
        <v>72</v>
      </c>
      <c r="C72" s="18" t="s">
        <v>34</v>
      </c>
      <c r="D72" s="17" t="s">
        <v>35</v>
      </c>
      <c r="E72" s="18" t="s">
        <v>31</v>
      </c>
      <c r="F72" s="19" t="n">
        <v>46023</v>
      </c>
      <c r="G72" s="23" t="n">
        <f t="shared" si="3"/>
        <v>0</v>
      </c>
      <c r="H72" s="23"/>
      <c r="I72" s="23" t="n">
        <v>7816</v>
      </c>
      <c r="J72" s="23" t="n">
        <f>MAX(Fcondomstable[[#This Row],[Stock on hand(opening balance)]]+Fcondomstable[[#This Row],[Quantity ]]-Fcondomstable[[#This Row],[Forecasted consumption]],0)</f>
        <v>8910</v>
      </c>
      <c r="K72" s="2" t="s">
        <v>2</v>
      </c>
      <c r="L72" s="2" t="s">
        <v>2</v>
      </c>
      <c r="M72" s="18" t="s">
        <v>4</v>
      </c>
      <c r="N72" s="23" t="n">
        <v>16726</v>
      </c>
      <c r="O72" s="2"/>
      <c r="P72" s="2" t="n">
        <v>9336</v>
      </c>
      <c r="Q72" s="24" t="n">
        <v>46023</v>
      </c>
      <c r="R72" s="2"/>
      <c r="S72" s="2"/>
      <c r="T72" s="2" t="n">
        <v>6</v>
      </c>
      <c r="U72" s="2" t="n">
        <v>12</v>
      </c>
      <c r="V72" s="2" t="n">
        <v>12</v>
      </c>
      <c r="W72" s="3" t="n">
        <f>Fcondomstable[[#This Row],[Closing balance ]]/Fcondomstable[[#This Row],[Forecasted consumption]]</f>
        <v>1.1399692937563972</v>
      </c>
      <c r="X72" s="25"/>
    </row>
    <row r="73">
      <c r="B73" s="6" t="s">
        <v>72</v>
      </c>
      <c r="C73" s="18" t="s">
        <v>34</v>
      </c>
      <c r="D73" s="17" t="s">
        <v>35</v>
      </c>
      <c r="E73" s="18" t="s">
        <v>31</v>
      </c>
      <c r="F73" s="19" t="n">
        <v>46054</v>
      </c>
      <c r="G73" s="23" t="n">
        <f t="shared" si="3"/>
        <v>8910</v>
      </c>
      <c r="H73" s="23"/>
      <c r="I73" s="23" t="n">
        <v>7816</v>
      </c>
      <c r="J73" s="23" t="n">
        <f>MAX(Fcondomstable[[#This Row],[Stock on hand(opening balance)]]+Fcondomstable[[#This Row],[Quantity ]]-Fcondomstable[[#This Row],[Forecasted consumption]],0)</f>
        <v>1094</v>
      </c>
      <c r="K73" s="2"/>
      <c r="L73" s="2"/>
      <c r="M73" s="18"/>
      <c r="N73" s="23"/>
      <c r="O73" s="2"/>
      <c r="P73" s="2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Fcondomstable[[#This Row],[Closing balance ]]/Fcondomstable[[#This Row],[Forecasted consumption]]</f>
        <v>0.13996929375639713</v>
      </c>
      <c r="X73" s="25"/>
    </row>
    <row r="74">
      <c r="B74" s="6" t="s">
        <v>72</v>
      </c>
      <c r="C74" s="18" t="s">
        <v>34</v>
      </c>
      <c r="D74" s="17" t="s">
        <v>35</v>
      </c>
      <c r="E74" s="18" t="s">
        <v>31</v>
      </c>
      <c r="F74" s="19" t="n">
        <v>46082</v>
      </c>
      <c r="G74" s="23" t="n">
        <f t="shared" si="3"/>
        <v>1094</v>
      </c>
      <c r="H74" s="23"/>
      <c r="I74" s="23" t="n">
        <v>7816</v>
      </c>
      <c r="J74" s="23" t="n">
        <f>MAX(Fcondomstable[[#This Row],[Stock on hand(opening balance)]]+Fcondomstable[[#This Row],[Quantity ]]-Fcondomstable[[#This Row],[Forecasted consumption]],0)</f>
        <v>0</v>
      </c>
      <c r="K74" s="2"/>
      <c r="L74" s="2"/>
      <c r="M74" s="18"/>
      <c r="N74" s="23"/>
      <c r="O74" s="2"/>
      <c r="P74" s="2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Fcondomstable[[#This Row],[Closing balance ]]/Fcondomstable[[#This Row],[Forecasted consumption]]</f>
        <v>0</v>
      </c>
      <c r="X74" s="25"/>
    </row>
    <row r="75">
      <c r="B75" s="6" t="s">
        <v>72</v>
      </c>
      <c r="C75" s="18" t="s">
        <v>34</v>
      </c>
      <c r="D75" s="17" t="s">
        <v>35</v>
      </c>
      <c r="E75" s="18" t="s">
        <v>31</v>
      </c>
      <c r="F75" s="19" t="n">
        <v>46113</v>
      </c>
      <c r="G75" s="23" t="n">
        <f t="shared" si="3"/>
        <v>0</v>
      </c>
      <c r="H75" s="23"/>
      <c r="I75" s="23" t="n">
        <v>7816</v>
      </c>
      <c r="J75" s="23" t="n">
        <f>MAX(Fcondomstable[[#This Row],[Stock on hand(opening balance)]]+Fcondomstable[[#This Row],[Quantity ]]-Fcondomstable[[#This Row],[Forecasted consumption]],0)</f>
        <v>0</v>
      </c>
      <c r="K75" s="2"/>
      <c r="L75" s="2"/>
      <c r="M75" s="18"/>
      <c r="N75" s="23"/>
      <c r="O75" s="2"/>
      <c r="P75" s="2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Fcondomstable[[#This Row],[Closing balance ]]/Fcondomstable[[#This Row],[Forecasted consumption]]</f>
        <v>0</v>
      </c>
      <c r="X75" s="25"/>
    </row>
    <row r="76">
      <c r="B76" s="6" t="s">
        <v>72</v>
      </c>
      <c r="C76" s="18" t="s">
        <v>34</v>
      </c>
      <c r="D76" s="17" t="s">
        <v>35</v>
      </c>
      <c r="E76" s="18" t="s">
        <v>31</v>
      </c>
      <c r="F76" s="19" t="n">
        <v>46143</v>
      </c>
      <c r="G76" s="23" t="n">
        <f t="shared" si="3"/>
        <v>0</v>
      </c>
      <c r="H76" s="23"/>
      <c r="I76" s="23" t="n">
        <v>7816</v>
      </c>
      <c r="J76" s="23" t="n">
        <f>MAX(Fcondomstable[[#This Row],[Stock on hand(opening balance)]]+Fcondomstable[[#This Row],[Quantity ]]-Fcondomstable[[#This Row],[Forecasted consumption]],0)</f>
        <v>0</v>
      </c>
      <c r="K76" s="2"/>
      <c r="L76" s="2"/>
      <c r="M76" s="18"/>
      <c r="N76" s="23"/>
      <c r="O76" s="2"/>
      <c r="P76" s="2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Fcondomstable[[#This Row],[Closing balance ]]/Fcondomstable[[#This Row],[Forecasted consumption]]</f>
        <v>0</v>
      </c>
      <c r="X76" s="25"/>
    </row>
    <row r="77">
      <c r="B77" s="6" t="s">
        <v>72</v>
      </c>
      <c r="C77" s="18" t="s">
        <v>34</v>
      </c>
      <c r="D77" s="17" t="s">
        <v>35</v>
      </c>
      <c r="E77" s="18" t="s">
        <v>31</v>
      </c>
      <c r="F77" s="19" t="n">
        <v>46174</v>
      </c>
      <c r="G77" s="23" t="n">
        <f t="shared" si="3"/>
        <v>0</v>
      </c>
      <c r="H77" s="23"/>
      <c r="I77" s="23" t="n">
        <v>7816</v>
      </c>
      <c r="J77" s="23" t="n">
        <f>MAX(Fcondomstable[[#This Row],[Stock on hand(opening balance)]]+Fcondomstable[[#This Row],[Quantity ]]-Fcondomstable[[#This Row],[Forecasted consumption]],0)</f>
        <v>0</v>
      </c>
      <c r="K77" s="2"/>
      <c r="L77" s="2"/>
      <c r="M77" s="18"/>
      <c r="N77" s="23"/>
      <c r="O77" s="2"/>
      <c r="P77" s="2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Fcondomstable[[#This Row],[Closing balance ]]/Fcondomstable[[#This Row],[Forecasted consumption]]</f>
        <v>0</v>
      </c>
      <c r="X77" s="25"/>
    </row>
    <row r="78">
      <c r="B78" s="6" t="s">
        <v>72</v>
      </c>
      <c r="C78" s="18" t="s">
        <v>34</v>
      </c>
      <c r="D78" s="17" t="s">
        <v>35</v>
      </c>
      <c r="E78" s="18" t="s">
        <v>31</v>
      </c>
      <c r="F78" s="19" t="n">
        <v>46204</v>
      </c>
      <c r="G78" s="23" t="n">
        <f t="shared" si="3"/>
        <v>0</v>
      </c>
      <c r="H78" s="23"/>
      <c r="I78" s="23" t="n">
        <v>7816</v>
      </c>
      <c r="J78" s="23" t="n">
        <f>MAX(Fcondomstable[[#This Row],[Stock on hand(opening balance)]]+Fcondomstable[[#This Row],[Quantity ]]-Fcondomstable[[#This Row],[Forecasted consumption]],0)</f>
        <v>8538</v>
      </c>
      <c r="K78" s="2" t="s">
        <v>2</v>
      </c>
      <c r="L78" s="2" t="s">
        <v>2</v>
      </c>
      <c r="M78" s="18" t="s">
        <v>4</v>
      </c>
      <c r="N78" s="23" t="n">
        <v>16354</v>
      </c>
      <c r="O78" s="2"/>
      <c r="P78" s="2" t="n">
        <v>9158</v>
      </c>
      <c r="Q78" s="24" t="n">
        <v>46204</v>
      </c>
      <c r="R78" s="2"/>
      <c r="S78" s="2"/>
      <c r="T78" s="2" t="n">
        <v>6</v>
      </c>
      <c r="U78" s="2" t="n">
        <v>12</v>
      </c>
      <c r="V78" s="2" t="n">
        <v>12</v>
      </c>
      <c r="W78" s="3" t="n">
        <f>Fcondomstable[[#This Row],[Closing balance ]]/Fcondomstable[[#This Row],[Forecasted consumption]]</f>
        <v>1.092374616171955</v>
      </c>
      <c r="X78" s="25"/>
    </row>
    <row r="79">
      <c r="B79" s="6" t="s">
        <v>72</v>
      </c>
      <c r="C79" s="18" t="s">
        <v>34</v>
      </c>
      <c r="D79" s="17" t="s">
        <v>35</v>
      </c>
      <c r="E79" s="18" t="s">
        <v>31</v>
      </c>
      <c r="F79" s="19" t="n">
        <v>46235</v>
      </c>
      <c r="G79" s="23" t="n">
        <f t="shared" si="3"/>
        <v>8538</v>
      </c>
      <c r="H79" s="23"/>
      <c r="I79" s="23" t="n">
        <v>7816</v>
      </c>
      <c r="J79" s="23" t="n">
        <f>MAX(Fcondomstable[[#This Row],[Stock on hand(opening balance)]]+Fcondomstable[[#This Row],[Quantity ]]-Fcondomstable[[#This Row],[Forecasted consumption]],0)</f>
        <v>722</v>
      </c>
      <c r="K79" s="2"/>
      <c r="L79" s="2"/>
      <c r="M79" s="18"/>
      <c r="N79" s="23"/>
      <c r="O79" s="2"/>
      <c r="P79" s="2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Fcondomstable[[#This Row],[Closing balance ]]/Fcondomstable[[#This Row],[Forecasted consumption]]</f>
        <v>9.2374616171954971E-2</v>
      </c>
      <c r="X79" s="25"/>
    </row>
    <row r="80">
      <c r="B80" s="6" t="s">
        <v>72</v>
      </c>
      <c r="C80" s="18" t="s">
        <v>34</v>
      </c>
      <c r="D80" s="17" t="s">
        <v>35</v>
      </c>
      <c r="E80" s="18" t="s">
        <v>31</v>
      </c>
      <c r="F80" s="19" t="n">
        <v>46266</v>
      </c>
      <c r="G80" s="23" t="n">
        <f t="shared" si="3"/>
        <v>722</v>
      </c>
      <c r="H80" s="23"/>
      <c r="I80" s="23" t="n">
        <v>7816</v>
      </c>
      <c r="J80" s="23" t="n">
        <f>MAX(Fcondomstable[[#This Row],[Stock on hand(opening balance)]]+Fcondomstable[[#This Row],[Quantity ]]-Fcondomstable[[#This Row],[Forecasted consumption]],0)</f>
        <v>0</v>
      </c>
      <c r="K80" s="2"/>
      <c r="L80" s="2"/>
      <c r="M80" s="18"/>
      <c r="N80" s="23"/>
      <c r="O80" s="2"/>
      <c r="P80" s="2"/>
      <c r="Q80" s="24"/>
      <c r="R80" s="2"/>
      <c r="S80" s="2"/>
      <c r="T80" s="2" t="n">
        <v>6</v>
      </c>
      <c r="U80" s="2" t="n">
        <v>12</v>
      </c>
      <c r="V80" s="2" t="n">
        <v>12</v>
      </c>
      <c r="W80" s="3" t="n">
        <f>Fcondomstable[[#This Row],[Closing balance ]]/Fcondomstable[[#This Row],[Forecasted consumption]]</f>
        <v>0</v>
      </c>
      <c r="X80" s="25"/>
    </row>
    <row r="81">
      <c r="B81" s="6" t="s">
        <v>72</v>
      </c>
      <c r="C81" s="18" t="s">
        <v>34</v>
      </c>
      <c r="D81" s="17" t="s">
        <v>35</v>
      </c>
      <c r="E81" s="18" t="s">
        <v>31</v>
      </c>
      <c r="F81" s="19" t="n">
        <v>46296</v>
      </c>
      <c r="G81" s="23" t="n">
        <f t="shared" si="3"/>
        <v>0</v>
      </c>
      <c r="H81" s="23"/>
      <c r="I81" s="23" t="n">
        <v>7816</v>
      </c>
      <c r="J81" s="23" t="n">
        <f>MAX(Fcondomstable[[#This Row],[Stock on hand(opening balance)]]+Fcondomstable[[#This Row],[Quantity ]]-Fcondomstable[[#This Row],[Forecasted consumption]],0)</f>
        <v>0</v>
      </c>
      <c r="K81" s="2"/>
      <c r="L81" s="2"/>
      <c r="M81" s="18"/>
      <c r="N81" s="23"/>
      <c r="O81" s="2"/>
      <c r="P81" s="2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Fcondomstable[[#This Row],[Closing balance ]]/Fcondomstable[[#This Row],[Forecasted consumption]]</f>
        <v>0</v>
      </c>
      <c r="X81" s="25"/>
    </row>
    <row r="82">
      <c r="B82" s="6" t="s">
        <v>72</v>
      </c>
      <c r="C82" s="18" t="s">
        <v>34</v>
      </c>
      <c r="D82" s="17" t="s">
        <v>35</v>
      </c>
      <c r="E82" s="18" t="s">
        <v>31</v>
      </c>
      <c r="F82" s="19" t="n">
        <v>46327</v>
      </c>
      <c r="G82" s="23" t="n">
        <f t="shared" si="3"/>
        <v>0</v>
      </c>
      <c r="H82" s="23"/>
      <c r="I82" s="23" t="n">
        <v>7816</v>
      </c>
      <c r="J82" s="23" t="n">
        <f>MAX(Fcondomstable[[#This Row],[Stock on hand(opening balance)]]+Fcondomstable[[#This Row],[Quantity ]]-Fcondomstable[[#This Row],[Forecasted consumption]],0)</f>
        <v>0</v>
      </c>
      <c r="K82" s="2"/>
      <c r="L82" s="2"/>
      <c r="M82" s="18"/>
      <c r="N82" s="23"/>
      <c r="O82" s="2"/>
      <c r="P82" s="2"/>
      <c r="Q82" s="24"/>
      <c r="R82" s="2"/>
      <c r="S82" s="2"/>
      <c r="T82" s="2" t="n">
        <v>6</v>
      </c>
      <c r="U82" s="2" t="n">
        <v>12</v>
      </c>
      <c r="V82" s="2" t="n">
        <v>12</v>
      </c>
      <c r="W82" s="3" t="n">
        <f>Fcondomstable[[#This Row],[Closing balance ]]/Fcondomstable[[#This Row],[Forecasted consumption]]</f>
        <v>0</v>
      </c>
      <c r="X82" s="25"/>
    </row>
    <row r="83">
      <c r="B83" s="6" t="s">
        <v>72</v>
      </c>
      <c r="C83" s="18" t="s">
        <v>34</v>
      </c>
      <c r="D83" s="17" t="s">
        <v>35</v>
      </c>
      <c r="E83" s="18" t="s">
        <v>31</v>
      </c>
      <c r="F83" s="19" t="n">
        <v>46357</v>
      </c>
      <c r="G83" s="23" t="n">
        <f t="shared" si="3"/>
        <v>0</v>
      </c>
      <c r="H83" s="23"/>
      <c r="I83" s="23" t="n">
        <v>7816</v>
      </c>
      <c r="J83" s="23" t="n">
        <f>MAX(Fcondomstable[[#This Row],[Stock on hand(opening balance)]]+Fcondomstable[[#This Row],[Quantity ]]-Fcondomstable[[#This Row],[Forecasted consumption]],0)</f>
        <v>0</v>
      </c>
      <c r="K83" s="2"/>
      <c r="L83" s="2"/>
      <c r="M83" s="18"/>
      <c r="N83" s="23"/>
      <c r="O83" s="2"/>
      <c r="P83" s="2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Fcondomstable[[#This Row],[Closing balance ]]/Fcondomstable[[#This Row],[Forecasted consumption]]</f>
        <v>0</v>
      </c>
      <c r="X83" s="25"/>
    </row>
    <row r="84">
      <c r="B84" s="6" t="s">
        <v>166</v>
      </c>
      <c r="C84" s="18" t="s">
        <v>34</v>
      </c>
      <c r="D84" s="17" t="s">
        <v>35</v>
      </c>
      <c r="E84" s="18" t="s">
        <v>31</v>
      </c>
      <c r="F84" s="19" t="n">
        <v>45748</v>
      </c>
      <c r="G84" s="20" t="n">
        <v>18800</v>
      </c>
      <c r="H84" s="20"/>
      <c r="I84" s="20" t="n">
        <v>2846</v>
      </c>
      <c r="J84" s="20" t="n">
        <f>MAX(Fcondomstable[[#This Row],[Stock on hand(opening balance)]]+Fcondomstable[[#This Row],[Quantity ]]-Fcondomstable[[#This Row],[Forecasted consumption]],0)</f>
        <v>15954</v>
      </c>
      <c r="K84" s="18"/>
      <c r="L84" s="18"/>
      <c r="M84" s="18"/>
      <c r="N84" s="20"/>
      <c r="O84" s="18"/>
      <c r="P84" s="18"/>
      <c r="Q84" s="19"/>
      <c r="R84" s="18"/>
      <c r="S84" s="18"/>
      <c r="T84" s="18" t="n">
        <v>9</v>
      </c>
      <c r="U84" s="18" t="n">
        <v>15</v>
      </c>
      <c r="V84" s="18" t="n">
        <v>15</v>
      </c>
      <c r="W84" s="21" t="n">
        <f>Fcondomstable[[#This Row],[Closing balance ]]/Fcondomstable[[#This Row],[Forecasted consumption]]</f>
        <v>5.605762473647224</v>
      </c>
      <c r="X84" s="22"/>
    </row>
    <row r="85">
      <c r="B85" s="6" t="s">
        <v>166</v>
      </c>
      <c r="C85" s="18" t="s">
        <v>34</v>
      </c>
      <c r="D85" s="17" t="s">
        <v>35</v>
      </c>
      <c r="E85" s="18" t="s">
        <v>31</v>
      </c>
      <c r="F85" s="19" t="n">
        <v>45778</v>
      </c>
      <c r="G85" s="23" t="n">
        <f>J84</f>
        <v>15954</v>
      </c>
      <c r="H85" s="23"/>
      <c r="I85" s="20" t="n">
        <v>2846</v>
      </c>
      <c r="J85" s="23" t="n">
        <f>MAX(Fcondomstable[[#This Row],[Stock on hand(opening balance)]]+Fcondomstable[[#This Row],[Quantity ]]-Fcondomstable[[#This Row],[Forecasted consumption]],0)</f>
        <v>13108</v>
      </c>
      <c r="K85" s="2"/>
      <c r="L85" s="2"/>
      <c r="M85" s="2"/>
      <c r="N85" s="23"/>
      <c r="O85" s="2"/>
      <c r="P85" s="2"/>
      <c r="Q85" s="24"/>
      <c r="R85" s="2"/>
      <c r="S85" s="2"/>
      <c r="T85" s="18" t="n">
        <v>9</v>
      </c>
      <c r="U85" s="18" t="n">
        <v>15</v>
      </c>
      <c r="V85" s="18" t="n">
        <v>15</v>
      </c>
      <c r="W85" s="3" t="n">
        <f>Fcondomstable[[#This Row],[Closing balance ]]/Fcondomstable[[#This Row],[Forecasted consumption]]</f>
        <v>4.605762473647224</v>
      </c>
      <c r="X85" s="25"/>
    </row>
    <row r="86">
      <c r="B86" s="6" t="s">
        <v>166</v>
      </c>
      <c r="C86" s="18" t="s">
        <v>34</v>
      </c>
      <c r="D86" s="17" t="s">
        <v>35</v>
      </c>
      <c r="E86" s="18" t="s">
        <v>31</v>
      </c>
      <c r="F86" s="19" t="n">
        <v>45809</v>
      </c>
      <c r="G86" s="23" t="n">
        <f t="shared" ref="G86:G92" si="4">J85</f>
        <v>13108</v>
      </c>
      <c r="H86" s="23"/>
      <c r="I86" s="20" t="n">
        <v>2846</v>
      </c>
      <c r="J86" s="23" t="n">
        <f>MAX(Fcondomstable[[#This Row],[Stock on hand(opening balance)]]+Fcondomstable[[#This Row],[Quantity ]]-Fcondomstable[[#This Row],[Forecasted consumption]],0)</f>
        <v>43262</v>
      </c>
      <c r="K86" s="2"/>
      <c r="L86" s="2"/>
      <c r="M86" s="2"/>
      <c r="N86" s="23" t="n">
        <v>33000</v>
      </c>
      <c r="O86" s="2"/>
      <c r="P86" s="2"/>
      <c r="Q86" s="24"/>
      <c r="R86" s="2"/>
      <c r="S86" s="2"/>
      <c r="T86" s="18" t="n">
        <v>9</v>
      </c>
      <c r="U86" s="18" t="n">
        <v>15</v>
      </c>
      <c r="V86" s="18" t="n">
        <v>15</v>
      </c>
      <c r="W86" s="3" t="n">
        <f>Fcondomstable[[#This Row],[Closing balance ]]/Fcondomstable[[#This Row],[Forecasted consumption]]</f>
        <v>15.200983836964161</v>
      </c>
      <c r="X86" s="25"/>
    </row>
    <row r="87">
      <c r="B87" s="6" t="s">
        <v>166</v>
      </c>
      <c r="C87" s="18" t="s">
        <v>34</v>
      </c>
      <c r="D87" s="17" t="s">
        <v>35</v>
      </c>
      <c r="E87" s="18" t="s">
        <v>31</v>
      </c>
      <c r="F87" s="19" t="n">
        <v>45839</v>
      </c>
      <c r="G87" s="23" t="n">
        <f t="shared" si="4"/>
        <v>43262</v>
      </c>
      <c r="H87" s="23"/>
      <c r="I87" s="20" t="n">
        <v>2846</v>
      </c>
      <c r="J87" s="23" t="n">
        <f>MAX(Fcondomstable[[#This Row],[Stock on hand(opening balance)]]+Fcondomstable[[#This Row],[Quantity ]]-Fcondomstable[[#This Row],[Forecasted consumption]],0)</f>
        <v>40416</v>
      </c>
      <c r="K87" s="2"/>
      <c r="L87" s="2"/>
      <c r="M87" s="2"/>
      <c r="N87" s="23"/>
      <c r="O87" s="2"/>
      <c r="P87" s="2"/>
      <c r="Q87" s="24"/>
      <c r="R87" s="2"/>
      <c r="S87" s="2"/>
      <c r="T87" s="18" t="n">
        <v>9</v>
      </c>
      <c r="U87" s="18" t="n">
        <v>15</v>
      </c>
      <c r="V87" s="18" t="n">
        <v>15</v>
      </c>
      <c r="W87" s="3" t="n">
        <f>Fcondomstable[[#This Row],[Closing balance ]]/Fcondomstable[[#This Row],[Forecasted consumption]]</f>
        <v>14.200983836964161</v>
      </c>
      <c r="X87" s="25"/>
    </row>
    <row r="88">
      <c r="B88" s="6" t="s">
        <v>166</v>
      </c>
      <c r="C88" s="18" t="s">
        <v>34</v>
      </c>
      <c r="D88" s="17" t="s">
        <v>35</v>
      </c>
      <c r="E88" s="18" t="s">
        <v>31</v>
      </c>
      <c r="F88" s="19" t="n">
        <v>45870</v>
      </c>
      <c r="G88" s="23" t="n">
        <f t="shared" si="4"/>
        <v>40416</v>
      </c>
      <c r="H88" s="23"/>
      <c r="I88" s="20" t="n">
        <v>2846</v>
      </c>
      <c r="J88" s="23" t="n">
        <f>MAX(Fcondomstable[[#This Row],[Stock on hand(opening balance)]]+Fcondomstable[[#This Row],[Quantity ]]-Fcondomstable[[#This Row],[Forecasted consumption]],0)</f>
        <v>37570</v>
      </c>
      <c r="K88" s="2"/>
      <c r="L88" s="2"/>
      <c r="M88" s="2"/>
      <c r="N88" s="23"/>
      <c r="O88" s="2"/>
      <c r="P88" s="2"/>
      <c r="Q88" s="24"/>
      <c r="R88" s="2"/>
      <c r="S88" s="2"/>
      <c r="T88" s="18" t="n">
        <v>9</v>
      </c>
      <c r="U88" s="18" t="n">
        <v>15</v>
      </c>
      <c r="V88" s="18" t="n">
        <v>15</v>
      </c>
      <c r="W88" s="3" t="n">
        <f>Fcondomstable[[#This Row],[Closing balance ]]/Fcondomstable[[#This Row],[Forecasted consumption]]</f>
        <v>13.200983836964161</v>
      </c>
      <c r="X88" s="25"/>
    </row>
    <row r="89">
      <c r="B89" s="6" t="s">
        <v>166</v>
      </c>
      <c r="C89" s="18" t="s">
        <v>34</v>
      </c>
      <c r="D89" s="17" t="s">
        <v>35</v>
      </c>
      <c r="E89" s="18" t="s">
        <v>31</v>
      </c>
      <c r="F89" s="19" t="n">
        <v>45901</v>
      </c>
      <c r="G89" s="23" t="n">
        <f t="shared" si="4"/>
        <v>37570</v>
      </c>
      <c r="H89" s="23"/>
      <c r="I89" s="20" t="n">
        <v>2846</v>
      </c>
      <c r="J89" s="23" t="n">
        <f>MAX(Fcondomstable[[#This Row],[Stock on hand(opening balance)]]+Fcondomstable[[#This Row],[Quantity ]]-Fcondomstable[[#This Row],[Forecasted consumption]],0)</f>
        <v>34724</v>
      </c>
      <c r="K89" s="2"/>
      <c r="L89" s="2"/>
      <c r="M89" s="2"/>
      <c r="N89" s="23"/>
      <c r="O89" s="2"/>
      <c r="P89" s="2"/>
      <c r="Q89" s="24"/>
      <c r="R89" s="2"/>
      <c r="S89" s="2"/>
      <c r="T89" s="18" t="n">
        <v>9</v>
      </c>
      <c r="U89" s="18" t="n">
        <v>15</v>
      </c>
      <c r="V89" s="18" t="n">
        <v>15</v>
      </c>
      <c r="W89" s="3" t="n">
        <f>Fcondomstable[[#This Row],[Closing balance ]]/Fcondomstable[[#This Row],[Forecasted consumption]]</f>
        <v>12.200983836964161</v>
      </c>
      <c r="X89" s="25"/>
    </row>
    <row r="90">
      <c r="B90" s="6" t="s">
        <v>166</v>
      </c>
      <c r="C90" s="18" t="s">
        <v>34</v>
      </c>
      <c r="D90" s="17" t="s">
        <v>35</v>
      </c>
      <c r="E90" s="18" t="s">
        <v>31</v>
      </c>
      <c r="F90" s="19" t="n">
        <v>45931</v>
      </c>
      <c r="G90" s="23" t="n">
        <f t="shared" si="4"/>
        <v>34724</v>
      </c>
      <c r="H90" s="23"/>
      <c r="I90" s="20" t="n">
        <v>2846</v>
      </c>
      <c r="J90" s="23" t="n">
        <f>MAX(Fcondomstable[[#This Row],[Stock on hand(opening balance)]]+Fcondomstable[[#This Row],[Quantity ]]-Fcondomstable[[#This Row],[Forecasted consumption]],0)</f>
        <v>31878</v>
      </c>
      <c r="K90" s="2"/>
      <c r="L90" s="2"/>
      <c r="M90" s="2"/>
      <c r="N90" s="23"/>
      <c r="O90" s="2"/>
      <c r="P90" s="2"/>
      <c r="Q90" s="24"/>
      <c r="R90" s="2"/>
      <c r="S90" s="2"/>
      <c r="T90" s="18" t="n">
        <v>9</v>
      </c>
      <c r="U90" s="18" t="n">
        <v>15</v>
      </c>
      <c r="V90" s="18" t="n">
        <v>15</v>
      </c>
      <c r="W90" s="3" t="n">
        <f>Fcondomstable[[#This Row],[Closing balance ]]/Fcondomstable[[#This Row],[Forecasted consumption]]</f>
        <v>11.200983836964161</v>
      </c>
      <c r="X90" s="25"/>
    </row>
    <row r="91">
      <c r="B91" s="6" t="s">
        <v>166</v>
      </c>
      <c r="C91" s="18" t="s">
        <v>34</v>
      </c>
      <c r="D91" s="17" t="s">
        <v>35</v>
      </c>
      <c r="E91" s="18" t="s">
        <v>31</v>
      </c>
      <c r="F91" s="19" t="n">
        <v>45962</v>
      </c>
      <c r="G91" s="23" t="n">
        <f t="shared" si="4"/>
        <v>31878</v>
      </c>
      <c r="H91" s="23"/>
      <c r="I91" s="20" t="n">
        <v>2846</v>
      </c>
      <c r="J91" s="23" t="n">
        <f>MAX(Fcondomstable[[#This Row],[Stock on hand(opening balance)]]+Fcondomstable[[#This Row],[Quantity ]]-Fcondomstable[[#This Row],[Forecasted consumption]],0)</f>
        <v>29032</v>
      </c>
      <c r="K91" s="2"/>
      <c r="L91" s="2"/>
      <c r="M91" s="2"/>
      <c r="N91" s="23"/>
      <c r="O91" s="2"/>
      <c r="P91" s="2"/>
      <c r="Q91" s="24"/>
      <c r="R91" s="2"/>
      <c r="S91" s="2"/>
      <c r="T91" s="18" t="n">
        <v>9</v>
      </c>
      <c r="U91" s="18" t="n">
        <v>15</v>
      </c>
      <c r="V91" s="18" t="n">
        <v>15</v>
      </c>
      <c r="W91" s="3" t="n">
        <f>Fcondomstable[[#This Row],[Closing balance ]]/Fcondomstable[[#This Row],[Forecasted consumption]]</f>
        <v>10.200983836964161</v>
      </c>
      <c r="X91" s="25"/>
    </row>
    <row r="92">
      <c r="B92" s="6" t="s">
        <v>166</v>
      </c>
      <c r="C92" s="18" t="s">
        <v>34</v>
      </c>
      <c r="D92" s="17" t="s">
        <v>35</v>
      </c>
      <c r="E92" s="18" t="s">
        <v>31</v>
      </c>
      <c r="F92" s="19" t="n">
        <v>45992</v>
      </c>
      <c r="G92" s="23" t="n">
        <f t="shared" si="4"/>
        <v>29032</v>
      </c>
      <c r="H92" s="23"/>
      <c r="I92" s="20" t="n">
        <v>2846</v>
      </c>
      <c r="J92" s="23" t="n">
        <f>MAX(Fcondomstable[[#This Row],[Stock on hand(opening balance)]]+Fcondomstable[[#This Row],[Quantity ]]-Fcondomstable[[#This Row],[Forecasted consumption]],0)</f>
        <v>26186</v>
      </c>
      <c r="K92" s="2"/>
      <c r="L92" s="2"/>
      <c r="M92" s="2"/>
      <c r="N92" s="23"/>
      <c r="O92" s="2"/>
      <c r="P92" s="2"/>
      <c r="Q92" s="24"/>
      <c r="R92" s="2"/>
      <c r="S92" s="2"/>
      <c r="T92" s="18" t="n">
        <v>9</v>
      </c>
      <c r="U92" s="18" t="n">
        <v>15</v>
      </c>
      <c r="V92" s="18" t="n">
        <v>15</v>
      </c>
      <c r="W92" s="3" t="n">
        <f>Fcondomstable[[#This Row],[Closing balance ]]/Fcondomstable[[#This Row],[Forecasted consumption]]</f>
        <v>9.200983836964161</v>
      </c>
      <c r="X92" s="25"/>
    </row>
  </sheetData>
  <dataValidations count="3">
    <dataValidation type="list" allowBlank="1" showInputMessage="1" showErrorMessage="1" sqref="M84:M179" xr:uid="{C5FA9F40-B227-4B52-B357-DA9E3E3A1AE2}">
      <formula1>"Committed,  Placed, Expected Deliveries, Received, cancelled"</formula1>
    </dataValidation>
    <dataValidation type="list" allowBlank="1" showInputMessage="1" showErrorMessage="1" sqref="E7:E92" xr:uid="{10BF0594-BE22-47D6-8D2C-60A64566ACB0}">
      <formula1>"All levels, Central, Central and Regional, Facilities "</formula1>
    </dataValidation>
    <dataValidation type="list" allowBlank="1" showInputMessage="1" showErrorMessage="1" sqref="M7:M83" xr:uid="{E8AB264E-DF7D-4F07-A1E6-BFAB6B7978DA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A49B68-B709-466D-B6F4-563DE1975617}">
          <x14:formula1>
            <xm:f>'choices countries '!$B$3:$B$12</xm:f>
          </x14:formula1>
          <xm:sqref>B93:B480 B7:B83</xm:sqref>
        </x14:dataValidation>
        <x14:dataValidation type="list" allowBlank="1" showInputMessage="1" showErrorMessage="1" xr:uid="{19173983-7E7B-41D9-BE17-45BE37125177}">
          <x14:formula1>
            <xm:f>'choices countries '!$B$3:$B$15</xm:f>
          </x14:formula1>
          <xm:sqref>B84:B92</xm:sqref>
        </x14:dataValidation>
        <x14:dataValidation type="list" allowBlank="1" showInputMessage="1" showErrorMessage="1" xr:uid="{245C1AAC-2D38-4B21-955D-B5B493D34640}">
          <x14:formula1>
            <xm:f>'product list '!$A$2:$A$5</xm:f>
          </x14:formula1>
          <xm:sqref>C7:C92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36</v>
      </c>
      <c r="D7" s="17" t="s">
        <v>37</v>
      </c>
      <c r="E7" s="18" t="s">
        <v>31</v>
      </c>
      <c r="F7" s="19" t="n">
        <v>45839</v>
      </c>
      <c r="G7" s="20" t="n">
        <v>2833</v>
      </c>
      <c r="H7" s="20"/>
      <c r="I7" s="20" t="n">
        <v>59</v>
      </c>
      <c r="J7" s="20" t="n">
        <f>MAX(cyclebeadstable[[#This Row],[Stock on hand(opening balance)]]+cyclebeadstable[[#This Row],[Quantity ]]-cyclebeadstable[[#This Row],[Forecasted consumption]],0)</f>
        <v>2774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cyclebeadstable[[#This Row],[Closing balance ]]/cyclebeadstable[[#This Row],[Forecasted consumption]]</f>
        <v>47.016949152542374</v>
      </c>
      <c r="X7" s="22"/>
    </row>
    <row r="8">
      <c r="B8" s="6" t="s">
        <v>28</v>
      </c>
      <c r="C8" s="17" t="s">
        <v>36</v>
      </c>
      <c r="D8" s="17" t="s">
        <v>37</v>
      </c>
      <c r="E8" s="18" t="s">
        <v>31</v>
      </c>
      <c r="F8" s="19" t="n">
        <v>45870</v>
      </c>
      <c r="G8" s="20" t="n">
        <f>J7</f>
        <v>2774</v>
      </c>
      <c r="H8" s="20"/>
      <c r="I8" s="20" t="n">
        <v>59</v>
      </c>
      <c r="J8" s="20" t="n">
        <f>MAX(cyclebeadstable[[#This Row],[Stock on hand(opening balance)]]+cyclebeadstable[[#This Row],[Quantity ]]-cyclebeadstable[[#This Row],[Forecasted consumption]],0)</f>
        <v>2715</v>
      </c>
      <c r="K8" s="18"/>
      <c r="L8" s="18"/>
      <c r="M8" s="18"/>
      <c r="N8" s="20"/>
      <c r="O8" s="18"/>
      <c r="P8" s="18"/>
      <c r="Q8" s="19"/>
      <c r="R8" s="18"/>
      <c r="S8" s="18"/>
      <c r="T8" s="18" t="n">
        <v>9</v>
      </c>
      <c r="U8" s="18" t="n">
        <v>14</v>
      </c>
      <c r="V8" s="18" t="n">
        <v>13</v>
      </c>
      <c r="W8" s="21" t="n">
        <f>cyclebeadstable[[#This Row],[Closing balance ]]/cyclebeadstable[[#This Row],[Forecasted consumption]]</f>
        <v>46.016949152542374</v>
      </c>
      <c r="X8" s="22"/>
    </row>
    <row r="9">
      <c r="B9" s="6" t="s">
        <v>28</v>
      </c>
      <c r="C9" s="17" t="s">
        <v>36</v>
      </c>
      <c r="D9" s="17" t="s">
        <v>37</v>
      </c>
      <c r="E9" s="18" t="s">
        <v>31</v>
      </c>
      <c r="F9" s="19" t="n">
        <v>45901</v>
      </c>
      <c r="G9" s="20" t="n">
        <f t="shared" ref="G9:G18" si="0">J8</f>
        <v>2715</v>
      </c>
      <c r="H9" s="23"/>
      <c r="I9" s="20" t="n">
        <v>59</v>
      </c>
      <c r="J9" s="20" t="n">
        <f>MAX(cyclebeadstable[[#This Row],[Stock on hand(opening balance)]]+cyclebeadstable[[#This Row],[Quantity ]]-cyclebeadstable[[#This Row],[Forecasted consumption]],0)</f>
        <v>2656</v>
      </c>
      <c r="K9" s="2"/>
      <c r="L9" s="2"/>
      <c r="M9" s="18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21" t="n">
        <f>cyclebeadstable[[#This Row],[Closing balance ]]/cyclebeadstable[[#This Row],[Forecasted consumption]]</f>
        <v>45.016949152542374</v>
      </c>
      <c r="X9" s="25"/>
    </row>
    <row r="10">
      <c r="B10" s="6" t="s">
        <v>28</v>
      </c>
      <c r="C10" s="17" t="s">
        <v>36</v>
      </c>
      <c r="D10" s="17" t="s">
        <v>37</v>
      </c>
      <c r="E10" s="18" t="s">
        <v>31</v>
      </c>
      <c r="F10" s="19" t="n">
        <v>45931</v>
      </c>
      <c r="G10" s="20" t="n">
        <f t="shared" si="0"/>
        <v>2656</v>
      </c>
      <c r="H10" s="23"/>
      <c r="I10" s="20" t="n">
        <v>59</v>
      </c>
      <c r="J10" s="20" t="n">
        <f>MAX(cyclebeadstable[[#This Row],[Stock on hand(opening balance)]]+cyclebeadstable[[#This Row],[Quantity ]]-cyclebeadstable[[#This Row],[Forecasted consumption]],0)</f>
        <v>2597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1" t="n">
        <f>cyclebeadstable[[#This Row],[Closing balance ]]/cyclebeadstable[[#This Row],[Forecasted consumption]]</f>
        <v>44.016949152542374</v>
      </c>
      <c r="X10" s="25"/>
    </row>
    <row r="11">
      <c r="B11" s="6" t="s">
        <v>28</v>
      </c>
      <c r="C11" s="17" t="s">
        <v>36</v>
      </c>
      <c r="D11" s="17" t="s">
        <v>37</v>
      </c>
      <c r="E11" s="18" t="s">
        <v>31</v>
      </c>
      <c r="F11" s="19" t="n">
        <v>45962</v>
      </c>
      <c r="G11" s="20" t="n">
        <f t="shared" si="0"/>
        <v>2597</v>
      </c>
      <c r="H11" s="23"/>
      <c r="I11" s="20" t="n">
        <v>59</v>
      </c>
      <c r="J11" s="20" t="n">
        <f>MAX(cyclebeadstable[[#This Row],[Stock on hand(opening balance)]]+cyclebeadstable[[#This Row],[Quantity ]]-cyclebeadstable[[#This Row],[Forecasted consumption]],0)</f>
        <v>2538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1" t="n">
        <f>cyclebeadstable[[#This Row],[Closing balance ]]/cyclebeadstable[[#This Row],[Forecasted consumption]]</f>
        <v>43.016949152542374</v>
      </c>
      <c r="X11" s="25"/>
    </row>
    <row r="12">
      <c r="B12" s="6" t="s">
        <v>28</v>
      </c>
      <c r="C12" s="17" t="s">
        <v>36</v>
      </c>
      <c r="D12" s="17" t="s">
        <v>37</v>
      </c>
      <c r="E12" s="18" t="s">
        <v>31</v>
      </c>
      <c r="F12" s="19" t="n">
        <v>45992</v>
      </c>
      <c r="G12" s="20" t="n">
        <f t="shared" si="0"/>
        <v>2538</v>
      </c>
      <c r="H12" s="23"/>
      <c r="I12" s="20" t="n">
        <v>59</v>
      </c>
      <c r="J12" s="20" t="n">
        <f>MAX(cyclebeadstable[[#This Row],[Stock on hand(opening balance)]]+cyclebeadstable[[#This Row],[Quantity ]]-cyclebeadstable[[#This Row],[Forecasted consumption]],0)</f>
        <v>2479</v>
      </c>
      <c r="K12" s="2"/>
      <c r="L12" s="2"/>
      <c r="M12" s="18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1" t="n">
        <f>cyclebeadstable[[#This Row],[Closing balance ]]/cyclebeadstable[[#This Row],[Forecasted consumption]]</f>
        <v>42.016949152542374</v>
      </c>
      <c r="X12" s="25"/>
    </row>
    <row r="13">
      <c r="B13" s="6" t="s">
        <v>28</v>
      </c>
      <c r="C13" s="17" t="s">
        <v>36</v>
      </c>
      <c r="D13" s="17" t="s">
        <v>37</v>
      </c>
      <c r="E13" s="18" t="s">
        <v>31</v>
      </c>
      <c r="F13" s="19" t="n">
        <v>46023</v>
      </c>
      <c r="G13" s="20" t="n">
        <f t="shared" si="0"/>
        <v>2479</v>
      </c>
      <c r="H13" s="23"/>
      <c r="I13" s="20" t="n">
        <v>59</v>
      </c>
      <c r="J13" s="20" t="n">
        <f>MAX(cyclebeadstable[[#This Row],[Stock on hand(opening balance)]]+cyclebeadstable[[#This Row],[Quantity ]]-cyclebeadstable[[#This Row],[Forecasted consumption]],0)</f>
        <v>2420</v>
      </c>
      <c r="K13" s="2"/>
      <c r="L13" s="2"/>
      <c r="M13" s="18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21" t="n">
        <f>cyclebeadstable[[#This Row],[Closing balance ]]/cyclebeadstable[[#This Row],[Forecasted consumption]]</f>
        <v>41.016949152542374</v>
      </c>
      <c r="X13" s="25"/>
    </row>
    <row r="14">
      <c r="B14" s="6" t="s">
        <v>28</v>
      </c>
      <c r="C14" s="17" t="s">
        <v>36</v>
      </c>
      <c r="D14" s="17" t="s">
        <v>37</v>
      </c>
      <c r="E14" s="18" t="s">
        <v>31</v>
      </c>
      <c r="F14" s="19" t="n">
        <v>46054</v>
      </c>
      <c r="G14" s="20" t="n">
        <f t="shared" si="0"/>
        <v>2420</v>
      </c>
      <c r="H14" s="23"/>
      <c r="I14" s="20" t="n">
        <v>59</v>
      </c>
      <c r="J14" s="20" t="n">
        <f>MAX(cyclebeadstable[[#This Row],[Stock on hand(opening balance)]]+cyclebeadstable[[#This Row],[Quantity ]]-cyclebeadstable[[#This Row],[Forecasted consumption]],0)</f>
        <v>2361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21" t="n">
        <f>cyclebeadstable[[#This Row],[Closing balance ]]/cyclebeadstable[[#This Row],[Forecasted consumption]]</f>
        <v>40.016949152542374</v>
      </c>
      <c r="X14" s="25"/>
    </row>
    <row r="15">
      <c r="B15" s="6" t="s">
        <v>28</v>
      </c>
      <c r="C15" s="17" t="s">
        <v>36</v>
      </c>
      <c r="D15" s="17" t="s">
        <v>37</v>
      </c>
      <c r="E15" s="18" t="s">
        <v>31</v>
      </c>
      <c r="F15" s="19" t="n">
        <v>46082</v>
      </c>
      <c r="G15" s="20" t="n">
        <f t="shared" si="0"/>
        <v>2361</v>
      </c>
      <c r="H15" s="23"/>
      <c r="I15" s="20" t="n">
        <v>59</v>
      </c>
      <c r="J15" s="20" t="n">
        <f>MAX(cyclebeadstable[[#This Row],[Stock on hand(opening balance)]]+cyclebeadstable[[#This Row],[Quantity ]]-cyclebeadstable[[#This Row],[Forecasted consumption]],0)</f>
        <v>2302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1" t="n">
        <f>cyclebeadstable[[#This Row],[Closing balance ]]/cyclebeadstable[[#This Row],[Forecasted consumption]]</f>
        <v>39.016949152542374</v>
      </c>
      <c r="X15" s="25"/>
    </row>
    <row r="16">
      <c r="B16" s="6" t="s">
        <v>28</v>
      </c>
      <c r="C16" s="17" t="s">
        <v>36</v>
      </c>
      <c r="D16" s="17" t="s">
        <v>37</v>
      </c>
      <c r="E16" s="18" t="s">
        <v>31</v>
      </c>
      <c r="F16" s="19" t="n">
        <v>46113</v>
      </c>
      <c r="G16" s="20" t="n">
        <f t="shared" si="0"/>
        <v>2302</v>
      </c>
      <c r="H16" s="23"/>
      <c r="I16" s="20" t="n">
        <v>59</v>
      </c>
      <c r="J16" s="20" t="n">
        <f>MAX(cyclebeadstable[[#This Row],[Stock on hand(opening balance)]]+cyclebeadstable[[#This Row],[Quantity ]]-cyclebeadstable[[#This Row],[Forecasted consumption]],0)</f>
        <v>2243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1" t="n">
        <f>cyclebeadstable[[#This Row],[Closing balance ]]/cyclebeadstable[[#This Row],[Forecasted consumption]]</f>
        <v>38.016949152542374</v>
      </c>
      <c r="X16" s="25"/>
    </row>
    <row r="17">
      <c r="B17" s="6" t="s">
        <v>28</v>
      </c>
      <c r="C17" s="17" t="s">
        <v>36</v>
      </c>
      <c r="D17" s="17" t="s">
        <v>37</v>
      </c>
      <c r="E17" s="18" t="s">
        <v>31</v>
      </c>
      <c r="F17" s="19" t="n">
        <v>46143</v>
      </c>
      <c r="G17" s="20" t="n">
        <f t="shared" si="0"/>
        <v>2243</v>
      </c>
      <c r="H17" s="23"/>
      <c r="I17" s="20" t="n">
        <v>59</v>
      </c>
      <c r="J17" s="20" t="n">
        <f>MAX(cyclebeadstable[[#This Row],[Stock on hand(opening balance)]]+cyclebeadstable[[#This Row],[Quantity ]]-cyclebeadstable[[#This Row],[Forecasted consumption]],0)</f>
        <v>2184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1" t="n">
        <f>cyclebeadstable[[#This Row],[Closing balance ]]/cyclebeadstable[[#This Row],[Forecasted consumption]]</f>
        <v>37.016949152542374</v>
      </c>
      <c r="X17" s="25"/>
    </row>
    <row r="18">
      <c r="B18" s="6" t="s">
        <v>28</v>
      </c>
      <c r="C18" s="17" t="s">
        <v>36</v>
      </c>
      <c r="D18" s="17" t="s">
        <v>37</v>
      </c>
      <c r="E18" s="18" t="s">
        <v>31</v>
      </c>
      <c r="F18" s="19" t="n">
        <v>46174</v>
      </c>
      <c r="G18" s="20" t="n">
        <f t="shared" si="0"/>
        <v>2184</v>
      </c>
      <c r="H18" s="23"/>
      <c r="I18" s="20" t="n">
        <v>59</v>
      </c>
      <c r="J18" s="20" t="n">
        <f>MAX(cyclebeadstable[[#This Row],[Stock on hand(opening balance)]]+cyclebeadstable[[#This Row],[Quantity ]]-cyclebeadstable[[#This Row],[Forecasted consumption]],0)</f>
        <v>2125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21" t="n">
        <f>cyclebeadstable[[#This Row],[Closing balance ]]/cyclebeadstable[[#This Row],[Forecasted consumption]]</f>
        <v>36.016949152542374</v>
      </c>
      <c r="X18" s="25"/>
    </row>
    <row r="19" ht="14.5" customHeight="1">
      <c r="B19" s="6" t="s">
        <v>72</v>
      </c>
      <c r="C19" s="18" t="s">
        <v>36</v>
      </c>
      <c r="D19" s="17"/>
      <c r="E19" s="18" t="s">
        <v>31</v>
      </c>
      <c r="F19" s="19" t="n">
        <v>45689</v>
      </c>
      <c r="G19" s="23" t="n">
        <v>1538</v>
      </c>
      <c r="H19" s="30"/>
      <c r="I19" s="23" t="n">
        <v>293</v>
      </c>
      <c r="J19" s="23" t="n">
        <f>MAX(cyclebeadstable[[#This Row],[Stock on hand(opening balance)]]+cyclebeadstable[[#This Row],[Quantity ]]-cyclebeadstable[[#This Row],[Forecasted consumption]],0)</f>
        <v>1245</v>
      </c>
      <c r="K19" s="2"/>
      <c r="L19" s="2"/>
      <c r="M19" s="18"/>
      <c r="N19" s="23"/>
      <c r="O19" s="2"/>
      <c r="P19" s="2"/>
      <c r="Q19" s="24"/>
      <c r="R19" s="2"/>
      <c r="S19" s="2"/>
      <c r="T19" s="2" t="n">
        <v>6</v>
      </c>
      <c r="U19" s="2" t="n">
        <v>12</v>
      </c>
      <c r="V19" s="2" t="n">
        <v>12</v>
      </c>
      <c r="W19" s="21" t="n">
        <f>cyclebeadstable[[#This Row],[Closing balance ]]/cyclebeadstable[[#This Row],[Forecasted consumption]]</f>
        <v>4.2491467576791813</v>
      </c>
      <c r="X19" s="25"/>
    </row>
    <row r="20" ht="14.5" customHeight="1">
      <c r="B20" s="6" t="s">
        <v>72</v>
      </c>
      <c r="C20" s="18" t="s">
        <v>36</v>
      </c>
      <c r="D20" s="17"/>
      <c r="E20" s="18" t="s">
        <v>31</v>
      </c>
      <c r="F20" s="19" t="n">
        <v>45717</v>
      </c>
      <c r="G20" s="23" t="n">
        <f>J19</f>
        <v>1245</v>
      </c>
      <c r="H20" s="30"/>
      <c r="I20" s="23" t="n">
        <v>293</v>
      </c>
      <c r="J20" s="23" t="n">
        <f>MAX(cyclebeadstable[[#This Row],[Stock on hand(opening balance)]]+cyclebeadstable[[#This Row],[Quantity ]]-cyclebeadstable[[#This Row],[Forecasted consumption]],0)</f>
        <v>952</v>
      </c>
      <c r="K20" s="2"/>
      <c r="L20" s="2"/>
      <c r="M20" s="18"/>
      <c r="N20" s="23"/>
      <c r="O20" s="2"/>
      <c r="P20" s="2"/>
      <c r="Q20" s="24"/>
      <c r="R20" s="2"/>
      <c r="S20" s="2"/>
      <c r="T20" s="2" t="n">
        <v>6</v>
      </c>
      <c r="U20" s="2" t="n">
        <v>12</v>
      </c>
      <c r="V20" s="2" t="n">
        <v>12</v>
      </c>
      <c r="W20" s="21" t="n">
        <f>cyclebeadstable[[#This Row],[Closing balance ]]/cyclebeadstable[[#This Row],[Forecasted consumption]]</f>
        <v>3.2491467576791808</v>
      </c>
      <c r="X20" s="25"/>
    </row>
    <row r="21" ht="14.5" customHeight="1">
      <c r="B21" s="6" t="s">
        <v>72</v>
      </c>
      <c r="C21" s="18" t="s">
        <v>36</v>
      </c>
      <c r="D21" s="17"/>
      <c r="E21" s="18" t="s">
        <v>31</v>
      </c>
      <c r="F21" s="19" t="n">
        <v>45748</v>
      </c>
      <c r="G21" s="23" t="n">
        <f t="shared" ref="G21:G41" si="1">J20</f>
        <v>952</v>
      </c>
      <c r="H21" s="30"/>
      <c r="I21" s="23" t="n">
        <v>293</v>
      </c>
      <c r="J21" s="23" t="n">
        <f>MAX(cyclebeadstable[[#This Row],[Stock on hand(opening balance)]]+cyclebeadstable[[#This Row],[Quantity ]]-cyclebeadstable[[#This Row],[Forecasted consumption]],0)</f>
        <v>659</v>
      </c>
      <c r="K21" s="2"/>
      <c r="L21" s="2"/>
      <c r="M21" s="18"/>
      <c r="N21" s="23"/>
      <c r="O21" s="2"/>
      <c r="P21" s="2"/>
      <c r="Q21" s="24"/>
      <c r="R21" s="2"/>
      <c r="S21" s="2"/>
      <c r="T21" s="2" t="n">
        <v>6</v>
      </c>
      <c r="U21" s="2" t="n">
        <v>12</v>
      </c>
      <c r="V21" s="2" t="n">
        <v>12</v>
      </c>
      <c r="W21" s="21" t="n">
        <f>cyclebeadstable[[#This Row],[Closing balance ]]/cyclebeadstable[[#This Row],[Forecasted consumption]]</f>
        <v>2.2491467576791808</v>
      </c>
      <c r="X21" s="25"/>
    </row>
    <row r="22" ht="14.5" customHeight="1">
      <c r="B22" s="6" t="s">
        <v>72</v>
      </c>
      <c r="C22" s="18" t="s">
        <v>36</v>
      </c>
      <c r="D22" s="17"/>
      <c r="E22" s="18" t="s">
        <v>31</v>
      </c>
      <c r="F22" s="19" t="n">
        <v>45778</v>
      </c>
      <c r="G22" s="23" t="n">
        <f t="shared" si="1"/>
        <v>659</v>
      </c>
      <c r="H22" s="30"/>
      <c r="I22" s="23" t="n">
        <v>293</v>
      </c>
      <c r="J22" s="23" t="n">
        <f>MAX(cyclebeadstable[[#This Row],[Stock on hand(opening balance)]]+cyclebeadstable[[#This Row],[Quantity ]]-cyclebeadstable[[#This Row],[Forecasted consumption]],0)</f>
        <v>366</v>
      </c>
      <c r="K22" s="2"/>
      <c r="L22" s="2"/>
      <c r="M22" s="18"/>
      <c r="N22" s="23"/>
      <c r="O22" s="2"/>
      <c r="P22" s="2"/>
      <c r="Q22" s="24"/>
      <c r="R22" s="2"/>
      <c r="S22" s="2"/>
      <c r="T22" s="2" t="n">
        <v>6</v>
      </c>
      <c r="U22" s="2" t="n">
        <v>12</v>
      </c>
      <c r="V22" s="2" t="n">
        <v>12</v>
      </c>
      <c r="W22" s="21" t="n">
        <f>cyclebeadstable[[#This Row],[Closing balance ]]/cyclebeadstable[[#This Row],[Forecasted consumption]]</f>
        <v>1.2491467576791808</v>
      </c>
      <c r="X22" s="25"/>
    </row>
    <row r="23" ht="14.5" customHeight="1">
      <c r="B23" s="6" t="s">
        <v>72</v>
      </c>
      <c r="C23" s="18" t="s">
        <v>36</v>
      </c>
      <c r="D23" s="17"/>
      <c r="E23" s="18" t="s">
        <v>31</v>
      </c>
      <c r="F23" s="19" t="n">
        <v>45809</v>
      </c>
      <c r="G23" s="23" t="n">
        <f t="shared" si="1"/>
        <v>366</v>
      </c>
      <c r="H23" s="30"/>
      <c r="I23" s="23" t="n">
        <v>293</v>
      </c>
      <c r="J23" s="23" t="n">
        <f>MAX(cyclebeadstable[[#This Row],[Stock on hand(opening balance)]]+cyclebeadstable[[#This Row],[Quantity ]]-cyclebeadstable[[#This Row],[Forecasted consumption]],0)</f>
        <v>73</v>
      </c>
      <c r="K23" s="2"/>
      <c r="L23" s="2"/>
      <c r="M23" s="18"/>
      <c r="N23" s="23"/>
      <c r="O23" s="2"/>
      <c r="P23" s="2"/>
      <c r="Q23" s="24"/>
      <c r="R23" s="2"/>
      <c r="S23" s="2"/>
      <c r="T23" s="2" t="n">
        <v>6</v>
      </c>
      <c r="U23" s="2" t="n">
        <v>12</v>
      </c>
      <c r="V23" s="2" t="n">
        <v>12</v>
      </c>
      <c r="W23" s="21" t="n">
        <f>cyclebeadstable[[#This Row],[Closing balance ]]/cyclebeadstable[[#This Row],[Forecasted consumption]]</f>
        <v>0.24914675767918087</v>
      </c>
      <c r="X23" s="25"/>
    </row>
    <row r="24" ht="14.5" customHeight="1">
      <c r="B24" s="6" t="s">
        <v>72</v>
      </c>
      <c r="C24" s="18" t="s">
        <v>36</v>
      </c>
      <c r="D24" s="17"/>
      <c r="E24" s="18" t="s">
        <v>31</v>
      </c>
      <c r="F24" s="19" t="n">
        <v>45839</v>
      </c>
      <c r="G24" s="23" t="n">
        <f t="shared" si="1"/>
        <v>73</v>
      </c>
      <c r="H24" s="30"/>
      <c r="I24" s="23" t="n">
        <v>293</v>
      </c>
      <c r="J24" s="23" t="n">
        <f>MAX(cyclebeadstable[[#This Row],[Stock on hand(opening balance)]]+cyclebeadstable[[#This Row],[Quantity ]]-cyclebeadstable[[#This Row],[Forecasted consumption]],0)</f>
        <v>0</v>
      </c>
      <c r="K24" s="2"/>
      <c r="L24" s="2"/>
      <c r="M24" s="18"/>
      <c r="N24" s="23"/>
      <c r="O24" s="2"/>
      <c r="P24" s="2"/>
      <c r="Q24" s="24"/>
      <c r="R24" s="2"/>
      <c r="S24" s="2"/>
      <c r="T24" s="2" t="n">
        <v>6</v>
      </c>
      <c r="U24" s="2" t="n">
        <v>12</v>
      </c>
      <c r="V24" s="2" t="n">
        <v>12</v>
      </c>
      <c r="W24" s="21" t="n">
        <f>cyclebeadstable[[#This Row],[Closing balance ]]/cyclebeadstable[[#This Row],[Forecasted consumption]]</f>
        <v>0</v>
      </c>
      <c r="X24" s="25"/>
    </row>
    <row r="25">
      <c r="B25" s="6" t="s">
        <v>72</v>
      </c>
      <c r="C25" s="18" t="s">
        <v>36</v>
      </c>
      <c r="D25" s="17"/>
      <c r="E25" s="18" t="s">
        <v>31</v>
      </c>
      <c r="F25" s="19" t="n">
        <v>45870</v>
      </c>
      <c r="G25" s="23" t="n">
        <f t="shared" si="1"/>
        <v>0</v>
      </c>
      <c r="H25" s="23"/>
      <c r="I25" s="23" t="n">
        <v>293</v>
      </c>
      <c r="J25" s="23" t="n">
        <f>MAX(cyclebeadstable[[#This Row],[Stock on hand(opening balance)]]+cyclebeadstable[[#This Row],[Quantity ]]-cyclebeadstable[[#This Row],[Forecasted consumption]],0)</f>
        <v>0</v>
      </c>
      <c r="K25" s="2"/>
      <c r="L25" s="2"/>
      <c r="M25" s="18"/>
      <c r="N25" s="23"/>
      <c r="O25" s="2"/>
      <c r="P25" s="2"/>
      <c r="Q25" s="24"/>
      <c r="R25" s="2"/>
      <c r="S25" s="2"/>
      <c r="T25" s="2" t="n">
        <v>6</v>
      </c>
      <c r="U25" s="2" t="n">
        <v>12</v>
      </c>
      <c r="V25" s="2" t="n">
        <v>12</v>
      </c>
      <c r="W25" s="21" t="n">
        <f>cyclebeadstable[[#This Row],[Closing balance ]]/cyclebeadstable[[#This Row],[Forecasted consumption]]</f>
        <v>0</v>
      </c>
      <c r="X25" s="25"/>
    </row>
    <row r="26">
      <c r="B26" s="6" t="s">
        <v>72</v>
      </c>
      <c r="C26" s="18" t="s">
        <v>36</v>
      </c>
      <c r="D26" s="17"/>
      <c r="E26" s="18" t="s">
        <v>31</v>
      </c>
      <c r="F26" s="19" t="n">
        <v>45901</v>
      </c>
      <c r="G26" s="23" t="n">
        <f t="shared" si="1"/>
        <v>0</v>
      </c>
      <c r="H26" s="23"/>
      <c r="I26" s="23" t="n">
        <v>293</v>
      </c>
      <c r="J26" s="23" t="n">
        <f>MAX(cyclebeadstable[[#This Row],[Stock on hand(opening balance)]]+cyclebeadstable[[#This Row],[Quantity ]]-cyclebeadstable[[#This Row],[Forecasted consumption]],0)</f>
        <v>0</v>
      </c>
      <c r="K26" s="2"/>
      <c r="L26" s="2"/>
      <c r="M26" s="18"/>
      <c r="N26" s="23"/>
      <c r="O26" s="2"/>
      <c r="P26" s="2"/>
      <c r="Q26" s="24"/>
      <c r="R26" s="2"/>
      <c r="S26" s="2"/>
      <c r="T26" s="2" t="n">
        <v>6</v>
      </c>
      <c r="U26" s="2" t="n">
        <v>12</v>
      </c>
      <c r="V26" s="2" t="n">
        <v>12</v>
      </c>
      <c r="W26" s="21" t="n">
        <f>cyclebeadstable[[#This Row],[Closing balance ]]/cyclebeadstable[[#This Row],[Forecasted consumption]]</f>
        <v>0</v>
      </c>
      <c r="X26" s="25"/>
    </row>
    <row r="27">
      <c r="B27" s="6" t="s">
        <v>72</v>
      </c>
      <c r="C27" s="18" t="s">
        <v>36</v>
      </c>
      <c r="D27" s="17"/>
      <c r="E27" s="18" t="s">
        <v>31</v>
      </c>
      <c r="F27" s="19" t="n">
        <v>45931</v>
      </c>
      <c r="G27" s="23" t="n">
        <f t="shared" si="1"/>
        <v>0</v>
      </c>
      <c r="H27" s="23"/>
      <c r="I27" s="23" t="n">
        <v>293</v>
      </c>
      <c r="J27" s="23" t="n">
        <f>MAX(cyclebeadstable[[#This Row],[Stock on hand(opening balance)]]+cyclebeadstable[[#This Row],[Quantity ]]-cyclebeadstable[[#This Row],[Forecasted consumption]],0)</f>
        <v>0</v>
      </c>
      <c r="K27" s="2"/>
      <c r="L27" s="2"/>
      <c r="M27" s="18"/>
      <c r="N27" s="23"/>
      <c r="O27" s="2"/>
      <c r="P27" s="2"/>
      <c r="Q27" s="24"/>
      <c r="R27" s="2"/>
      <c r="S27" s="2"/>
      <c r="T27" s="2" t="n">
        <v>6</v>
      </c>
      <c r="U27" s="2" t="n">
        <v>12</v>
      </c>
      <c r="V27" s="2" t="n">
        <v>12</v>
      </c>
      <c r="W27" s="21" t="n">
        <f>cyclebeadstable[[#This Row],[Closing balance ]]/cyclebeadstable[[#This Row],[Forecasted consumption]]</f>
        <v>0</v>
      </c>
      <c r="X27" s="25"/>
    </row>
    <row r="28">
      <c r="B28" s="6" t="s">
        <v>72</v>
      </c>
      <c r="C28" s="18" t="s">
        <v>36</v>
      </c>
      <c r="D28" s="17"/>
      <c r="E28" s="18" t="s">
        <v>31</v>
      </c>
      <c r="F28" s="19" t="n">
        <v>45962</v>
      </c>
      <c r="G28" s="23" t="n">
        <f t="shared" si="1"/>
        <v>0</v>
      </c>
      <c r="H28" s="23"/>
      <c r="I28" s="23" t="n">
        <v>293</v>
      </c>
      <c r="J28" s="23" t="n">
        <f>MAX(cyclebeadstable[[#This Row],[Stock on hand(opening balance)]]+cyclebeadstable[[#This Row],[Quantity ]]-cyclebeadstable[[#This Row],[Forecasted consumption]],0)</f>
        <v>0</v>
      </c>
      <c r="K28" s="2"/>
      <c r="L28" s="2"/>
      <c r="M28" s="18"/>
      <c r="N28" s="23"/>
      <c r="O28" s="2"/>
      <c r="P28" s="2"/>
      <c r="Q28" s="24"/>
      <c r="R28" s="2"/>
      <c r="S28" s="2"/>
      <c r="T28" s="2" t="n">
        <v>6</v>
      </c>
      <c r="U28" s="2" t="n">
        <v>12</v>
      </c>
      <c r="V28" s="2" t="n">
        <v>12</v>
      </c>
      <c r="W28" s="21" t="n">
        <f>cyclebeadstable[[#This Row],[Closing balance ]]/cyclebeadstable[[#This Row],[Forecasted consumption]]</f>
        <v>0</v>
      </c>
      <c r="X28" s="25"/>
    </row>
    <row r="29">
      <c r="B29" s="6" t="s">
        <v>72</v>
      </c>
      <c r="C29" s="18" t="s">
        <v>36</v>
      </c>
      <c r="D29" s="17"/>
      <c r="E29" s="18" t="s">
        <v>31</v>
      </c>
      <c r="F29" s="19" t="n">
        <v>45992</v>
      </c>
      <c r="G29" s="23" t="n">
        <f t="shared" si="1"/>
        <v>0</v>
      </c>
      <c r="H29" s="23"/>
      <c r="I29" s="23" t="n">
        <v>293</v>
      </c>
      <c r="J29" s="23" t="n">
        <f>MAX(cyclebeadstable[[#This Row],[Stock on hand(opening balance)]]+cyclebeadstable[[#This Row],[Quantity ]]-cyclebeadstable[[#This Row],[Forecasted consumption]],0)</f>
        <v>0</v>
      </c>
      <c r="K29" s="2"/>
      <c r="L29" s="2"/>
      <c r="M29" s="18"/>
      <c r="N29" s="23"/>
      <c r="O29" s="2"/>
      <c r="P29" s="2"/>
      <c r="Q29" s="24"/>
      <c r="R29" s="2"/>
      <c r="S29" s="2"/>
      <c r="T29" s="2" t="n">
        <v>6</v>
      </c>
      <c r="U29" s="2" t="n">
        <v>12</v>
      </c>
      <c r="V29" s="2" t="n">
        <v>12</v>
      </c>
      <c r="W29" s="21" t="n">
        <f>cyclebeadstable[[#This Row],[Closing balance ]]/cyclebeadstable[[#This Row],[Forecasted consumption]]</f>
        <v>0</v>
      </c>
      <c r="X29" s="25"/>
    </row>
    <row r="30">
      <c r="B30" s="6" t="s">
        <v>72</v>
      </c>
      <c r="C30" s="18" t="s">
        <v>36</v>
      </c>
      <c r="D30" s="17"/>
      <c r="E30" s="18" t="s">
        <v>31</v>
      </c>
      <c r="F30" s="19" t="n">
        <v>46023</v>
      </c>
      <c r="G30" s="23" t="n">
        <f t="shared" si="1"/>
        <v>0</v>
      </c>
      <c r="H30" s="23"/>
      <c r="I30" s="23" t="n">
        <v>293</v>
      </c>
      <c r="J30" s="23" t="n">
        <f>MAX(cyclebeadstable[[#This Row],[Stock on hand(opening balance)]]+cyclebeadstable[[#This Row],[Quantity ]]-cyclebeadstable[[#This Row],[Forecasted consumption]],0)</f>
        <v>0</v>
      </c>
      <c r="K30" s="2"/>
      <c r="L30" s="2"/>
      <c r="M30" s="18"/>
      <c r="N30" s="23"/>
      <c r="O30" s="2"/>
      <c r="P30" s="2"/>
      <c r="Q30" s="24"/>
      <c r="R30" s="2"/>
      <c r="S30" s="2"/>
      <c r="T30" s="2" t="n">
        <v>6</v>
      </c>
      <c r="U30" s="2" t="n">
        <v>12</v>
      </c>
      <c r="V30" s="2" t="n">
        <v>12</v>
      </c>
      <c r="W30" s="21" t="n">
        <f>cyclebeadstable[[#This Row],[Closing balance ]]/cyclebeadstable[[#This Row],[Forecasted consumption]]</f>
        <v>0</v>
      </c>
      <c r="X30" s="25"/>
    </row>
    <row r="31">
      <c r="B31" s="6" t="s">
        <v>72</v>
      </c>
      <c r="C31" s="18" t="s">
        <v>36</v>
      </c>
      <c r="D31" s="17"/>
      <c r="E31" s="18" t="s">
        <v>31</v>
      </c>
      <c r="F31" s="19" t="n">
        <v>46054</v>
      </c>
      <c r="G31" s="23" t="n">
        <f t="shared" si="1"/>
        <v>0</v>
      </c>
      <c r="H31" s="23"/>
      <c r="I31" s="23" t="n">
        <v>293</v>
      </c>
      <c r="J31" s="23" t="n">
        <f>MAX(cyclebeadstable[[#This Row],[Stock on hand(opening balance)]]+cyclebeadstable[[#This Row],[Quantity ]]-cyclebeadstable[[#This Row],[Forecasted consumption]],0)</f>
        <v>0</v>
      </c>
      <c r="K31" s="2"/>
      <c r="L31" s="2"/>
      <c r="M31" s="18"/>
      <c r="N31" s="23"/>
      <c r="O31" s="2"/>
      <c r="P31" s="2"/>
      <c r="Q31" s="24"/>
      <c r="R31" s="2"/>
      <c r="S31" s="2"/>
      <c r="T31" s="2" t="n">
        <v>6</v>
      </c>
      <c r="U31" s="2" t="n">
        <v>12</v>
      </c>
      <c r="V31" s="2" t="n">
        <v>12</v>
      </c>
      <c r="W31" s="21" t="n">
        <f>cyclebeadstable[[#This Row],[Closing balance ]]/cyclebeadstable[[#This Row],[Forecasted consumption]]</f>
        <v>0</v>
      </c>
      <c r="X31" s="25"/>
    </row>
    <row r="32">
      <c r="B32" s="6" t="s">
        <v>72</v>
      </c>
      <c r="C32" s="18" t="s">
        <v>36</v>
      </c>
      <c r="D32" s="17"/>
      <c r="E32" s="18" t="s">
        <v>31</v>
      </c>
      <c r="F32" s="19" t="n">
        <v>46082</v>
      </c>
      <c r="G32" s="23" t="n">
        <f t="shared" si="1"/>
        <v>0</v>
      </c>
      <c r="H32" s="23"/>
      <c r="I32" s="23" t="n">
        <v>293</v>
      </c>
      <c r="J32" s="23" t="n">
        <f>MAX(cyclebeadstable[[#This Row],[Stock on hand(opening balance)]]+cyclebeadstable[[#This Row],[Quantity ]]-cyclebeadstable[[#This Row],[Forecasted consumption]],0)</f>
        <v>0</v>
      </c>
      <c r="K32" s="2"/>
      <c r="L32" s="2"/>
      <c r="M32" s="18"/>
      <c r="N32" s="23"/>
      <c r="O32" s="2"/>
      <c r="P32" s="2"/>
      <c r="Q32" s="24"/>
      <c r="R32" s="2"/>
      <c r="S32" s="2"/>
      <c r="T32" s="2" t="n">
        <v>6</v>
      </c>
      <c r="U32" s="2" t="n">
        <v>12</v>
      </c>
      <c r="V32" s="2" t="n">
        <v>12</v>
      </c>
      <c r="W32" s="21" t="n">
        <f>cyclebeadstable[[#This Row],[Closing balance ]]/cyclebeadstable[[#This Row],[Forecasted consumption]]</f>
        <v>0</v>
      </c>
      <c r="X32" s="25"/>
    </row>
    <row r="33">
      <c r="B33" s="6" t="s">
        <v>72</v>
      </c>
      <c r="C33" s="18" t="s">
        <v>36</v>
      </c>
      <c r="D33" s="17"/>
      <c r="E33" s="18" t="s">
        <v>31</v>
      </c>
      <c r="F33" s="19" t="n">
        <v>46113</v>
      </c>
      <c r="G33" s="23" t="n">
        <f t="shared" si="1"/>
        <v>0</v>
      </c>
      <c r="H33" s="23"/>
      <c r="I33" s="23" t="n">
        <v>293</v>
      </c>
      <c r="J33" s="23" t="n">
        <f>MAX(cyclebeadstable[[#This Row],[Stock on hand(opening balance)]]+cyclebeadstable[[#This Row],[Quantity ]]-cyclebeadstable[[#This Row],[Forecasted consumption]],0)</f>
        <v>0</v>
      </c>
      <c r="K33" s="2"/>
      <c r="L33" s="2"/>
      <c r="M33" s="18"/>
      <c r="N33" s="23"/>
      <c r="O33" s="2"/>
      <c r="P33" s="2"/>
      <c r="Q33" s="24"/>
      <c r="R33" s="2"/>
      <c r="S33" s="2"/>
      <c r="T33" s="2" t="n">
        <v>6</v>
      </c>
      <c r="U33" s="2" t="n">
        <v>12</v>
      </c>
      <c r="V33" s="2" t="n">
        <v>12</v>
      </c>
      <c r="W33" s="21" t="n">
        <f>cyclebeadstable[[#This Row],[Closing balance ]]/cyclebeadstable[[#This Row],[Forecasted consumption]]</f>
        <v>0</v>
      </c>
      <c r="X33" s="25"/>
    </row>
    <row r="34">
      <c r="B34" s="6" t="s">
        <v>72</v>
      </c>
      <c r="C34" s="18" t="s">
        <v>36</v>
      </c>
      <c r="D34" s="17"/>
      <c r="E34" s="18" t="s">
        <v>31</v>
      </c>
      <c r="F34" s="19" t="n">
        <v>46143</v>
      </c>
      <c r="G34" s="23" t="n">
        <f t="shared" si="1"/>
        <v>0</v>
      </c>
      <c r="H34" s="23"/>
      <c r="I34" s="23" t="n">
        <v>293</v>
      </c>
      <c r="J34" s="23" t="n">
        <f>MAX(cyclebeadstable[[#This Row],[Stock on hand(opening balance)]]+cyclebeadstable[[#This Row],[Quantity ]]-cyclebeadstable[[#This Row],[Forecasted consumption]],0)</f>
        <v>0</v>
      </c>
      <c r="K34" s="2"/>
      <c r="L34" s="2"/>
      <c r="M34" s="18"/>
      <c r="N34" s="23"/>
      <c r="O34" s="2"/>
      <c r="P34" s="2"/>
      <c r="Q34" s="24"/>
      <c r="R34" s="2"/>
      <c r="S34" s="2"/>
      <c r="T34" s="2" t="n">
        <v>6</v>
      </c>
      <c r="U34" s="2" t="n">
        <v>12</v>
      </c>
      <c r="V34" s="2" t="n">
        <v>12</v>
      </c>
      <c r="W34" s="21" t="n">
        <f>cyclebeadstable[[#This Row],[Closing balance ]]/cyclebeadstable[[#This Row],[Forecasted consumption]]</f>
        <v>0</v>
      </c>
      <c r="X34" s="25"/>
    </row>
    <row r="35">
      <c r="B35" s="6" t="s">
        <v>72</v>
      </c>
      <c r="C35" s="18" t="s">
        <v>36</v>
      </c>
      <c r="D35" s="17"/>
      <c r="E35" s="18" t="s">
        <v>31</v>
      </c>
      <c r="F35" s="19" t="n">
        <v>46174</v>
      </c>
      <c r="G35" s="23" t="n">
        <f t="shared" si="1"/>
        <v>0</v>
      </c>
      <c r="H35" s="23"/>
      <c r="I35" s="23" t="n">
        <v>293</v>
      </c>
      <c r="J35" s="23" t="n">
        <f>MAX(cyclebeadstable[[#This Row],[Stock on hand(opening balance)]]+cyclebeadstable[[#This Row],[Quantity ]]-cyclebeadstable[[#This Row],[Forecasted consumption]],0)</f>
        <v>1906</v>
      </c>
      <c r="K35" s="2" t="s">
        <v>2</v>
      </c>
      <c r="L35" s="2" t="s">
        <v>2</v>
      </c>
      <c r="M35" s="18" t="s">
        <v>4</v>
      </c>
      <c r="N35" s="23" t="n">
        <v>2199</v>
      </c>
      <c r="O35" s="2"/>
      <c r="P35" s="2" t="n">
        <v>3695</v>
      </c>
      <c r="Q35" s="24" t="n">
        <v>46174</v>
      </c>
      <c r="R35" s="2"/>
      <c r="S35" s="2"/>
      <c r="T35" s="2" t="n">
        <v>6</v>
      </c>
      <c r="U35" s="2" t="n">
        <v>12</v>
      </c>
      <c r="V35" s="2" t="n">
        <v>12</v>
      </c>
      <c r="W35" s="21" t="n">
        <f>cyclebeadstable[[#This Row],[Closing balance ]]/cyclebeadstable[[#This Row],[Forecasted consumption]]</f>
        <v>6.5051194539249151</v>
      </c>
      <c r="X35" s="25"/>
    </row>
    <row r="36">
      <c r="B36" s="6" t="s">
        <v>72</v>
      </c>
      <c r="C36" s="18" t="s">
        <v>36</v>
      </c>
      <c r="D36" s="17"/>
      <c r="E36" s="18" t="s">
        <v>31</v>
      </c>
      <c r="F36" s="19" t="n">
        <v>46204</v>
      </c>
      <c r="G36" s="23" t="n">
        <f t="shared" si="1"/>
        <v>1906</v>
      </c>
      <c r="H36" s="23"/>
      <c r="I36" s="23" t="n">
        <v>293</v>
      </c>
      <c r="J36" s="23" t="n">
        <f>MAX(cyclebeadstable[[#This Row],[Stock on hand(opening balance)]]+cyclebeadstable[[#This Row],[Quantity ]]-cyclebeadstable[[#This Row],[Forecasted consumption]],0)</f>
        <v>1613</v>
      </c>
      <c r="K36" s="2"/>
      <c r="L36" s="2"/>
      <c r="M36" s="18"/>
      <c r="N36" s="23"/>
      <c r="O36" s="2"/>
      <c r="P36" s="2"/>
      <c r="Q36" s="24"/>
      <c r="R36" s="2"/>
      <c r="S36" s="2"/>
      <c r="T36" s="2" t="n">
        <v>6</v>
      </c>
      <c r="U36" s="2" t="n">
        <v>12</v>
      </c>
      <c r="V36" s="2" t="n">
        <v>12</v>
      </c>
      <c r="W36" s="21" t="n">
        <f>cyclebeadstable[[#This Row],[Closing balance ]]/cyclebeadstable[[#This Row],[Forecasted consumption]]</f>
        <v>5.5051194539249151</v>
      </c>
      <c r="X36" s="25"/>
    </row>
    <row r="37">
      <c r="B37" s="6" t="s">
        <v>72</v>
      </c>
      <c r="C37" s="18" t="s">
        <v>36</v>
      </c>
      <c r="D37" s="17"/>
      <c r="E37" s="18" t="s">
        <v>31</v>
      </c>
      <c r="F37" s="19" t="n">
        <v>46235</v>
      </c>
      <c r="G37" s="23" t="n">
        <f t="shared" si="1"/>
        <v>1613</v>
      </c>
      <c r="H37" s="23"/>
      <c r="I37" s="23" t="n">
        <v>293</v>
      </c>
      <c r="J37" s="23" t="n">
        <f>MAX(cyclebeadstable[[#This Row],[Stock on hand(opening balance)]]+cyclebeadstable[[#This Row],[Quantity ]]-cyclebeadstable[[#This Row],[Forecasted consumption]],0)</f>
        <v>1320</v>
      </c>
      <c r="K37" s="2"/>
      <c r="L37" s="2"/>
      <c r="M37" s="18"/>
      <c r="N37" s="23"/>
      <c r="O37" s="2"/>
      <c r="P37" s="2"/>
      <c r="Q37" s="24"/>
      <c r="R37" s="2"/>
      <c r="S37" s="2"/>
      <c r="T37" s="2" t="n">
        <v>6</v>
      </c>
      <c r="U37" s="2" t="n">
        <v>12</v>
      </c>
      <c r="V37" s="2" t="n">
        <v>12</v>
      </c>
      <c r="W37" s="21" t="n">
        <f>cyclebeadstable[[#This Row],[Closing balance ]]/cyclebeadstable[[#This Row],[Forecasted consumption]]</f>
        <v>4.5051194539249151</v>
      </c>
      <c r="X37" s="25"/>
    </row>
    <row r="38">
      <c r="B38" s="6" t="s">
        <v>72</v>
      </c>
      <c r="C38" s="18" t="s">
        <v>36</v>
      </c>
      <c r="D38" s="17"/>
      <c r="E38" s="18" t="s">
        <v>31</v>
      </c>
      <c r="F38" s="19" t="n">
        <v>46266</v>
      </c>
      <c r="G38" s="23" t="n">
        <f t="shared" si="1"/>
        <v>1320</v>
      </c>
      <c r="H38" s="23"/>
      <c r="I38" s="23" t="n">
        <v>293</v>
      </c>
      <c r="J38" s="23" t="n">
        <f>MAX(cyclebeadstable[[#This Row],[Stock on hand(opening balance)]]+cyclebeadstable[[#This Row],[Quantity ]]-cyclebeadstable[[#This Row],[Forecasted consumption]],0)</f>
        <v>1027</v>
      </c>
      <c r="K38" s="2"/>
      <c r="L38" s="2"/>
      <c r="M38" s="18"/>
      <c r="N38" s="23"/>
      <c r="O38" s="2"/>
      <c r="P38" s="2"/>
      <c r="Q38" s="24"/>
      <c r="R38" s="2"/>
      <c r="S38" s="2"/>
      <c r="T38" s="2" t="n">
        <v>6</v>
      </c>
      <c r="U38" s="2" t="n">
        <v>12</v>
      </c>
      <c r="V38" s="2" t="n">
        <v>12</v>
      </c>
      <c r="W38" s="21" t="n">
        <f>cyclebeadstable[[#This Row],[Closing balance ]]/cyclebeadstable[[#This Row],[Forecasted consumption]]</f>
        <v>3.5051194539249146</v>
      </c>
      <c r="X38" s="25"/>
    </row>
    <row r="39">
      <c r="B39" s="6" t="s">
        <v>72</v>
      </c>
      <c r="C39" s="18" t="s">
        <v>36</v>
      </c>
      <c r="D39" s="17"/>
      <c r="E39" s="18" t="s">
        <v>31</v>
      </c>
      <c r="F39" s="19" t="n">
        <v>46296</v>
      </c>
      <c r="G39" s="23" t="n">
        <f t="shared" si="1"/>
        <v>1027</v>
      </c>
      <c r="H39" s="23"/>
      <c r="I39" s="23" t="n">
        <v>293</v>
      </c>
      <c r="J39" s="23" t="n">
        <f>MAX(cyclebeadstable[[#This Row],[Stock on hand(opening balance)]]+cyclebeadstable[[#This Row],[Quantity ]]-cyclebeadstable[[#This Row],[Forecasted consumption]],0)</f>
        <v>734</v>
      </c>
      <c r="K39" s="2"/>
      <c r="L39" s="2"/>
      <c r="M39" s="18"/>
      <c r="N39" s="23"/>
      <c r="O39" s="2"/>
      <c r="P39" s="2"/>
      <c r="Q39" s="24"/>
      <c r="R39" s="2"/>
      <c r="S39" s="2"/>
      <c r="T39" s="2" t="n">
        <v>6</v>
      </c>
      <c r="U39" s="2" t="n">
        <v>12</v>
      </c>
      <c r="V39" s="2" t="n">
        <v>12</v>
      </c>
      <c r="W39" s="21" t="n">
        <f>cyclebeadstable[[#This Row],[Closing balance ]]/cyclebeadstable[[#This Row],[Forecasted consumption]]</f>
        <v>2.5051194539249146</v>
      </c>
      <c r="X39" s="25"/>
    </row>
    <row r="40">
      <c r="B40" s="6" t="s">
        <v>72</v>
      </c>
      <c r="C40" s="18" t="s">
        <v>36</v>
      </c>
      <c r="D40" s="17"/>
      <c r="E40" s="18" t="s">
        <v>31</v>
      </c>
      <c r="F40" s="19" t="n">
        <v>46327</v>
      </c>
      <c r="G40" s="23" t="n">
        <f t="shared" si="1"/>
        <v>734</v>
      </c>
      <c r="H40" s="23"/>
      <c r="I40" s="23" t="n">
        <v>293</v>
      </c>
      <c r="J40" s="23" t="n">
        <f>MAX(cyclebeadstable[[#This Row],[Stock on hand(opening balance)]]+cyclebeadstable[[#This Row],[Quantity ]]-cyclebeadstable[[#This Row],[Forecasted consumption]],0)</f>
        <v>441</v>
      </c>
      <c r="K40" s="2"/>
      <c r="L40" s="2"/>
      <c r="M40" s="18"/>
      <c r="N40" s="23"/>
      <c r="O40" s="2"/>
      <c r="P40" s="2"/>
      <c r="Q40" s="24"/>
      <c r="R40" s="2"/>
      <c r="S40" s="2"/>
      <c r="T40" s="2" t="n">
        <v>6</v>
      </c>
      <c r="U40" s="2" t="n">
        <v>12</v>
      </c>
      <c r="V40" s="2" t="n">
        <v>12</v>
      </c>
      <c r="W40" s="21" t="n">
        <f>cyclebeadstable[[#This Row],[Closing balance ]]/cyclebeadstable[[#This Row],[Forecasted consumption]]</f>
        <v>1.5051194539249146</v>
      </c>
      <c r="X40" s="25"/>
    </row>
    <row r="41">
      <c r="B41" s="6" t="s">
        <v>72</v>
      </c>
      <c r="C41" s="18" t="s">
        <v>36</v>
      </c>
      <c r="D41" s="17"/>
      <c r="E41" s="18" t="s">
        <v>31</v>
      </c>
      <c r="F41" s="19" t="n">
        <v>46357</v>
      </c>
      <c r="G41" s="23" t="n">
        <f t="shared" si="1"/>
        <v>441</v>
      </c>
      <c r="H41" s="23"/>
      <c r="I41" s="23" t="n">
        <v>293</v>
      </c>
      <c r="J41" s="23" t="n">
        <f>MAX(cyclebeadstable[[#This Row],[Stock on hand(opening balance)]]+cyclebeadstable[[#This Row],[Quantity ]]-cyclebeadstable[[#This Row],[Forecasted consumption]],0)</f>
        <v>2209</v>
      </c>
      <c r="K41" s="2" t="s">
        <v>2</v>
      </c>
      <c r="L41" s="2" t="s">
        <v>2</v>
      </c>
      <c r="M41" s="18" t="s">
        <v>4</v>
      </c>
      <c r="N41" s="23" t="n">
        <v>2061</v>
      </c>
      <c r="O41" s="2"/>
      <c r="P41" s="2" t="n">
        <v>3462</v>
      </c>
      <c r="Q41" s="24" t="n">
        <v>46357</v>
      </c>
      <c r="R41" s="2"/>
      <c r="S41" s="2"/>
      <c r="T41" s="2" t="n">
        <v>6</v>
      </c>
      <c r="U41" s="2" t="n">
        <v>12</v>
      </c>
      <c r="V41" s="2" t="n">
        <v>12</v>
      </c>
      <c r="W41" s="21" t="n">
        <f>cyclebeadstable[[#This Row],[Closing balance ]]/cyclebeadstable[[#This Row],[Forecasted consumption]]</f>
        <v>7.5392491467576788</v>
      </c>
      <c r="X41" s="25"/>
    </row>
  </sheetData>
  <dataValidations count="3">
    <dataValidation type="list" allowBlank="1" showInputMessage="1" showErrorMessage="1" sqref="M42:M130" xr:uid="{C471360B-5A09-4CF3-A6B4-FD929CB95BA4}">
      <formula1>"Committed,  Placed, Expected Deliveries, Received, cancelled"</formula1>
    </dataValidation>
    <dataValidation type="list" allowBlank="1" showInputMessage="1" showErrorMessage="1" sqref="E7:E41" xr:uid="{ACE683B4-4801-4F5F-A6F1-BA0D5FC30E29}">
      <formula1>"All levels, Central, Central and Regional, Facilities "</formula1>
    </dataValidation>
    <dataValidation type="list" allowBlank="1" showInputMessage="1" showErrorMessage="1" sqref="M7:M41" xr:uid="{EE9A6E65-771F-44E9-8AD9-C66C858BA4EB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1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E21156-BE72-4175-B822-FB74BEA256AF}">
          <x14:formula1>
            <xm:f>'product list '!$A$29</xm:f>
          </x14:formula1>
          <xm:sqref>C7:C41</xm:sqref>
        </x14:dataValidation>
        <x14:dataValidation type="list" allowBlank="1" showInputMessage="1" showErrorMessage="1" xr:uid="{7C0CDFA6-521C-44CC-9E77-7E0B8D6FBCE9}">
          <x14:formula1>
            <xm:f>'choices countries '!$B$3:$B$12</xm:f>
          </x14:formula1>
          <xm:sqref>B7:B431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38</v>
      </c>
      <c r="D7" s="17" t="s">
        <v>39</v>
      </c>
      <c r="E7" s="18" t="s">
        <v>31</v>
      </c>
      <c r="F7" s="19" t="n">
        <v>45839</v>
      </c>
      <c r="G7" s="20" t="n">
        <v>174612</v>
      </c>
      <c r="H7" s="20"/>
      <c r="I7" s="20" t="n">
        <v>17890</v>
      </c>
      <c r="J7" s="20" t="n">
        <f>MAX(implant1rodtable[[#This Row],[Stock on hand(opening balance)]]-implant1rodtable[[#This Row],[Forecasted consumption]]+implant1rodtable[[#This Row],[Quantity ]],0)</f>
        <v>156722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implant1rodtable[[#This Row],[Closing balance ]]/implant1rodtable[[#This Row],[Forecasted consumption]]</f>
        <v>8.7603130240357743</v>
      </c>
      <c r="X7" s="22"/>
    </row>
    <row r="8">
      <c r="B8" s="6" t="s">
        <v>28</v>
      </c>
      <c r="C8" s="17" t="s">
        <v>38</v>
      </c>
      <c r="D8" s="17" t="s">
        <v>39</v>
      </c>
      <c r="E8" s="18" t="s">
        <v>31</v>
      </c>
      <c r="F8" s="19" t="n">
        <v>45870</v>
      </c>
      <c r="G8" s="23" t="n">
        <f>MAX(G7-I7,0)</f>
        <v>156722</v>
      </c>
      <c r="H8" s="23"/>
      <c r="I8" s="20" t="n">
        <v>17890</v>
      </c>
      <c r="J8" s="20" t="n">
        <f>MAX(implant1rodtable[[#This Row],[Stock on hand(opening balance)]]-implant1rodtable[[#This Row],[Forecasted consumption]]+implant1rodtable[[#This Row],[Quantity ]],0)</f>
        <v>138832</v>
      </c>
      <c r="K8" s="2"/>
      <c r="L8" s="2"/>
      <c r="M8" s="18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21" t="n">
        <f>implant1rodtable[[#This Row],[Closing balance ]]/implant1rodtable[[#This Row],[Forecasted consumption]]</f>
        <v>7.7603130240357743</v>
      </c>
      <c r="X8" s="25"/>
    </row>
    <row r="9">
      <c r="B9" s="6" t="s">
        <v>28</v>
      </c>
      <c r="C9" s="17" t="s">
        <v>38</v>
      </c>
      <c r="D9" s="17" t="s">
        <v>39</v>
      </c>
      <c r="E9" s="18" t="s">
        <v>31</v>
      </c>
      <c r="F9" s="19" t="n">
        <v>45901</v>
      </c>
      <c r="G9" s="23" t="n">
        <f t="shared" ref="G9:G18" si="0">MAX(G8-I8,0)</f>
        <v>138832</v>
      </c>
      <c r="H9" s="23"/>
      <c r="I9" s="20" t="n">
        <v>17890</v>
      </c>
      <c r="J9" s="20" t="n">
        <f>MAX(implant1rodtable[[#This Row],[Stock on hand(opening balance)]]-implant1rodtable[[#This Row],[Forecasted consumption]]+implant1rodtable[[#This Row],[Quantity ]],0)</f>
        <v>222163</v>
      </c>
      <c r="K9" s="2" t="s">
        <v>2</v>
      </c>
      <c r="L9" s="2" t="s">
        <v>2</v>
      </c>
      <c r="M9" s="18" t="s">
        <v>4</v>
      </c>
      <c r="N9" s="23" t="n">
        <v>101221</v>
      </c>
      <c r="O9" s="2"/>
      <c r="P9" s="20" t="n">
        <v>1032454</v>
      </c>
      <c r="Q9" s="24" t="n">
        <v>45901</v>
      </c>
      <c r="R9" s="2"/>
      <c r="S9" s="2"/>
      <c r="T9" s="18" t="n">
        <v>9</v>
      </c>
      <c r="U9" s="18" t="n">
        <v>14</v>
      </c>
      <c r="V9" s="18" t="n">
        <v>13</v>
      </c>
      <c r="W9" s="21" t="n">
        <f>implant1rodtable[[#This Row],[Closing balance ]]/implant1rodtable[[#This Row],[Forecasted consumption]]</f>
        <v>12.418278367803243</v>
      </c>
      <c r="X9" s="25"/>
    </row>
    <row r="10">
      <c r="B10" s="6" t="s">
        <v>28</v>
      </c>
      <c r="C10" s="17" t="s">
        <v>38</v>
      </c>
      <c r="D10" s="17" t="s">
        <v>39</v>
      </c>
      <c r="E10" s="18" t="s">
        <v>31</v>
      </c>
      <c r="F10" s="19" t="n">
        <v>45931</v>
      </c>
      <c r="G10" s="23" t="n">
        <f t="shared" si="0"/>
        <v>120942</v>
      </c>
      <c r="H10" s="23"/>
      <c r="I10" s="20" t="n">
        <v>17890</v>
      </c>
      <c r="J10" s="20" t="n">
        <f>MAX(implant1rodtable[[#This Row],[Stock on hand(opening balance)]]-implant1rodtable[[#This Row],[Forecasted consumption]]+implant1rodtable[[#This Row],[Quantity ]],0)</f>
        <v>103052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1" t="n">
        <f>implant1rodtable[[#This Row],[Closing balance ]]/implant1rodtable[[#This Row],[Forecasted consumption]]</f>
        <v>5.7603130240357743</v>
      </c>
      <c r="X10" s="25"/>
    </row>
    <row r="11">
      <c r="B11" s="6" t="s">
        <v>28</v>
      </c>
      <c r="C11" s="17" t="s">
        <v>38</v>
      </c>
      <c r="D11" s="17" t="s">
        <v>39</v>
      </c>
      <c r="E11" s="18" t="s">
        <v>31</v>
      </c>
      <c r="F11" s="19" t="n">
        <v>45962</v>
      </c>
      <c r="G11" s="23" t="n">
        <f t="shared" si="0"/>
        <v>103052</v>
      </c>
      <c r="H11" s="23"/>
      <c r="I11" s="20" t="n">
        <v>17890</v>
      </c>
      <c r="J11" s="20" t="n">
        <f>MAX(implant1rodtable[[#This Row],[Stock on hand(opening balance)]]-implant1rodtable[[#This Row],[Forecasted consumption]]+implant1rodtable[[#This Row],[Quantity ]],0)</f>
        <v>85162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1" t="n">
        <f>implant1rodtable[[#This Row],[Closing balance ]]/implant1rodtable[[#This Row],[Forecasted consumption]]</f>
        <v>4.7603130240357743</v>
      </c>
      <c r="X11" s="25"/>
    </row>
    <row r="12">
      <c r="B12" s="6" t="s">
        <v>28</v>
      </c>
      <c r="C12" s="17" t="s">
        <v>38</v>
      </c>
      <c r="D12" s="17" t="s">
        <v>39</v>
      </c>
      <c r="E12" s="18" t="s">
        <v>31</v>
      </c>
      <c r="F12" s="19" t="n">
        <v>45992</v>
      </c>
      <c r="G12" s="23" t="n">
        <f t="shared" si="0"/>
        <v>85162</v>
      </c>
      <c r="H12" s="23"/>
      <c r="I12" s="20" t="n">
        <v>17890</v>
      </c>
      <c r="J12" s="20" t="n">
        <f>MAX(implant1rodtable[[#This Row],[Stock on hand(opening balance)]]-implant1rodtable[[#This Row],[Forecasted consumption]]+implant1rodtable[[#This Row],[Quantity ]],0)</f>
        <v>67272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1" t="n">
        <f>implant1rodtable[[#This Row],[Closing balance ]]/implant1rodtable[[#This Row],[Forecasted consumption]]</f>
        <v>3.7603130240357743</v>
      </c>
      <c r="X12" s="25"/>
    </row>
    <row r="13">
      <c r="B13" s="6" t="s">
        <v>28</v>
      </c>
      <c r="C13" s="17" t="s">
        <v>38</v>
      </c>
      <c r="D13" s="17" t="s">
        <v>39</v>
      </c>
      <c r="E13" s="18" t="s">
        <v>31</v>
      </c>
      <c r="F13" s="19" t="n">
        <v>46023</v>
      </c>
      <c r="G13" s="23" t="n">
        <f t="shared" si="0"/>
        <v>67272</v>
      </c>
      <c r="H13" s="23"/>
      <c r="I13" s="20" t="n">
        <v>17890</v>
      </c>
      <c r="J13" s="20" t="n">
        <f>MAX(implant1rodtable[[#This Row],[Stock on hand(opening balance)]]-implant1rodtable[[#This Row],[Forecasted consumption]]+implant1rodtable[[#This Row],[Quantity ]],0)</f>
        <v>49382</v>
      </c>
      <c r="K13" s="2"/>
      <c r="L13" s="2"/>
      <c r="M13" s="18"/>
      <c r="N13" s="23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21" t="n">
        <f>implant1rodtable[[#This Row],[Closing balance ]]/implant1rodtable[[#This Row],[Forecasted consumption]]</f>
        <v>2.7603130240357743</v>
      </c>
      <c r="X13" s="25"/>
    </row>
    <row r="14">
      <c r="B14" s="6" t="s">
        <v>28</v>
      </c>
      <c r="C14" s="17" t="s">
        <v>38</v>
      </c>
      <c r="D14" s="17" t="s">
        <v>39</v>
      </c>
      <c r="E14" s="18" t="s">
        <v>31</v>
      </c>
      <c r="F14" s="19" t="n">
        <v>46054</v>
      </c>
      <c r="G14" s="23" t="n">
        <f t="shared" si="0"/>
        <v>49382</v>
      </c>
      <c r="H14" s="23"/>
      <c r="I14" s="20" t="n">
        <v>17890</v>
      </c>
      <c r="J14" s="20" t="n">
        <f>MAX(implant1rodtable[[#This Row],[Stock on hand(opening balance)]]-implant1rodtable[[#This Row],[Forecasted consumption]]+implant1rodtable[[#This Row],[Quantity ]],0)</f>
        <v>130475</v>
      </c>
      <c r="K14" s="2" t="s">
        <v>2</v>
      </c>
      <c r="L14" s="2" t="s">
        <v>2</v>
      </c>
      <c r="M14" s="18" t="s">
        <v>4</v>
      </c>
      <c r="N14" s="23" t="n">
        <v>98983</v>
      </c>
      <c r="O14" s="2"/>
      <c r="P14" s="20" t="n">
        <v>1009627</v>
      </c>
      <c r="Q14" s="24" t="n">
        <v>46054</v>
      </c>
      <c r="R14" s="2"/>
      <c r="S14" s="2"/>
      <c r="T14" s="18" t="n">
        <v>9</v>
      </c>
      <c r="U14" s="18" t="n">
        <v>14</v>
      </c>
      <c r="V14" s="18" t="n">
        <v>13</v>
      </c>
      <c r="W14" s="21" t="n">
        <f>implant1rodtable[[#This Row],[Closing balance ]]/implant1rodtable[[#This Row],[Forecasted consumption]]</f>
        <v>7.2931805477920628</v>
      </c>
      <c r="X14" s="25"/>
    </row>
    <row r="15">
      <c r="B15" s="6" t="s">
        <v>28</v>
      </c>
      <c r="C15" s="17" t="s">
        <v>38</v>
      </c>
      <c r="D15" s="17" t="s">
        <v>39</v>
      </c>
      <c r="E15" s="18" t="s">
        <v>31</v>
      </c>
      <c r="F15" s="19" t="n">
        <v>46082</v>
      </c>
      <c r="G15" s="23" t="n">
        <f t="shared" si="0"/>
        <v>31492</v>
      </c>
      <c r="H15" s="23"/>
      <c r="I15" s="20" t="n">
        <v>17890</v>
      </c>
      <c r="J15" s="20" t="n">
        <f>MAX(implant1rodtable[[#This Row],[Stock on hand(opening balance)]]-implant1rodtable[[#This Row],[Forecasted consumption]]+implant1rodtable[[#This Row],[Quantity ]],0)</f>
        <v>13602</v>
      </c>
      <c r="K15" s="2"/>
      <c r="L15" s="2"/>
      <c r="M15" s="18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1" t="n">
        <f>implant1rodtable[[#This Row],[Closing balance ]]/implant1rodtable[[#This Row],[Forecasted consumption]]</f>
        <v>0.76031302403577417</v>
      </c>
      <c r="X15" s="25"/>
    </row>
    <row r="16">
      <c r="B16" s="6" t="s">
        <v>28</v>
      </c>
      <c r="C16" s="17" t="s">
        <v>38</v>
      </c>
      <c r="D16" s="17" t="s">
        <v>39</v>
      </c>
      <c r="E16" s="18" t="s">
        <v>31</v>
      </c>
      <c r="F16" s="19" t="n">
        <v>46113</v>
      </c>
      <c r="G16" s="23" t="n">
        <f t="shared" si="0"/>
        <v>13602</v>
      </c>
      <c r="H16" s="23"/>
      <c r="I16" s="20" t="n">
        <v>17890</v>
      </c>
      <c r="J16" s="20" t="n">
        <f>MAX(implant1rodtable[[#This Row],[Stock on hand(opening balance)]]-implant1rodtable[[#This Row],[Forecasted consumption]]+implant1rodtable[[#This Row],[Quantity ]],0)</f>
        <v>0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1" t="n">
        <f>implant1rodtable[[#This Row],[Closing balance ]]/implant1rodtable[[#This Row],[Forecasted consumption]]</f>
        <v>0</v>
      </c>
      <c r="X16" s="25"/>
    </row>
    <row r="17">
      <c r="B17" s="6" t="s">
        <v>28</v>
      </c>
      <c r="C17" s="17" t="s">
        <v>38</v>
      </c>
      <c r="D17" s="17" t="s">
        <v>39</v>
      </c>
      <c r="E17" s="18" t="s">
        <v>31</v>
      </c>
      <c r="F17" s="19" t="n">
        <v>46143</v>
      </c>
      <c r="G17" s="23" t="n">
        <f t="shared" si="0"/>
        <v>0</v>
      </c>
      <c r="H17" s="23"/>
      <c r="I17" s="20" t="n">
        <v>17890</v>
      </c>
      <c r="J17" s="20" t="n">
        <f>MAX(implant1rodtable[[#This Row],[Stock on hand(opening balance)]]-implant1rodtable[[#This Row],[Forecasted consumption]]+implant1rodtable[[#This Row],[Quantity ]],0)</f>
        <v>0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1" t="n">
        <f>implant1rodtable[[#This Row],[Closing balance ]]/implant1rodtable[[#This Row],[Forecasted consumption]]</f>
        <v>0</v>
      </c>
      <c r="X17" s="25"/>
    </row>
    <row r="18">
      <c r="B18" s="6" t="s">
        <v>28</v>
      </c>
      <c r="C18" s="17" t="s">
        <v>38</v>
      </c>
      <c r="D18" s="17" t="s">
        <v>39</v>
      </c>
      <c r="E18" s="18" t="s">
        <v>31</v>
      </c>
      <c r="F18" s="19" t="n">
        <v>46174</v>
      </c>
      <c r="G18" s="23" t="n">
        <f t="shared" si="0"/>
        <v>0</v>
      </c>
      <c r="H18" s="23"/>
      <c r="I18" s="20" t="n">
        <v>17890</v>
      </c>
      <c r="J18" s="20" t="n">
        <f>MAX(implant1rodtable[[#This Row],[Stock on hand(opening balance)]]-implant1rodtable[[#This Row],[Forecasted consumption]]+implant1rodtable[[#This Row],[Quantity ]],0)</f>
        <v>0</v>
      </c>
      <c r="K18" s="2"/>
      <c r="L18" s="2"/>
      <c r="M18" s="18"/>
      <c r="N18" s="23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21" t="n">
        <f>implant1rodtable[[#This Row],[Closing balance ]]/implant1rodtable[[#This Row],[Forecasted consumption]]</f>
        <v>0</v>
      </c>
      <c r="X18" s="25"/>
    </row>
    <row r="19">
      <c r="B19" s="6" t="s">
        <v>75</v>
      </c>
      <c r="C19" s="18" t="s">
        <v>38</v>
      </c>
      <c r="D19" s="17" t="s">
        <v>39</v>
      </c>
      <c r="E19" s="18" t="s">
        <v>31</v>
      </c>
      <c r="F19" s="19" t="n">
        <v>45748</v>
      </c>
      <c r="G19" s="20" t="n">
        <v>68852</v>
      </c>
      <c r="H19" s="20"/>
      <c r="I19" s="20" t="n">
        <v>19069</v>
      </c>
      <c r="J19" s="20" t="n">
        <f>MAX(implant1rodtable[[#This Row],[Stock on hand(opening balance)]]-implant1rodtable[[#This Row],[Forecasted consumption]]+implant1rodtable[[#This Row],[Quantity ]],0)</f>
        <v>49783</v>
      </c>
      <c r="K19" s="18"/>
      <c r="L19" s="18"/>
      <c r="M19" s="18"/>
      <c r="N19" s="20"/>
      <c r="O19" s="18"/>
      <c r="P19" s="18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implant1rodtable[[#This Row],[Closing balance ]]/implant1rodtable[[#This Row],[Forecasted consumption]]</f>
        <v>2.6106770150506056</v>
      </c>
      <c r="X19" s="22"/>
    </row>
    <row r="20">
      <c r="B20" s="6" t="s">
        <v>75</v>
      </c>
      <c r="C20" s="18" t="s">
        <v>38</v>
      </c>
      <c r="D20" s="17" t="s">
        <v>39</v>
      </c>
      <c r="E20" s="18" t="s">
        <v>31</v>
      </c>
      <c r="F20" s="19" t="n">
        <v>45778</v>
      </c>
      <c r="G20" s="23" t="n">
        <f>J19</f>
        <v>49783</v>
      </c>
      <c r="H20" s="23"/>
      <c r="I20" s="23" t="n">
        <v>19103</v>
      </c>
      <c r="J20" s="23" t="n">
        <f>MAX(implant1rodtable[[#This Row],[Stock on hand(opening balance)]]-implant1rodtable[[#This Row],[Forecasted consumption]]+implant1rodtable[[#This Row],[Quantity ]],0)</f>
        <v>60704</v>
      </c>
      <c r="K20" s="2"/>
      <c r="L20" s="2"/>
      <c r="M20" s="18" t="s">
        <v>153</v>
      </c>
      <c r="N20" s="23" t="n">
        <v>30024</v>
      </c>
      <c r="O20" s="2"/>
      <c r="P20" s="2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implant1rodtable[[#This Row],[Closing balance ]]/implant1rodtable[[#This Row],[Forecasted consumption]]</f>
        <v>3.1777207768413338</v>
      </c>
      <c r="X20" s="25"/>
    </row>
    <row r="21">
      <c r="B21" s="6" t="s">
        <v>75</v>
      </c>
      <c r="C21" s="18" t="s">
        <v>38</v>
      </c>
      <c r="D21" s="17" t="s">
        <v>39</v>
      </c>
      <c r="E21" s="18" t="s">
        <v>31</v>
      </c>
      <c r="F21" s="19" t="n">
        <v>45809</v>
      </c>
      <c r="G21" s="23" t="n">
        <f t="shared" ref="G21:G36" si="1">J20</f>
        <v>60704</v>
      </c>
      <c r="H21" s="23"/>
      <c r="I21" s="23" t="n">
        <v>19137</v>
      </c>
      <c r="J21" s="23" t="n">
        <f>MAX(implant1rodtable[[#This Row],[Stock on hand(opening balance)]]-implant1rodtable[[#This Row],[Forecasted consumption]]+implant1rodtable[[#This Row],[Quantity ]],0)</f>
        <v>41567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implant1rodtable[[#This Row],[Closing balance ]]/implant1rodtable[[#This Row],[Forecasted consumption]]</f>
        <v>2.172075037884726</v>
      </c>
      <c r="X21" s="25"/>
    </row>
    <row r="22">
      <c r="B22" s="6" t="s">
        <v>75</v>
      </c>
      <c r="C22" s="18" t="s">
        <v>38</v>
      </c>
      <c r="D22" s="17" t="s">
        <v>39</v>
      </c>
      <c r="E22" s="18" t="s">
        <v>31</v>
      </c>
      <c r="F22" s="19" t="n">
        <v>45839</v>
      </c>
      <c r="G22" s="23" t="n">
        <f t="shared" si="1"/>
        <v>41567</v>
      </c>
      <c r="H22" s="23"/>
      <c r="I22" s="23" t="n">
        <v>19171</v>
      </c>
      <c r="J22" s="23" t="n">
        <f>MAX(implant1rodtable[[#This Row],[Stock on hand(opening balance)]]-implant1rodtable[[#This Row],[Forecasted consumption]]+implant1rodtable[[#This Row],[Quantity ]],0)</f>
        <v>22396</v>
      </c>
      <c r="K22" s="2"/>
      <c r="L22" s="2"/>
      <c r="M22" s="18"/>
      <c r="N22" s="23"/>
      <c r="O22" s="2"/>
      <c r="P22" s="2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implant1rodtable[[#This Row],[Closing balance ]]/implant1rodtable[[#This Row],[Forecasted consumption]]</f>
        <v>1.1682228365760785</v>
      </c>
      <c r="X22" s="25"/>
    </row>
    <row r="23">
      <c r="B23" s="6" t="s">
        <v>75</v>
      </c>
      <c r="C23" s="18" t="s">
        <v>38</v>
      </c>
      <c r="D23" s="17" t="s">
        <v>39</v>
      </c>
      <c r="E23" s="18" t="s">
        <v>31</v>
      </c>
      <c r="F23" s="19" t="n">
        <v>45870</v>
      </c>
      <c r="G23" s="23" t="n">
        <f t="shared" si="1"/>
        <v>22396</v>
      </c>
      <c r="H23" s="23"/>
      <c r="I23" s="23" t="n">
        <v>19205</v>
      </c>
      <c r="J23" s="23" t="n">
        <f>MAX(implant1rodtable[[#This Row],[Stock on hand(opening balance)]]-implant1rodtable[[#This Row],[Forecasted consumption]]+implant1rodtable[[#This Row],[Quantity ]],0)</f>
        <v>3191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implant1rodtable[[#This Row],[Closing balance ]]/implant1rodtable[[#This Row],[Forecasted consumption]]</f>
        <v>0.16615464722728457</v>
      </c>
      <c r="X23" s="25"/>
    </row>
    <row r="24">
      <c r="B24" s="6" t="s">
        <v>75</v>
      </c>
      <c r="C24" s="18" t="s">
        <v>38</v>
      </c>
      <c r="D24" s="17" t="s">
        <v>39</v>
      </c>
      <c r="E24" s="18" t="s">
        <v>31</v>
      </c>
      <c r="F24" s="19" t="n">
        <v>45901</v>
      </c>
      <c r="G24" s="23" t="n">
        <f t="shared" si="1"/>
        <v>3191</v>
      </c>
      <c r="H24" s="23"/>
      <c r="I24" s="23" t="n">
        <v>19239</v>
      </c>
      <c r="J24" s="23" t="n">
        <f>MAX(implant1rodtable[[#This Row],[Stock on hand(opening balance)]]-implant1rodtable[[#This Row],[Forecasted consumption]]+implant1rodtable[[#This Row],[Quantity ]],0)</f>
        <v>58976</v>
      </c>
      <c r="K24" s="2"/>
      <c r="L24" s="2"/>
      <c r="M24" s="18" t="s">
        <v>147</v>
      </c>
      <c r="N24" s="23" t="n">
        <v>75024</v>
      </c>
      <c r="O24" s="2"/>
      <c r="P24" s="2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implant1rodtable[[#This Row],[Closing balance ]]/implant1rodtable[[#This Row],[Forecasted consumption]]</f>
        <v>3.0654399916835593</v>
      </c>
      <c r="X24" s="25"/>
    </row>
    <row r="25">
      <c r="B25" s="6" t="s">
        <v>75</v>
      </c>
      <c r="C25" s="18" t="s">
        <v>38</v>
      </c>
      <c r="D25" s="17" t="s">
        <v>39</v>
      </c>
      <c r="E25" s="18" t="s">
        <v>31</v>
      </c>
      <c r="F25" s="19" t="n">
        <v>45931</v>
      </c>
      <c r="G25" s="23" t="n">
        <f t="shared" si="1"/>
        <v>58976</v>
      </c>
      <c r="H25" s="23"/>
      <c r="I25" s="23" t="n">
        <v>19273</v>
      </c>
      <c r="J25" s="23" t="n">
        <f>MAX(implant1rodtable[[#This Row],[Stock on hand(opening balance)]]-implant1rodtable[[#This Row],[Forecasted consumption]]+implant1rodtable[[#This Row],[Quantity ]],0)</f>
        <v>39703</v>
      </c>
      <c r="K25" s="2"/>
      <c r="L25" s="2"/>
      <c r="M25" s="18"/>
      <c r="N25" s="23"/>
      <c r="O25" s="2"/>
      <c r="P25" s="2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implant1rodtable[[#This Row],[Closing balance ]]/implant1rodtable[[#This Row],[Forecasted consumption]]</f>
        <v>2.0600321693560941</v>
      </c>
      <c r="X25" s="25"/>
    </row>
    <row r="26">
      <c r="B26" s="6" t="s">
        <v>75</v>
      </c>
      <c r="C26" s="18" t="s">
        <v>38</v>
      </c>
      <c r="D26" s="17" t="s">
        <v>39</v>
      </c>
      <c r="E26" s="18" t="s">
        <v>31</v>
      </c>
      <c r="F26" s="19" t="n">
        <v>45962</v>
      </c>
      <c r="G26" s="23" t="n">
        <f t="shared" si="1"/>
        <v>39703</v>
      </c>
      <c r="H26" s="23"/>
      <c r="I26" s="23" t="n">
        <v>19307</v>
      </c>
      <c r="J26" s="23" t="n">
        <f>MAX(implant1rodtable[[#This Row],[Stock on hand(opening balance)]]-implant1rodtable[[#This Row],[Forecasted consumption]]+implant1rodtable[[#This Row],[Quantity ]],0)</f>
        <v>178048</v>
      </c>
      <c r="K26" s="2"/>
      <c r="L26" s="2"/>
      <c r="M26" s="18" t="s">
        <v>4</v>
      </c>
      <c r="N26" s="23" t="n">
        <v>157652</v>
      </c>
      <c r="O26" s="2"/>
      <c r="P26" s="2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implant1rodtable[[#This Row],[Closing balance ]]/implant1rodtable[[#This Row],[Forecasted consumption]]</f>
        <v>9.2219402289325121</v>
      </c>
      <c r="X26" s="25"/>
    </row>
    <row r="27">
      <c r="B27" s="6" t="s">
        <v>75</v>
      </c>
      <c r="C27" s="18" t="s">
        <v>38</v>
      </c>
      <c r="D27" s="17" t="s">
        <v>39</v>
      </c>
      <c r="E27" s="18" t="s">
        <v>31</v>
      </c>
      <c r="F27" s="19" t="n">
        <v>45992</v>
      </c>
      <c r="G27" s="23" t="n">
        <f t="shared" si="1"/>
        <v>178048</v>
      </c>
      <c r="H27" s="23"/>
      <c r="I27" s="23" t="n">
        <v>19340</v>
      </c>
      <c r="J27" s="23" t="n">
        <f>MAX(implant1rodtable[[#This Row],[Stock on hand(opening balance)]]-implant1rodtable[[#This Row],[Forecasted consumption]]+implant1rodtable[[#This Row],[Quantity ]],0)</f>
        <v>158708</v>
      </c>
      <c r="K27" s="2"/>
      <c r="L27" s="2"/>
      <c r="M27" s="18"/>
      <c r="N27" s="23"/>
      <c r="O27" s="2"/>
      <c r="P27" s="2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implant1rodtable[[#This Row],[Closing balance ]]/implant1rodtable[[#This Row],[Forecasted consumption]]</f>
        <v>8.2062047569803518</v>
      </c>
      <c r="X27" s="25"/>
    </row>
    <row r="28">
      <c r="B28" s="6" t="s">
        <v>75</v>
      </c>
      <c r="C28" s="18" t="s">
        <v>38</v>
      </c>
      <c r="D28" s="17" t="s">
        <v>39</v>
      </c>
      <c r="E28" s="18" t="s">
        <v>31</v>
      </c>
      <c r="F28" s="19" t="n">
        <v>46023</v>
      </c>
      <c r="G28" s="23" t="n">
        <f t="shared" si="1"/>
        <v>158708</v>
      </c>
      <c r="H28" s="23"/>
      <c r="I28" s="23" t="n">
        <v>19340</v>
      </c>
      <c r="J28" s="23" t="n">
        <f>MAX(implant1rodtable[[#This Row],[Stock on hand(opening balance)]]-implant1rodtable[[#This Row],[Forecasted consumption]]+implant1rodtable[[#This Row],[Quantity ]],0)</f>
        <v>139368</v>
      </c>
      <c r="K28" s="2"/>
      <c r="L28" s="2"/>
      <c r="M28" s="18"/>
      <c r="N28" s="23"/>
      <c r="O28" s="2"/>
      <c r="P28" s="2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implant1rodtable[[#This Row],[Closing balance ]]/implant1rodtable[[#This Row],[Forecasted consumption]]</f>
        <v>7.2062047569803518</v>
      </c>
      <c r="X28" s="25"/>
    </row>
    <row r="29">
      <c r="B29" s="6" t="s">
        <v>75</v>
      </c>
      <c r="C29" s="18" t="s">
        <v>38</v>
      </c>
      <c r="D29" s="17" t="s">
        <v>39</v>
      </c>
      <c r="E29" s="18" t="s">
        <v>31</v>
      </c>
      <c r="F29" s="19" t="n">
        <v>46054</v>
      </c>
      <c r="G29" s="23" t="n">
        <f t="shared" si="1"/>
        <v>139368</v>
      </c>
      <c r="H29" s="23"/>
      <c r="I29" s="23" t="n">
        <v>19340</v>
      </c>
      <c r="J29" s="23" t="n">
        <f>MAX(implant1rodtable[[#This Row],[Stock on hand(opening balance)]]-implant1rodtable[[#This Row],[Forecasted consumption]]+implant1rodtable[[#This Row],[Quantity ]],0)</f>
        <v>290028</v>
      </c>
      <c r="K29" s="2"/>
      <c r="L29" s="2"/>
      <c r="M29" s="18" t="s">
        <v>4</v>
      </c>
      <c r="N29" s="23" t="n">
        <v>170000</v>
      </c>
      <c r="O29" s="2"/>
      <c r="P29" s="2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implant1rodtable[[#This Row],[Closing balance ]]/implant1rodtable[[#This Row],[Forecasted consumption]]</f>
        <v>14.996277145811789</v>
      </c>
      <c r="X29" s="25"/>
    </row>
    <row r="30">
      <c r="B30" s="6" t="s">
        <v>75</v>
      </c>
      <c r="C30" s="18" t="s">
        <v>38</v>
      </c>
      <c r="D30" s="17" t="s">
        <v>39</v>
      </c>
      <c r="E30" s="18" t="s">
        <v>31</v>
      </c>
      <c r="F30" s="19" t="n">
        <v>46082</v>
      </c>
      <c r="G30" s="23" t="n">
        <f t="shared" si="1"/>
        <v>290028</v>
      </c>
      <c r="H30" s="23"/>
      <c r="I30" s="23" t="n">
        <v>19340</v>
      </c>
      <c r="J30" s="23" t="n">
        <f>MAX(implant1rodtable[[#This Row],[Stock on hand(opening balance)]]-implant1rodtable[[#This Row],[Forecasted consumption]]+implant1rodtable[[#This Row],[Quantity ]],0)</f>
        <v>270688</v>
      </c>
      <c r="K30" s="2"/>
      <c r="L30" s="2"/>
      <c r="M30" s="18"/>
      <c r="N30" s="23"/>
      <c r="O30" s="2"/>
      <c r="P30" s="2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implant1rodtable[[#This Row],[Closing balance ]]/implant1rodtable[[#This Row],[Forecasted consumption]]</f>
        <v>13.996277145811789</v>
      </c>
      <c r="X30" s="25"/>
    </row>
    <row r="31">
      <c r="B31" s="6" t="s">
        <v>75</v>
      </c>
      <c r="C31" s="18" t="s">
        <v>38</v>
      </c>
      <c r="D31" s="17" t="s">
        <v>39</v>
      </c>
      <c r="E31" s="18" t="s">
        <v>31</v>
      </c>
      <c r="F31" s="19" t="n">
        <v>46113</v>
      </c>
      <c r="G31" s="23" t="n">
        <f t="shared" si="1"/>
        <v>270688</v>
      </c>
      <c r="H31" s="23"/>
      <c r="I31" s="23" t="n">
        <v>19340</v>
      </c>
      <c r="J31" s="23" t="n">
        <f>MAX(implant1rodtable[[#This Row],[Stock on hand(opening balance)]]-implant1rodtable[[#This Row],[Forecasted consumption]]+implant1rodtable[[#This Row],[Quantity ]],0)</f>
        <v>251348</v>
      </c>
      <c r="K31" s="2"/>
      <c r="L31" s="2"/>
      <c r="M31" s="18"/>
      <c r="N31" s="23"/>
      <c r="O31" s="2"/>
      <c r="P31" s="2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implant1rodtable[[#This Row],[Closing balance ]]/implant1rodtable[[#This Row],[Forecasted consumption]]</f>
        <v>12.996277145811789</v>
      </c>
      <c r="X31" s="25"/>
    </row>
    <row r="32">
      <c r="B32" s="6" t="s">
        <v>75</v>
      </c>
      <c r="C32" s="18" t="s">
        <v>38</v>
      </c>
      <c r="D32" s="17" t="s">
        <v>39</v>
      </c>
      <c r="E32" s="18" t="s">
        <v>31</v>
      </c>
      <c r="F32" s="19" t="n">
        <v>46143</v>
      </c>
      <c r="G32" s="23" t="n">
        <f t="shared" si="1"/>
        <v>251348</v>
      </c>
      <c r="H32" s="23"/>
      <c r="I32" s="23" t="n">
        <v>19340</v>
      </c>
      <c r="J32" s="23" t="n">
        <f>MAX(implant1rodtable[[#This Row],[Stock on hand(opening balance)]]-implant1rodtable[[#This Row],[Forecasted consumption]]+implant1rodtable[[#This Row],[Quantity ]],0)</f>
        <v>232008</v>
      </c>
      <c r="K32" s="2"/>
      <c r="L32" s="2"/>
      <c r="M32" s="18"/>
      <c r="N32" s="23"/>
      <c r="O32" s="2"/>
      <c r="P32" s="2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implant1rodtable[[#This Row],[Closing balance ]]/implant1rodtable[[#This Row],[Forecasted consumption]]</f>
        <v>11.996277145811789</v>
      </c>
      <c r="X32" s="25"/>
    </row>
    <row r="33">
      <c r="B33" s="6" t="s">
        <v>75</v>
      </c>
      <c r="C33" s="18" t="s">
        <v>38</v>
      </c>
      <c r="D33" s="17" t="s">
        <v>39</v>
      </c>
      <c r="E33" s="18" t="s">
        <v>31</v>
      </c>
      <c r="F33" s="19" t="n">
        <v>46174</v>
      </c>
      <c r="G33" s="23" t="n">
        <f t="shared" si="1"/>
        <v>232008</v>
      </c>
      <c r="H33" s="23"/>
      <c r="I33" s="23" t="n">
        <v>19340</v>
      </c>
      <c r="J33" s="23" t="n">
        <f>MAX(implant1rodtable[[#This Row],[Stock on hand(opening balance)]]-implant1rodtable[[#This Row],[Forecasted consumption]]+implant1rodtable[[#This Row],[Quantity ]],0)</f>
        <v>212668</v>
      </c>
      <c r="K33" s="2"/>
      <c r="L33" s="2"/>
      <c r="M33" s="18"/>
      <c r="N33" s="23"/>
      <c r="O33" s="2"/>
      <c r="P33" s="2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implant1rodtable[[#This Row],[Closing balance ]]/implant1rodtable[[#This Row],[Forecasted consumption]]</f>
        <v>10.996277145811789</v>
      </c>
      <c r="X33" s="25"/>
    </row>
    <row r="34">
      <c r="B34" s="6" t="s">
        <v>75</v>
      </c>
      <c r="C34" s="18" t="s">
        <v>38</v>
      </c>
      <c r="D34" s="17" t="s">
        <v>39</v>
      </c>
      <c r="E34" s="18" t="s">
        <v>31</v>
      </c>
      <c r="F34" s="19" t="n">
        <v>46204</v>
      </c>
      <c r="G34" s="23" t="n">
        <f t="shared" si="1"/>
        <v>212668</v>
      </c>
      <c r="H34" s="23"/>
      <c r="I34" s="23" t="n">
        <v>19340</v>
      </c>
      <c r="J34" s="23" t="n">
        <f>MAX(implant1rodtable[[#This Row],[Stock on hand(opening balance)]]-implant1rodtable[[#This Row],[Forecasted consumption]]+implant1rodtable[[#This Row],[Quantity ]],0)</f>
        <v>193328</v>
      </c>
      <c r="K34" s="2"/>
      <c r="L34" s="2"/>
      <c r="M34" s="18"/>
      <c r="N34" s="23"/>
      <c r="O34" s="2"/>
      <c r="P34" s="2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implant1rodtable[[#This Row],[Closing balance ]]/implant1rodtable[[#This Row],[Forecasted consumption]]</f>
        <v>9.9962771458117885</v>
      </c>
      <c r="X34" s="25"/>
    </row>
    <row r="35">
      <c r="B35" s="6" t="s">
        <v>75</v>
      </c>
      <c r="C35" s="18" t="s">
        <v>38</v>
      </c>
      <c r="D35" s="17" t="s">
        <v>39</v>
      </c>
      <c r="E35" s="18" t="s">
        <v>31</v>
      </c>
      <c r="F35" s="19" t="n">
        <v>46235</v>
      </c>
      <c r="G35" s="23" t="n">
        <f t="shared" si="1"/>
        <v>193328</v>
      </c>
      <c r="H35" s="23"/>
      <c r="I35" s="23" t="n">
        <v>19340</v>
      </c>
      <c r="J35" s="23" t="n">
        <f>MAX(implant1rodtable[[#This Row],[Stock on hand(opening balance)]]-implant1rodtable[[#This Row],[Forecasted consumption]]+implant1rodtable[[#This Row],[Quantity ]],0)</f>
        <v>173988</v>
      </c>
      <c r="K35" s="2"/>
      <c r="L35" s="2"/>
      <c r="M35" s="18"/>
      <c r="N35" s="23"/>
      <c r="O35" s="2"/>
      <c r="P35" s="2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implant1rodtable[[#This Row],[Closing balance ]]/implant1rodtable[[#This Row],[Forecasted consumption]]</f>
        <v>8.9962771458117885</v>
      </c>
      <c r="X35" s="25"/>
    </row>
    <row r="36">
      <c r="B36" s="6" t="s">
        <v>75</v>
      </c>
      <c r="C36" s="18" t="s">
        <v>38</v>
      </c>
      <c r="D36" s="17" t="s">
        <v>39</v>
      </c>
      <c r="E36" s="18" t="s">
        <v>31</v>
      </c>
      <c r="F36" s="19" t="n">
        <v>46266</v>
      </c>
      <c r="G36" s="23" t="n">
        <f t="shared" si="1"/>
        <v>173988</v>
      </c>
      <c r="H36" s="23"/>
      <c r="I36" s="23" t="n">
        <v>19340</v>
      </c>
      <c r="J36" s="23" t="n">
        <f>MAX(implant1rodtable[[#This Row],[Stock on hand(opening balance)]]-implant1rodtable[[#This Row],[Forecasted consumption]]+implant1rodtable[[#This Row],[Quantity ]],0)</f>
        <v>154648</v>
      </c>
      <c r="K36" s="2"/>
      <c r="L36" s="2"/>
      <c r="M36" s="18"/>
      <c r="N36" s="23"/>
      <c r="O36" s="2"/>
      <c r="P36" s="2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implant1rodtable[[#This Row],[Closing balance ]]/implant1rodtable[[#This Row],[Forecasted consumption]]</f>
        <v>7.9962771458117894</v>
      </c>
      <c r="X36" s="25"/>
    </row>
    <row r="37">
      <c r="B37" s="6" t="s">
        <v>76</v>
      </c>
      <c r="C37" s="18" t="s">
        <v>38</v>
      </c>
      <c r="D37" s="17" t="s">
        <v>39</v>
      </c>
      <c r="E37" s="18" t="s">
        <v>31</v>
      </c>
      <c r="F37" s="19" t="n">
        <v>45748</v>
      </c>
      <c r="G37" s="20" t="n">
        <v>150800</v>
      </c>
      <c r="H37" s="20"/>
      <c r="I37" s="20" t="n">
        <v>17253</v>
      </c>
      <c r="J37" s="20" t="n">
        <f>MAX(implant1rodtable[[#This Row],[Stock on hand(opening balance)]]-implant1rodtable[[#This Row],[Forecasted consumption]]+implant1rodtable[[#This Row],[Quantity ]],0)</f>
        <v>133547</v>
      </c>
      <c r="K37" s="18"/>
      <c r="L37" s="18"/>
      <c r="M37" s="18"/>
      <c r="N37" s="20"/>
      <c r="O37" s="18"/>
      <c r="P37" s="18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implant1rodtable[[#This Row],[Closing balance ]]/implant1rodtable[[#This Row],[Forecasted consumption]]</f>
        <v>7.7405088970034193</v>
      </c>
      <c r="X37" s="22"/>
    </row>
    <row r="38">
      <c r="B38" s="6" t="s">
        <v>76</v>
      </c>
      <c r="C38" s="18" t="s">
        <v>38</v>
      </c>
      <c r="D38" s="17" t="s">
        <v>39</v>
      </c>
      <c r="E38" s="18" t="s">
        <v>31</v>
      </c>
      <c r="F38" s="19" t="n">
        <v>45778</v>
      </c>
      <c r="G38" s="23" t="n">
        <f>J37</f>
        <v>133547</v>
      </c>
      <c r="H38" s="23"/>
      <c r="I38" s="20" t="n">
        <v>17253</v>
      </c>
      <c r="J38" s="23" t="n">
        <f>MAX(implant1rodtable[[#This Row],[Stock on hand(opening balance)]]-implant1rodtable[[#This Row],[Forecasted consumption]]+implant1rodtable[[#This Row],[Quantity ]],0)</f>
        <v>116294</v>
      </c>
      <c r="K38" s="2"/>
      <c r="L38" s="2"/>
      <c r="M38" s="18"/>
      <c r="N38" s="23"/>
      <c r="O38" s="2"/>
      <c r="P38" s="2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implant1rodtable[[#This Row],[Closing balance ]]/implant1rodtable[[#This Row],[Forecasted consumption]]</f>
        <v>6.7405088970034193</v>
      </c>
      <c r="X38" s="25"/>
    </row>
    <row r="39">
      <c r="B39" s="6" t="s">
        <v>76</v>
      </c>
      <c r="C39" s="18" t="s">
        <v>38</v>
      </c>
      <c r="D39" s="17" t="s">
        <v>39</v>
      </c>
      <c r="E39" s="18" t="s">
        <v>31</v>
      </c>
      <c r="F39" s="19" t="n">
        <v>45809</v>
      </c>
      <c r="G39" s="23" t="n">
        <f t="shared" ref="G39:G57" si="2">J38</f>
        <v>116294</v>
      </c>
      <c r="H39" s="23"/>
      <c r="I39" s="20" t="n">
        <v>17253</v>
      </c>
      <c r="J39" s="23" t="n">
        <f>MAX(implant1rodtable[[#This Row],[Stock on hand(opening balance)]]-implant1rodtable[[#This Row],[Forecasted consumption]]+implant1rodtable[[#This Row],[Quantity ]],0)</f>
        <v>99041</v>
      </c>
      <c r="K39" s="2"/>
      <c r="L39" s="2"/>
      <c r="M39" s="18"/>
      <c r="N39" s="23"/>
      <c r="O39" s="2"/>
      <c r="P39" s="2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implant1rodtable[[#This Row],[Closing balance ]]/implant1rodtable[[#This Row],[Forecasted consumption]]</f>
        <v>5.7405088970034193</v>
      </c>
      <c r="X39" s="25"/>
    </row>
    <row r="40">
      <c r="B40" s="6" t="s">
        <v>76</v>
      </c>
      <c r="C40" s="18" t="s">
        <v>38</v>
      </c>
      <c r="D40" s="17" t="s">
        <v>39</v>
      </c>
      <c r="E40" s="18" t="s">
        <v>31</v>
      </c>
      <c r="F40" s="19" t="n">
        <v>45839</v>
      </c>
      <c r="G40" s="23" t="n">
        <f t="shared" si="2"/>
        <v>99041</v>
      </c>
      <c r="H40" s="23"/>
      <c r="I40" s="20" t="n">
        <v>17253</v>
      </c>
      <c r="J40" s="23" t="n">
        <f>MAX(implant1rodtable[[#This Row],[Stock on hand(opening balance)]]-implant1rodtable[[#This Row],[Forecasted consumption]]+implant1rodtable[[#This Row],[Quantity ]],0)</f>
        <v>81788</v>
      </c>
      <c r="K40" s="2"/>
      <c r="L40" s="2"/>
      <c r="M40" s="18"/>
      <c r="N40" s="23"/>
      <c r="O40" s="2"/>
      <c r="P40" s="2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implant1rodtable[[#This Row],[Closing balance ]]/implant1rodtable[[#This Row],[Forecasted consumption]]</f>
        <v>4.7405088970034193</v>
      </c>
      <c r="X40" s="25"/>
    </row>
    <row r="41">
      <c r="B41" s="6" t="s">
        <v>76</v>
      </c>
      <c r="C41" s="18" t="s">
        <v>38</v>
      </c>
      <c r="D41" s="17" t="s">
        <v>39</v>
      </c>
      <c r="E41" s="18" t="s">
        <v>31</v>
      </c>
      <c r="F41" s="19" t="n">
        <v>45870</v>
      </c>
      <c r="G41" s="23" t="n">
        <f t="shared" si="2"/>
        <v>81788</v>
      </c>
      <c r="H41" s="23"/>
      <c r="I41" s="20" t="n">
        <v>17253</v>
      </c>
      <c r="J41" s="23" t="n">
        <f>MAX(implant1rodtable[[#This Row],[Stock on hand(opening balance)]]-implant1rodtable[[#This Row],[Forecasted consumption]]+implant1rodtable[[#This Row],[Quantity ]],0)</f>
        <v>64535</v>
      </c>
      <c r="K41" s="2"/>
      <c r="L41" s="2"/>
      <c r="M41" s="18"/>
      <c r="N41" s="23"/>
      <c r="O41" s="2"/>
      <c r="P41" s="2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implant1rodtable[[#This Row],[Closing balance ]]/implant1rodtable[[#This Row],[Forecasted consumption]]</f>
        <v>3.7405088970034197</v>
      </c>
      <c r="X41" s="25"/>
    </row>
    <row r="42">
      <c r="B42" s="6" t="s">
        <v>76</v>
      </c>
      <c r="C42" s="18" t="s">
        <v>38</v>
      </c>
      <c r="D42" s="17" t="s">
        <v>39</v>
      </c>
      <c r="E42" s="18" t="s">
        <v>31</v>
      </c>
      <c r="F42" s="19" t="n">
        <v>45901</v>
      </c>
      <c r="G42" s="23" t="n">
        <f t="shared" si="2"/>
        <v>64535</v>
      </c>
      <c r="H42" s="23"/>
      <c r="I42" s="20" t="n">
        <v>17253</v>
      </c>
      <c r="J42" s="23" t="n">
        <f>MAX(implant1rodtable[[#This Row],[Stock on hand(opening balance)]]-implant1rodtable[[#This Row],[Forecasted consumption]]+implant1rodtable[[#This Row],[Quantity ]],0)</f>
        <v>47282</v>
      </c>
      <c r="K42" s="2"/>
      <c r="L42" s="2"/>
      <c r="M42" s="18"/>
      <c r="N42" s="23"/>
      <c r="O42" s="2"/>
      <c r="P42" s="2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implant1rodtable[[#This Row],[Closing balance ]]/implant1rodtable[[#This Row],[Forecasted consumption]]</f>
        <v>2.7405088970034197</v>
      </c>
      <c r="X42" s="25"/>
    </row>
    <row r="43">
      <c r="B43" s="6" t="s">
        <v>76</v>
      </c>
      <c r="C43" s="18" t="s">
        <v>38</v>
      </c>
      <c r="D43" s="17" t="s">
        <v>39</v>
      </c>
      <c r="E43" s="18" t="s">
        <v>31</v>
      </c>
      <c r="F43" s="19" t="n">
        <v>45931</v>
      </c>
      <c r="G43" s="23" t="n">
        <f t="shared" si="2"/>
        <v>47282</v>
      </c>
      <c r="H43" s="23"/>
      <c r="I43" s="20" t="n">
        <v>17253</v>
      </c>
      <c r="J43" s="23" t="n">
        <f>MAX(implant1rodtable[[#This Row],[Stock on hand(opening balance)]]-implant1rodtable[[#This Row],[Forecasted consumption]]+implant1rodtable[[#This Row],[Quantity ]],0)</f>
        <v>30029</v>
      </c>
      <c r="K43" s="2"/>
      <c r="L43" s="2"/>
      <c r="M43" s="18"/>
      <c r="N43" s="23"/>
      <c r="O43" s="2"/>
      <c r="P43" s="2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implant1rodtable[[#This Row],[Closing balance ]]/implant1rodtable[[#This Row],[Forecasted consumption]]</f>
        <v>1.7405088970034197</v>
      </c>
      <c r="X43" s="25"/>
    </row>
    <row r="44">
      <c r="B44" s="6" t="s">
        <v>76</v>
      </c>
      <c r="C44" s="18" t="s">
        <v>38</v>
      </c>
      <c r="D44" s="17" t="s">
        <v>39</v>
      </c>
      <c r="E44" s="18" t="s">
        <v>31</v>
      </c>
      <c r="F44" s="19" t="n">
        <v>45962</v>
      </c>
      <c r="G44" s="23" t="n">
        <f t="shared" si="2"/>
        <v>30029</v>
      </c>
      <c r="H44" s="23"/>
      <c r="I44" s="20" t="n">
        <v>17253</v>
      </c>
      <c r="J44" s="23" t="n">
        <f>MAX(implant1rodtable[[#This Row],[Stock on hand(opening balance)]]-implant1rodtable[[#This Row],[Forecasted consumption]]+implant1rodtable[[#This Row],[Quantity ]],0)</f>
        <v>12776</v>
      </c>
      <c r="K44" s="2"/>
      <c r="L44" s="2"/>
      <c r="M44" s="18"/>
      <c r="N44" s="23"/>
      <c r="O44" s="2"/>
      <c r="P44" s="2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implant1rodtable[[#This Row],[Closing balance ]]/implant1rodtable[[#This Row],[Forecasted consumption]]</f>
        <v>0.74050889700341971</v>
      </c>
      <c r="X44" s="25"/>
    </row>
    <row r="45">
      <c r="B45" s="6" t="s">
        <v>76</v>
      </c>
      <c r="C45" s="18" t="s">
        <v>38</v>
      </c>
      <c r="D45" s="17" t="s">
        <v>39</v>
      </c>
      <c r="E45" s="18" t="s">
        <v>31</v>
      </c>
      <c r="F45" s="19" t="n">
        <v>45992</v>
      </c>
      <c r="G45" s="23" t="n">
        <f t="shared" si="2"/>
        <v>12776</v>
      </c>
      <c r="H45" s="23"/>
      <c r="I45" s="20" t="n">
        <v>17253</v>
      </c>
      <c r="J45" s="23" t="n">
        <f>MAX(implant1rodtable[[#This Row],[Stock on hand(opening balance)]]-implant1rodtable[[#This Row],[Forecasted consumption]]+implant1rodtable[[#This Row],[Quantity ]],0)</f>
        <v>0</v>
      </c>
      <c r="K45" s="2"/>
      <c r="L45" s="2"/>
      <c r="M45" s="18"/>
      <c r="N45" s="23"/>
      <c r="O45" s="2"/>
      <c r="P45" s="2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implant1rodtable[[#This Row],[Closing balance ]]/implant1rodtable[[#This Row],[Forecasted consumption]]</f>
        <v>0</v>
      </c>
      <c r="X45" s="25"/>
    </row>
    <row r="46">
      <c r="B46" s="6" t="s">
        <v>76</v>
      </c>
      <c r="C46" s="18" t="s">
        <v>38</v>
      </c>
      <c r="D46" s="17" t="s">
        <v>39</v>
      </c>
      <c r="E46" s="18" t="s">
        <v>31</v>
      </c>
      <c r="F46" s="19" t="n">
        <v>46023</v>
      </c>
      <c r="G46" s="23" t="n">
        <f t="shared" si="2"/>
        <v>0</v>
      </c>
      <c r="H46" s="23"/>
      <c r="I46" s="20" t="n">
        <v>17253</v>
      </c>
      <c r="J46" s="23" t="n">
        <f>MAX(implant1rodtable[[#This Row],[Stock on hand(opening balance)]]-implant1rodtable[[#This Row],[Forecasted consumption]]+implant1rodtable[[#This Row],[Quantity ]],0)</f>
        <v>0</v>
      </c>
      <c r="K46" s="2"/>
      <c r="L46" s="2"/>
      <c r="M46" s="18"/>
      <c r="N46" s="23"/>
      <c r="O46" s="2"/>
      <c r="P46" s="2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implant1rodtable[[#This Row],[Closing balance ]]/implant1rodtable[[#This Row],[Forecasted consumption]]</f>
        <v>0</v>
      </c>
      <c r="X46" s="25"/>
    </row>
    <row r="47">
      <c r="B47" s="6" t="s">
        <v>76</v>
      </c>
      <c r="C47" s="18" t="s">
        <v>38</v>
      </c>
      <c r="D47" s="17" t="s">
        <v>39</v>
      </c>
      <c r="E47" s="18" t="s">
        <v>31</v>
      </c>
      <c r="F47" s="19" t="n">
        <v>46054</v>
      </c>
      <c r="G47" s="23" t="n">
        <f t="shared" si="2"/>
        <v>0</v>
      </c>
      <c r="H47" s="23"/>
      <c r="I47" s="20" t="n">
        <v>17253</v>
      </c>
      <c r="J47" s="23" t="n">
        <f>MAX(implant1rodtable[[#This Row],[Stock on hand(opening balance)]]-implant1rodtable[[#This Row],[Forecasted consumption]]+implant1rodtable[[#This Row],[Quantity ]],0)</f>
        <v>0</v>
      </c>
      <c r="K47" s="2"/>
      <c r="L47" s="2"/>
      <c r="M47" s="18"/>
      <c r="N47" s="23"/>
      <c r="O47" s="2"/>
      <c r="P47" s="2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implant1rodtable[[#This Row],[Closing balance ]]/implant1rodtable[[#This Row],[Forecasted consumption]]</f>
        <v>0</v>
      </c>
      <c r="X47" s="25"/>
    </row>
    <row r="48">
      <c r="B48" s="6" t="s">
        <v>76</v>
      </c>
      <c r="C48" s="18" t="s">
        <v>38</v>
      </c>
      <c r="D48" s="17" t="s">
        <v>39</v>
      </c>
      <c r="E48" s="18" t="s">
        <v>31</v>
      </c>
      <c r="F48" s="19" t="n">
        <v>46082</v>
      </c>
      <c r="G48" s="23" t="n">
        <f t="shared" si="2"/>
        <v>0</v>
      </c>
      <c r="H48" s="23"/>
      <c r="I48" s="20" t="n">
        <v>17253</v>
      </c>
      <c r="J48" s="23" t="n">
        <f>MAX(implant1rodtable[[#This Row],[Stock on hand(opening balance)]]-implant1rodtable[[#This Row],[Forecasted consumption]]+implant1rodtable[[#This Row],[Quantity ]],0)</f>
        <v>0</v>
      </c>
      <c r="K48" s="2"/>
      <c r="L48" s="2"/>
      <c r="M48" s="18"/>
      <c r="N48" s="23"/>
      <c r="O48" s="2"/>
      <c r="P48" s="2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implant1rodtable[[#This Row],[Closing balance ]]/implant1rodtable[[#This Row],[Forecasted consumption]]</f>
        <v>0</v>
      </c>
      <c r="X48" s="25"/>
    </row>
    <row r="49">
      <c r="B49" s="6" t="s">
        <v>76</v>
      </c>
      <c r="C49" s="18" t="s">
        <v>38</v>
      </c>
      <c r="D49" s="17" t="s">
        <v>39</v>
      </c>
      <c r="E49" s="18" t="s">
        <v>31</v>
      </c>
      <c r="F49" s="19" t="n">
        <v>46113</v>
      </c>
      <c r="G49" s="23" t="n">
        <f t="shared" si="2"/>
        <v>0</v>
      </c>
      <c r="H49" s="23"/>
      <c r="I49" s="20" t="n">
        <v>17253</v>
      </c>
      <c r="J49" s="23" t="n">
        <f>MAX(implant1rodtable[[#This Row],[Stock on hand(opening balance)]]-implant1rodtable[[#This Row],[Forecasted consumption]]+implant1rodtable[[#This Row],[Quantity ]],0)</f>
        <v>0</v>
      </c>
      <c r="K49" s="2"/>
      <c r="L49" s="2"/>
      <c r="M49" s="18"/>
      <c r="N49" s="23"/>
      <c r="O49" s="2"/>
      <c r="P49" s="2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implant1rodtable[[#This Row],[Closing balance ]]/implant1rodtable[[#This Row],[Forecasted consumption]]</f>
        <v>0</v>
      </c>
      <c r="X49" s="25"/>
    </row>
    <row r="50">
      <c r="B50" s="6" t="s">
        <v>76</v>
      </c>
      <c r="C50" s="18" t="s">
        <v>38</v>
      </c>
      <c r="D50" s="17" t="s">
        <v>39</v>
      </c>
      <c r="E50" s="18" t="s">
        <v>31</v>
      </c>
      <c r="F50" s="19" t="n">
        <v>46143</v>
      </c>
      <c r="G50" s="23" t="n">
        <f t="shared" si="2"/>
        <v>0</v>
      </c>
      <c r="H50" s="23"/>
      <c r="I50" s="20" t="n">
        <v>17253</v>
      </c>
      <c r="J50" s="23" t="n">
        <f>MAX(implant1rodtable[[#This Row],[Stock on hand(opening balance)]]-implant1rodtable[[#This Row],[Forecasted consumption]]+implant1rodtable[[#This Row],[Quantity ]],0)</f>
        <v>0</v>
      </c>
      <c r="K50" s="2"/>
      <c r="L50" s="2"/>
      <c r="M50" s="18"/>
      <c r="N50" s="23"/>
      <c r="O50" s="2"/>
      <c r="P50" s="2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implant1rodtable[[#This Row],[Closing balance ]]/implant1rodtable[[#This Row],[Forecasted consumption]]</f>
        <v>0</v>
      </c>
      <c r="X50" s="25"/>
    </row>
    <row r="51">
      <c r="B51" s="6" t="s">
        <v>76</v>
      </c>
      <c r="C51" s="18" t="s">
        <v>38</v>
      </c>
      <c r="D51" s="17" t="s">
        <v>39</v>
      </c>
      <c r="E51" s="18" t="s">
        <v>31</v>
      </c>
      <c r="F51" s="19" t="n">
        <v>46174</v>
      </c>
      <c r="G51" s="23" t="n">
        <f t="shared" si="2"/>
        <v>0</v>
      </c>
      <c r="H51" s="23"/>
      <c r="I51" s="20" t="n">
        <v>17253</v>
      </c>
      <c r="J51" s="23" t="n">
        <f>MAX(implant1rodtable[[#This Row],[Stock on hand(opening balance)]]-implant1rodtable[[#This Row],[Forecasted consumption]]+implant1rodtable[[#This Row],[Quantity ]],0)</f>
        <v>0</v>
      </c>
      <c r="K51" s="2"/>
      <c r="L51" s="2"/>
      <c r="M51" s="18"/>
      <c r="N51" s="23"/>
      <c r="O51" s="2"/>
      <c r="P51" s="2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implant1rodtable[[#This Row],[Closing balance ]]/implant1rodtable[[#This Row],[Forecasted consumption]]</f>
        <v>0</v>
      </c>
      <c r="X51" s="25"/>
    </row>
    <row r="52">
      <c r="B52" s="6" t="s">
        <v>76</v>
      </c>
      <c r="C52" s="18" t="s">
        <v>38</v>
      </c>
      <c r="D52" s="17" t="s">
        <v>39</v>
      </c>
      <c r="E52" s="18" t="s">
        <v>31</v>
      </c>
      <c r="F52" s="19" t="n">
        <v>46204</v>
      </c>
      <c r="G52" s="23" t="n">
        <f t="shared" si="2"/>
        <v>0</v>
      </c>
      <c r="H52" s="23"/>
      <c r="I52" s="20" t="n">
        <v>17253</v>
      </c>
      <c r="J52" s="23" t="n">
        <f>MAX(implant1rodtable[[#This Row],[Stock on hand(opening balance)]]-implant1rodtable[[#This Row],[Forecasted consumption]]+implant1rodtable[[#This Row],[Quantity ]],0)</f>
        <v>0</v>
      </c>
      <c r="K52" s="2"/>
      <c r="L52" s="2"/>
      <c r="M52" s="18"/>
      <c r="N52" s="23"/>
      <c r="O52" s="2"/>
      <c r="P52" s="2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implant1rodtable[[#This Row],[Closing balance ]]/implant1rodtable[[#This Row],[Forecasted consumption]]</f>
        <v>0</v>
      </c>
      <c r="X52" s="25"/>
    </row>
    <row r="53">
      <c r="B53" s="6" t="s">
        <v>76</v>
      </c>
      <c r="C53" s="18" t="s">
        <v>38</v>
      </c>
      <c r="D53" s="17" t="s">
        <v>39</v>
      </c>
      <c r="E53" s="18" t="s">
        <v>31</v>
      </c>
      <c r="F53" s="19" t="n">
        <v>46235</v>
      </c>
      <c r="G53" s="23" t="n">
        <f t="shared" si="2"/>
        <v>0</v>
      </c>
      <c r="H53" s="23"/>
      <c r="I53" s="20" t="n">
        <v>17253</v>
      </c>
      <c r="J53" s="23" t="n">
        <f>MAX(implant1rodtable[[#This Row],[Stock on hand(opening balance)]]-implant1rodtable[[#This Row],[Forecasted consumption]]+implant1rodtable[[#This Row],[Quantity ]],0)</f>
        <v>0</v>
      </c>
      <c r="K53" s="2"/>
      <c r="L53" s="2"/>
      <c r="M53" s="18"/>
      <c r="N53" s="23"/>
      <c r="O53" s="2"/>
      <c r="P53" s="2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implant1rodtable[[#This Row],[Closing balance ]]/implant1rodtable[[#This Row],[Forecasted consumption]]</f>
        <v>0</v>
      </c>
      <c r="X53" s="25"/>
    </row>
    <row r="54">
      <c r="B54" s="6" t="s">
        <v>76</v>
      </c>
      <c r="C54" s="18" t="s">
        <v>38</v>
      </c>
      <c r="D54" s="17" t="s">
        <v>39</v>
      </c>
      <c r="E54" s="18" t="s">
        <v>31</v>
      </c>
      <c r="F54" s="19" t="n">
        <v>46266</v>
      </c>
      <c r="G54" s="23" t="n">
        <f t="shared" si="2"/>
        <v>0</v>
      </c>
      <c r="H54" s="23"/>
      <c r="I54" s="20" t="n">
        <v>17253</v>
      </c>
      <c r="J54" s="23" t="n">
        <f>MAX(implant1rodtable[[#This Row],[Stock on hand(opening balance)]]-implant1rodtable[[#This Row],[Forecasted consumption]]+implant1rodtable[[#This Row],[Quantity ]],0)</f>
        <v>0</v>
      </c>
      <c r="K54" s="2"/>
      <c r="L54" s="2"/>
      <c r="M54" s="18"/>
      <c r="N54" s="23"/>
      <c r="O54" s="2"/>
      <c r="P54" s="2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implant1rodtable[[#This Row],[Closing balance ]]/implant1rodtable[[#This Row],[Forecasted consumption]]</f>
        <v>0</v>
      </c>
      <c r="X54" s="25"/>
    </row>
    <row r="55">
      <c r="B55" s="6" t="s">
        <v>76</v>
      </c>
      <c r="C55" s="18" t="s">
        <v>38</v>
      </c>
      <c r="D55" s="17" t="s">
        <v>39</v>
      </c>
      <c r="E55" s="18" t="s">
        <v>31</v>
      </c>
      <c r="F55" s="19" t="n">
        <v>46296</v>
      </c>
      <c r="G55" s="23" t="n">
        <f t="shared" si="2"/>
        <v>0</v>
      </c>
      <c r="H55" s="23"/>
      <c r="I55" s="20" t="n">
        <v>17253</v>
      </c>
      <c r="J55" s="23" t="n">
        <f>MAX(implant1rodtable[[#This Row],[Stock on hand(opening balance)]]-implant1rodtable[[#This Row],[Forecasted consumption]]+implant1rodtable[[#This Row],[Quantity ]],0)</f>
        <v>0</v>
      </c>
      <c r="K55" s="2"/>
      <c r="L55" s="2"/>
      <c r="M55" s="18"/>
      <c r="N55" s="23"/>
      <c r="O55" s="2"/>
      <c r="P55" s="2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implant1rodtable[[#This Row],[Closing balance ]]/implant1rodtable[[#This Row],[Forecasted consumption]]</f>
        <v>0</v>
      </c>
      <c r="X55" s="25"/>
    </row>
    <row r="56">
      <c r="B56" s="6" t="s">
        <v>76</v>
      </c>
      <c r="C56" s="18" t="s">
        <v>38</v>
      </c>
      <c r="D56" s="17" t="s">
        <v>39</v>
      </c>
      <c r="E56" s="18" t="s">
        <v>31</v>
      </c>
      <c r="F56" s="19" t="n">
        <v>46327</v>
      </c>
      <c r="G56" s="23" t="n">
        <f t="shared" si="2"/>
        <v>0</v>
      </c>
      <c r="H56" s="23"/>
      <c r="I56" s="20" t="n">
        <v>17253</v>
      </c>
      <c r="J56" s="23" t="n">
        <f>MAX(implant1rodtable[[#This Row],[Stock on hand(opening balance)]]-implant1rodtable[[#This Row],[Forecasted consumption]]+implant1rodtable[[#This Row],[Quantity ]],0)</f>
        <v>0</v>
      </c>
      <c r="K56" s="2"/>
      <c r="L56" s="2"/>
      <c r="M56" s="18"/>
      <c r="N56" s="23"/>
      <c r="O56" s="2"/>
      <c r="P56" s="2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implant1rodtable[[#This Row],[Closing balance ]]/implant1rodtable[[#This Row],[Forecasted consumption]]</f>
        <v>0</v>
      </c>
      <c r="X56" s="25"/>
    </row>
    <row r="57">
      <c r="B57" s="6" t="s">
        <v>76</v>
      </c>
      <c r="C57" s="18" t="s">
        <v>38</v>
      </c>
      <c r="D57" s="17" t="s">
        <v>39</v>
      </c>
      <c r="E57" s="18" t="s">
        <v>31</v>
      </c>
      <c r="F57" s="19" t="n">
        <v>46357</v>
      </c>
      <c r="G57" s="23" t="n">
        <f t="shared" si="2"/>
        <v>0</v>
      </c>
      <c r="H57" s="23"/>
      <c r="I57" s="20" t="n">
        <v>17253</v>
      </c>
      <c r="J57" s="23" t="n">
        <f>MAX(implant1rodtable[[#This Row],[Stock on hand(opening balance)]]-implant1rodtable[[#This Row],[Forecasted consumption]]+implant1rodtable[[#This Row],[Quantity ]],0)</f>
        <v>0</v>
      </c>
      <c r="K57" s="2"/>
      <c r="L57" s="2"/>
      <c r="M57" s="18"/>
      <c r="N57" s="23"/>
      <c r="O57" s="2"/>
      <c r="P57" s="2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implant1rodtable[[#This Row],[Closing balance ]]/implant1rodtable[[#This Row],[Forecasted consumption]]</f>
        <v>0</v>
      </c>
      <c r="X57" s="25"/>
    </row>
    <row r="58">
      <c r="B58" s="6" t="s">
        <v>72</v>
      </c>
      <c r="C58" s="18" t="s">
        <v>38</v>
      </c>
      <c r="D58" s="17" t="s">
        <v>39</v>
      </c>
      <c r="E58" s="18" t="s">
        <v>31</v>
      </c>
      <c r="F58" s="19" t="n">
        <v>45689</v>
      </c>
      <c r="G58" s="23" t="n">
        <v>74423</v>
      </c>
      <c r="H58" s="23"/>
      <c r="I58" s="23" t="n">
        <v>14536</v>
      </c>
      <c r="J58" s="23" t="n">
        <f>MAX(implant1rodtable[[#This Row],[Stock on hand(opening balance)]]-implant1rodtable[[#This Row],[Forecasted consumption]]+implant1rodtable[[#This Row],[Quantity ]],0)</f>
        <v>59887</v>
      </c>
      <c r="K58" s="2"/>
      <c r="L58" s="2"/>
      <c r="M58" s="18"/>
      <c r="N58" s="23"/>
      <c r="O58" s="2"/>
      <c r="P58" s="2"/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implant1rodtable[[#This Row],[Closing balance ]]/implant1rodtable[[#This Row],[Forecasted consumption]]</f>
        <v>4.1199091909741332</v>
      </c>
      <c r="X58" s="25"/>
    </row>
    <row r="59">
      <c r="B59" s="6" t="s">
        <v>72</v>
      </c>
      <c r="C59" s="18" t="s">
        <v>38</v>
      </c>
      <c r="D59" s="17" t="s">
        <v>39</v>
      </c>
      <c r="E59" s="18" t="s">
        <v>31</v>
      </c>
      <c r="F59" s="19" t="n">
        <v>45717</v>
      </c>
      <c r="G59" s="23" t="n">
        <f>J58</f>
        <v>59887</v>
      </c>
      <c r="H59" s="23"/>
      <c r="I59" s="23" t="n">
        <v>14536</v>
      </c>
      <c r="J59" s="23" t="n">
        <f>MAX(implant1rodtable[[#This Row],[Stock on hand(opening balance)]]-implant1rodtable[[#This Row],[Forecasted consumption]]+implant1rodtable[[#This Row],[Quantity ]],0)</f>
        <v>45351</v>
      </c>
      <c r="K59" s="2"/>
      <c r="L59" s="2"/>
      <c r="M59" s="18"/>
      <c r="N59" s="23"/>
      <c r="O59" s="2"/>
      <c r="P59" s="2"/>
      <c r="Q59" s="24"/>
      <c r="R59" s="2"/>
      <c r="S59" s="2"/>
      <c r="T59" s="2" t="n">
        <v>6</v>
      </c>
      <c r="U59" s="2" t="n">
        <v>12</v>
      </c>
      <c r="V59" s="2" t="n">
        <v>12</v>
      </c>
      <c r="W59" s="3" t="n">
        <f>implant1rodtable[[#This Row],[Closing balance ]]/implant1rodtable[[#This Row],[Forecasted consumption]]</f>
        <v>3.1199091909741332</v>
      </c>
      <c r="X59" s="25"/>
    </row>
    <row r="60">
      <c r="B60" s="6" t="s">
        <v>72</v>
      </c>
      <c r="C60" s="18" t="s">
        <v>38</v>
      </c>
      <c r="D60" s="17" t="s">
        <v>39</v>
      </c>
      <c r="E60" s="18" t="s">
        <v>31</v>
      </c>
      <c r="F60" s="19" t="n">
        <v>45748</v>
      </c>
      <c r="G60" s="23" t="n">
        <f t="shared" ref="G60:G80" si="3">J59</f>
        <v>45351</v>
      </c>
      <c r="H60" s="23"/>
      <c r="I60" s="23" t="n">
        <v>14536</v>
      </c>
      <c r="J60" s="23" t="n">
        <f>MAX(implant1rodtable[[#This Row],[Stock on hand(opening balance)]]-implant1rodtable[[#This Row],[Forecasted consumption]]+implant1rodtable[[#This Row],[Quantity ]],0)</f>
        <v>70815</v>
      </c>
      <c r="K60" s="2" t="s">
        <v>51</v>
      </c>
      <c r="L60" s="2" t="s">
        <v>51</v>
      </c>
      <c r="M60" s="18" t="s">
        <v>153</v>
      </c>
      <c r="N60" s="23" t="n">
        <v>40000</v>
      </c>
      <c r="O60" s="2"/>
      <c r="P60" s="2" t="n">
        <v>380800</v>
      </c>
      <c r="Q60" s="24" t="s">
        <v>159</v>
      </c>
      <c r="R60" s="2"/>
      <c r="S60" s="2"/>
      <c r="T60" s="2" t="n">
        <v>6</v>
      </c>
      <c r="U60" s="2" t="n">
        <v>12</v>
      </c>
      <c r="V60" s="2" t="n">
        <v>12</v>
      </c>
      <c r="W60" s="3" t="n">
        <f>implant1rodtable[[#This Row],[Closing balance ]]/implant1rodtable[[#This Row],[Forecasted consumption]]</f>
        <v>4.871697853604843</v>
      </c>
      <c r="X60" s="25"/>
    </row>
    <row r="61">
      <c r="B61" s="6" t="s">
        <v>72</v>
      </c>
      <c r="C61" s="18" t="s">
        <v>38</v>
      </c>
      <c r="D61" s="17" t="s">
        <v>39</v>
      </c>
      <c r="E61" s="18" t="s">
        <v>31</v>
      </c>
      <c r="F61" s="19" t="n">
        <v>45778</v>
      </c>
      <c r="G61" s="23" t="n">
        <f t="shared" si="3"/>
        <v>70815</v>
      </c>
      <c r="H61" s="23"/>
      <c r="I61" s="23" t="n">
        <v>14536</v>
      </c>
      <c r="J61" s="23" t="n">
        <f>MAX(implant1rodtable[[#This Row],[Stock on hand(opening balance)]]-implant1rodtable[[#This Row],[Forecasted consumption]]+implant1rodtable[[#This Row],[Quantity ]],0)</f>
        <v>122015</v>
      </c>
      <c r="K61" s="2" t="s">
        <v>51</v>
      </c>
      <c r="L61" s="2" t="s">
        <v>51</v>
      </c>
      <c r="M61" s="18" t="s">
        <v>153</v>
      </c>
      <c r="N61" s="23" t="n">
        <v>65736</v>
      </c>
      <c r="O61" s="2"/>
      <c r="P61" s="2" t="n">
        <v>625807</v>
      </c>
      <c r="Q61" s="24" t="s">
        <v>159</v>
      </c>
      <c r="R61" s="2"/>
      <c r="S61" s="2"/>
      <c r="T61" s="2" t="n">
        <v>6</v>
      </c>
      <c r="U61" s="2" t="n">
        <v>12</v>
      </c>
      <c r="V61" s="2" t="n">
        <v>12</v>
      </c>
      <c r="W61" s="3" t="n">
        <f>implant1rodtable[[#This Row],[Closing balance ]]/implant1rodtable[[#This Row],[Forecasted consumption]]</f>
        <v>8.3939873417721511</v>
      </c>
      <c r="X61" s="25"/>
    </row>
    <row r="62">
      <c r="B62" s="6" t="s">
        <v>72</v>
      </c>
      <c r="C62" s="18" t="s">
        <v>38</v>
      </c>
      <c r="D62" s="17" t="s">
        <v>39</v>
      </c>
      <c r="E62" s="18" t="s">
        <v>31</v>
      </c>
      <c r="F62" s="19" t="n">
        <v>45809</v>
      </c>
      <c r="G62" s="23" t="n">
        <f t="shared" si="3"/>
        <v>122015</v>
      </c>
      <c r="H62" s="23"/>
      <c r="I62" s="23" t="n">
        <v>14536</v>
      </c>
      <c r="J62" s="23" t="n">
        <f>MAX(implant1rodtable[[#This Row],[Stock on hand(opening balance)]]-implant1rodtable[[#This Row],[Forecasted consumption]]+implant1rodtable[[#This Row],[Quantity ]],0)</f>
        <v>107479</v>
      </c>
      <c r="K62" s="2"/>
      <c r="L62" s="2"/>
      <c r="M62" s="18"/>
      <c r="N62" s="23"/>
      <c r="O62" s="2"/>
      <c r="P62" s="2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implant1rodtable[[#This Row],[Closing balance ]]/implant1rodtable[[#This Row],[Forecasted consumption]]</f>
        <v>7.393987341772152</v>
      </c>
      <c r="X62" s="25"/>
    </row>
    <row r="63">
      <c r="B63" s="6" t="s">
        <v>72</v>
      </c>
      <c r="C63" s="18" t="s">
        <v>38</v>
      </c>
      <c r="D63" s="17" t="s">
        <v>39</v>
      </c>
      <c r="E63" s="18" t="s">
        <v>31</v>
      </c>
      <c r="F63" s="19" t="n">
        <v>45839</v>
      </c>
      <c r="G63" s="23" t="n">
        <f t="shared" si="3"/>
        <v>107479</v>
      </c>
      <c r="H63" s="23"/>
      <c r="I63" s="23" t="n">
        <v>14536</v>
      </c>
      <c r="J63" s="23" t="n">
        <f>MAX(implant1rodtable[[#This Row],[Stock on hand(opening balance)]]-implant1rodtable[[#This Row],[Forecasted consumption]]+implant1rodtable[[#This Row],[Quantity ]],0)</f>
        <v>92943</v>
      </c>
      <c r="K63" s="2"/>
      <c r="L63" s="2"/>
      <c r="M63" s="18"/>
      <c r="N63" s="23"/>
      <c r="O63" s="2"/>
      <c r="P63" s="2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implant1rodtable[[#This Row],[Closing balance ]]/implant1rodtable[[#This Row],[Forecasted consumption]]</f>
        <v>6.393987341772152</v>
      </c>
      <c r="X63" s="25"/>
    </row>
    <row r="64">
      <c r="B64" s="6" t="s">
        <v>72</v>
      </c>
      <c r="C64" s="18" t="s">
        <v>38</v>
      </c>
      <c r="D64" s="17" t="s">
        <v>39</v>
      </c>
      <c r="E64" s="18" t="s">
        <v>31</v>
      </c>
      <c r="F64" s="19" t="n">
        <v>45870</v>
      </c>
      <c r="G64" s="23" t="n">
        <f t="shared" si="3"/>
        <v>92943</v>
      </c>
      <c r="H64" s="23"/>
      <c r="I64" s="23" t="n">
        <v>14536</v>
      </c>
      <c r="J64" s="23" t="n">
        <f>MAX(implant1rodtable[[#This Row],[Stock on hand(opening balance)]]-implant1rodtable[[#This Row],[Forecasted consumption]]+implant1rodtable[[#This Row],[Quantity ]],0)</f>
        <v>78407</v>
      </c>
      <c r="K64" s="2"/>
      <c r="L64" s="2"/>
      <c r="M64" s="18"/>
      <c r="N64" s="23"/>
      <c r="O64" s="2"/>
      <c r="P64" s="2"/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implant1rodtable[[#This Row],[Closing balance ]]/implant1rodtable[[#This Row],[Forecasted consumption]]</f>
        <v>5.393987341772152</v>
      </c>
      <c r="X64" s="25"/>
    </row>
    <row r="65">
      <c r="B65" s="6" t="s">
        <v>72</v>
      </c>
      <c r="C65" s="18" t="s">
        <v>38</v>
      </c>
      <c r="D65" s="17" t="s">
        <v>39</v>
      </c>
      <c r="E65" s="18" t="s">
        <v>31</v>
      </c>
      <c r="F65" s="19" t="n">
        <v>45901</v>
      </c>
      <c r="G65" s="23" t="n">
        <f t="shared" si="3"/>
        <v>78407</v>
      </c>
      <c r="H65" s="23"/>
      <c r="I65" s="23" t="n">
        <v>14536</v>
      </c>
      <c r="J65" s="23" t="n">
        <f>MAX(implant1rodtable[[#This Row],[Stock on hand(opening balance)]]-implant1rodtable[[#This Row],[Forecasted consumption]]+implant1rodtable[[#This Row],[Quantity ]],0)</f>
        <v>86903</v>
      </c>
      <c r="K65" s="2" t="s">
        <v>51</v>
      </c>
      <c r="L65" s="2" t="s">
        <v>51</v>
      </c>
      <c r="M65" s="18" t="s">
        <v>147</v>
      </c>
      <c r="N65" s="23" t="n">
        <v>23032</v>
      </c>
      <c r="O65" s="2"/>
      <c r="P65" s="2" t="n">
        <v>219265</v>
      </c>
      <c r="Q65" s="24" t="n">
        <v>45901</v>
      </c>
      <c r="R65" s="2"/>
      <c r="S65" s="2"/>
      <c r="T65" s="2" t="n">
        <v>6</v>
      </c>
      <c r="U65" s="2" t="n">
        <v>12</v>
      </c>
      <c r="V65" s="2" t="n">
        <v>12</v>
      </c>
      <c r="W65" s="3" t="n">
        <f>implant1rodtable[[#This Row],[Closing balance ]]/implant1rodtable[[#This Row],[Forecasted consumption]]</f>
        <v>5.9784672537149151</v>
      </c>
      <c r="X65" s="25"/>
    </row>
    <row r="66">
      <c r="B66" s="6" t="s">
        <v>72</v>
      </c>
      <c r="C66" s="18" t="s">
        <v>38</v>
      </c>
      <c r="D66" s="17" t="s">
        <v>39</v>
      </c>
      <c r="E66" s="18" t="s">
        <v>31</v>
      </c>
      <c r="F66" s="19" t="n">
        <v>45931</v>
      </c>
      <c r="G66" s="23" t="n">
        <f t="shared" si="3"/>
        <v>86903</v>
      </c>
      <c r="H66" s="23"/>
      <c r="I66" s="23" t="n">
        <v>14536</v>
      </c>
      <c r="J66" s="23" t="n">
        <f>MAX(implant1rodtable[[#This Row],[Stock on hand(opening balance)]]-implant1rodtable[[#This Row],[Forecasted consumption]]+implant1rodtable[[#This Row],[Quantity ]],0)</f>
        <v>72367</v>
      </c>
      <c r="K66" s="2"/>
      <c r="L66" s="2"/>
      <c r="M66" s="18"/>
      <c r="N66" s="23"/>
      <c r="O66" s="2"/>
      <c r="P66" s="2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implant1rodtable[[#This Row],[Closing balance ]]/implant1rodtable[[#This Row],[Forecasted consumption]]</f>
        <v>4.9784672537149151</v>
      </c>
      <c r="X66" s="25"/>
    </row>
    <row r="67">
      <c r="B67" s="6" t="s">
        <v>72</v>
      </c>
      <c r="C67" s="18" t="s">
        <v>38</v>
      </c>
      <c r="D67" s="17" t="s">
        <v>39</v>
      </c>
      <c r="E67" s="18" t="s">
        <v>31</v>
      </c>
      <c r="F67" s="19" t="n">
        <v>45962</v>
      </c>
      <c r="G67" s="23" t="n">
        <f t="shared" si="3"/>
        <v>72367</v>
      </c>
      <c r="H67" s="23"/>
      <c r="I67" s="23" t="n">
        <v>14536</v>
      </c>
      <c r="J67" s="23" t="n">
        <f>MAX(implant1rodtable[[#This Row],[Stock on hand(opening balance)]]-implant1rodtable[[#This Row],[Forecasted consumption]]+implant1rodtable[[#This Row],[Quantity ]],0)</f>
        <v>57831</v>
      </c>
      <c r="K67" s="2"/>
      <c r="L67" s="2"/>
      <c r="M67" s="18"/>
      <c r="N67" s="23"/>
      <c r="O67" s="2"/>
      <c r="P67" s="2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implant1rodtable[[#This Row],[Closing balance ]]/implant1rodtable[[#This Row],[Forecasted consumption]]</f>
        <v>3.9784672537149146</v>
      </c>
      <c r="X67" s="25"/>
    </row>
    <row r="68">
      <c r="B68" s="6" t="s">
        <v>72</v>
      </c>
      <c r="C68" s="18" t="s">
        <v>38</v>
      </c>
      <c r="D68" s="17" t="s">
        <v>39</v>
      </c>
      <c r="E68" s="18" t="s">
        <v>31</v>
      </c>
      <c r="F68" s="19" t="n">
        <v>45992</v>
      </c>
      <c r="G68" s="23" t="n">
        <f t="shared" si="3"/>
        <v>57831</v>
      </c>
      <c r="H68" s="23"/>
      <c r="I68" s="23" t="n">
        <v>14536</v>
      </c>
      <c r="J68" s="23" t="n">
        <f>MAX(implant1rodtable[[#This Row],[Stock on hand(opening balance)]]-implant1rodtable[[#This Row],[Forecasted consumption]]+implant1rodtable[[#This Row],[Quantity ]],0)</f>
        <v>241467</v>
      </c>
      <c r="K68" s="2" t="s">
        <v>2</v>
      </c>
      <c r="L68" s="2" t="s">
        <v>2</v>
      </c>
      <c r="M68" s="18" t="s">
        <v>4</v>
      </c>
      <c r="N68" s="23" t="n">
        <v>198172</v>
      </c>
      <c r="O68" s="2"/>
      <c r="P68" s="2" t="n">
        <v>1886597</v>
      </c>
      <c r="Q68" s="24" t="n">
        <v>45992</v>
      </c>
      <c r="R68" s="2"/>
      <c r="S68" s="2"/>
      <c r="T68" s="2" t="n">
        <v>6</v>
      </c>
      <c r="U68" s="2" t="n">
        <v>12</v>
      </c>
      <c r="V68" s="2" t="n">
        <v>12</v>
      </c>
      <c r="W68" s="3" t="n">
        <f>implant1rodtable[[#This Row],[Closing balance ]]/implant1rodtable[[#This Row],[Forecasted consumption]]</f>
        <v>16.611653824986242</v>
      </c>
      <c r="X68" s="25"/>
    </row>
    <row r="69">
      <c r="B69" s="6" t="s">
        <v>72</v>
      </c>
      <c r="C69" s="18" t="s">
        <v>38</v>
      </c>
      <c r="D69" s="17" t="s">
        <v>39</v>
      </c>
      <c r="E69" s="18" t="s">
        <v>31</v>
      </c>
      <c r="F69" s="19" t="n">
        <v>46023</v>
      </c>
      <c r="G69" s="23" t="n">
        <f t="shared" si="3"/>
        <v>241467</v>
      </c>
      <c r="H69" s="23"/>
      <c r="I69" s="23" t="n">
        <v>14536</v>
      </c>
      <c r="J69" s="23" t="n">
        <f>MAX(implant1rodtable[[#This Row],[Stock on hand(opening balance)]]-implant1rodtable[[#This Row],[Forecasted consumption]]+implant1rodtable[[#This Row],[Quantity ]],0)</f>
        <v>330805</v>
      </c>
      <c r="K69" s="2" t="s">
        <v>2</v>
      </c>
      <c r="L69" s="2" t="s">
        <v>2</v>
      </c>
      <c r="M69" s="18" t="s">
        <v>4</v>
      </c>
      <c r="N69" s="23" t="n">
        <v>103874</v>
      </c>
      <c r="O69" s="2"/>
      <c r="P69" s="2" t="n">
        <v>988880</v>
      </c>
      <c r="Q69" s="24" t="n">
        <v>46023</v>
      </c>
      <c r="R69" s="2"/>
      <c r="S69" s="2"/>
      <c r="T69" s="2" t="n">
        <v>6</v>
      </c>
      <c r="U69" s="2" t="n">
        <v>12</v>
      </c>
      <c r="V69" s="2" t="n">
        <v>12</v>
      </c>
      <c r="W69" s="3" t="n">
        <f>implant1rodtable[[#This Row],[Closing balance ]]/implant1rodtable[[#This Row],[Forecasted consumption]]</f>
        <v>22.757636213538799</v>
      </c>
      <c r="X69" s="25"/>
    </row>
    <row r="70">
      <c r="B70" s="6" t="s">
        <v>72</v>
      </c>
      <c r="C70" s="18" t="s">
        <v>38</v>
      </c>
      <c r="D70" s="17" t="s">
        <v>39</v>
      </c>
      <c r="E70" s="18" t="s">
        <v>31</v>
      </c>
      <c r="F70" s="19" t="n">
        <v>46054</v>
      </c>
      <c r="G70" s="23" t="n">
        <f t="shared" si="3"/>
        <v>330805</v>
      </c>
      <c r="H70" s="23"/>
      <c r="I70" s="23" t="n">
        <v>14536</v>
      </c>
      <c r="J70" s="23" t="n">
        <f>MAX(implant1rodtable[[#This Row],[Stock on hand(opening balance)]]-implant1rodtable[[#This Row],[Forecasted consumption]]+implant1rodtable[[#This Row],[Quantity ]],0)</f>
        <v>316269</v>
      </c>
      <c r="K70" s="2"/>
      <c r="L70" s="2"/>
      <c r="M70" s="18"/>
      <c r="N70" s="23"/>
      <c r="O70" s="2"/>
      <c r="P70" s="2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implant1rodtable[[#This Row],[Closing balance ]]/implant1rodtable[[#This Row],[Forecasted consumption]]</f>
        <v>21.757636213538799</v>
      </c>
      <c r="X70" s="25"/>
    </row>
    <row r="71">
      <c r="B71" s="6" t="s">
        <v>72</v>
      </c>
      <c r="C71" s="18" t="s">
        <v>38</v>
      </c>
      <c r="D71" s="17" t="s">
        <v>39</v>
      </c>
      <c r="E71" s="18" t="s">
        <v>31</v>
      </c>
      <c r="F71" s="19" t="n">
        <v>46082</v>
      </c>
      <c r="G71" s="23" t="n">
        <f t="shared" si="3"/>
        <v>316269</v>
      </c>
      <c r="H71" s="23"/>
      <c r="I71" s="23" t="n">
        <v>14536</v>
      </c>
      <c r="J71" s="23" t="n">
        <f>MAX(implant1rodtable[[#This Row],[Stock on hand(opening balance)]]-implant1rodtable[[#This Row],[Forecasted consumption]]+implant1rodtable[[#This Row],[Quantity ]],0)</f>
        <v>301733</v>
      </c>
      <c r="K71" s="2"/>
      <c r="L71" s="2"/>
      <c r="M71" s="18"/>
      <c r="N71" s="23"/>
      <c r="O71" s="2"/>
      <c r="P71" s="2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implant1rodtable[[#This Row],[Closing balance ]]/implant1rodtable[[#This Row],[Forecasted consumption]]</f>
        <v>20.757636213538799</v>
      </c>
      <c r="X71" s="25"/>
    </row>
    <row r="72">
      <c r="B72" s="6" t="s">
        <v>72</v>
      </c>
      <c r="C72" s="18" t="s">
        <v>38</v>
      </c>
      <c r="D72" s="17" t="s">
        <v>39</v>
      </c>
      <c r="E72" s="18" t="s">
        <v>31</v>
      </c>
      <c r="F72" s="19" t="n">
        <v>46113</v>
      </c>
      <c r="G72" s="23" t="n">
        <f t="shared" si="3"/>
        <v>301733</v>
      </c>
      <c r="H72" s="23"/>
      <c r="I72" s="23" t="n">
        <v>14536</v>
      </c>
      <c r="J72" s="23" t="n">
        <f>MAX(implant1rodtable[[#This Row],[Stock on hand(opening balance)]]-implant1rodtable[[#This Row],[Forecasted consumption]]+implant1rodtable[[#This Row],[Quantity ]],0)</f>
        <v>287197</v>
      </c>
      <c r="K72" s="2"/>
      <c r="L72" s="2"/>
      <c r="M72" s="18"/>
      <c r="N72" s="23"/>
      <c r="O72" s="2"/>
      <c r="P72" s="2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implant1rodtable[[#This Row],[Closing balance ]]/implant1rodtable[[#This Row],[Forecasted consumption]]</f>
        <v>19.757636213538799</v>
      </c>
      <c r="X72" s="25"/>
    </row>
    <row r="73">
      <c r="B73" s="6" t="s">
        <v>72</v>
      </c>
      <c r="C73" s="18" t="s">
        <v>38</v>
      </c>
      <c r="D73" s="17" t="s">
        <v>39</v>
      </c>
      <c r="E73" s="18" t="s">
        <v>31</v>
      </c>
      <c r="F73" s="19" t="n">
        <v>46143</v>
      </c>
      <c r="G73" s="23" t="n">
        <f t="shared" si="3"/>
        <v>287197</v>
      </c>
      <c r="H73" s="23"/>
      <c r="I73" s="23" t="n">
        <v>14536</v>
      </c>
      <c r="J73" s="23" t="n">
        <f>MAX(implant1rodtable[[#This Row],[Stock on hand(opening balance)]]-implant1rodtable[[#This Row],[Forecasted consumption]]+implant1rodtable[[#This Row],[Quantity ]],0)</f>
        <v>272661</v>
      </c>
      <c r="K73" s="2"/>
      <c r="L73" s="2"/>
      <c r="M73" s="18"/>
      <c r="N73" s="23"/>
      <c r="O73" s="2"/>
      <c r="P73" s="2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implant1rodtable[[#This Row],[Closing balance ]]/implant1rodtable[[#This Row],[Forecasted consumption]]</f>
        <v>18.757636213538799</v>
      </c>
      <c r="X73" s="25"/>
    </row>
    <row r="74">
      <c r="B74" s="6" t="s">
        <v>72</v>
      </c>
      <c r="C74" s="18" t="s">
        <v>38</v>
      </c>
      <c r="D74" s="17" t="s">
        <v>39</v>
      </c>
      <c r="E74" s="18" t="s">
        <v>31</v>
      </c>
      <c r="F74" s="19" t="n">
        <v>46174</v>
      </c>
      <c r="G74" s="23" t="n">
        <f t="shared" si="3"/>
        <v>272661</v>
      </c>
      <c r="H74" s="23"/>
      <c r="I74" s="23" t="n">
        <v>14536</v>
      </c>
      <c r="J74" s="23" t="n">
        <f>MAX(implant1rodtable[[#This Row],[Stock on hand(opening balance)]]-implant1rodtable[[#This Row],[Forecasted consumption]]+implant1rodtable[[#This Row],[Quantity ]],0)</f>
        <v>258125</v>
      </c>
      <c r="K74" s="2"/>
      <c r="L74" s="2"/>
      <c r="M74" s="18"/>
      <c r="N74" s="23"/>
      <c r="O74" s="2"/>
      <c r="P74" s="2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implant1rodtable[[#This Row],[Closing balance ]]/implant1rodtable[[#This Row],[Forecasted consumption]]</f>
        <v>17.757636213538799</v>
      </c>
      <c r="X74" s="25"/>
    </row>
    <row r="75">
      <c r="B75" s="6" t="s">
        <v>72</v>
      </c>
      <c r="C75" s="18" t="s">
        <v>38</v>
      </c>
      <c r="D75" s="17" t="s">
        <v>39</v>
      </c>
      <c r="E75" s="18" t="s">
        <v>31</v>
      </c>
      <c r="F75" s="19" t="n">
        <v>46204</v>
      </c>
      <c r="G75" s="23" t="n">
        <f t="shared" si="3"/>
        <v>258125</v>
      </c>
      <c r="H75" s="23"/>
      <c r="I75" s="23" t="n">
        <v>14536</v>
      </c>
      <c r="J75" s="23" t="n">
        <f>MAX(implant1rodtable[[#This Row],[Stock on hand(opening balance)]]-implant1rodtable[[#This Row],[Forecasted consumption]]+implant1rodtable[[#This Row],[Quantity ]],0)</f>
        <v>243589</v>
      </c>
      <c r="K75" s="2"/>
      <c r="L75" s="2"/>
      <c r="M75" s="18"/>
      <c r="N75" s="23"/>
      <c r="O75" s="2"/>
      <c r="P75" s="2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implant1rodtable[[#This Row],[Closing balance ]]/implant1rodtable[[#This Row],[Forecasted consumption]]</f>
        <v>16.757636213538799</v>
      </c>
      <c r="X75" s="25"/>
    </row>
    <row r="76">
      <c r="B76" s="6" t="s">
        <v>72</v>
      </c>
      <c r="C76" s="18" t="s">
        <v>38</v>
      </c>
      <c r="D76" s="17" t="s">
        <v>39</v>
      </c>
      <c r="E76" s="18" t="s">
        <v>31</v>
      </c>
      <c r="F76" s="19" t="n">
        <v>46235</v>
      </c>
      <c r="G76" s="23" t="n">
        <f t="shared" si="3"/>
        <v>243589</v>
      </c>
      <c r="H76" s="23"/>
      <c r="I76" s="23" t="n">
        <v>14536</v>
      </c>
      <c r="J76" s="23" t="n">
        <f>MAX(implant1rodtable[[#This Row],[Stock on hand(opening balance)]]-implant1rodtable[[#This Row],[Forecasted consumption]]+implant1rodtable[[#This Row],[Quantity ]],0)</f>
        <v>229053</v>
      </c>
      <c r="K76" s="2"/>
      <c r="L76" s="2"/>
      <c r="M76" s="18"/>
      <c r="N76" s="23"/>
      <c r="O76" s="2"/>
      <c r="P76" s="2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implant1rodtable[[#This Row],[Closing balance ]]/implant1rodtable[[#This Row],[Forecasted consumption]]</f>
        <v>15.757636213538801</v>
      </c>
      <c r="X76" s="25"/>
    </row>
    <row r="77">
      <c r="B77" s="6" t="s">
        <v>72</v>
      </c>
      <c r="C77" s="18" t="s">
        <v>38</v>
      </c>
      <c r="D77" s="17" t="s">
        <v>39</v>
      </c>
      <c r="E77" s="18" t="s">
        <v>31</v>
      </c>
      <c r="F77" s="19" t="n">
        <v>46266</v>
      </c>
      <c r="G77" s="23" t="n">
        <f t="shared" si="3"/>
        <v>229053</v>
      </c>
      <c r="H77" s="23"/>
      <c r="I77" s="23" t="n">
        <v>14536</v>
      </c>
      <c r="J77" s="23" t="n">
        <f>MAX(implant1rodtable[[#This Row],[Stock on hand(opening balance)]]-implant1rodtable[[#This Row],[Forecasted consumption]]+implant1rodtable[[#This Row],[Quantity ]],0)</f>
        <v>214517</v>
      </c>
      <c r="K77" s="2"/>
      <c r="L77" s="2"/>
      <c r="M77" s="18"/>
      <c r="N77" s="23"/>
      <c r="O77" s="2"/>
      <c r="P77" s="2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implant1rodtable[[#This Row],[Closing balance ]]/implant1rodtable[[#This Row],[Forecasted consumption]]</f>
        <v>14.757636213538801</v>
      </c>
      <c r="X77" s="25"/>
    </row>
    <row r="78">
      <c r="B78" s="6" t="s">
        <v>72</v>
      </c>
      <c r="C78" s="18" t="s">
        <v>38</v>
      </c>
      <c r="D78" s="17" t="s">
        <v>39</v>
      </c>
      <c r="E78" s="18" t="s">
        <v>31</v>
      </c>
      <c r="F78" s="19" t="n">
        <v>46296</v>
      </c>
      <c r="G78" s="23" t="n">
        <f t="shared" si="3"/>
        <v>214517</v>
      </c>
      <c r="H78" s="23"/>
      <c r="I78" s="23" t="n">
        <v>14536</v>
      </c>
      <c r="J78" s="23" t="n">
        <f>MAX(implant1rodtable[[#This Row],[Stock on hand(opening balance)]]-implant1rodtable[[#This Row],[Forecasted consumption]]+implant1rodtable[[#This Row],[Quantity ]],0)</f>
        <v>199981</v>
      </c>
      <c r="K78" s="2"/>
      <c r="L78" s="2"/>
      <c r="M78" s="18"/>
      <c r="N78" s="23"/>
      <c r="O78" s="2"/>
      <c r="P78" s="2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implant1rodtable[[#This Row],[Closing balance ]]/implant1rodtable[[#This Row],[Forecasted consumption]]</f>
        <v>13.757636213538801</v>
      </c>
      <c r="X78" s="25"/>
    </row>
    <row r="79">
      <c r="B79" s="6" t="s">
        <v>72</v>
      </c>
      <c r="C79" s="18" t="s">
        <v>38</v>
      </c>
      <c r="D79" s="17" t="s">
        <v>39</v>
      </c>
      <c r="E79" s="18" t="s">
        <v>31</v>
      </c>
      <c r="F79" s="19" t="n">
        <v>46327</v>
      </c>
      <c r="G79" s="23" t="n">
        <f t="shared" si="3"/>
        <v>199981</v>
      </c>
      <c r="H79" s="23"/>
      <c r="I79" s="23" t="n">
        <v>14536</v>
      </c>
      <c r="J79" s="23" t="n">
        <f>MAX(implant1rodtable[[#This Row],[Stock on hand(opening balance)]]-implant1rodtable[[#This Row],[Forecasted consumption]]+implant1rodtable[[#This Row],[Quantity ]],0)</f>
        <v>185445</v>
      </c>
      <c r="K79" s="2"/>
      <c r="L79" s="2"/>
      <c r="M79" s="18"/>
      <c r="N79" s="23"/>
      <c r="O79" s="2"/>
      <c r="P79" s="2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implant1rodtable[[#This Row],[Closing balance ]]/implant1rodtable[[#This Row],[Forecasted consumption]]</f>
        <v>12.757636213538801</v>
      </c>
      <c r="X79" s="25"/>
    </row>
    <row r="80">
      <c r="B80" s="6" t="s">
        <v>72</v>
      </c>
      <c r="C80" s="18" t="s">
        <v>38</v>
      </c>
      <c r="D80" s="17" t="s">
        <v>39</v>
      </c>
      <c r="E80" s="18" t="s">
        <v>31</v>
      </c>
      <c r="F80" s="19" t="n">
        <v>46357</v>
      </c>
      <c r="G80" s="23" t="n">
        <f t="shared" si="3"/>
        <v>185445</v>
      </c>
      <c r="H80" s="23"/>
      <c r="I80" s="23" t="n">
        <v>14536</v>
      </c>
      <c r="J80" s="23" t="n">
        <f>MAX(implant1rodtable[[#This Row],[Stock on hand(opening balance)]]-implant1rodtable[[#This Row],[Forecasted consumption]]+implant1rodtable[[#This Row],[Quantity ]],0)</f>
        <v>268251</v>
      </c>
      <c r="K80" s="2" t="s">
        <v>2</v>
      </c>
      <c r="L80" s="2" t="s">
        <v>2</v>
      </c>
      <c r="M80" s="18" t="s">
        <v>4</v>
      </c>
      <c r="N80" s="23" t="n">
        <v>97342</v>
      </c>
      <c r="O80" s="2"/>
      <c r="P80" s="2" t="n">
        <v>926268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3" t="n">
        <f>implant1rodtable[[#This Row],[Closing balance ]]/implant1rodtable[[#This Row],[Forecasted consumption]]</f>
        <v>18.454251513483765</v>
      </c>
      <c r="X80" s="25"/>
    </row>
    <row r="81">
      <c r="B81" s="6" t="s">
        <v>77</v>
      </c>
      <c r="C81" s="18" t="s">
        <v>38</v>
      </c>
      <c r="D81" s="17" t="s">
        <v>39</v>
      </c>
      <c r="E81" s="18" t="s">
        <v>31</v>
      </c>
      <c r="F81" s="19" t="n">
        <v>45839</v>
      </c>
      <c r="G81" s="23" t="n">
        <v>455606</v>
      </c>
      <c r="H81" s="23"/>
      <c r="I81" s="23" t="n">
        <v>180673</v>
      </c>
      <c r="J81" s="23" t="n">
        <f>MAX(implant1rodtable[[#This Row],[Stock on hand(opening balance)]]-implant1rodtable[[#This Row],[Forecasted consumption]]+implant1rodtable[[#This Row],[Quantity ]],0)</f>
        <v>274933</v>
      </c>
      <c r="K81" s="2"/>
      <c r="L81" s="2"/>
      <c r="M81" s="18"/>
      <c r="N81" s="23"/>
      <c r="O81" s="2"/>
      <c r="P81" s="2"/>
      <c r="Q81" s="24"/>
      <c r="R81" s="2"/>
      <c r="S81" s="2"/>
      <c r="T81" s="18" t="n">
        <v>6</v>
      </c>
      <c r="U81" s="18" t="n">
        <v>12</v>
      </c>
      <c r="V81" s="2" t="n">
        <v>12</v>
      </c>
      <c r="W81" s="3" t="n">
        <f>implant1rodtable[[#This Row],[Closing balance ]]/implant1rodtable[[#This Row],[Forecasted consumption]]</f>
        <v>1.5217160284049083</v>
      </c>
      <c r="X81" s="25"/>
    </row>
    <row r="82">
      <c r="B82" s="6" t="s">
        <v>77</v>
      </c>
      <c r="C82" s="18" t="s">
        <v>38</v>
      </c>
      <c r="D82" s="17" t="s">
        <v>39</v>
      </c>
      <c r="E82" s="18" t="s">
        <v>31</v>
      </c>
      <c r="F82" s="19" t="n">
        <v>45870</v>
      </c>
      <c r="G82" s="23" t="n">
        <f>J81</f>
        <v>274933</v>
      </c>
      <c r="H82" s="23"/>
      <c r="I82" s="23" t="n">
        <v>180673</v>
      </c>
      <c r="J82" s="23" t="n">
        <f>MAX(implant1rodtable[[#This Row],[Stock on hand(opening balance)]]-implant1rodtable[[#This Row],[Forecasted consumption]]+implant1rodtable[[#This Row],[Quantity ]],0)</f>
        <v>240132</v>
      </c>
      <c r="K82" s="2" t="s">
        <v>51</v>
      </c>
      <c r="L82" s="2" t="s">
        <v>51</v>
      </c>
      <c r="M82" s="18" t="s">
        <v>154</v>
      </c>
      <c r="N82" s="23" t="n">
        <v>145872</v>
      </c>
      <c r="O82" s="2"/>
      <c r="P82" s="2"/>
      <c r="Q82" s="24"/>
      <c r="R82" s="2"/>
      <c r="S82" s="2"/>
      <c r="T82" s="18" t="n">
        <v>6</v>
      </c>
      <c r="U82" s="18" t="n">
        <v>12</v>
      </c>
      <c r="V82" s="2" t="n">
        <v>12</v>
      </c>
      <c r="W82" s="3" t="n">
        <f>implant1rodtable[[#This Row],[Closing balance ]]/implant1rodtable[[#This Row],[Forecasted consumption]]</f>
        <v>1.3290973194666607</v>
      </c>
      <c r="X82" s="25"/>
    </row>
    <row r="83">
      <c r="B83" s="6" t="s">
        <v>77</v>
      </c>
      <c r="C83" s="18" t="s">
        <v>38</v>
      </c>
      <c r="D83" s="17" t="s">
        <v>39</v>
      </c>
      <c r="E83" s="18" t="s">
        <v>31</v>
      </c>
      <c r="F83" s="19" t="n">
        <v>45901</v>
      </c>
      <c r="G83" s="23" t="n">
        <f t="shared" ref="G83:G92" si="4">J82</f>
        <v>240132</v>
      </c>
      <c r="H83" s="23"/>
      <c r="I83" s="23" t="n">
        <v>180673</v>
      </c>
      <c r="J83" s="23" t="n">
        <f>MAX(implant1rodtable[[#This Row],[Stock on hand(opening balance)]]-implant1rodtable[[#This Row],[Forecasted consumption]]+implant1rodtable[[#This Row],[Quantity ]],0)</f>
        <v>59459</v>
      </c>
      <c r="K83" s="2"/>
      <c r="L83" s="2"/>
      <c r="M83" s="18"/>
      <c r="N83" s="23"/>
      <c r="O83" s="2"/>
      <c r="P83" s="2"/>
      <c r="Q83" s="24"/>
      <c r="R83" s="2"/>
      <c r="S83" s="2"/>
      <c r="T83" s="18" t="n">
        <v>6</v>
      </c>
      <c r="U83" s="18" t="n">
        <v>12</v>
      </c>
      <c r="V83" s="2" t="n">
        <v>12</v>
      </c>
      <c r="W83" s="3" t="n">
        <f>implant1rodtable[[#This Row],[Closing balance ]]/implant1rodtable[[#This Row],[Forecasted consumption]]</f>
        <v>0.32909731946666076</v>
      </c>
      <c r="X83" s="25"/>
    </row>
    <row r="84">
      <c r="B84" s="6" t="s">
        <v>77</v>
      </c>
      <c r="C84" s="18" t="s">
        <v>38</v>
      </c>
      <c r="D84" s="17" t="s">
        <v>39</v>
      </c>
      <c r="E84" s="18" t="s">
        <v>31</v>
      </c>
      <c r="F84" s="19" t="n">
        <v>45931</v>
      </c>
      <c r="G84" s="23" t="n">
        <f t="shared" si="4"/>
        <v>59459</v>
      </c>
      <c r="H84" s="23"/>
      <c r="I84" s="23" t="n">
        <v>180673</v>
      </c>
      <c r="J84" s="23" t="n">
        <f>MAX(implant1rodtable[[#This Row],[Stock on hand(opening balance)]]-implant1rodtable[[#This Row],[Forecasted consumption]]+implant1rodtable[[#This Row],[Quantity ]],0)</f>
        <v>72610</v>
      </c>
      <c r="K84" s="2" t="s">
        <v>51</v>
      </c>
      <c r="L84" s="2" t="s">
        <v>51</v>
      </c>
      <c r="M84" s="18" t="s">
        <v>152</v>
      </c>
      <c r="N84" s="23" t="n">
        <v>193824</v>
      </c>
      <c r="O84" s="2"/>
      <c r="P84" s="2"/>
      <c r="Q84" s="24"/>
      <c r="R84" s="2"/>
      <c r="S84" s="2"/>
      <c r="T84" s="18" t="n">
        <v>6</v>
      </c>
      <c r="U84" s="18" t="n">
        <v>12</v>
      </c>
      <c r="V84" s="2" t="n">
        <v>12</v>
      </c>
      <c r="W84" s="3" t="n">
        <f>implant1rodtable[[#This Row],[Closing balance ]]/implant1rodtable[[#This Row],[Forecasted consumption]]</f>
        <v>0.4018862807392361</v>
      </c>
      <c r="X84" s="25"/>
    </row>
    <row r="85">
      <c r="B85" s="6" t="s">
        <v>77</v>
      </c>
      <c r="C85" s="18" t="s">
        <v>38</v>
      </c>
      <c r="D85" s="17" t="s">
        <v>39</v>
      </c>
      <c r="E85" s="18" t="s">
        <v>31</v>
      </c>
      <c r="F85" s="19" t="n">
        <v>45962</v>
      </c>
      <c r="G85" s="23" t="n">
        <f t="shared" si="4"/>
        <v>72610</v>
      </c>
      <c r="H85" s="23"/>
      <c r="I85" s="23" t="n">
        <v>180673</v>
      </c>
      <c r="J85" s="23" t="n">
        <f>MAX(implant1rodtable[[#This Row],[Stock on hand(opening balance)]]-implant1rodtable[[#This Row],[Forecasted consumption]]+implant1rodtable[[#This Row],[Quantity ]],0)</f>
        <v>0</v>
      </c>
      <c r="K85" s="2"/>
      <c r="L85" s="2"/>
      <c r="M85" s="18"/>
      <c r="N85" s="23"/>
      <c r="O85" s="2"/>
      <c r="P85" s="2"/>
      <c r="Q85" s="24"/>
      <c r="R85" s="2"/>
      <c r="S85" s="2"/>
      <c r="T85" s="18" t="n">
        <v>6</v>
      </c>
      <c r="U85" s="18" t="n">
        <v>12</v>
      </c>
      <c r="V85" s="2" t="n">
        <v>12</v>
      </c>
      <c r="W85" s="3" t="n">
        <f>implant1rodtable[[#This Row],[Closing balance ]]/implant1rodtable[[#This Row],[Forecasted consumption]]</f>
        <v>0</v>
      </c>
      <c r="X85" s="25"/>
    </row>
    <row r="86">
      <c r="B86" s="6" t="s">
        <v>77</v>
      </c>
      <c r="C86" s="18" t="s">
        <v>38</v>
      </c>
      <c r="D86" s="17" t="s">
        <v>39</v>
      </c>
      <c r="E86" s="18" t="s">
        <v>31</v>
      </c>
      <c r="F86" s="19" t="n">
        <v>45992</v>
      </c>
      <c r="G86" s="23" t="n">
        <f t="shared" si="4"/>
        <v>0</v>
      </c>
      <c r="H86" s="23"/>
      <c r="I86" s="23" t="n">
        <v>180673</v>
      </c>
      <c r="J86" s="23" t="n">
        <f>MAX(implant1rodtable[[#This Row],[Stock on hand(opening balance)]]-implant1rodtable[[#This Row],[Forecasted consumption]]+implant1rodtable[[#This Row],[Quantity ]],0)</f>
        <v>0</v>
      </c>
      <c r="K86" s="2"/>
      <c r="L86" s="2"/>
      <c r="M86" s="18"/>
      <c r="N86" s="23"/>
      <c r="O86" s="2"/>
      <c r="P86" s="2"/>
      <c r="Q86" s="24"/>
      <c r="R86" s="2"/>
      <c r="S86" s="2"/>
      <c r="T86" s="18" t="n">
        <v>6</v>
      </c>
      <c r="U86" s="18" t="n">
        <v>12</v>
      </c>
      <c r="V86" s="2" t="n">
        <v>12</v>
      </c>
      <c r="W86" s="3" t="n">
        <f>implant1rodtable[[#This Row],[Closing balance ]]/implant1rodtable[[#This Row],[Forecasted consumption]]</f>
        <v>0</v>
      </c>
      <c r="X86" s="25"/>
    </row>
    <row r="87">
      <c r="B87" s="6" t="s">
        <v>77</v>
      </c>
      <c r="C87" s="18" t="s">
        <v>38</v>
      </c>
      <c r="D87" s="17" t="s">
        <v>39</v>
      </c>
      <c r="E87" s="18" t="s">
        <v>31</v>
      </c>
      <c r="F87" s="19" t="n">
        <v>46023</v>
      </c>
      <c r="G87" s="23" t="n">
        <f t="shared" si="4"/>
        <v>0</v>
      </c>
      <c r="H87" s="23"/>
      <c r="I87" s="23" t="n">
        <v>180673</v>
      </c>
      <c r="J87" s="23" t="n">
        <f>MAX(implant1rodtable[[#This Row],[Stock on hand(opening balance)]]-implant1rodtable[[#This Row],[Forecasted consumption]]+implant1rodtable[[#This Row],[Quantity ]],0)</f>
        <v>0</v>
      </c>
      <c r="K87" s="2"/>
      <c r="L87" s="2"/>
      <c r="M87" s="18"/>
      <c r="N87" s="23"/>
      <c r="O87" s="2"/>
      <c r="P87" s="2"/>
      <c r="Q87" s="24"/>
      <c r="R87" s="2"/>
      <c r="S87" s="2"/>
      <c r="T87" s="18" t="n">
        <v>6</v>
      </c>
      <c r="U87" s="18" t="n">
        <v>12</v>
      </c>
      <c r="V87" s="2" t="n">
        <v>12</v>
      </c>
      <c r="W87" s="3" t="n">
        <f>implant1rodtable[[#This Row],[Closing balance ]]/implant1rodtable[[#This Row],[Forecasted consumption]]</f>
        <v>0</v>
      </c>
      <c r="X87" s="25"/>
    </row>
    <row r="88">
      <c r="B88" s="6" t="s">
        <v>77</v>
      </c>
      <c r="C88" s="18" t="s">
        <v>38</v>
      </c>
      <c r="D88" s="17" t="s">
        <v>39</v>
      </c>
      <c r="E88" s="18" t="s">
        <v>31</v>
      </c>
      <c r="F88" s="19" t="n">
        <v>46054</v>
      </c>
      <c r="G88" s="23" t="n">
        <f t="shared" si="4"/>
        <v>0</v>
      </c>
      <c r="H88" s="23"/>
      <c r="I88" s="23" t="n">
        <v>180673</v>
      </c>
      <c r="J88" s="23" t="n">
        <f>MAX(implant1rodtable[[#This Row],[Stock on hand(opening balance)]]-implant1rodtable[[#This Row],[Forecasted consumption]]+implant1rodtable[[#This Row],[Quantity ]],0)</f>
        <v>0</v>
      </c>
      <c r="K88" s="2"/>
      <c r="L88" s="2"/>
      <c r="M88" s="18"/>
      <c r="N88" s="23"/>
      <c r="O88" s="2"/>
      <c r="P88" s="2"/>
      <c r="Q88" s="24"/>
      <c r="R88" s="2"/>
      <c r="S88" s="2"/>
      <c r="T88" s="18" t="n">
        <v>6</v>
      </c>
      <c r="U88" s="18" t="n">
        <v>12</v>
      </c>
      <c r="V88" s="2" t="n">
        <v>12</v>
      </c>
      <c r="W88" s="3" t="n">
        <f>implant1rodtable[[#This Row],[Closing balance ]]/implant1rodtable[[#This Row],[Forecasted consumption]]</f>
        <v>0</v>
      </c>
      <c r="X88" s="25"/>
    </row>
    <row r="89">
      <c r="B89" s="6" t="s">
        <v>77</v>
      </c>
      <c r="C89" s="18" t="s">
        <v>38</v>
      </c>
      <c r="D89" s="17" t="s">
        <v>39</v>
      </c>
      <c r="E89" s="18" t="s">
        <v>31</v>
      </c>
      <c r="F89" s="19" t="n">
        <v>46082</v>
      </c>
      <c r="G89" s="23" t="n">
        <f t="shared" si="4"/>
        <v>0</v>
      </c>
      <c r="H89" s="23"/>
      <c r="I89" s="23" t="n">
        <v>180673</v>
      </c>
      <c r="J89" s="23" t="n">
        <f>MAX(implant1rodtable[[#This Row],[Stock on hand(opening balance)]]-implant1rodtable[[#This Row],[Forecasted consumption]]+implant1rodtable[[#This Row],[Quantity ]],0)</f>
        <v>0</v>
      </c>
      <c r="K89" s="2"/>
      <c r="L89" s="2"/>
      <c r="M89" s="18"/>
      <c r="N89" s="23"/>
      <c r="O89" s="2"/>
      <c r="P89" s="2"/>
      <c r="Q89" s="24"/>
      <c r="R89" s="2"/>
      <c r="S89" s="2"/>
      <c r="T89" s="18" t="n">
        <v>6</v>
      </c>
      <c r="U89" s="18" t="n">
        <v>12</v>
      </c>
      <c r="V89" s="2" t="n">
        <v>12</v>
      </c>
      <c r="W89" s="3" t="n">
        <f>implant1rodtable[[#This Row],[Closing balance ]]/implant1rodtable[[#This Row],[Forecasted consumption]]</f>
        <v>0</v>
      </c>
      <c r="X89" s="25"/>
    </row>
    <row r="90">
      <c r="B90" s="6" t="s">
        <v>77</v>
      </c>
      <c r="C90" s="18" t="s">
        <v>38</v>
      </c>
      <c r="D90" s="17" t="s">
        <v>39</v>
      </c>
      <c r="E90" s="18" t="s">
        <v>31</v>
      </c>
      <c r="F90" s="19" t="n">
        <v>46113</v>
      </c>
      <c r="G90" s="23" t="n">
        <f t="shared" si="4"/>
        <v>0</v>
      </c>
      <c r="H90" s="23"/>
      <c r="I90" s="23" t="n">
        <v>180673</v>
      </c>
      <c r="J90" s="23" t="n">
        <f>MAX(implant1rodtable[[#This Row],[Stock on hand(opening balance)]]-implant1rodtable[[#This Row],[Forecasted consumption]]+implant1rodtable[[#This Row],[Quantity ]],0)</f>
        <v>0</v>
      </c>
      <c r="K90" s="2"/>
      <c r="L90" s="2"/>
      <c r="M90" s="18"/>
      <c r="N90" s="23"/>
      <c r="O90" s="2"/>
      <c r="P90" s="2"/>
      <c r="Q90" s="24"/>
      <c r="R90" s="2"/>
      <c r="S90" s="2"/>
      <c r="T90" s="18" t="n">
        <v>6</v>
      </c>
      <c r="U90" s="18" t="n">
        <v>12</v>
      </c>
      <c r="V90" s="2" t="n">
        <v>12</v>
      </c>
      <c r="W90" s="3" t="n">
        <f>implant1rodtable[[#This Row],[Closing balance ]]/implant1rodtable[[#This Row],[Forecasted consumption]]</f>
        <v>0</v>
      </c>
      <c r="X90" s="25"/>
    </row>
    <row r="91">
      <c r="B91" s="6" t="s">
        <v>77</v>
      </c>
      <c r="C91" s="18" t="s">
        <v>38</v>
      </c>
      <c r="D91" s="17" t="s">
        <v>39</v>
      </c>
      <c r="E91" s="18" t="s">
        <v>31</v>
      </c>
      <c r="F91" s="19" t="n">
        <v>46143</v>
      </c>
      <c r="G91" s="23" t="n">
        <f t="shared" si="4"/>
        <v>0</v>
      </c>
      <c r="H91" s="23"/>
      <c r="I91" s="23" t="n">
        <v>180673</v>
      </c>
      <c r="J91" s="23" t="n">
        <f>MAX(implant1rodtable[[#This Row],[Stock on hand(opening balance)]]-implant1rodtable[[#This Row],[Forecasted consumption]]+implant1rodtable[[#This Row],[Quantity ]],0)</f>
        <v>0</v>
      </c>
      <c r="K91" s="2"/>
      <c r="L91" s="2"/>
      <c r="M91" s="18"/>
      <c r="N91" s="23"/>
      <c r="O91" s="2"/>
      <c r="P91" s="2"/>
      <c r="Q91" s="24"/>
      <c r="R91" s="2"/>
      <c r="S91" s="2"/>
      <c r="T91" s="18" t="n">
        <v>6</v>
      </c>
      <c r="U91" s="18" t="n">
        <v>12</v>
      </c>
      <c r="V91" s="2" t="n">
        <v>12</v>
      </c>
      <c r="W91" s="3" t="n">
        <f>implant1rodtable[[#This Row],[Closing balance ]]/implant1rodtable[[#This Row],[Forecasted consumption]]</f>
        <v>0</v>
      </c>
      <c r="X91" s="25"/>
    </row>
    <row r="92">
      <c r="B92" s="6" t="s">
        <v>77</v>
      </c>
      <c r="C92" s="18" t="s">
        <v>38</v>
      </c>
      <c r="D92" s="17" t="s">
        <v>39</v>
      </c>
      <c r="E92" s="18" t="s">
        <v>31</v>
      </c>
      <c r="F92" s="19" t="n">
        <v>46174</v>
      </c>
      <c r="G92" s="23" t="n">
        <f t="shared" si="4"/>
        <v>0</v>
      </c>
      <c r="H92" s="23"/>
      <c r="I92" s="23" t="n">
        <v>180673</v>
      </c>
      <c r="J92" s="23" t="n">
        <f>MAX(implant1rodtable[[#This Row],[Stock on hand(opening balance)]]-implant1rodtable[[#This Row],[Forecasted consumption]]+implant1rodtable[[#This Row],[Quantity ]],0)</f>
        <v>0</v>
      </c>
      <c r="K92" s="2"/>
      <c r="L92" s="2"/>
      <c r="M92" s="18"/>
      <c r="N92" s="23"/>
      <c r="O92" s="2"/>
      <c r="P92" s="2"/>
      <c r="Q92" s="24"/>
      <c r="R92" s="2"/>
      <c r="S92" s="2"/>
      <c r="T92" s="18" t="n">
        <v>6</v>
      </c>
      <c r="U92" s="18" t="n">
        <v>12</v>
      </c>
      <c r="V92" s="2" t="n">
        <v>12</v>
      </c>
      <c r="W92" s="3" t="n">
        <f>implant1rodtable[[#This Row],[Closing balance ]]/implant1rodtable[[#This Row],[Forecasted consumption]]</f>
        <v>0</v>
      </c>
      <c r="X92" s="25"/>
    </row>
    <row r="93">
      <c r="B93" s="6" t="s">
        <v>74</v>
      </c>
      <c r="C93" s="18" t="s">
        <v>38</v>
      </c>
      <c r="D93" s="17" t="s">
        <v>39</v>
      </c>
      <c r="E93" s="18" t="s">
        <v>31</v>
      </c>
      <c r="F93" s="19" t="n">
        <v>45870</v>
      </c>
      <c r="G93" s="23" t="n">
        <v>256580</v>
      </c>
      <c r="H93" s="23"/>
      <c r="I93" s="23" t="n">
        <v>10000</v>
      </c>
      <c r="J93" s="23" t="n">
        <f>MAX(implant1rodtable[[#This Row],[Stock on hand(opening balance)]]-implant1rodtable[[#This Row],[Forecasted consumption]]+implant1rodtable[[#This Row],[Quantity ]],0)</f>
        <v>287332</v>
      </c>
      <c r="K93" s="2" t="s">
        <v>51</v>
      </c>
      <c r="L93" s="2" t="s">
        <v>51</v>
      </c>
      <c r="M93" s="18" t="s">
        <v>147</v>
      </c>
      <c r="N93" s="23" t="n">
        <v>40752</v>
      </c>
      <c r="O93" s="2"/>
      <c r="P93" s="2"/>
      <c r="Q93" s="24"/>
      <c r="R93" s="2"/>
      <c r="S93" s="2"/>
      <c r="T93" s="2" t="n">
        <v>3</v>
      </c>
      <c r="U93" s="2" t="n">
        <v>6</v>
      </c>
      <c r="V93" s="2" t="n">
        <v>6</v>
      </c>
      <c r="W93" s="3" t="n">
        <f>implant1rodtable[[#This Row],[Closing balance ]]/implant1rodtable[[#This Row],[Forecasted consumption]]</f>
        <v>28.7332</v>
      </c>
      <c r="X93" s="25"/>
    </row>
    <row r="94">
      <c r="B94" s="6" t="s">
        <v>74</v>
      </c>
      <c r="C94" s="18" t="s">
        <v>38</v>
      </c>
      <c r="D94" s="17" t="s">
        <v>39</v>
      </c>
      <c r="E94" s="18" t="s">
        <v>31</v>
      </c>
      <c r="F94" s="19" t="n">
        <v>45901</v>
      </c>
      <c r="G94" s="23" t="n">
        <f>J93</f>
        <v>287332</v>
      </c>
      <c r="H94" s="23"/>
      <c r="I94" s="23" t="n">
        <v>10000</v>
      </c>
      <c r="J94" s="23" t="n">
        <f>MAX(implant1rodtable[[#This Row],[Stock on hand(opening balance)]]-implant1rodtable[[#This Row],[Forecasted consumption]]+implant1rodtable[[#This Row],[Quantity ]],0)</f>
        <v>277332</v>
      </c>
      <c r="K94" s="2"/>
      <c r="L94" s="2"/>
      <c r="M94" s="18"/>
      <c r="N94" s="23"/>
      <c r="O94" s="2"/>
      <c r="P94" s="2"/>
      <c r="Q94" s="24"/>
      <c r="R94" s="2"/>
      <c r="S94" s="2"/>
      <c r="T94" s="2" t="n">
        <v>3</v>
      </c>
      <c r="U94" s="2" t="n">
        <v>6</v>
      </c>
      <c r="V94" s="2" t="n">
        <v>6</v>
      </c>
      <c r="W94" s="3" t="n">
        <f>implant1rodtable[[#This Row],[Closing balance ]]/implant1rodtable[[#This Row],[Forecasted consumption]]</f>
        <v>27.7332</v>
      </c>
      <c r="X94" s="25"/>
    </row>
    <row r="95">
      <c r="B95" s="6" t="s">
        <v>74</v>
      </c>
      <c r="C95" s="18" t="s">
        <v>38</v>
      </c>
      <c r="D95" s="17" t="s">
        <v>39</v>
      </c>
      <c r="E95" s="18" t="s">
        <v>31</v>
      </c>
      <c r="F95" s="19" t="n">
        <v>45931</v>
      </c>
      <c r="G95" s="23" t="n">
        <f t="shared" ref="G95:G105" si="5">J94</f>
        <v>277332</v>
      </c>
      <c r="H95" s="23"/>
      <c r="I95" s="23" t="n">
        <v>10000</v>
      </c>
      <c r="J95" s="23" t="n">
        <f>MAX(implant1rodtable[[#This Row],[Stock on hand(opening balance)]]-implant1rodtable[[#This Row],[Forecasted consumption]]+implant1rodtable[[#This Row],[Quantity ]],0)</f>
        <v>300164</v>
      </c>
      <c r="K95" s="2" t="s">
        <v>51</v>
      </c>
      <c r="L95" s="2" t="s">
        <v>51</v>
      </c>
      <c r="M95" s="18" t="s">
        <v>147</v>
      </c>
      <c r="N95" s="23" t="n">
        <v>32832</v>
      </c>
      <c r="O95" s="2"/>
      <c r="P95" s="2"/>
      <c r="Q95" s="24"/>
      <c r="R95" s="2"/>
      <c r="S95" s="2"/>
      <c r="T95" s="2" t="n">
        <v>3</v>
      </c>
      <c r="U95" s="2" t="n">
        <v>6</v>
      </c>
      <c r="V95" s="2" t="n">
        <v>6</v>
      </c>
      <c r="W95" s="3" t="n">
        <f>implant1rodtable[[#This Row],[Closing balance ]]/implant1rodtable[[#This Row],[Forecasted consumption]]</f>
        <v>30.016400000000001</v>
      </c>
      <c r="X95" s="25"/>
    </row>
    <row r="96">
      <c r="B96" s="6" t="s">
        <v>74</v>
      </c>
      <c r="C96" s="18" t="s">
        <v>38</v>
      </c>
      <c r="D96" s="17" t="s">
        <v>39</v>
      </c>
      <c r="E96" s="18" t="s">
        <v>31</v>
      </c>
      <c r="F96" s="19" t="n">
        <v>45962</v>
      </c>
      <c r="G96" s="23" t="n">
        <f t="shared" si="5"/>
        <v>300164</v>
      </c>
      <c r="H96" s="23"/>
      <c r="I96" s="23" t="n">
        <v>10000</v>
      </c>
      <c r="J96" s="23" t="n">
        <f>MAX(implant1rodtable[[#This Row],[Stock on hand(opening balance)]]-implant1rodtable[[#This Row],[Forecasted consumption]]+implant1rodtable[[#This Row],[Quantity ]],0)</f>
        <v>290164</v>
      </c>
      <c r="K96" s="2"/>
      <c r="L96" s="2"/>
      <c r="M96" s="18"/>
      <c r="N96" s="23"/>
      <c r="O96" s="2"/>
      <c r="P96" s="2"/>
      <c r="Q96" s="24"/>
      <c r="R96" s="2"/>
      <c r="S96" s="2"/>
      <c r="T96" s="2" t="n">
        <v>3</v>
      </c>
      <c r="U96" s="2" t="n">
        <v>6</v>
      </c>
      <c r="V96" s="2" t="n">
        <v>6</v>
      </c>
      <c r="W96" s="3" t="n">
        <f>implant1rodtable[[#This Row],[Closing balance ]]/implant1rodtable[[#This Row],[Forecasted consumption]]</f>
        <v>29.016400000000001</v>
      </c>
      <c r="X96" s="25"/>
    </row>
    <row r="97">
      <c r="B97" s="6" t="s">
        <v>74</v>
      </c>
      <c r="C97" s="18" t="s">
        <v>38</v>
      </c>
      <c r="D97" s="17" t="s">
        <v>39</v>
      </c>
      <c r="E97" s="18" t="s">
        <v>31</v>
      </c>
      <c r="F97" s="19" t="n">
        <v>45992</v>
      </c>
      <c r="G97" s="23" t="n">
        <f t="shared" si="5"/>
        <v>290164</v>
      </c>
      <c r="H97" s="23"/>
      <c r="I97" s="23" t="n">
        <v>10000</v>
      </c>
      <c r="J97" s="23" t="n">
        <f>MAX(implant1rodtable[[#This Row],[Stock on hand(opening balance)]]-implant1rodtable[[#This Row],[Forecasted consumption]]+implant1rodtable[[#This Row],[Quantity ]],0)</f>
        <v>280164</v>
      </c>
      <c r="K97" s="2"/>
      <c r="L97" s="2"/>
      <c r="M97" s="18"/>
      <c r="N97" s="23"/>
      <c r="O97" s="2"/>
      <c r="P97" s="2"/>
      <c r="Q97" s="24"/>
      <c r="R97" s="2"/>
      <c r="S97" s="2"/>
      <c r="T97" s="2" t="n">
        <v>3</v>
      </c>
      <c r="U97" s="2" t="n">
        <v>6</v>
      </c>
      <c r="V97" s="2" t="n">
        <v>6</v>
      </c>
      <c r="W97" s="3" t="n">
        <f>implant1rodtable[[#This Row],[Closing balance ]]/implant1rodtable[[#This Row],[Forecasted consumption]]</f>
        <v>28.016400000000001</v>
      </c>
      <c r="X97" s="25"/>
    </row>
    <row r="98">
      <c r="B98" s="6" t="s">
        <v>74</v>
      </c>
      <c r="C98" s="18" t="s">
        <v>38</v>
      </c>
      <c r="D98" s="17" t="s">
        <v>39</v>
      </c>
      <c r="E98" s="18" t="s">
        <v>31</v>
      </c>
      <c r="F98" s="19" t="n">
        <v>46023</v>
      </c>
      <c r="G98" s="23" t="n">
        <f t="shared" si="5"/>
        <v>280164</v>
      </c>
      <c r="H98" s="23"/>
      <c r="I98" s="23" t="n">
        <v>24987</v>
      </c>
      <c r="J98" s="23" t="n">
        <f>MAX(implant1rodtable[[#This Row],[Stock on hand(opening balance)]]-implant1rodtable[[#This Row],[Forecasted consumption]]+implant1rodtable[[#This Row],[Quantity ]],0)</f>
        <v>255177</v>
      </c>
      <c r="K98" s="2"/>
      <c r="L98" s="2"/>
      <c r="M98" s="18"/>
      <c r="N98" s="23"/>
      <c r="O98" s="2"/>
      <c r="P98" s="2"/>
      <c r="Q98" s="24"/>
      <c r="R98" s="2"/>
      <c r="S98" s="2"/>
      <c r="T98" s="2" t="n">
        <v>3</v>
      </c>
      <c r="U98" s="2" t="n">
        <v>6</v>
      </c>
      <c r="V98" s="2" t="n">
        <v>6</v>
      </c>
      <c r="W98" s="3" t="n">
        <f>implant1rodtable[[#This Row],[Closing balance ]]/implant1rodtable[[#This Row],[Forecasted consumption]]</f>
        <v>10.212390443030376</v>
      </c>
      <c r="X98" s="25"/>
    </row>
    <row r="99">
      <c r="B99" s="6" t="s">
        <v>74</v>
      </c>
      <c r="C99" s="18" t="s">
        <v>38</v>
      </c>
      <c r="D99" s="17" t="s">
        <v>39</v>
      </c>
      <c r="E99" s="18" t="s">
        <v>31</v>
      </c>
      <c r="F99" s="19" t="n">
        <v>46054</v>
      </c>
      <c r="G99" s="23" t="n">
        <f t="shared" si="5"/>
        <v>255177</v>
      </c>
      <c r="H99" s="23"/>
      <c r="I99" s="23" t="n">
        <v>25003</v>
      </c>
      <c r="J99" s="23" t="n">
        <f>MAX(implant1rodtable[[#This Row],[Stock on hand(opening balance)]]-implant1rodtable[[#This Row],[Forecasted consumption]]+implant1rodtable[[#This Row],[Quantity ]],0)</f>
        <v>230174</v>
      </c>
      <c r="K99" s="2"/>
      <c r="L99" s="2"/>
      <c r="M99" s="18"/>
      <c r="N99" s="23"/>
      <c r="O99" s="2"/>
      <c r="P99" s="2"/>
      <c r="Q99" s="24"/>
      <c r="R99" s="2"/>
      <c r="S99" s="2"/>
      <c r="T99" s="2" t="n">
        <v>3</v>
      </c>
      <c r="U99" s="2" t="n">
        <v>6</v>
      </c>
      <c r="V99" s="2" t="n">
        <v>6</v>
      </c>
      <c r="W99" s="3" t="n">
        <f>implant1rodtable[[#This Row],[Closing balance ]]/implant1rodtable[[#This Row],[Forecasted consumption]]</f>
        <v>9.205855297364316</v>
      </c>
      <c r="X99" s="25"/>
    </row>
    <row r="100">
      <c r="B100" s="6" t="s">
        <v>74</v>
      </c>
      <c r="C100" s="18" t="s">
        <v>38</v>
      </c>
      <c r="D100" s="17" t="s">
        <v>39</v>
      </c>
      <c r="E100" s="18" t="s">
        <v>31</v>
      </c>
      <c r="F100" s="19" t="n">
        <v>46082</v>
      </c>
      <c r="G100" s="23" t="n">
        <f t="shared" si="5"/>
        <v>230174</v>
      </c>
      <c r="H100" s="23"/>
      <c r="I100" s="23" t="n">
        <v>11000</v>
      </c>
      <c r="J100" s="23" t="n">
        <f>MAX(implant1rodtable[[#This Row],[Stock on hand(opening balance)]]-implant1rodtable[[#This Row],[Forecasted consumption]]+implant1rodtable[[#This Row],[Quantity ]],0)</f>
        <v>219174</v>
      </c>
      <c r="K100" s="2"/>
      <c r="L100" s="2"/>
      <c r="M100" s="18"/>
      <c r="N100" s="23"/>
      <c r="O100" s="2"/>
      <c r="P100" s="2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3" t="n">
        <f>implant1rodtable[[#This Row],[Closing balance ]]/implant1rodtable[[#This Row],[Forecasted consumption]]</f>
        <v>19.92490909090909</v>
      </c>
      <c r="X100" s="25"/>
    </row>
    <row r="101">
      <c r="B101" s="6" t="s">
        <v>74</v>
      </c>
      <c r="C101" s="18" t="s">
        <v>38</v>
      </c>
      <c r="D101" s="17" t="s">
        <v>39</v>
      </c>
      <c r="E101" s="18" t="s">
        <v>31</v>
      </c>
      <c r="F101" s="19" t="n">
        <v>46113</v>
      </c>
      <c r="G101" s="23" t="n">
        <f t="shared" si="5"/>
        <v>219174</v>
      </c>
      <c r="H101" s="23"/>
      <c r="I101" s="23" t="n">
        <v>11000</v>
      </c>
      <c r="J101" s="23" t="n">
        <f>MAX(implant1rodtable[[#This Row],[Stock on hand(opening balance)]]-implant1rodtable[[#This Row],[Forecasted consumption]]+implant1rodtable[[#This Row],[Quantity ]],0)</f>
        <v>208174</v>
      </c>
      <c r="K101" s="2"/>
      <c r="L101" s="2"/>
      <c r="M101" s="18"/>
      <c r="N101" s="23"/>
      <c r="O101" s="2"/>
      <c r="P101" s="2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3" t="n">
        <f>implant1rodtable[[#This Row],[Closing balance ]]/implant1rodtable[[#This Row],[Forecasted consumption]]</f>
        <v>18.92490909090909</v>
      </c>
      <c r="X101" s="25"/>
    </row>
    <row r="102">
      <c r="B102" s="6" t="s">
        <v>74</v>
      </c>
      <c r="C102" s="18" t="s">
        <v>38</v>
      </c>
      <c r="D102" s="17" t="s">
        <v>39</v>
      </c>
      <c r="E102" s="18" t="s">
        <v>31</v>
      </c>
      <c r="F102" s="19" t="n">
        <v>46143</v>
      </c>
      <c r="G102" s="23" t="n">
        <f t="shared" si="5"/>
        <v>208174</v>
      </c>
      <c r="H102" s="23"/>
      <c r="I102" s="23" t="n">
        <v>11000</v>
      </c>
      <c r="J102" s="23" t="n">
        <f>MAX(implant1rodtable[[#This Row],[Stock on hand(opening balance)]]-implant1rodtable[[#This Row],[Forecasted consumption]]+implant1rodtable[[#This Row],[Quantity ]],0)</f>
        <v>197174</v>
      </c>
      <c r="K102" s="2"/>
      <c r="L102" s="2"/>
      <c r="M102" s="18"/>
      <c r="N102" s="23"/>
      <c r="O102" s="2"/>
      <c r="P102" s="2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3" t="n">
        <f>implant1rodtable[[#This Row],[Closing balance ]]/implant1rodtable[[#This Row],[Forecasted consumption]]</f>
        <v>17.92490909090909</v>
      </c>
      <c r="X102" s="25"/>
    </row>
    <row r="103">
      <c r="B103" s="6" t="s">
        <v>74</v>
      </c>
      <c r="C103" s="18" t="s">
        <v>38</v>
      </c>
      <c r="D103" s="17" t="s">
        <v>39</v>
      </c>
      <c r="E103" s="18" t="s">
        <v>31</v>
      </c>
      <c r="F103" s="19" t="n">
        <v>46174</v>
      </c>
      <c r="G103" s="23" t="n">
        <f t="shared" si="5"/>
        <v>197174</v>
      </c>
      <c r="H103" s="23"/>
      <c r="I103" s="23" t="n">
        <v>11000</v>
      </c>
      <c r="J103" s="23" t="n">
        <f>MAX(implant1rodtable[[#This Row],[Stock on hand(opening balance)]]-implant1rodtable[[#This Row],[Forecasted consumption]]+implant1rodtable[[#This Row],[Quantity ]],0)</f>
        <v>186174</v>
      </c>
      <c r="K103" s="2"/>
      <c r="L103" s="2"/>
      <c r="M103" s="18"/>
      <c r="N103" s="23"/>
      <c r="O103" s="2"/>
      <c r="P103" s="2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3" t="n">
        <f>implant1rodtable[[#This Row],[Closing balance ]]/implant1rodtable[[#This Row],[Forecasted consumption]]</f>
        <v>16.92490909090909</v>
      </c>
      <c r="X103" s="25"/>
    </row>
    <row r="104">
      <c r="B104" s="6" t="s">
        <v>74</v>
      </c>
      <c r="C104" s="18" t="s">
        <v>38</v>
      </c>
      <c r="D104" s="17" t="s">
        <v>39</v>
      </c>
      <c r="E104" s="18" t="s">
        <v>31</v>
      </c>
      <c r="F104" s="19" t="n">
        <v>46204</v>
      </c>
      <c r="G104" s="23" t="n">
        <f t="shared" si="5"/>
        <v>186174</v>
      </c>
      <c r="H104" s="23"/>
      <c r="I104" s="23" t="n">
        <v>11000</v>
      </c>
      <c r="J104" s="23" t="n">
        <f>MAX(implant1rodtable[[#This Row],[Stock on hand(opening balance)]]-implant1rodtable[[#This Row],[Forecasted consumption]]+implant1rodtable[[#This Row],[Quantity ]],0)</f>
        <v>175174</v>
      </c>
      <c r="K104" s="2"/>
      <c r="L104" s="2"/>
      <c r="M104" s="18"/>
      <c r="N104" s="23"/>
      <c r="O104" s="2"/>
      <c r="P104" s="2"/>
      <c r="Q104" s="24"/>
      <c r="R104" s="2"/>
      <c r="S104" s="2"/>
      <c r="T104" s="2" t="n">
        <v>3</v>
      </c>
      <c r="U104" s="2" t="n">
        <v>6</v>
      </c>
      <c r="V104" s="2" t="n">
        <v>6</v>
      </c>
      <c r="W104" s="3" t="n">
        <f>implant1rodtable[[#This Row],[Closing balance ]]/implant1rodtable[[#This Row],[Forecasted consumption]]</f>
        <v>15.924909090909091</v>
      </c>
      <c r="X104" s="25"/>
    </row>
    <row r="105">
      <c r="B105" s="6" t="s">
        <v>74</v>
      </c>
      <c r="C105" s="18" t="s">
        <v>38</v>
      </c>
      <c r="D105" s="17" t="s">
        <v>39</v>
      </c>
      <c r="E105" s="18" t="s">
        <v>31</v>
      </c>
      <c r="F105" s="19" t="n">
        <v>46235</v>
      </c>
      <c r="G105" s="23" t="n">
        <f t="shared" si="5"/>
        <v>175174</v>
      </c>
      <c r="H105" s="23"/>
      <c r="I105" s="23" t="n">
        <v>11000</v>
      </c>
      <c r="J105" s="23" t="n">
        <f>MAX(implant1rodtable[[#This Row],[Stock on hand(opening balance)]]-implant1rodtable[[#This Row],[Forecasted consumption]]+implant1rodtable[[#This Row],[Quantity ]],0)</f>
        <v>164174</v>
      </c>
      <c r="K105" s="2"/>
      <c r="L105" s="2"/>
      <c r="M105" s="18"/>
      <c r="N105" s="23"/>
      <c r="O105" s="2"/>
      <c r="P105" s="2"/>
      <c r="Q105" s="24"/>
      <c r="R105" s="2"/>
      <c r="S105" s="2"/>
      <c r="T105" s="2" t="n">
        <v>3</v>
      </c>
      <c r="U105" s="2" t="n">
        <v>6</v>
      </c>
      <c r="V105" s="2" t="n">
        <v>6</v>
      </c>
      <c r="W105" s="3" t="n">
        <f>implant1rodtable[[#This Row],[Closing balance ]]/implant1rodtable[[#This Row],[Forecasted consumption]]</f>
        <v>14.924909090909091</v>
      </c>
      <c r="X105" s="25"/>
    </row>
  </sheetData>
  <dataValidations count="3">
    <dataValidation type="list" allowBlank="1" showInputMessage="1" showErrorMessage="1" sqref="M106:M191" xr:uid="{33339CF7-9788-4118-A995-F7D352889F0B}">
      <formula1>"Committed,  Placed, Expected Deliveries, Received, cancelled"</formula1>
    </dataValidation>
    <dataValidation type="list" allowBlank="1" showInputMessage="1" showErrorMessage="1" sqref="E7:E105" xr:uid="{8440FCF9-D321-4093-8AAA-2F06E5AE4EF9}">
      <formula1>"All levels, Central, Central and Regional, Facilities "</formula1>
    </dataValidation>
    <dataValidation type="list" allowBlank="1" showInputMessage="1" showErrorMessage="1" sqref="M7:M105" xr:uid="{5B35F9BB-C32A-44D8-94A4-5870F1D404DC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500D05-C202-463B-BEFC-4148E53046CA}">
          <x14:formula1>
            <xm:f>'product list '!$A$30</xm:f>
          </x14:formula1>
          <xm:sqref>C7:C105</xm:sqref>
        </x14:dataValidation>
        <x14:dataValidation type="list" allowBlank="1" showInputMessage="1" showErrorMessage="1" xr:uid="{D002B266-50A8-4674-80EB-04D1830E6258}">
          <x14:formula1>
            <xm:f>'choices countries '!$B$3:$B$12</xm:f>
          </x14:formula1>
          <xm:sqref>B7:B492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75</v>
      </c>
      <c r="C7" s="17" t="s">
        <v>40</v>
      </c>
      <c r="D7" s="17" t="s">
        <v>39</v>
      </c>
      <c r="E7" s="18" t="s">
        <v>31</v>
      </c>
      <c r="F7" s="19" t="n">
        <v>45748</v>
      </c>
      <c r="G7" s="20" t="n">
        <v>67753</v>
      </c>
      <c r="H7" s="20"/>
      <c r="I7" s="20" t="n">
        <v>12004</v>
      </c>
      <c r="J7" s="20" t="n">
        <f>MAX(Implant3yrstable[[#This Row],[Stock on hand(opening balance)]]+Implant3yrstable[[#This Row],[Quantity ]]-Implant3yrstable[[#This Row],[Forecasted consumption]],0)</f>
        <v>55749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6</v>
      </c>
      <c r="U7" s="18" t="n">
        <v>12</v>
      </c>
      <c r="V7" s="18" t="n">
        <v>12</v>
      </c>
      <c r="W7" s="20" t="n">
        <f>Implant3yrstable[[#This Row],[Closing balance ]]/Implant3yrstable[[#This Row],[Forecasted consumption]]</f>
        <v>4.6442019326891035</v>
      </c>
      <c r="X7" s="22"/>
    </row>
    <row r="8">
      <c r="B8" s="6" t="s">
        <v>75</v>
      </c>
      <c r="C8" s="17" t="s">
        <v>40</v>
      </c>
      <c r="D8" s="17" t="s">
        <v>39</v>
      </c>
      <c r="E8" s="18" t="s">
        <v>31</v>
      </c>
      <c r="F8" s="19" t="n">
        <v>45778</v>
      </c>
      <c r="G8" s="23" t="n">
        <f>J7</f>
        <v>55749</v>
      </c>
      <c r="H8" s="23"/>
      <c r="I8" s="23" t="n">
        <v>12394</v>
      </c>
      <c r="J8" s="23" t="n">
        <f>MAX(Implant3yrstable[[#This Row],[Stock on hand(opening balance)]]+Implant3yrstable[[#This Row],[Quantity ]]-Implant3yrstable[[#This Row],[Forecasted consumption]],0)</f>
        <v>43355</v>
      </c>
      <c r="K8" s="2"/>
      <c r="L8" s="2"/>
      <c r="M8" s="18"/>
      <c r="N8" s="23"/>
      <c r="O8" s="2"/>
      <c r="P8" s="2"/>
      <c r="Q8" s="24"/>
      <c r="R8" s="2"/>
      <c r="S8" s="2"/>
      <c r="T8" s="18" t="n">
        <v>6</v>
      </c>
      <c r="U8" s="18" t="n">
        <v>12</v>
      </c>
      <c r="V8" s="18" t="n">
        <v>12</v>
      </c>
      <c r="W8" s="20" t="n">
        <f>Implant3yrstable[[#This Row],[Closing balance ]]/Implant3yrstable[[#This Row],[Forecasted consumption]]</f>
        <v>3.4980635791512023</v>
      </c>
      <c r="X8" s="25"/>
    </row>
    <row r="9">
      <c r="B9" s="6" t="s">
        <v>75</v>
      </c>
      <c r="C9" s="17" t="s">
        <v>40</v>
      </c>
      <c r="D9" s="17" t="s">
        <v>39</v>
      </c>
      <c r="E9" s="18" t="s">
        <v>31</v>
      </c>
      <c r="F9" s="19" t="n">
        <v>45809</v>
      </c>
      <c r="G9" s="23" t="n">
        <f t="shared" ref="G9:G24" si="0">J8</f>
        <v>43355</v>
      </c>
      <c r="H9" s="23"/>
      <c r="I9" s="23" t="n">
        <v>12457</v>
      </c>
      <c r="J9" s="23" t="n">
        <f>MAX(Implant3yrstable[[#This Row],[Stock on hand(opening balance)]]+Implant3yrstable[[#This Row],[Quantity ]]-Implant3yrstable[[#This Row],[Forecasted consumption]],0)</f>
        <v>30898</v>
      </c>
      <c r="K9" s="2"/>
      <c r="L9" s="2"/>
      <c r="M9" s="18"/>
      <c r="N9" s="23"/>
      <c r="O9" s="2"/>
      <c r="P9" s="2"/>
      <c r="Q9" s="24"/>
      <c r="R9" s="2"/>
      <c r="S9" s="2"/>
      <c r="T9" s="18" t="n">
        <v>6</v>
      </c>
      <c r="U9" s="18" t="n">
        <v>12</v>
      </c>
      <c r="V9" s="18" t="n">
        <v>12</v>
      </c>
      <c r="W9" s="20" t="n">
        <f>Implant3yrstable[[#This Row],[Closing balance ]]/Implant3yrstable[[#This Row],[Forecasted consumption]]</f>
        <v>2.4803724813357952</v>
      </c>
      <c r="X9" s="25"/>
    </row>
    <row r="10">
      <c r="B10" s="6" t="s">
        <v>75</v>
      </c>
      <c r="C10" s="17" t="s">
        <v>40</v>
      </c>
      <c r="D10" s="17" t="s">
        <v>39</v>
      </c>
      <c r="E10" s="18" t="s">
        <v>31</v>
      </c>
      <c r="F10" s="19" t="n">
        <v>45839</v>
      </c>
      <c r="G10" s="23" t="n">
        <f t="shared" si="0"/>
        <v>30898</v>
      </c>
      <c r="H10" s="23"/>
      <c r="I10" s="23" t="n">
        <v>12339</v>
      </c>
      <c r="J10" s="23" t="n">
        <f>MAX(Implant3yrstable[[#This Row],[Stock on hand(opening balance)]]+Implant3yrstable[[#This Row],[Quantity ]]-Implant3yrstable[[#This Row],[Forecasted consumption]],0)</f>
        <v>18559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6</v>
      </c>
      <c r="U10" s="18" t="n">
        <v>12</v>
      </c>
      <c r="V10" s="18" t="n">
        <v>12</v>
      </c>
      <c r="W10" s="20" t="n">
        <f>Implant3yrstable[[#This Row],[Closing balance ]]/Implant3yrstable[[#This Row],[Forecasted consumption]]</f>
        <v>1.5040927141583598</v>
      </c>
      <c r="X10" s="25"/>
    </row>
    <row r="11">
      <c r="B11" s="6" t="s">
        <v>75</v>
      </c>
      <c r="C11" s="17" t="s">
        <v>40</v>
      </c>
      <c r="D11" s="17" t="s">
        <v>39</v>
      </c>
      <c r="E11" s="18" t="s">
        <v>31</v>
      </c>
      <c r="F11" s="19" t="n">
        <v>45870</v>
      </c>
      <c r="G11" s="23" t="n">
        <f t="shared" si="0"/>
        <v>18559</v>
      </c>
      <c r="H11" s="23"/>
      <c r="I11" s="23" t="n">
        <v>11974</v>
      </c>
      <c r="J11" s="23" t="n">
        <f>MAX(Implant3yrstable[[#This Row],[Stock on hand(opening balance)]]+Implant3yrstable[[#This Row],[Quantity ]]-Implant3yrstable[[#This Row],[Forecasted consumption]],0)</f>
        <v>6585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6</v>
      </c>
      <c r="U11" s="18" t="n">
        <v>12</v>
      </c>
      <c r="V11" s="18" t="n">
        <v>12</v>
      </c>
      <c r="W11" s="20" t="n">
        <f>Implant3yrstable[[#This Row],[Closing balance ]]/Implant3yrstable[[#This Row],[Forecasted consumption]]</f>
        <v>0.54994154000334061</v>
      </c>
      <c r="X11" s="25"/>
    </row>
    <row r="12">
      <c r="B12" s="6" t="s">
        <v>75</v>
      </c>
      <c r="C12" s="17" t="s">
        <v>40</v>
      </c>
      <c r="D12" s="17" t="s">
        <v>39</v>
      </c>
      <c r="E12" s="18" t="s">
        <v>31</v>
      </c>
      <c r="F12" s="19" t="n">
        <v>45901</v>
      </c>
      <c r="G12" s="23" t="n">
        <f t="shared" si="0"/>
        <v>6585</v>
      </c>
      <c r="H12" s="23"/>
      <c r="I12" s="23" t="n">
        <v>12139</v>
      </c>
      <c r="J12" s="23" t="n">
        <f>MAX(Implant3yrstable[[#This Row],[Stock on hand(opening balance)]]+Implant3yrstable[[#This Row],[Quantity ]]-Implant3yrstable[[#This Row],[Forecasted consumption]],0)</f>
        <v>151722</v>
      </c>
      <c r="K12" s="2"/>
      <c r="L12" s="2"/>
      <c r="M12" s="18" t="s">
        <v>4</v>
      </c>
      <c r="N12" s="23" t="n">
        <v>157276</v>
      </c>
      <c r="O12" s="2"/>
      <c r="P12" s="2"/>
      <c r="Q12" s="24"/>
      <c r="R12" s="2"/>
      <c r="S12" s="2"/>
      <c r="T12" s="18" t="n">
        <v>6</v>
      </c>
      <c r="U12" s="18" t="n">
        <v>12</v>
      </c>
      <c r="V12" s="18" t="n">
        <v>12</v>
      </c>
      <c r="W12" s="20" t="n">
        <f>Implant3yrstable[[#This Row],[Closing balance ]]/Implant3yrstable[[#This Row],[Forecasted consumption]]</f>
        <v>12.4987231238158</v>
      </c>
      <c r="X12" s="25"/>
    </row>
    <row r="13">
      <c r="B13" s="6" t="s">
        <v>75</v>
      </c>
      <c r="C13" s="17" t="s">
        <v>40</v>
      </c>
      <c r="D13" s="17" t="s">
        <v>39</v>
      </c>
      <c r="E13" s="18" t="s">
        <v>31</v>
      </c>
      <c r="F13" s="19" t="n">
        <v>45931</v>
      </c>
      <c r="G13" s="23" t="n">
        <f t="shared" si="0"/>
        <v>151722</v>
      </c>
      <c r="H13" s="23"/>
      <c r="I13" s="23" t="n">
        <v>12218</v>
      </c>
      <c r="J13" s="23" t="n">
        <f>MAX(Implant3yrstable[[#This Row],[Stock on hand(opening balance)]]+Implant3yrstable[[#This Row],[Quantity ]]-Implant3yrstable[[#This Row],[Forecasted consumption]],0)</f>
        <v>139504</v>
      </c>
      <c r="K13" s="2"/>
      <c r="L13" s="2"/>
      <c r="M13" s="18"/>
      <c r="N13" s="23"/>
      <c r="O13" s="2"/>
      <c r="P13" s="2"/>
      <c r="Q13" s="24"/>
      <c r="R13" s="2"/>
      <c r="S13" s="2"/>
      <c r="T13" s="18" t="n">
        <v>6</v>
      </c>
      <c r="U13" s="18" t="n">
        <v>12</v>
      </c>
      <c r="V13" s="18" t="n">
        <v>12</v>
      </c>
      <c r="W13" s="20" t="n">
        <f>Implant3yrstable[[#This Row],[Closing balance ]]/Implant3yrstable[[#This Row],[Forecasted consumption]]</f>
        <v>11.417908004583401</v>
      </c>
      <c r="X13" s="25"/>
    </row>
    <row r="14">
      <c r="B14" s="6" t="s">
        <v>75</v>
      </c>
      <c r="C14" s="17" t="s">
        <v>40</v>
      </c>
      <c r="D14" s="17" t="s">
        <v>39</v>
      </c>
      <c r="E14" s="18" t="s">
        <v>31</v>
      </c>
      <c r="F14" s="19" t="n">
        <v>45962</v>
      </c>
      <c r="G14" s="23" t="n">
        <f t="shared" si="0"/>
        <v>139504</v>
      </c>
      <c r="H14" s="23"/>
      <c r="I14" s="23" t="n">
        <v>12254</v>
      </c>
      <c r="J14" s="23" t="n">
        <f>MAX(Implant3yrstable[[#This Row],[Stock on hand(opening balance)]]+Implant3yrstable[[#This Row],[Quantity ]]-Implant3yrstable[[#This Row],[Forecasted consumption]],0)</f>
        <v>127250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6</v>
      </c>
      <c r="U14" s="18" t="n">
        <v>12</v>
      </c>
      <c r="V14" s="18" t="n">
        <v>12</v>
      </c>
      <c r="W14" s="20" t="n">
        <f>Implant3yrstable[[#This Row],[Closing balance ]]/Implant3yrstable[[#This Row],[Forecasted consumption]]</f>
        <v>10.384364289211685</v>
      </c>
      <c r="X14" s="25"/>
    </row>
    <row r="15">
      <c r="B15" s="6" t="s">
        <v>75</v>
      </c>
      <c r="C15" s="17" t="s">
        <v>40</v>
      </c>
      <c r="D15" s="17" t="s">
        <v>39</v>
      </c>
      <c r="E15" s="18" t="s">
        <v>31</v>
      </c>
      <c r="F15" s="19" t="n">
        <v>45992</v>
      </c>
      <c r="G15" s="23" t="n">
        <f t="shared" si="0"/>
        <v>127250</v>
      </c>
      <c r="H15" s="23"/>
      <c r="I15" s="23" t="n">
        <v>12230</v>
      </c>
      <c r="J15" s="23" t="n">
        <f>MAX(Implant3yrstable[[#This Row],[Stock on hand(opening balance)]]+Implant3yrstable[[#This Row],[Quantity ]]-Implant3yrstable[[#This Row],[Forecasted consumption]],0)</f>
        <v>115020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6</v>
      </c>
      <c r="U15" s="18" t="n">
        <v>12</v>
      </c>
      <c r="V15" s="18" t="n">
        <v>12</v>
      </c>
      <c r="W15" s="20" t="n">
        <f>Implant3yrstable[[#This Row],[Closing balance ]]/Implant3yrstable[[#This Row],[Forecasted consumption]]</f>
        <v>9.4047424366312349</v>
      </c>
      <c r="X15" s="25"/>
    </row>
    <row r="16">
      <c r="B16" s="6" t="s">
        <v>75</v>
      </c>
      <c r="C16" s="17" t="s">
        <v>40</v>
      </c>
      <c r="D16" s="17" t="s">
        <v>39</v>
      </c>
      <c r="E16" s="18" t="s">
        <v>31</v>
      </c>
      <c r="F16" s="19" t="n">
        <v>46023</v>
      </c>
      <c r="G16" s="23" t="n">
        <f t="shared" si="0"/>
        <v>115020</v>
      </c>
      <c r="H16" s="23"/>
      <c r="I16" s="23" t="n">
        <v>12192</v>
      </c>
      <c r="J16" s="23" t="n">
        <f>MAX(Implant3yrstable[[#This Row],[Stock on hand(opening balance)]]+Implant3yrstable[[#This Row],[Quantity ]]-Implant3yrstable[[#This Row],[Forecasted consumption]],0)</f>
        <v>102828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6</v>
      </c>
      <c r="U16" s="18" t="n">
        <v>12</v>
      </c>
      <c r="V16" s="18" t="n">
        <v>12</v>
      </c>
      <c r="W16" s="20" t="n">
        <f>Implant3yrstable[[#This Row],[Closing balance ]]/Implant3yrstable[[#This Row],[Forecasted consumption]]</f>
        <v>8.434055118110237</v>
      </c>
      <c r="X16" s="25"/>
    </row>
    <row r="17">
      <c r="B17" s="6" t="s">
        <v>75</v>
      </c>
      <c r="C17" s="17" t="s">
        <v>40</v>
      </c>
      <c r="D17" s="17" t="s">
        <v>39</v>
      </c>
      <c r="E17" s="18" t="s">
        <v>31</v>
      </c>
      <c r="F17" s="19" t="n">
        <v>46054</v>
      </c>
      <c r="G17" s="23" t="n">
        <f t="shared" si="0"/>
        <v>102828</v>
      </c>
      <c r="H17" s="23"/>
      <c r="I17" s="23" t="n">
        <v>12168</v>
      </c>
      <c r="J17" s="23" t="n">
        <f>MAX(Implant3yrstable[[#This Row],[Stock on hand(opening balance)]]+Implant3yrstable[[#This Row],[Quantity ]]-Implant3yrstable[[#This Row],[Forecasted consumption]],0)</f>
        <v>90660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6</v>
      </c>
      <c r="U17" s="18" t="n">
        <v>12</v>
      </c>
      <c r="V17" s="18" t="n">
        <v>12</v>
      </c>
      <c r="W17" s="20" t="n">
        <f>Implant3yrstable[[#This Row],[Closing balance ]]/Implant3yrstable[[#This Row],[Forecasted consumption]]</f>
        <v>7.4506903353057199</v>
      </c>
      <c r="X17" s="25"/>
    </row>
    <row r="18">
      <c r="B18" s="6" t="s">
        <v>75</v>
      </c>
      <c r="C18" s="17" t="s">
        <v>40</v>
      </c>
      <c r="D18" s="17" t="s">
        <v>39</v>
      </c>
      <c r="E18" s="18" t="s">
        <v>31</v>
      </c>
      <c r="F18" s="19" t="n">
        <v>46082</v>
      </c>
      <c r="G18" s="23" t="n">
        <f t="shared" si="0"/>
        <v>90660</v>
      </c>
      <c r="H18" s="23"/>
      <c r="I18" s="23" t="n">
        <v>12200</v>
      </c>
      <c r="J18" s="23" t="n">
        <f>MAX(Implant3yrstable[[#This Row],[Stock on hand(opening balance)]]+Implant3yrstable[[#This Row],[Quantity ]]-Implant3yrstable[[#This Row],[Forecasted consumption]],0)</f>
        <v>78460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6</v>
      </c>
      <c r="U18" s="18" t="n">
        <v>12</v>
      </c>
      <c r="V18" s="18" t="n">
        <v>12</v>
      </c>
      <c r="W18" s="20" t="n">
        <f>Implant3yrstable[[#This Row],[Closing balance ]]/Implant3yrstable[[#This Row],[Forecasted consumption]]</f>
        <v>6.4311475409836065</v>
      </c>
      <c r="X18" s="25"/>
    </row>
    <row r="19">
      <c r="B19" s="6" t="s">
        <v>75</v>
      </c>
      <c r="C19" s="17" t="s">
        <v>40</v>
      </c>
      <c r="D19" s="17" t="s">
        <v>39</v>
      </c>
      <c r="E19" s="18" t="s">
        <v>31</v>
      </c>
      <c r="F19" s="19" t="n">
        <v>46113</v>
      </c>
      <c r="G19" s="23" t="n">
        <f t="shared" si="0"/>
        <v>78460</v>
      </c>
      <c r="H19" s="23"/>
      <c r="I19" s="23" t="n">
        <v>12210</v>
      </c>
      <c r="J19" s="23" t="n">
        <f>MAX(Implant3yrstable[[#This Row],[Stock on hand(opening balance)]]+Implant3yrstable[[#This Row],[Quantity ]]-Implant3yrstable[[#This Row],[Forecasted consumption]],0)</f>
        <v>146310</v>
      </c>
      <c r="K19" s="2"/>
      <c r="L19" s="2"/>
      <c r="M19" s="18" t="s">
        <v>4</v>
      </c>
      <c r="N19" s="23" t="n">
        <v>80060</v>
      </c>
      <c r="O19" s="2"/>
      <c r="P19" s="2"/>
      <c r="Q19" s="24"/>
      <c r="R19" s="2"/>
      <c r="S19" s="2"/>
      <c r="T19" s="18" t="n">
        <v>6</v>
      </c>
      <c r="U19" s="18" t="n">
        <v>12</v>
      </c>
      <c r="V19" s="18" t="n">
        <v>12</v>
      </c>
      <c r="W19" s="20" t="n">
        <f>Implant3yrstable[[#This Row],[Closing balance ]]/Implant3yrstable[[#This Row],[Forecasted consumption]]</f>
        <v>11.982800982800983</v>
      </c>
      <c r="X19" s="25"/>
    </row>
    <row r="20">
      <c r="B20" s="6" t="s">
        <v>75</v>
      </c>
      <c r="C20" s="17" t="s">
        <v>40</v>
      </c>
      <c r="D20" s="17" t="s">
        <v>39</v>
      </c>
      <c r="E20" s="18" t="s">
        <v>31</v>
      </c>
      <c r="F20" s="19" t="n">
        <v>46143</v>
      </c>
      <c r="G20" s="23" t="n">
        <f t="shared" si="0"/>
        <v>146310</v>
      </c>
      <c r="H20" s="23"/>
      <c r="I20" s="23" t="n">
        <v>12209</v>
      </c>
      <c r="J20" s="23" t="n">
        <f>MAX(Implant3yrstable[[#This Row],[Stock on hand(opening balance)]]+Implant3yrstable[[#This Row],[Quantity ]]-Implant3yrstable[[#This Row],[Forecasted consumption]],0)</f>
        <v>134101</v>
      </c>
      <c r="K20" s="2"/>
      <c r="L20" s="2"/>
      <c r="M20" s="18"/>
      <c r="N20" s="23"/>
      <c r="O20" s="2"/>
      <c r="P20" s="2"/>
      <c r="Q20" s="24"/>
      <c r="R20" s="2"/>
      <c r="S20" s="2"/>
      <c r="T20" s="18" t="n">
        <v>6</v>
      </c>
      <c r="U20" s="18" t="n">
        <v>12</v>
      </c>
      <c r="V20" s="18" t="n">
        <v>12</v>
      </c>
      <c r="W20" s="20" t="n">
        <f>Implant3yrstable[[#This Row],[Closing balance ]]/Implant3yrstable[[#This Row],[Forecasted consumption]]</f>
        <v>10.983782455565567</v>
      </c>
      <c r="X20" s="25"/>
    </row>
    <row r="21">
      <c r="B21" s="6" t="s">
        <v>75</v>
      </c>
      <c r="C21" s="17" t="s">
        <v>40</v>
      </c>
      <c r="D21" s="17" t="s">
        <v>39</v>
      </c>
      <c r="E21" s="18" t="s">
        <v>31</v>
      </c>
      <c r="F21" s="19" t="n">
        <v>46174</v>
      </c>
      <c r="G21" s="23" t="n">
        <f t="shared" si="0"/>
        <v>134101</v>
      </c>
      <c r="H21" s="23"/>
      <c r="I21" s="23" t="n">
        <v>12202</v>
      </c>
      <c r="J21" s="23" t="n">
        <f>MAX(Implant3yrstable[[#This Row],[Stock on hand(opening balance)]]+Implant3yrstable[[#This Row],[Quantity ]]-Implant3yrstable[[#This Row],[Forecasted consumption]],0)</f>
        <v>121899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6</v>
      </c>
      <c r="U21" s="18" t="n">
        <v>12</v>
      </c>
      <c r="V21" s="18" t="n">
        <v>12</v>
      </c>
      <c r="W21" s="20" t="n">
        <f>Implant3yrstable[[#This Row],[Closing balance ]]/Implant3yrstable[[#This Row],[Forecasted consumption]]</f>
        <v>9.9900835928536313</v>
      </c>
      <c r="X21" s="25"/>
    </row>
    <row r="22">
      <c r="B22" s="6" t="s">
        <v>75</v>
      </c>
      <c r="C22" s="17" t="s">
        <v>40</v>
      </c>
      <c r="D22" s="17" t="s">
        <v>39</v>
      </c>
      <c r="E22" s="18" t="s">
        <v>31</v>
      </c>
      <c r="F22" s="19" t="n">
        <v>46204</v>
      </c>
      <c r="G22" s="23" t="n">
        <f t="shared" si="0"/>
        <v>121899</v>
      </c>
      <c r="H22" s="23"/>
      <c r="I22" s="23" t="n">
        <v>12197</v>
      </c>
      <c r="J22" s="23" t="n">
        <f>MAX(Implant3yrstable[[#This Row],[Stock on hand(opening balance)]]+Implant3yrstable[[#This Row],[Quantity ]]-Implant3yrstable[[#This Row],[Forecasted consumption]],0)</f>
        <v>109702</v>
      </c>
      <c r="K22" s="2"/>
      <c r="L22" s="2"/>
      <c r="M22" s="18"/>
      <c r="N22" s="23"/>
      <c r="O22" s="2"/>
      <c r="P22" s="2"/>
      <c r="Q22" s="24"/>
      <c r="R22" s="2"/>
      <c r="S22" s="2"/>
      <c r="T22" s="18" t="n">
        <v>6</v>
      </c>
      <c r="U22" s="18" t="n">
        <v>12</v>
      </c>
      <c r="V22" s="18" t="n">
        <v>12</v>
      </c>
      <c r="W22" s="20" t="n">
        <f>Implant3yrstable[[#This Row],[Closing balance ]]/Implant3yrstable[[#This Row],[Forecasted consumption]]</f>
        <v>8.9941788964499469</v>
      </c>
      <c r="X22" s="25"/>
    </row>
    <row r="23">
      <c r="B23" s="6" t="s">
        <v>75</v>
      </c>
      <c r="C23" s="17" t="s">
        <v>40</v>
      </c>
      <c r="D23" s="17" t="s">
        <v>39</v>
      </c>
      <c r="E23" s="18" t="s">
        <v>31</v>
      </c>
      <c r="F23" s="19" t="n">
        <v>46235</v>
      </c>
      <c r="G23" s="23" t="n">
        <f t="shared" si="0"/>
        <v>109702</v>
      </c>
      <c r="H23" s="23"/>
      <c r="I23" s="23" t="n">
        <v>12198</v>
      </c>
      <c r="J23" s="23" t="n">
        <f>MAX(Implant3yrstable[[#This Row],[Stock on hand(opening balance)]]+Implant3yrstable[[#This Row],[Quantity ]]-Implant3yrstable[[#This Row],[Forecasted consumption]],0)</f>
        <v>97504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6</v>
      </c>
      <c r="U23" s="18" t="n">
        <v>12</v>
      </c>
      <c r="V23" s="18" t="n">
        <v>12</v>
      </c>
      <c r="W23" s="20" t="n">
        <f>Implant3yrstable[[#This Row],[Closing balance ]]/Implant3yrstable[[#This Row],[Forecasted consumption]]</f>
        <v>7.9934415477947205</v>
      </c>
      <c r="X23" s="25"/>
    </row>
    <row r="24">
      <c r="B24" s="6" t="s">
        <v>75</v>
      </c>
      <c r="C24" s="17" t="s">
        <v>40</v>
      </c>
      <c r="D24" s="17" t="s">
        <v>39</v>
      </c>
      <c r="E24" s="18" t="s">
        <v>31</v>
      </c>
      <c r="F24" s="19" t="n">
        <v>46266</v>
      </c>
      <c r="G24" s="23" t="n">
        <f t="shared" si="0"/>
        <v>97504</v>
      </c>
      <c r="H24" s="23"/>
      <c r="I24" s="23" t="n">
        <v>12203</v>
      </c>
      <c r="J24" s="23" t="n">
        <f>MAX(Implant3yrstable[[#This Row],[Stock on hand(opening balance)]]+Implant3yrstable[[#This Row],[Quantity ]]-Implant3yrstable[[#This Row],[Forecasted consumption]],0)</f>
        <v>85301</v>
      </c>
      <c r="K24" s="2"/>
      <c r="L24" s="2"/>
      <c r="M24" s="18"/>
      <c r="N24" s="23"/>
      <c r="O24" s="2"/>
      <c r="P24" s="2"/>
      <c r="Q24" s="24"/>
      <c r="R24" s="2"/>
      <c r="S24" s="2"/>
      <c r="T24" s="18" t="n">
        <v>6</v>
      </c>
      <c r="U24" s="18" t="n">
        <v>12</v>
      </c>
      <c r="V24" s="18" t="n">
        <v>12</v>
      </c>
      <c r="W24" s="20" t="n">
        <f>Implant3yrstable[[#This Row],[Closing balance ]]/Implant3yrstable[[#This Row],[Forecasted consumption]]</f>
        <v>6.9901663525362618</v>
      </c>
      <c r="X24" s="25"/>
    </row>
    <row r="25">
      <c r="B25" s="6" t="s">
        <v>76</v>
      </c>
      <c r="C25" s="17" t="s">
        <v>40</v>
      </c>
      <c r="D25" s="17" t="s">
        <v>39</v>
      </c>
      <c r="E25" s="18" t="s">
        <v>31</v>
      </c>
      <c r="F25" s="19" t="n">
        <v>45748</v>
      </c>
      <c r="G25" s="20"/>
      <c r="H25" s="20"/>
      <c r="I25" s="20" t="n">
        <v>3551</v>
      </c>
      <c r="J25" s="20" t="n">
        <f>MAX(Implant3yrstable[[#This Row],[Stock on hand(opening balance)]]+Implant3yrstable[[#This Row],[Quantity ]]-Implant3yrstable[[#This Row],[Forecasted consumption]],0)</f>
        <v>0</v>
      </c>
      <c r="K25" s="18"/>
      <c r="L25" s="18"/>
      <c r="M25" s="18"/>
      <c r="N25" s="20"/>
      <c r="O25" s="18"/>
      <c r="P25" s="18"/>
      <c r="Q25" s="19"/>
      <c r="R25" s="18"/>
      <c r="S25" s="18"/>
      <c r="T25" s="18"/>
      <c r="U25" s="18"/>
      <c r="V25" s="18"/>
      <c r="W25" s="20" t="n">
        <f>Implant3yrstable[[#This Row],[Closing balance ]]/Implant3yrstable[[#This Row],[Forecasted consumption]]</f>
        <v>0</v>
      </c>
      <c r="X25" s="22"/>
    </row>
    <row r="26">
      <c r="B26" s="6" t="s">
        <v>76</v>
      </c>
      <c r="C26" s="17" t="s">
        <v>40</v>
      </c>
      <c r="D26" s="17" t="s">
        <v>39</v>
      </c>
      <c r="E26" s="18" t="s">
        <v>31</v>
      </c>
      <c r="F26" s="19" t="n">
        <v>45778</v>
      </c>
      <c r="G26" s="23"/>
      <c r="H26" s="23"/>
      <c r="I26" s="20" t="n">
        <v>3551</v>
      </c>
      <c r="J26" s="23" t="n">
        <f>MAX(Implant3yrstable[[#This Row],[Stock on hand(opening balance)]]+Implant3yrstable[[#This Row],[Quantity ]]-Implant3yrstable[[#This Row],[Forecasted consumption]],0)</f>
        <v>0</v>
      </c>
      <c r="K26" s="2"/>
      <c r="L26" s="2"/>
      <c r="M26" s="2"/>
      <c r="N26" s="23"/>
      <c r="O26" s="2"/>
      <c r="P26" s="2"/>
      <c r="Q26" s="24"/>
      <c r="R26" s="2"/>
      <c r="S26" s="2"/>
      <c r="T26" s="2"/>
      <c r="U26" s="2"/>
      <c r="V26" s="2"/>
      <c r="W26" s="20" t="n">
        <f>Implant3yrstable[[#This Row],[Closing balance ]]/Implant3yrstable[[#This Row],[Forecasted consumption]]</f>
        <v>0</v>
      </c>
      <c r="X26" s="25"/>
    </row>
    <row r="27">
      <c r="B27" s="6" t="s">
        <v>76</v>
      </c>
      <c r="C27" s="17" t="s">
        <v>40</v>
      </c>
      <c r="D27" s="17" t="s">
        <v>39</v>
      </c>
      <c r="E27" s="18" t="s">
        <v>31</v>
      </c>
      <c r="F27" s="19" t="n">
        <v>45809</v>
      </c>
      <c r="G27" s="23"/>
      <c r="H27" s="23"/>
      <c r="I27" s="20" t="n">
        <v>3551</v>
      </c>
      <c r="J27" s="23" t="n">
        <f>MAX(Implant3yrstable[[#This Row],[Stock on hand(opening balance)]]+Implant3yrstable[[#This Row],[Quantity ]]-Implant3yrstable[[#This Row],[Forecasted consumption]],0)</f>
        <v>0</v>
      </c>
      <c r="K27" s="2"/>
      <c r="L27" s="2"/>
      <c r="M27" s="2"/>
      <c r="N27" s="23"/>
      <c r="O27" s="2"/>
      <c r="P27" s="2"/>
      <c r="Q27" s="24"/>
      <c r="R27" s="2"/>
      <c r="S27" s="2"/>
      <c r="T27" s="2"/>
      <c r="U27" s="2"/>
      <c r="V27" s="2"/>
      <c r="W27" s="31" t="n">
        <f>Implant3yrstable[[#This Row],[Closing balance ]]/Implant3yrstable[[#This Row],[Forecasted consumption]]</f>
        <v>0</v>
      </c>
      <c r="X27" s="25"/>
    </row>
    <row r="28">
      <c r="B28" s="6" t="s">
        <v>76</v>
      </c>
      <c r="C28" s="17" t="s">
        <v>40</v>
      </c>
      <c r="D28" s="17" t="s">
        <v>39</v>
      </c>
      <c r="E28" s="18" t="s">
        <v>31</v>
      </c>
      <c r="F28" s="19" t="n">
        <v>45839</v>
      </c>
      <c r="G28" s="23"/>
      <c r="H28" s="23"/>
      <c r="I28" s="20" t="n">
        <v>3551</v>
      </c>
      <c r="J28" s="23" t="n">
        <f>MAX(Implant3yrstable[[#This Row],[Stock on hand(opening balance)]]+Implant3yrstable[[#This Row],[Quantity ]]-Implant3yrstable[[#This Row],[Forecasted consumption]],0)</f>
        <v>0</v>
      </c>
      <c r="K28" s="2"/>
      <c r="L28" s="2"/>
      <c r="M28" s="2"/>
      <c r="N28" s="23"/>
      <c r="O28" s="2"/>
      <c r="P28" s="2"/>
      <c r="Q28" s="24"/>
      <c r="R28" s="2"/>
      <c r="S28" s="2"/>
      <c r="T28" s="2"/>
      <c r="U28" s="2"/>
      <c r="V28" s="2"/>
      <c r="W28" s="31" t="n">
        <f>Implant3yrstable[[#This Row],[Closing balance ]]/Implant3yrstable[[#This Row],[Forecasted consumption]]</f>
        <v>0</v>
      </c>
      <c r="X28" s="25"/>
    </row>
    <row r="29">
      <c r="B29" s="6" t="s">
        <v>76</v>
      </c>
      <c r="C29" s="17" t="s">
        <v>40</v>
      </c>
      <c r="D29" s="17" t="s">
        <v>39</v>
      </c>
      <c r="E29" s="18" t="s">
        <v>31</v>
      </c>
      <c r="F29" s="19" t="n">
        <v>45870</v>
      </c>
      <c r="G29" s="23"/>
      <c r="H29" s="23"/>
      <c r="I29" s="20" t="n">
        <v>3551</v>
      </c>
      <c r="J29" s="23" t="n">
        <f>MAX(Implant3yrstable[[#This Row],[Stock on hand(opening balance)]]+Implant3yrstable[[#This Row],[Quantity ]]-Implant3yrstable[[#This Row],[Forecasted consumption]],0)</f>
        <v>0</v>
      </c>
      <c r="K29" s="2"/>
      <c r="L29" s="2"/>
      <c r="M29" s="2"/>
      <c r="N29" s="23"/>
      <c r="O29" s="2"/>
      <c r="P29" s="2"/>
      <c r="Q29" s="24"/>
      <c r="R29" s="2"/>
      <c r="S29" s="2"/>
      <c r="T29" s="2"/>
      <c r="U29" s="2"/>
      <c r="V29" s="2"/>
      <c r="W29" s="31" t="n">
        <f>Implant3yrstable[[#This Row],[Closing balance ]]/Implant3yrstable[[#This Row],[Forecasted consumption]]</f>
        <v>0</v>
      </c>
      <c r="X29" s="25"/>
    </row>
    <row r="30">
      <c r="B30" s="6" t="s">
        <v>76</v>
      </c>
      <c r="C30" s="17" t="s">
        <v>40</v>
      </c>
      <c r="D30" s="17" t="s">
        <v>39</v>
      </c>
      <c r="E30" s="18" t="s">
        <v>31</v>
      </c>
      <c r="F30" s="19" t="n">
        <v>45901</v>
      </c>
      <c r="G30" s="23"/>
      <c r="H30" s="23"/>
      <c r="I30" s="20" t="n">
        <v>3551</v>
      </c>
      <c r="J30" s="23" t="n">
        <f>MAX(Implant3yrstable[[#This Row],[Stock on hand(opening balance)]]+Implant3yrstable[[#This Row],[Quantity ]]-Implant3yrstable[[#This Row],[Forecasted consumption]],0)</f>
        <v>0</v>
      </c>
      <c r="K30" s="2"/>
      <c r="L30" s="2"/>
      <c r="M30" s="2"/>
      <c r="N30" s="23"/>
      <c r="O30" s="2"/>
      <c r="P30" s="2"/>
      <c r="Q30" s="24"/>
      <c r="R30" s="2"/>
      <c r="S30" s="2"/>
      <c r="T30" s="2"/>
      <c r="U30" s="2"/>
      <c r="V30" s="2"/>
      <c r="W30" s="31" t="n">
        <f>Implant3yrstable[[#This Row],[Closing balance ]]/Implant3yrstable[[#This Row],[Forecasted consumption]]</f>
        <v>0</v>
      </c>
      <c r="X30" s="25"/>
    </row>
    <row r="31">
      <c r="B31" s="6" t="s">
        <v>76</v>
      </c>
      <c r="C31" s="17" t="s">
        <v>40</v>
      </c>
      <c r="D31" s="17" t="s">
        <v>39</v>
      </c>
      <c r="E31" s="18" t="s">
        <v>31</v>
      </c>
      <c r="F31" s="19" t="n">
        <v>45931</v>
      </c>
      <c r="G31" s="23"/>
      <c r="H31" s="23"/>
      <c r="I31" s="20" t="n">
        <v>3551</v>
      </c>
      <c r="J31" s="23" t="n">
        <f>MAX(Implant3yrstable[[#This Row],[Stock on hand(opening balance)]]+Implant3yrstable[[#This Row],[Quantity ]]-Implant3yrstable[[#This Row],[Forecasted consumption]],0)</f>
        <v>0</v>
      </c>
      <c r="K31" s="2"/>
      <c r="L31" s="2"/>
      <c r="M31" s="2"/>
      <c r="N31" s="23"/>
      <c r="O31" s="2"/>
      <c r="P31" s="2"/>
      <c r="Q31" s="24"/>
      <c r="R31" s="2"/>
      <c r="S31" s="2"/>
      <c r="T31" s="2"/>
      <c r="U31" s="2"/>
      <c r="V31" s="2"/>
      <c r="W31" s="31" t="n">
        <f>Implant3yrstable[[#This Row],[Closing balance ]]/Implant3yrstable[[#This Row],[Forecasted consumption]]</f>
        <v>0</v>
      </c>
      <c r="X31" s="25"/>
    </row>
    <row r="32">
      <c r="B32" s="6" t="s">
        <v>76</v>
      </c>
      <c r="C32" s="17" t="s">
        <v>40</v>
      </c>
      <c r="D32" s="17" t="s">
        <v>39</v>
      </c>
      <c r="E32" s="18" t="s">
        <v>31</v>
      </c>
      <c r="F32" s="19" t="n">
        <v>45962</v>
      </c>
      <c r="G32" s="23"/>
      <c r="H32" s="23"/>
      <c r="I32" s="20" t="n">
        <v>3551</v>
      </c>
      <c r="J32" s="23" t="n">
        <f>MAX(Implant3yrstable[[#This Row],[Stock on hand(opening balance)]]+Implant3yrstable[[#This Row],[Quantity ]]-Implant3yrstable[[#This Row],[Forecasted consumption]],0)</f>
        <v>0</v>
      </c>
      <c r="K32" s="2"/>
      <c r="L32" s="2"/>
      <c r="M32" s="2"/>
      <c r="N32" s="23"/>
      <c r="O32" s="2"/>
      <c r="P32" s="2"/>
      <c r="Q32" s="24"/>
      <c r="R32" s="2"/>
      <c r="S32" s="2"/>
      <c r="T32" s="2"/>
      <c r="U32" s="2"/>
      <c r="V32" s="2"/>
      <c r="W32" s="31" t="n">
        <f>Implant3yrstable[[#This Row],[Closing balance ]]/Implant3yrstable[[#This Row],[Forecasted consumption]]</f>
        <v>0</v>
      </c>
      <c r="X32" s="25"/>
    </row>
    <row r="33">
      <c r="B33" s="6" t="s">
        <v>76</v>
      </c>
      <c r="C33" s="17" t="s">
        <v>40</v>
      </c>
      <c r="D33" s="17" t="s">
        <v>39</v>
      </c>
      <c r="E33" s="18" t="s">
        <v>31</v>
      </c>
      <c r="F33" s="19" t="n">
        <v>45992</v>
      </c>
      <c r="G33" s="23"/>
      <c r="H33" s="23"/>
      <c r="I33" s="20" t="n">
        <v>3551</v>
      </c>
      <c r="J33" s="23" t="n">
        <f>MAX(Implant3yrstable[[#This Row],[Stock on hand(opening balance)]]+Implant3yrstable[[#This Row],[Quantity ]]-Implant3yrstable[[#This Row],[Forecasted consumption]],0)</f>
        <v>0</v>
      </c>
      <c r="K33" s="2"/>
      <c r="L33" s="2"/>
      <c r="M33" s="2"/>
      <c r="N33" s="23"/>
      <c r="O33" s="2"/>
      <c r="P33" s="2"/>
      <c r="Q33" s="24"/>
      <c r="R33" s="2"/>
      <c r="S33" s="2"/>
      <c r="T33" s="2"/>
      <c r="U33" s="2"/>
      <c r="V33" s="2"/>
      <c r="W33" s="31" t="n">
        <f>Implant3yrstable[[#This Row],[Closing balance ]]/Implant3yrstable[[#This Row],[Forecasted consumption]]</f>
        <v>0</v>
      </c>
      <c r="X33" s="25"/>
    </row>
    <row r="34">
      <c r="B34" s="6" t="s">
        <v>76</v>
      </c>
      <c r="C34" s="17" t="s">
        <v>40</v>
      </c>
      <c r="D34" s="17" t="s">
        <v>39</v>
      </c>
      <c r="E34" s="18" t="s">
        <v>31</v>
      </c>
      <c r="F34" s="19" t="n">
        <v>46023</v>
      </c>
      <c r="G34" s="23"/>
      <c r="H34" s="23"/>
      <c r="I34" s="23" t="n">
        <v>1773</v>
      </c>
      <c r="J34" s="23" t="n">
        <f>MAX(Implant3yrstable[[#This Row],[Stock on hand(opening balance)]]+Implant3yrstable[[#This Row],[Quantity ]]-Implant3yrstable[[#This Row],[Forecasted consumption]],0)</f>
        <v>0</v>
      </c>
      <c r="K34" s="2"/>
      <c r="L34" s="2"/>
      <c r="M34" s="2"/>
      <c r="N34" s="23"/>
      <c r="O34" s="2"/>
      <c r="P34" s="2"/>
      <c r="Q34" s="24"/>
      <c r="R34" s="2"/>
      <c r="S34" s="2"/>
      <c r="T34" s="2"/>
      <c r="U34" s="2"/>
      <c r="V34" s="2"/>
      <c r="W34" s="31" t="n">
        <f>Implant3yrstable[[#This Row],[Closing balance ]]/Implant3yrstable[[#This Row],[Forecasted consumption]]</f>
        <v>0</v>
      </c>
      <c r="X34" s="25"/>
    </row>
    <row r="35">
      <c r="B35" s="6" t="s">
        <v>76</v>
      </c>
      <c r="C35" s="17" t="s">
        <v>40</v>
      </c>
      <c r="D35" s="17" t="s">
        <v>39</v>
      </c>
      <c r="E35" s="18" t="s">
        <v>31</v>
      </c>
      <c r="F35" s="19" t="n">
        <v>46054</v>
      </c>
      <c r="G35" s="23"/>
      <c r="H35" s="23"/>
      <c r="I35" s="23" t="n">
        <v>1773</v>
      </c>
      <c r="J35" s="23" t="n">
        <f>MAX(Implant3yrstable[[#This Row],[Stock on hand(opening balance)]]+Implant3yrstable[[#This Row],[Quantity ]]-Implant3yrstable[[#This Row],[Forecasted consumption]],0)</f>
        <v>0</v>
      </c>
      <c r="K35" s="2"/>
      <c r="L35" s="2"/>
      <c r="M35" s="2"/>
      <c r="N35" s="23"/>
      <c r="O35" s="2"/>
      <c r="P35" s="2"/>
      <c r="Q35" s="24"/>
      <c r="R35" s="2"/>
      <c r="S35" s="2"/>
      <c r="T35" s="2"/>
      <c r="U35" s="2"/>
      <c r="V35" s="2"/>
      <c r="W35" s="31" t="n">
        <f>Implant3yrstable[[#This Row],[Closing balance ]]/Implant3yrstable[[#This Row],[Forecasted consumption]]</f>
        <v>0</v>
      </c>
      <c r="X35" s="25"/>
    </row>
    <row r="36">
      <c r="B36" s="6" t="s">
        <v>76</v>
      </c>
      <c r="C36" s="17" t="s">
        <v>40</v>
      </c>
      <c r="D36" s="17" t="s">
        <v>39</v>
      </c>
      <c r="E36" s="18" t="s">
        <v>31</v>
      </c>
      <c r="F36" s="19" t="n">
        <v>46082</v>
      </c>
      <c r="G36" s="23"/>
      <c r="H36" s="23"/>
      <c r="I36" s="23" t="n">
        <v>1773</v>
      </c>
      <c r="J36" s="23" t="n">
        <f>MAX(Implant3yrstable[[#This Row],[Stock on hand(opening balance)]]+Implant3yrstable[[#This Row],[Quantity ]]-Implant3yrstable[[#This Row],[Forecasted consumption]],0)</f>
        <v>0</v>
      </c>
      <c r="K36" s="2"/>
      <c r="L36" s="2"/>
      <c r="M36" s="2"/>
      <c r="N36" s="23"/>
      <c r="O36" s="2"/>
      <c r="P36" s="2"/>
      <c r="Q36" s="24"/>
      <c r="R36" s="2"/>
      <c r="S36" s="2"/>
      <c r="T36" s="2"/>
      <c r="U36" s="2"/>
      <c r="V36" s="2"/>
      <c r="W36" s="31" t="n">
        <f>Implant3yrstable[[#This Row],[Closing balance ]]/Implant3yrstable[[#This Row],[Forecasted consumption]]</f>
        <v>0</v>
      </c>
      <c r="X36" s="25"/>
    </row>
    <row r="37">
      <c r="B37" s="6" t="s">
        <v>76</v>
      </c>
      <c r="C37" s="17" t="s">
        <v>40</v>
      </c>
      <c r="D37" s="17" t="s">
        <v>39</v>
      </c>
      <c r="E37" s="18" t="s">
        <v>31</v>
      </c>
      <c r="F37" s="19" t="n">
        <v>46113</v>
      </c>
      <c r="G37" s="23"/>
      <c r="H37" s="23"/>
      <c r="I37" s="23" t="n">
        <v>1773</v>
      </c>
      <c r="J37" s="23" t="n">
        <f>MAX(Implant3yrstable[[#This Row],[Stock on hand(opening balance)]]+Implant3yrstable[[#This Row],[Quantity ]]-Implant3yrstable[[#This Row],[Forecasted consumption]],0)</f>
        <v>0</v>
      </c>
      <c r="K37" s="2"/>
      <c r="L37" s="2"/>
      <c r="M37" s="2"/>
      <c r="N37" s="23"/>
      <c r="O37" s="2"/>
      <c r="P37" s="2"/>
      <c r="Q37" s="24"/>
      <c r="R37" s="2"/>
      <c r="S37" s="2"/>
      <c r="T37" s="2"/>
      <c r="U37" s="2"/>
      <c r="V37" s="2"/>
      <c r="W37" s="31" t="n">
        <f>Implant3yrstable[[#This Row],[Closing balance ]]/Implant3yrstable[[#This Row],[Forecasted consumption]]</f>
        <v>0</v>
      </c>
      <c r="X37" s="25"/>
    </row>
    <row r="38">
      <c r="B38" s="6" t="s">
        <v>76</v>
      </c>
      <c r="C38" s="17" t="s">
        <v>40</v>
      </c>
      <c r="D38" s="17" t="s">
        <v>39</v>
      </c>
      <c r="E38" s="18" t="s">
        <v>31</v>
      </c>
      <c r="F38" s="19" t="n">
        <v>46143</v>
      </c>
      <c r="G38" s="23"/>
      <c r="H38" s="23"/>
      <c r="I38" s="23" t="n">
        <v>1773</v>
      </c>
      <c r="J38" s="23" t="n">
        <f>MAX(Implant3yrstable[[#This Row],[Stock on hand(opening balance)]]+Implant3yrstable[[#This Row],[Quantity ]]-Implant3yrstable[[#This Row],[Forecasted consumption]],0)</f>
        <v>0</v>
      </c>
      <c r="K38" s="2"/>
      <c r="L38" s="2"/>
      <c r="M38" s="2"/>
      <c r="N38" s="23"/>
      <c r="O38" s="2"/>
      <c r="P38" s="2"/>
      <c r="Q38" s="24"/>
      <c r="R38" s="2"/>
      <c r="S38" s="2"/>
      <c r="T38" s="2"/>
      <c r="U38" s="2"/>
      <c r="V38" s="2"/>
      <c r="W38" s="31" t="n">
        <f>Implant3yrstable[[#This Row],[Closing balance ]]/Implant3yrstable[[#This Row],[Forecasted consumption]]</f>
        <v>0</v>
      </c>
      <c r="X38" s="25"/>
    </row>
    <row r="39">
      <c r="B39" s="6" t="s">
        <v>76</v>
      </c>
      <c r="C39" s="17" t="s">
        <v>40</v>
      </c>
      <c r="D39" s="17" t="s">
        <v>39</v>
      </c>
      <c r="E39" s="18" t="s">
        <v>31</v>
      </c>
      <c r="F39" s="19" t="n">
        <v>46174</v>
      </c>
      <c r="G39" s="23"/>
      <c r="H39" s="23"/>
      <c r="I39" s="23" t="n">
        <v>1773</v>
      </c>
      <c r="J39" s="23" t="n">
        <f>MAX(Implant3yrstable[[#This Row],[Stock on hand(opening balance)]]+Implant3yrstable[[#This Row],[Quantity ]]-Implant3yrstable[[#This Row],[Forecasted consumption]],0)</f>
        <v>0</v>
      </c>
      <c r="K39" s="2"/>
      <c r="L39" s="2"/>
      <c r="M39" s="2"/>
      <c r="N39" s="23"/>
      <c r="O39" s="2"/>
      <c r="P39" s="2"/>
      <c r="Q39" s="24"/>
      <c r="R39" s="2"/>
      <c r="S39" s="2"/>
      <c r="T39" s="2"/>
      <c r="U39" s="2"/>
      <c r="V39" s="2"/>
      <c r="W39" s="31" t="n">
        <f>Implant3yrstable[[#This Row],[Closing balance ]]/Implant3yrstable[[#This Row],[Forecasted consumption]]</f>
        <v>0</v>
      </c>
      <c r="X39" s="25"/>
    </row>
    <row r="40">
      <c r="B40" s="6" t="s">
        <v>76</v>
      </c>
      <c r="C40" s="17" t="s">
        <v>40</v>
      </c>
      <c r="D40" s="17" t="s">
        <v>39</v>
      </c>
      <c r="E40" s="18" t="s">
        <v>31</v>
      </c>
      <c r="F40" s="19" t="n">
        <v>46204</v>
      </c>
      <c r="G40" s="23"/>
      <c r="H40" s="23"/>
      <c r="I40" s="23" t="n">
        <v>1773</v>
      </c>
      <c r="J40" s="23" t="n">
        <f>MAX(Implant3yrstable[[#This Row],[Stock on hand(opening balance)]]+Implant3yrstable[[#This Row],[Quantity ]]-Implant3yrstable[[#This Row],[Forecasted consumption]],0)</f>
        <v>0</v>
      </c>
      <c r="K40" s="2"/>
      <c r="L40" s="2"/>
      <c r="M40" s="2"/>
      <c r="N40" s="23"/>
      <c r="O40" s="2"/>
      <c r="P40" s="2"/>
      <c r="Q40" s="24"/>
      <c r="R40" s="2"/>
      <c r="S40" s="2"/>
      <c r="T40" s="2"/>
      <c r="U40" s="2"/>
      <c r="V40" s="2"/>
      <c r="W40" s="31" t="n">
        <f>Implant3yrstable[[#This Row],[Closing balance ]]/Implant3yrstable[[#This Row],[Forecasted consumption]]</f>
        <v>0</v>
      </c>
      <c r="X40" s="25"/>
    </row>
    <row r="41">
      <c r="B41" s="6" t="s">
        <v>76</v>
      </c>
      <c r="C41" s="17" t="s">
        <v>40</v>
      </c>
      <c r="D41" s="17" t="s">
        <v>39</v>
      </c>
      <c r="E41" s="18" t="s">
        <v>31</v>
      </c>
      <c r="F41" s="19" t="n">
        <v>46235</v>
      </c>
      <c r="G41" s="23"/>
      <c r="H41" s="23"/>
      <c r="I41" s="23" t="n">
        <v>1773</v>
      </c>
      <c r="J41" s="23" t="n">
        <f>MAX(Implant3yrstable[[#This Row],[Stock on hand(opening balance)]]+Implant3yrstable[[#This Row],[Quantity ]]-Implant3yrstable[[#This Row],[Forecasted consumption]],0)</f>
        <v>0</v>
      </c>
      <c r="K41" s="2"/>
      <c r="L41" s="2"/>
      <c r="M41" s="2"/>
      <c r="N41" s="23"/>
      <c r="O41" s="2"/>
      <c r="P41" s="2"/>
      <c r="Q41" s="24"/>
      <c r="R41" s="2"/>
      <c r="S41" s="2"/>
      <c r="T41" s="2"/>
      <c r="U41" s="2"/>
      <c r="V41" s="2"/>
      <c r="W41" s="31" t="n">
        <f>Implant3yrstable[[#This Row],[Closing balance ]]/Implant3yrstable[[#This Row],[Forecasted consumption]]</f>
        <v>0</v>
      </c>
      <c r="X41" s="25"/>
    </row>
    <row r="42">
      <c r="B42" s="6" t="s">
        <v>76</v>
      </c>
      <c r="C42" s="17" t="s">
        <v>40</v>
      </c>
      <c r="D42" s="17" t="s">
        <v>39</v>
      </c>
      <c r="E42" s="18" t="s">
        <v>31</v>
      </c>
      <c r="F42" s="19" t="n">
        <v>46266</v>
      </c>
      <c r="G42" s="23"/>
      <c r="H42" s="23"/>
      <c r="I42" s="23" t="n">
        <v>1773</v>
      </c>
      <c r="J42" s="23" t="n">
        <f>MAX(Implant3yrstable[[#This Row],[Stock on hand(opening balance)]]+Implant3yrstable[[#This Row],[Quantity ]]-Implant3yrstable[[#This Row],[Forecasted consumption]],0)</f>
        <v>0</v>
      </c>
      <c r="K42" s="2"/>
      <c r="L42" s="2"/>
      <c r="M42" s="2"/>
      <c r="N42" s="23"/>
      <c r="O42" s="2"/>
      <c r="P42" s="2"/>
      <c r="Q42" s="24"/>
      <c r="R42" s="2"/>
      <c r="S42" s="2"/>
      <c r="T42" s="2"/>
      <c r="U42" s="2"/>
      <c r="V42" s="2"/>
      <c r="W42" s="31" t="n">
        <f>Implant3yrstable[[#This Row],[Closing balance ]]/Implant3yrstable[[#This Row],[Forecasted consumption]]</f>
        <v>0</v>
      </c>
      <c r="X42" s="25"/>
    </row>
    <row r="43">
      <c r="B43" s="6" t="s">
        <v>76</v>
      </c>
      <c r="C43" s="17" t="s">
        <v>40</v>
      </c>
      <c r="D43" s="17" t="s">
        <v>39</v>
      </c>
      <c r="E43" s="18" t="s">
        <v>31</v>
      </c>
      <c r="F43" s="19" t="n">
        <v>46296</v>
      </c>
      <c r="G43" s="23"/>
      <c r="H43" s="23"/>
      <c r="I43" s="23" t="n">
        <v>1773</v>
      </c>
      <c r="J43" s="23" t="n">
        <f>MAX(Implant3yrstable[[#This Row],[Stock on hand(opening balance)]]+Implant3yrstable[[#This Row],[Quantity ]]-Implant3yrstable[[#This Row],[Forecasted consumption]],0)</f>
        <v>0</v>
      </c>
      <c r="K43" s="2"/>
      <c r="L43" s="2"/>
      <c r="M43" s="2"/>
      <c r="N43" s="23"/>
      <c r="O43" s="2"/>
      <c r="P43" s="2"/>
      <c r="Q43" s="24"/>
      <c r="R43" s="2"/>
      <c r="S43" s="2"/>
      <c r="T43" s="2"/>
      <c r="U43" s="2"/>
      <c r="V43" s="2"/>
      <c r="W43" s="31" t="n">
        <f>Implant3yrstable[[#This Row],[Closing balance ]]/Implant3yrstable[[#This Row],[Forecasted consumption]]</f>
        <v>0</v>
      </c>
      <c r="X43" s="25"/>
    </row>
    <row r="44">
      <c r="B44" s="6" t="s">
        <v>76</v>
      </c>
      <c r="C44" s="17" t="s">
        <v>40</v>
      </c>
      <c r="D44" s="17" t="s">
        <v>39</v>
      </c>
      <c r="E44" s="18" t="s">
        <v>31</v>
      </c>
      <c r="F44" s="19" t="n">
        <v>46327</v>
      </c>
      <c r="G44" s="23"/>
      <c r="H44" s="23"/>
      <c r="I44" s="23" t="n">
        <v>1773</v>
      </c>
      <c r="J44" s="23" t="n">
        <f>MAX(Implant3yrstable[[#This Row],[Stock on hand(opening balance)]]+Implant3yrstable[[#This Row],[Quantity ]]-Implant3yrstable[[#This Row],[Forecasted consumption]],0)</f>
        <v>0</v>
      </c>
      <c r="K44" s="2"/>
      <c r="L44" s="2"/>
      <c r="M44" s="2"/>
      <c r="N44" s="23"/>
      <c r="O44" s="2"/>
      <c r="P44" s="2"/>
      <c r="Q44" s="24"/>
      <c r="R44" s="2"/>
      <c r="S44" s="2"/>
      <c r="T44" s="2"/>
      <c r="U44" s="2"/>
      <c r="V44" s="2"/>
      <c r="W44" s="31" t="n">
        <f>Implant3yrstable[[#This Row],[Closing balance ]]/Implant3yrstable[[#This Row],[Forecasted consumption]]</f>
        <v>0</v>
      </c>
      <c r="X44" s="25"/>
    </row>
    <row r="45">
      <c r="B45" s="6" t="s">
        <v>76</v>
      </c>
      <c r="C45" s="17" t="s">
        <v>40</v>
      </c>
      <c r="D45" s="17" t="s">
        <v>39</v>
      </c>
      <c r="E45" s="18" t="s">
        <v>31</v>
      </c>
      <c r="F45" s="19" t="n">
        <v>46357</v>
      </c>
      <c r="G45" s="23"/>
      <c r="H45" s="23"/>
      <c r="I45" s="23" t="n">
        <v>1773</v>
      </c>
      <c r="J45" s="23" t="n">
        <f>MAX(Implant3yrstable[[#This Row],[Stock on hand(opening balance)]]+Implant3yrstable[[#This Row],[Quantity ]]-Implant3yrstable[[#This Row],[Forecasted consumption]],0)</f>
        <v>0</v>
      </c>
      <c r="K45" s="2"/>
      <c r="L45" s="2"/>
      <c r="M45" s="2"/>
      <c r="N45" s="23"/>
      <c r="O45" s="2"/>
      <c r="P45" s="2"/>
      <c r="Q45" s="24"/>
      <c r="R45" s="2"/>
      <c r="S45" s="2"/>
      <c r="T45" s="2"/>
      <c r="U45" s="2"/>
      <c r="V45" s="2"/>
      <c r="W45" s="31" t="n">
        <f>Implant3yrstable[[#This Row],[Closing balance ]]/Implant3yrstable[[#This Row],[Forecasted consumption]]</f>
        <v>0</v>
      </c>
      <c r="X45" s="25"/>
    </row>
    <row r="46">
      <c r="B46" s="6" t="s">
        <v>166</v>
      </c>
      <c r="C46" s="17" t="s">
        <v>40</v>
      </c>
      <c r="D46" s="17" t="s">
        <v>39</v>
      </c>
      <c r="E46" s="18" t="s">
        <v>31</v>
      </c>
      <c r="F46" s="19" t="n">
        <v>45658</v>
      </c>
      <c r="G46" s="20"/>
      <c r="H46" s="20"/>
      <c r="I46" s="20" t="n">
        <v>7294</v>
      </c>
      <c r="J46" s="20" t="n">
        <f>MAX(Implant3yrstable[[#This Row],[Stock on hand(opening balance)]]+Implant3yrstable[[#This Row],[Quantity ]]-Implant3yrstable[[#This Row],[Forecasted consumption]],0)</f>
        <v>0</v>
      </c>
      <c r="K46" s="18"/>
      <c r="L46" s="18"/>
      <c r="M46" s="18"/>
      <c r="N46" s="20"/>
      <c r="O46" s="18"/>
      <c r="P46" s="18"/>
      <c r="Q46" s="19"/>
      <c r="R46" s="18"/>
      <c r="S46" s="18"/>
      <c r="T46" s="18"/>
      <c r="U46" s="18"/>
      <c r="V46" s="18"/>
      <c r="W46" s="20" t="n">
        <f>Implant3yrstable[[#This Row],[Closing balance ]]/Implant3yrstable[[#This Row],[Forecasted consumption]]</f>
        <v>0</v>
      </c>
      <c r="X46" s="22"/>
    </row>
    <row r="47">
      <c r="B47" s="6" t="s">
        <v>166</v>
      </c>
      <c r="C47" s="17" t="s">
        <v>40</v>
      </c>
      <c r="D47" s="17" t="s">
        <v>39</v>
      </c>
      <c r="E47" s="18" t="s">
        <v>31</v>
      </c>
      <c r="F47" s="19" t="n">
        <v>45689</v>
      </c>
      <c r="G47" s="23"/>
      <c r="H47" s="23"/>
      <c r="I47" s="20" t="n">
        <v>7294</v>
      </c>
      <c r="J47" s="23" t="n">
        <f>MAX(Implant3yrstable[[#This Row],[Stock on hand(opening balance)]]+Implant3yrstable[[#This Row],[Quantity ]]-Implant3yrstable[[#This Row],[Forecasted consumption]],0)</f>
        <v>0</v>
      </c>
      <c r="K47" s="2"/>
      <c r="L47" s="2"/>
      <c r="M47" s="2"/>
      <c r="N47" s="23"/>
      <c r="O47" s="2"/>
      <c r="P47" s="2"/>
      <c r="Q47" s="24"/>
      <c r="R47" s="2"/>
      <c r="S47" s="2"/>
      <c r="T47" s="2"/>
      <c r="U47" s="2"/>
      <c r="V47" s="2"/>
      <c r="W47" s="20" t="n">
        <f>Implant3yrstable[[#This Row],[Closing balance ]]/Implant3yrstable[[#This Row],[Forecasted consumption]]</f>
        <v>0</v>
      </c>
      <c r="X47" s="25"/>
    </row>
    <row r="48">
      <c r="B48" s="6" t="s">
        <v>166</v>
      </c>
      <c r="C48" s="17" t="s">
        <v>40</v>
      </c>
      <c r="D48" s="17" t="s">
        <v>39</v>
      </c>
      <c r="E48" s="18" t="s">
        <v>31</v>
      </c>
      <c r="F48" s="19" t="n">
        <v>45717</v>
      </c>
      <c r="G48" s="23"/>
      <c r="H48" s="23"/>
      <c r="I48" s="20" t="n">
        <v>7294</v>
      </c>
      <c r="J48" s="23" t="n">
        <f>MAX(Implant3yrstable[[#This Row],[Stock on hand(opening balance)]]+Implant3yrstable[[#This Row],[Quantity ]]-Implant3yrstable[[#This Row],[Forecasted consumption]],0)</f>
        <v>0</v>
      </c>
      <c r="K48" s="2"/>
      <c r="L48" s="2"/>
      <c r="M48" s="2"/>
      <c r="N48" s="23"/>
      <c r="O48" s="2"/>
      <c r="P48" s="2"/>
      <c r="Q48" s="24"/>
      <c r="R48" s="2"/>
      <c r="S48" s="2"/>
      <c r="T48" s="2"/>
      <c r="U48" s="2"/>
      <c r="V48" s="2"/>
      <c r="W48" s="31" t="n">
        <f>Implant3yrstable[[#This Row],[Closing balance ]]/Implant3yrstable[[#This Row],[Forecasted consumption]]</f>
        <v>0</v>
      </c>
      <c r="X48" s="25"/>
    </row>
    <row r="49">
      <c r="B49" s="6" t="s">
        <v>166</v>
      </c>
      <c r="C49" s="17" t="s">
        <v>40</v>
      </c>
      <c r="D49" s="17" t="s">
        <v>39</v>
      </c>
      <c r="E49" s="18" t="s">
        <v>31</v>
      </c>
      <c r="F49" s="19" t="n">
        <v>45748</v>
      </c>
      <c r="G49" s="23" t="n">
        <v>4500</v>
      </c>
      <c r="H49" s="23"/>
      <c r="I49" s="20" t="n">
        <v>7294</v>
      </c>
      <c r="J49" s="23" t="n">
        <f>MAX(Implant3yrstable[[#This Row],[Stock on hand(opening balance)]]+Implant3yrstable[[#This Row],[Quantity ]]-Implant3yrstable[[#This Row],[Forecasted consumption]],0)</f>
        <v>0</v>
      </c>
      <c r="K49" s="2"/>
      <c r="L49" s="2"/>
      <c r="M49" s="2"/>
      <c r="N49" s="23"/>
      <c r="O49" s="2"/>
      <c r="P49" s="2"/>
      <c r="Q49" s="24"/>
      <c r="R49" s="2"/>
      <c r="S49" s="2"/>
      <c r="T49" s="2" t="n">
        <v>9</v>
      </c>
      <c r="U49" s="2" t="n">
        <v>15</v>
      </c>
      <c r="V49" s="2" t="n">
        <v>15</v>
      </c>
      <c r="W49" s="31" t="n">
        <f>Implant3yrstable[[#This Row],[Closing balance ]]/Implant3yrstable[[#This Row],[Forecasted consumption]]</f>
        <v>0</v>
      </c>
      <c r="X49" s="25"/>
    </row>
    <row r="50">
      <c r="B50" s="6" t="s">
        <v>166</v>
      </c>
      <c r="C50" s="17" t="s">
        <v>40</v>
      </c>
      <c r="D50" s="17" t="s">
        <v>39</v>
      </c>
      <c r="E50" s="18" t="s">
        <v>31</v>
      </c>
      <c r="F50" s="19" t="n">
        <v>45778</v>
      </c>
      <c r="G50" s="23" t="n">
        <f>J49</f>
        <v>0</v>
      </c>
      <c r="H50" s="23"/>
      <c r="I50" s="20" t="n">
        <v>7294</v>
      </c>
      <c r="J50" s="23" t="n">
        <f>MAX(Implant3yrstable[[#This Row],[Stock on hand(opening balance)]]+Implant3yrstable[[#This Row],[Quantity ]]-Implant3yrstable[[#This Row],[Forecasted consumption]],0)</f>
        <v>0</v>
      </c>
      <c r="K50" s="2"/>
      <c r="L50" s="2"/>
      <c r="M50" s="2"/>
      <c r="N50" s="23"/>
      <c r="O50" s="2"/>
      <c r="P50" s="2"/>
      <c r="Q50" s="24"/>
      <c r="R50" s="2"/>
      <c r="S50" s="2"/>
      <c r="T50" s="2" t="n">
        <v>9</v>
      </c>
      <c r="U50" s="2" t="n">
        <v>15</v>
      </c>
      <c r="V50" s="2" t="n">
        <v>15</v>
      </c>
      <c r="W50" s="31" t="n">
        <f>Implant3yrstable[[#This Row],[Closing balance ]]/Implant3yrstable[[#This Row],[Forecasted consumption]]</f>
        <v>0</v>
      </c>
      <c r="X50" s="25"/>
    </row>
    <row r="51">
      <c r="B51" s="6" t="s">
        <v>166</v>
      </c>
      <c r="C51" s="17" t="s">
        <v>40</v>
      </c>
      <c r="D51" s="17" t="s">
        <v>39</v>
      </c>
      <c r="E51" s="18" t="s">
        <v>31</v>
      </c>
      <c r="F51" s="19" t="n">
        <v>45809</v>
      </c>
      <c r="G51" s="23" t="n">
        <f t="shared" ref="G51:G57" si="1">J50</f>
        <v>0</v>
      </c>
      <c r="H51" s="23"/>
      <c r="I51" s="20" t="n">
        <v>7294</v>
      </c>
      <c r="J51" s="23" t="n">
        <f>MAX(Implant3yrstable[[#This Row],[Stock on hand(opening balance)]]+Implant3yrstable[[#This Row],[Quantity ]]-Implant3yrstable[[#This Row],[Forecasted consumption]],0)</f>
        <v>0</v>
      </c>
      <c r="K51" s="2"/>
      <c r="L51" s="2"/>
      <c r="M51" s="2"/>
      <c r="N51" s="23"/>
      <c r="O51" s="2"/>
      <c r="P51" s="2"/>
      <c r="Q51" s="24"/>
      <c r="R51" s="2"/>
      <c r="S51" s="2"/>
      <c r="T51" s="2" t="n">
        <v>9</v>
      </c>
      <c r="U51" s="2" t="n">
        <v>15</v>
      </c>
      <c r="V51" s="2" t="n">
        <v>15</v>
      </c>
      <c r="W51" s="31" t="n">
        <f>Implant3yrstable[[#This Row],[Closing balance ]]/Implant3yrstable[[#This Row],[Forecasted consumption]]</f>
        <v>0</v>
      </c>
      <c r="X51" s="25"/>
    </row>
    <row r="52">
      <c r="B52" s="6" t="s">
        <v>166</v>
      </c>
      <c r="C52" s="17" t="s">
        <v>40</v>
      </c>
      <c r="D52" s="17" t="s">
        <v>39</v>
      </c>
      <c r="E52" s="18" t="s">
        <v>31</v>
      </c>
      <c r="F52" s="19" t="n">
        <v>45839</v>
      </c>
      <c r="G52" s="23" t="n">
        <f t="shared" si="1"/>
        <v>0</v>
      </c>
      <c r="H52" s="23"/>
      <c r="I52" s="20" t="n">
        <v>7294</v>
      </c>
      <c r="J52" s="23" t="n">
        <f>MAX(Implant3yrstable[[#This Row],[Stock on hand(opening balance)]]+Implant3yrstable[[#This Row],[Quantity ]]-Implant3yrstable[[#This Row],[Forecasted consumption]],0)</f>
        <v>0</v>
      </c>
      <c r="K52" s="2"/>
      <c r="L52" s="2"/>
      <c r="M52" s="2"/>
      <c r="N52" s="23"/>
      <c r="O52" s="2"/>
      <c r="P52" s="2"/>
      <c r="Q52" s="24"/>
      <c r="R52" s="2"/>
      <c r="S52" s="2"/>
      <c r="T52" s="2" t="n">
        <v>9</v>
      </c>
      <c r="U52" s="2" t="n">
        <v>15</v>
      </c>
      <c r="V52" s="2" t="n">
        <v>15</v>
      </c>
      <c r="W52" s="31" t="n">
        <f>Implant3yrstable[[#This Row],[Closing balance ]]/Implant3yrstable[[#This Row],[Forecasted consumption]]</f>
        <v>0</v>
      </c>
      <c r="X52" s="25"/>
    </row>
    <row r="53">
      <c r="B53" s="6" t="s">
        <v>166</v>
      </c>
      <c r="C53" s="17" t="s">
        <v>40</v>
      </c>
      <c r="D53" s="17" t="s">
        <v>39</v>
      </c>
      <c r="E53" s="18" t="s">
        <v>31</v>
      </c>
      <c r="F53" s="19" t="n">
        <v>45870</v>
      </c>
      <c r="G53" s="23" t="n">
        <f t="shared" si="1"/>
        <v>0</v>
      </c>
      <c r="H53" s="23"/>
      <c r="I53" s="20" t="n">
        <v>7294</v>
      </c>
      <c r="J53" s="23" t="n">
        <f>MAX(Implant3yrstable[[#This Row],[Stock on hand(opening balance)]]+Implant3yrstable[[#This Row],[Quantity ]]-Implant3yrstable[[#This Row],[Forecasted consumption]],0)</f>
        <v>0</v>
      </c>
      <c r="K53" s="2"/>
      <c r="L53" s="2"/>
      <c r="M53" s="2"/>
      <c r="N53" s="23"/>
      <c r="O53" s="2"/>
      <c r="P53" s="2"/>
      <c r="Q53" s="24"/>
      <c r="R53" s="2"/>
      <c r="S53" s="2"/>
      <c r="T53" s="2" t="n">
        <v>9</v>
      </c>
      <c r="U53" s="2" t="n">
        <v>15</v>
      </c>
      <c r="V53" s="2" t="n">
        <v>15</v>
      </c>
      <c r="W53" s="31" t="n">
        <f>Implant3yrstable[[#This Row],[Closing balance ]]/Implant3yrstable[[#This Row],[Forecasted consumption]]</f>
        <v>0</v>
      </c>
      <c r="X53" s="25"/>
    </row>
    <row r="54">
      <c r="B54" s="6" t="s">
        <v>166</v>
      </c>
      <c r="C54" s="17" t="s">
        <v>40</v>
      </c>
      <c r="D54" s="17" t="s">
        <v>39</v>
      </c>
      <c r="E54" s="18" t="s">
        <v>31</v>
      </c>
      <c r="F54" s="19" t="n">
        <v>45901</v>
      </c>
      <c r="G54" s="23" t="n">
        <f t="shared" si="1"/>
        <v>0</v>
      </c>
      <c r="H54" s="23"/>
      <c r="I54" s="20" t="n">
        <v>7294</v>
      </c>
      <c r="J54" s="23" t="n">
        <f>MAX(Implant3yrstable[[#This Row],[Stock on hand(opening balance)]]+Implant3yrstable[[#This Row],[Quantity ]]-Implant3yrstable[[#This Row],[Forecasted consumption]],0)</f>
        <v>0</v>
      </c>
      <c r="K54" s="2"/>
      <c r="L54" s="2"/>
      <c r="M54" s="2"/>
      <c r="N54" s="23"/>
      <c r="O54" s="2"/>
      <c r="P54" s="2"/>
      <c r="Q54" s="24"/>
      <c r="R54" s="2"/>
      <c r="S54" s="2"/>
      <c r="T54" s="2" t="n">
        <v>9</v>
      </c>
      <c r="U54" s="2" t="n">
        <v>15</v>
      </c>
      <c r="V54" s="2" t="n">
        <v>15</v>
      </c>
      <c r="W54" s="31" t="n">
        <f>Implant3yrstable[[#This Row],[Closing balance ]]/Implant3yrstable[[#This Row],[Forecasted consumption]]</f>
        <v>0</v>
      </c>
      <c r="X54" s="25"/>
    </row>
    <row r="55">
      <c r="B55" s="6" t="s">
        <v>166</v>
      </c>
      <c r="C55" s="17" t="s">
        <v>40</v>
      </c>
      <c r="D55" s="17" t="s">
        <v>39</v>
      </c>
      <c r="E55" s="18" t="s">
        <v>31</v>
      </c>
      <c r="F55" s="19" t="n">
        <v>45931</v>
      </c>
      <c r="G55" s="23" t="n">
        <f t="shared" si="1"/>
        <v>0</v>
      </c>
      <c r="H55" s="23"/>
      <c r="I55" s="20" t="n">
        <v>7294</v>
      </c>
      <c r="J55" s="23" t="n">
        <f>MAX(Implant3yrstable[[#This Row],[Stock on hand(opening balance)]]+Implant3yrstable[[#This Row],[Quantity ]]-Implant3yrstable[[#This Row],[Forecasted consumption]],0)</f>
        <v>0</v>
      </c>
      <c r="K55" s="2"/>
      <c r="L55" s="2"/>
      <c r="M55" s="2"/>
      <c r="N55" s="23"/>
      <c r="O55" s="2"/>
      <c r="P55" s="2"/>
      <c r="Q55" s="24"/>
      <c r="R55" s="2"/>
      <c r="S55" s="2"/>
      <c r="T55" s="2" t="n">
        <v>9</v>
      </c>
      <c r="U55" s="2" t="n">
        <v>15</v>
      </c>
      <c r="V55" s="2" t="n">
        <v>15</v>
      </c>
      <c r="W55" s="31" t="n">
        <f>Implant3yrstable[[#This Row],[Closing balance ]]/Implant3yrstable[[#This Row],[Forecasted consumption]]</f>
        <v>0</v>
      </c>
      <c r="X55" s="25"/>
    </row>
    <row r="56">
      <c r="B56" s="6" t="s">
        <v>166</v>
      </c>
      <c r="C56" s="17" t="s">
        <v>40</v>
      </c>
      <c r="D56" s="17" t="s">
        <v>39</v>
      </c>
      <c r="E56" s="18" t="s">
        <v>31</v>
      </c>
      <c r="F56" s="19" t="n">
        <v>45962</v>
      </c>
      <c r="G56" s="23" t="n">
        <f t="shared" si="1"/>
        <v>0</v>
      </c>
      <c r="H56" s="23"/>
      <c r="I56" s="20" t="n">
        <v>7294</v>
      </c>
      <c r="J56" s="23" t="n">
        <f>MAX(Implant3yrstable[[#This Row],[Stock on hand(opening balance)]]+Implant3yrstable[[#This Row],[Quantity ]]-Implant3yrstable[[#This Row],[Forecasted consumption]],0)</f>
        <v>0</v>
      </c>
      <c r="K56" s="2"/>
      <c r="L56" s="2"/>
      <c r="M56" s="2"/>
      <c r="N56" s="23"/>
      <c r="O56" s="2"/>
      <c r="P56" s="2"/>
      <c r="Q56" s="24"/>
      <c r="R56" s="2"/>
      <c r="S56" s="2"/>
      <c r="T56" s="2" t="n">
        <v>9</v>
      </c>
      <c r="U56" s="2" t="n">
        <v>15</v>
      </c>
      <c r="V56" s="2" t="n">
        <v>15</v>
      </c>
      <c r="W56" s="31" t="n">
        <f>Implant3yrstable[[#This Row],[Closing balance ]]/Implant3yrstable[[#This Row],[Forecasted consumption]]</f>
        <v>0</v>
      </c>
      <c r="X56" s="25"/>
    </row>
    <row r="57">
      <c r="B57" s="6" t="s">
        <v>166</v>
      </c>
      <c r="C57" s="17" t="s">
        <v>40</v>
      </c>
      <c r="D57" s="17" t="s">
        <v>39</v>
      </c>
      <c r="E57" s="18" t="s">
        <v>31</v>
      </c>
      <c r="F57" s="19" t="n">
        <v>45992</v>
      </c>
      <c r="G57" s="23" t="n">
        <f t="shared" si="1"/>
        <v>0</v>
      </c>
      <c r="H57" s="23"/>
      <c r="I57" s="20" t="n">
        <v>7294</v>
      </c>
      <c r="J57" s="23" t="n">
        <f>MAX(Implant3yrstable[[#This Row],[Stock on hand(opening balance)]]+Implant3yrstable[[#This Row],[Quantity ]]-Implant3yrstable[[#This Row],[Forecasted consumption]],0)</f>
        <v>0</v>
      </c>
      <c r="K57" s="2"/>
      <c r="L57" s="2"/>
      <c r="M57" s="2"/>
      <c r="N57" s="23"/>
      <c r="O57" s="2"/>
      <c r="P57" s="2"/>
      <c r="Q57" s="24"/>
      <c r="R57" s="2"/>
      <c r="S57" s="2"/>
      <c r="T57" s="2" t="n">
        <v>9</v>
      </c>
      <c r="U57" s="2" t="n">
        <v>15</v>
      </c>
      <c r="V57" s="2" t="n">
        <v>15</v>
      </c>
      <c r="W57" s="31" t="n">
        <f>Implant3yrstable[[#This Row],[Closing balance ]]/Implant3yrstable[[#This Row],[Forecasted consumption]]</f>
        <v>0</v>
      </c>
      <c r="X57" s="25"/>
    </row>
  </sheetData>
  <dataValidations count="3">
    <dataValidation type="list" allowBlank="1" showInputMessage="1" showErrorMessage="1" sqref="M25:M145" xr:uid="{E4DCB4B3-9A1C-4ED8-8F40-EE9C7BA8FFAB}">
      <formula1>"Committed,  Placed, Expected Deliveries, Received, cancelled"</formula1>
    </dataValidation>
    <dataValidation type="list" allowBlank="1" showInputMessage="1" showErrorMessage="1" sqref="E7:E57" xr:uid="{80247FDB-0FED-4871-A1DF-C2574335160C}">
      <formula1>"All levels, Central, Central and Regional, Facilities "</formula1>
    </dataValidation>
    <dataValidation type="list" allowBlank="1" showInputMessage="1" showErrorMessage="1" sqref="M7:M24" xr:uid="{2D307E6B-FDE9-4167-BE41-C794A2284703}">
      <formula1>"Committed,  Planned,Placed,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327688-DAE9-4059-BB5B-5DD33B1DD31C}">
          <x14:formula1>
            <xm:f>'choices countries '!$B$3:$B$12</xm:f>
          </x14:formula1>
          <xm:sqref>B58:B446 B7:B45</xm:sqref>
        </x14:dataValidation>
        <x14:dataValidation type="list" allowBlank="1" showInputMessage="1" showErrorMessage="1" xr:uid="{9D7C06B3-9471-4F2D-8B90-EDB29FA5B0D0}">
          <x14:formula1>
            <xm:f>'choices countries '!$B$3:$B$15</xm:f>
          </x14:formula1>
          <xm:sqref>B46:B57</xm:sqref>
        </x14:dataValidation>
        <x14:dataValidation type="list" allowBlank="1" showInputMessage="1" showErrorMessage="1" xr:uid="{D7AFBC7B-11C5-46F0-B66D-8958C15DFBAD}">
          <x14:formula1>
            <xm:f>'product list '!$A$31</xm:f>
          </x14:formula1>
          <xm:sqref>C7:C57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41</v>
      </c>
      <c r="D7" s="17" t="s">
        <v>39</v>
      </c>
      <c r="E7" s="18" t="s">
        <v>31</v>
      </c>
      <c r="F7" s="19" t="n">
        <v>45839</v>
      </c>
      <c r="G7" s="20" t="n">
        <v>72151</v>
      </c>
      <c r="H7" s="20"/>
      <c r="I7" s="20" t="n">
        <v>7774</v>
      </c>
      <c r="J7" s="20" t="n">
        <f>MAX(implant2rod5yrstable[[#This Row],[Stock on hand(opening balance)]]+implant2rod5yrstable[[#This Row],[Quantity ]]-implant2rod5yrstable[[#This Row],[Forecasted consumption]],0)</f>
        <v>64377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0" t="n">
        <f>implant2rod5yrstable[[#This Row],[Closing balance ]]/implant2rod5yrstable[[#This Row],[Forecasted consumption]]</f>
        <v>8.281065088757396</v>
      </c>
      <c r="X7" s="22"/>
    </row>
    <row r="8">
      <c r="B8" s="6" t="s">
        <v>28</v>
      </c>
      <c r="C8" s="17" t="s">
        <v>41</v>
      </c>
      <c r="D8" s="17" t="s">
        <v>39</v>
      </c>
      <c r="E8" s="18" t="s">
        <v>31</v>
      </c>
      <c r="F8" s="19" t="n">
        <v>45870</v>
      </c>
      <c r="G8" s="23" t="n">
        <f>J7</f>
        <v>64377</v>
      </c>
      <c r="H8" s="23"/>
      <c r="I8" s="20" t="n">
        <v>7774</v>
      </c>
      <c r="J8" s="20" t="n">
        <f>MAX(implant2rod5yrstable[[#This Row],[Stock on hand(opening balance)]]+implant2rod5yrstable[[#This Row],[Quantity ]]-implant2rod5yrstable[[#This Row],[Forecasted consumption]],0)</f>
        <v>97837</v>
      </c>
      <c r="K8" s="2" t="s">
        <v>2</v>
      </c>
      <c r="L8" s="2" t="s">
        <v>2</v>
      </c>
      <c r="M8" s="18" t="s">
        <v>4</v>
      </c>
      <c r="N8" s="23" t="n">
        <v>41234</v>
      </c>
      <c r="O8" s="2"/>
      <c r="P8" s="23" t="n">
        <v>420587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20" t="n">
        <f>implant2rod5yrstable[[#This Row],[Closing balance ]]/implant2rod5yrstable[[#This Row],[Forecasted consumption]]</f>
        <v>12.585155647028557</v>
      </c>
      <c r="X8" s="25"/>
    </row>
    <row r="9">
      <c r="B9" s="6" t="s">
        <v>28</v>
      </c>
      <c r="C9" s="17" t="s">
        <v>41</v>
      </c>
      <c r="D9" s="17" t="s">
        <v>39</v>
      </c>
      <c r="E9" s="18" t="s">
        <v>31</v>
      </c>
      <c r="F9" s="19" t="n">
        <v>45901</v>
      </c>
      <c r="G9" s="23" t="n">
        <f t="shared" ref="G9:G18" si="0">J8</f>
        <v>97837</v>
      </c>
      <c r="H9" s="23"/>
      <c r="I9" s="20" t="n">
        <v>7774</v>
      </c>
      <c r="J9" s="20" t="n">
        <f>MAX(implant2rod5yrstable[[#This Row],[Stock on hand(opening balance)]]+implant2rod5yrstable[[#This Row],[Quantity ]]-implant2rod5yrstable[[#This Row],[Forecasted consumption]],0)</f>
        <v>90063</v>
      </c>
      <c r="K9" s="2"/>
      <c r="L9" s="2"/>
      <c r="M9" s="18"/>
      <c r="N9" s="23"/>
      <c r="O9" s="2"/>
      <c r="P9" s="23"/>
      <c r="Q9" s="24"/>
      <c r="R9" s="2"/>
      <c r="S9" s="2"/>
      <c r="T9" s="18" t="n">
        <v>9</v>
      </c>
      <c r="U9" s="18" t="n">
        <v>14</v>
      </c>
      <c r="V9" s="18" t="n">
        <v>13</v>
      </c>
      <c r="W9" s="20" t="n">
        <f>implant2rod5yrstable[[#This Row],[Closing balance ]]/implant2rod5yrstable[[#This Row],[Forecasted consumption]]</f>
        <v>11.585155647028557</v>
      </c>
      <c r="X9" s="25"/>
    </row>
    <row r="10">
      <c r="B10" s="6" t="s">
        <v>28</v>
      </c>
      <c r="C10" s="17" t="s">
        <v>41</v>
      </c>
      <c r="D10" s="17" t="s">
        <v>39</v>
      </c>
      <c r="E10" s="18" t="s">
        <v>31</v>
      </c>
      <c r="F10" s="19" t="n">
        <v>45931</v>
      </c>
      <c r="G10" s="23" t="n">
        <f t="shared" si="0"/>
        <v>90063</v>
      </c>
      <c r="H10" s="23"/>
      <c r="I10" s="20" t="n">
        <v>7774</v>
      </c>
      <c r="J10" s="20" t="n">
        <f>MAX(implant2rod5yrstable[[#This Row],[Stock on hand(opening balance)]]+implant2rod5yrstable[[#This Row],[Quantity ]]-implant2rod5yrstable[[#This Row],[Forecasted consumption]],0)</f>
        <v>82289</v>
      </c>
      <c r="K10" s="2"/>
      <c r="L10" s="2"/>
      <c r="M10" s="18"/>
      <c r="N10" s="23"/>
      <c r="O10" s="2"/>
      <c r="P10" s="23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0" t="n">
        <f>implant2rod5yrstable[[#This Row],[Closing balance ]]/implant2rod5yrstable[[#This Row],[Forecasted consumption]]</f>
        <v>10.585155647028557</v>
      </c>
      <c r="X10" s="25"/>
    </row>
    <row r="11">
      <c r="B11" s="6" t="s">
        <v>28</v>
      </c>
      <c r="C11" s="17" t="s">
        <v>41</v>
      </c>
      <c r="D11" s="17" t="s">
        <v>39</v>
      </c>
      <c r="E11" s="18" t="s">
        <v>31</v>
      </c>
      <c r="F11" s="19" t="n">
        <v>45962</v>
      </c>
      <c r="G11" s="23" t="n">
        <f t="shared" si="0"/>
        <v>82289</v>
      </c>
      <c r="H11" s="23"/>
      <c r="I11" s="20" t="n">
        <v>7774</v>
      </c>
      <c r="J11" s="20" t="n">
        <f>MAX(implant2rod5yrstable[[#This Row],[Stock on hand(opening balance)]]+implant2rod5yrstable[[#This Row],[Quantity ]]-implant2rod5yrstable[[#This Row],[Forecasted consumption]],0)</f>
        <v>74515</v>
      </c>
      <c r="K11" s="2"/>
      <c r="L11" s="2"/>
      <c r="M11" s="18"/>
      <c r="N11" s="23"/>
      <c r="O11" s="2"/>
      <c r="P11" s="23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0" t="n">
        <f>implant2rod5yrstable[[#This Row],[Closing balance ]]/implant2rod5yrstable[[#This Row],[Forecasted consumption]]</f>
        <v>9.5851556470285573</v>
      </c>
      <c r="X11" s="25"/>
    </row>
    <row r="12">
      <c r="B12" s="6" t="s">
        <v>28</v>
      </c>
      <c r="C12" s="17" t="s">
        <v>41</v>
      </c>
      <c r="D12" s="17" t="s">
        <v>39</v>
      </c>
      <c r="E12" s="18" t="s">
        <v>31</v>
      </c>
      <c r="F12" s="19" t="n">
        <v>45992</v>
      </c>
      <c r="G12" s="23" t="n">
        <f t="shared" si="0"/>
        <v>74515</v>
      </c>
      <c r="H12" s="23"/>
      <c r="I12" s="20" t="n">
        <v>7774</v>
      </c>
      <c r="J12" s="20" t="n">
        <f>MAX(implant2rod5yrstable[[#This Row],[Stock on hand(opening balance)]]+implant2rod5yrstable[[#This Row],[Quantity ]]-implant2rod5yrstable[[#This Row],[Forecasted consumption]],0)</f>
        <v>66741</v>
      </c>
      <c r="K12" s="2"/>
      <c r="L12" s="2"/>
      <c r="M12" s="18"/>
      <c r="N12" s="23"/>
      <c r="O12" s="2"/>
      <c r="P12" s="23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0" t="n">
        <f>implant2rod5yrstable[[#This Row],[Closing balance ]]/implant2rod5yrstable[[#This Row],[Forecasted consumption]]</f>
        <v>8.5851556470285573</v>
      </c>
      <c r="X12" s="25"/>
    </row>
    <row r="13">
      <c r="B13" s="6" t="s">
        <v>28</v>
      </c>
      <c r="C13" s="17" t="s">
        <v>41</v>
      </c>
      <c r="D13" s="17" t="s">
        <v>39</v>
      </c>
      <c r="E13" s="18" t="s">
        <v>31</v>
      </c>
      <c r="F13" s="19" t="n">
        <v>46023</v>
      </c>
      <c r="G13" s="23" t="n">
        <f t="shared" si="0"/>
        <v>66741</v>
      </c>
      <c r="H13" s="23"/>
      <c r="I13" s="20" t="n">
        <v>7774</v>
      </c>
      <c r="J13" s="20" t="n">
        <f>MAX(implant2rod5yrstable[[#This Row],[Stock on hand(opening balance)]]+implant2rod5yrstable[[#This Row],[Quantity ]]-implant2rod5yrstable[[#This Row],[Forecasted consumption]],0)</f>
        <v>98720</v>
      </c>
      <c r="K13" s="2" t="s">
        <v>2</v>
      </c>
      <c r="L13" s="2" t="s">
        <v>2</v>
      </c>
      <c r="M13" s="18" t="s">
        <v>4</v>
      </c>
      <c r="N13" s="23" t="n">
        <v>39753</v>
      </c>
      <c r="O13" s="2"/>
      <c r="P13" s="23" t="n">
        <v>405481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20" t="n">
        <f>implant2rod5yrstable[[#This Row],[Closing balance ]]/implant2rod5yrstable[[#This Row],[Forecasted consumption]]</f>
        <v>12.698739387702599</v>
      </c>
      <c r="X13" s="25"/>
    </row>
    <row r="14">
      <c r="B14" s="6" t="s">
        <v>28</v>
      </c>
      <c r="C14" s="17" t="s">
        <v>41</v>
      </c>
      <c r="D14" s="17" t="s">
        <v>39</v>
      </c>
      <c r="E14" s="18" t="s">
        <v>31</v>
      </c>
      <c r="F14" s="19" t="n">
        <v>46054</v>
      </c>
      <c r="G14" s="23" t="n">
        <f t="shared" si="0"/>
        <v>98720</v>
      </c>
      <c r="H14" s="23"/>
      <c r="I14" s="20" t="n">
        <v>7774</v>
      </c>
      <c r="J14" s="20" t="n">
        <f>MAX(implant2rod5yrstable[[#This Row],[Stock on hand(opening balance)]]+implant2rod5yrstable[[#This Row],[Quantity ]]-implant2rod5yrstable[[#This Row],[Forecasted consumption]],0)</f>
        <v>90946</v>
      </c>
      <c r="K14" s="2"/>
      <c r="L14" s="2"/>
      <c r="M14" s="18"/>
      <c r="N14" s="23"/>
      <c r="O14" s="2"/>
      <c r="P14" s="23"/>
      <c r="Q14" s="24"/>
      <c r="R14" s="2"/>
      <c r="S14" s="2"/>
      <c r="T14" s="18" t="n">
        <v>9</v>
      </c>
      <c r="U14" s="18" t="n">
        <v>14</v>
      </c>
      <c r="V14" s="18" t="n">
        <v>13</v>
      </c>
      <c r="W14" s="20" t="n">
        <f>implant2rod5yrstable[[#This Row],[Closing balance ]]/implant2rod5yrstable[[#This Row],[Forecasted consumption]]</f>
        <v>11.698739387702599</v>
      </c>
      <c r="X14" s="25"/>
    </row>
    <row r="15">
      <c r="B15" s="6" t="s">
        <v>28</v>
      </c>
      <c r="C15" s="17" t="s">
        <v>41</v>
      </c>
      <c r="D15" s="17" t="s">
        <v>39</v>
      </c>
      <c r="E15" s="18" t="s">
        <v>31</v>
      </c>
      <c r="F15" s="19" t="n">
        <v>46082</v>
      </c>
      <c r="G15" s="23" t="n">
        <f t="shared" si="0"/>
        <v>90946</v>
      </c>
      <c r="H15" s="23"/>
      <c r="I15" s="20" t="n">
        <v>7774</v>
      </c>
      <c r="J15" s="20" t="n">
        <f>MAX(implant2rod5yrstable[[#This Row],[Stock on hand(opening balance)]]+implant2rod5yrstable[[#This Row],[Quantity ]]-implant2rod5yrstable[[#This Row],[Forecasted consumption]],0)</f>
        <v>83172</v>
      </c>
      <c r="K15" s="2"/>
      <c r="L15" s="2"/>
      <c r="M15" s="18"/>
      <c r="N15" s="23"/>
      <c r="O15" s="2"/>
      <c r="P15" s="23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0" t="n">
        <f>implant2rod5yrstable[[#This Row],[Closing balance ]]/implant2rod5yrstable[[#This Row],[Forecasted consumption]]</f>
        <v>10.698739387702599</v>
      </c>
      <c r="X15" s="25"/>
    </row>
    <row r="16">
      <c r="B16" s="6" t="s">
        <v>28</v>
      </c>
      <c r="C16" s="17" t="s">
        <v>41</v>
      </c>
      <c r="D16" s="17" t="s">
        <v>39</v>
      </c>
      <c r="E16" s="18" t="s">
        <v>31</v>
      </c>
      <c r="F16" s="19" t="n">
        <v>46113</v>
      </c>
      <c r="G16" s="23" t="n">
        <f t="shared" si="0"/>
        <v>83172</v>
      </c>
      <c r="H16" s="23"/>
      <c r="I16" s="20" t="n">
        <v>7774</v>
      </c>
      <c r="J16" s="20" t="n">
        <f>MAX(implant2rod5yrstable[[#This Row],[Stock on hand(opening balance)]]+implant2rod5yrstable[[#This Row],[Quantity ]]-implant2rod5yrstable[[#This Row],[Forecasted consumption]],0)</f>
        <v>75398</v>
      </c>
      <c r="K16" s="2"/>
      <c r="L16" s="2"/>
      <c r="M16" s="18"/>
      <c r="N16" s="23"/>
      <c r="O16" s="2"/>
      <c r="P16" s="23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0" t="n">
        <f>implant2rod5yrstable[[#This Row],[Closing balance ]]/implant2rod5yrstable[[#This Row],[Forecasted consumption]]</f>
        <v>9.6987393877025987</v>
      </c>
      <c r="X16" s="25"/>
    </row>
    <row r="17">
      <c r="B17" s="6" t="s">
        <v>28</v>
      </c>
      <c r="C17" s="17" t="s">
        <v>41</v>
      </c>
      <c r="D17" s="17" t="s">
        <v>39</v>
      </c>
      <c r="E17" s="18" t="s">
        <v>31</v>
      </c>
      <c r="F17" s="19" t="n">
        <v>46143</v>
      </c>
      <c r="G17" s="23" t="n">
        <f t="shared" si="0"/>
        <v>75398</v>
      </c>
      <c r="H17" s="23"/>
      <c r="I17" s="20" t="n">
        <v>7774</v>
      </c>
      <c r="J17" s="20" t="n">
        <f>MAX(implant2rod5yrstable[[#This Row],[Stock on hand(opening balance)]]+implant2rod5yrstable[[#This Row],[Quantity ]]-implant2rod5yrstable[[#This Row],[Forecasted consumption]],0)</f>
        <v>67624</v>
      </c>
      <c r="K17" s="2"/>
      <c r="L17" s="2"/>
      <c r="M17" s="18"/>
      <c r="N17" s="23"/>
      <c r="O17" s="2"/>
      <c r="P17" s="23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0" t="n">
        <f>implant2rod5yrstable[[#This Row],[Closing balance ]]/implant2rod5yrstable[[#This Row],[Forecasted consumption]]</f>
        <v>8.6987393877025987</v>
      </c>
      <c r="X17" s="25"/>
    </row>
    <row r="18">
      <c r="B18" s="6" t="s">
        <v>28</v>
      </c>
      <c r="C18" s="17" t="s">
        <v>41</v>
      </c>
      <c r="D18" s="17" t="s">
        <v>39</v>
      </c>
      <c r="E18" s="18" t="s">
        <v>31</v>
      </c>
      <c r="F18" s="19" t="n">
        <v>46174</v>
      </c>
      <c r="G18" s="23" t="n">
        <f t="shared" si="0"/>
        <v>67624</v>
      </c>
      <c r="H18" s="23"/>
      <c r="I18" s="20" t="n">
        <v>7774</v>
      </c>
      <c r="J18" s="20" t="n">
        <f>MAX(implant2rod5yrstable[[#This Row],[Stock on hand(opening balance)]]+implant2rod5yrstable[[#This Row],[Quantity ]]-implant2rod5yrstable[[#This Row],[Forecasted consumption]],0)</f>
        <v>99966</v>
      </c>
      <c r="K18" s="2" t="s">
        <v>2</v>
      </c>
      <c r="L18" s="2" t="s">
        <v>2</v>
      </c>
      <c r="M18" s="18" t="s">
        <v>4</v>
      </c>
      <c r="N18" s="23" t="n">
        <v>40116</v>
      </c>
      <c r="O18" s="2"/>
      <c r="P18" s="23" t="n">
        <v>409183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20" t="n">
        <f>implant2rod5yrstable[[#This Row],[Closing balance ]]/implant2rod5yrstable[[#This Row],[Forecasted consumption]]</f>
        <v>12.859017236943659</v>
      </c>
      <c r="X18" s="25"/>
    </row>
    <row r="19">
      <c r="B19" s="6" t="s">
        <v>75</v>
      </c>
      <c r="C19" s="17" t="s">
        <v>41</v>
      </c>
      <c r="D19" s="17" t="s">
        <v>39</v>
      </c>
      <c r="E19" s="18" t="s">
        <v>31</v>
      </c>
      <c r="F19" s="19" t="n">
        <v>45748</v>
      </c>
      <c r="G19" s="20" t="n">
        <v>85486</v>
      </c>
      <c r="H19" s="20"/>
      <c r="I19" s="20" t="n">
        <v>24678</v>
      </c>
      <c r="J19" s="20" t="n">
        <f>MAX(implant2rod5yrstable[[#This Row],[Stock on hand(opening balance)]]+implant2rod5yrstable[[#This Row],[Quantity ]]-implant2rod5yrstable[[#This Row],[Forecasted consumption]],0)</f>
        <v>60808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0" t="n">
        <f>implant2rod5yrstable[[#This Row],[Closing balance ]]/implant2rod5yrstable[[#This Row],[Forecasted consumption]]</f>
        <v>2.4640570548666827</v>
      </c>
      <c r="X19" s="22"/>
    </row>
    <row r="20">
      <c r="B20" s="6" t="s">
        <v>75</v>
      </c>
      <c r="C20" s="17" t="s">
        <v>41</v>
      </c>
      <c r="D20" s="17" t="s">
        <v>39</v>
      </c>
      <c r="E20" s="18" t="s">
        <v>31</v>
      </c>
      <c r="F20" s="19" t="n">
        <v>45778</v>
      </c>
      <c r="G20" s="23" t="n">
        <f>J19</f>
        <v>60808</v>
      </c>
      <c r="H20" s="23"/>
      <c r="I20" s="23" t="n">
        <v>24722</v>
      </c>
      <c r="J20" s="23" t="n">
        <f>MAX(implant2rod5yrstable[[#This Row],[Stock on hand(opening balance)]]+implant2rod5yrstable[[#This Row],[Quantity ]]-implant2rod5yrstable[[#This Row],[Forecasted consumption]],0)</f>
        <v>36086</v>
      </c>
      <c r="K20" s="2"/>
      <c r="L20" s="2"/>
      <c r="M20" s="18"/>
      <c r="N20" s="23"/>
      <c r="O20" s="2"/>
      <c r="P20" s="23"/>
      <c r="Q20" s="24"/>
      <c r="R20" s="2"/>
      <c r="S20" s="2"/>
      <c r="T20" s="18" t="n">
        <v>7</v>
      </c>
      <c r="U20" s="18" t="n">
        <v>15</v>
      </c>
      <c r="V20" s="18" t="n">
        <v>15</v>
      </c>
      <c r="W20" s="20" t="n">
        <f>implant2rod5yrstable[[#This Row],[Closing balance ]]/implant2rod5yrstable[[#This Row],[Forecasted consumption]]</f>
        <v>1.4596715476094166</v>
      </c>
      <c r="X20" s="25"/>
    </row>
    <row r="21">
      <c r="B21" s="6" t="s">
        <v>75</v>
      </c>
      <c r="C21" s="17" t="s">
        <v>41</v>
      </c>
      <c r="D21" s="17" t="s">
        <v>39</v>
      </c>
      <c r="E21" s="18" t="s">
        <v>31</v>
      </c>
      <c r="F21" s="19" t="n">
        <v>45809</v>
      </c>
      <c r="G21" s="23" t="n">
        <f t="shared" ref="G21:G36" si="1">J20</f>
        <v>36086</v>
      </c>
      <c r="H21" s="23"/>
      <c r="I21" s="23" t="n">
        <v>24766</v>
      </c>
      <c r="J21" s="23" t="n">
        <f>MAX(implant2rod5yrstable[[#This Row],[Stock on hand(opening balance)]]+implant2rod5yrstable[[#This Row],[Quantity ]]-implant2rod5yrstable[[#This Row],[Forecasted consumption]],0)</f>
        <v>66320</v>
      </c>
      <c r="K21" s="2"/>
      <c r="L21" s="2"/>
      <c r="M21" s="18" t="s">
        <v>154</v>
      </c>
      <c r="N21" s="23" t="n">
        <v>55000</v>
      </c>
      <c r="O21" s="2"/>
      <c r="P21" s="23"/>
      <c r="Q21" s="24"/>
      <c r="R21" s="2"/>
      <c r="S21" s="2"/>
      <c r="T21" s="18" t="n">
        <v>7</v>
      </c>
      <c r="U21" s="18" t="n">
        <v>15</v>
      </c>
      <c r="V21" s="18" t="n">
        <v>15</v>
      </c>
      <c r="W21" s="20" t="n">
        <f>implant2rod5yrstable[[#This Row],[Closing balance ]]/implant2rod5yrstable[[#This Row],[Forecasted consumption]]</f>
        <v>2.6778648146652668</v>
      </c>
      <c r="X21" s="25"/>
    </row>
    <row r="22">
      <c r="B22" s="6" t="s">
        <v>75</v>
      </c>
      <c r="C22" s="17" t="s">
        <v>41</v>
      </c>
      <c r="D22" s="17" t="s">
        <v>39</v>
      </c>
      <c r="E22" s="18" t="s">
        <v>31</v>
      </c>
      <c r="F22" s="19" t="n">
        <v>45839</v>
      </c>
      <c r="G22" s="23" t="n">
        <f t="shared" si="1"/>
        <v>66320</v>
      </c>
      <c r="H22" s="23"/>
      <c r="I22" s="23" t="n">
        <v>24810</v>
      </c>
      <c r="J22" s="23" t="n">
        <f>MAX(implant2rod5yrstable[[#This Row],[Stock on hand(opening balance)]]+implant2rod5yrstable[[#This Row],[Quantity ]]-implant2rod5yrstable[[#This Row],[Forecasted consumption]],0)</f>
        <v>41510</v>
      </c>
      <c r="K22" s="2"/>
      <c r="L22" s="2"/>
      <c r="M22" s="18"/>
      <c r="N22" s="23"/>
      <c r="O22" s="2"/>
      <c r="P22" s="23"/>
      <c r="Q22" s="24"/>
      <c r="R22" s="2"/>
      <c r="S22" s="2"/>
      <c r="T22" s="18" t="n">
        <v>7</v>
      </c>
      <c r="U22" s="18" t="n">
        <v>15</v>
      </c>
      <c r="V22" s="18" t="n">
        <v>15</v>
      </c>
      <c r="W22" s="20" t="n">
        <f>implant2rod5yrstable[[#This Row],[Closing balance ]]/implant2rod5yrstable[[#This Row],[Forecasted consumption]]</f>
        <v>1.6731156791616284</v>
      </c>
      <c r="X22" s="25"/>
    </row>
    <row r="23">
      <c r="B23" s="6" t="s">
        <v>75</v>
      </c>
      <c r="C23" s="17" t="s">
        <v>41</v>
      </c>
      <c r="D23" s="17" t="s">
        <v>39</v>
      </c>
      <c r="E23" s="18" t="s">
        <v>31</v>
      </c>
      <c r="F23" s="19" t="n">
        <v>45870</v>
      </c>
      <c r="G23" s="23" t="n">
        <f t="shared" si="1"/>
        <v>41510</v>
      </c>
      <c r="H23" s="23"/>
      <c r="I23" s="23" t="n">
        <v>24853</v>
      </c>
      <c r="J23" s="23" t="n">
        <f>MAX(implant2rod5yrstable[[#This Row],[Stock on hand(opening balance)]]+implant2rod5yrstable[[#This Row],[Quantity ]]-implant2rod5yrstable[[#This Row],[Forecasted consumption]],0)</f>
        <v>16657</v>
      </c>
      <c r="K23" s="2"/>
      <c r="L23" s="2"/>
      <c r="M23" s="18"/>
      <c r="N23" s="23"/>
      <c r="O23" s="2"/>
      <c r="P23" s="23"/>
      <c r="Q23" s="24"/>
      <c r="R23" s="2"/>
      <c r="S23" s="2"/>
      <c r="T23" s="18" t="n">
        <v>7</v>
      </c>
      <c r="U23" s="18" t="n">
        <v>15</v>
      </c>
      <c r="V23" s="18" t="n">
        <v>15</v>
      </c>
      <c r="W23" s="20" t="n">
        <f>implant2rod5yrstable[[#This Row],[Closing balance ]]/implant2rod5yrstable[[#This Row],[Forecasted consumption]]</f>
        <v>0.67022089888544645</v>
      </c>
      <c r="X23" s="25"/>
    </row>
    <row r="24">
      <c r="B24" s="6" t="s">
        <v>75</v>
      </c>
      <c r="C24" s="17" t="s">
        <v>41</v>
      </c>
      <c r="D24" s="17" t="s">
        <v>39</v>
      </c>
      <c r="E24" s="18" t="s">
        <v>31</v>
      </c>
      <c r="F24" s="19" t="n">
        <v>45901</v>
      </c>
      <c r="G24" s="23" t="n">
        <f t="shared" si="1"/>
        <v>16657</v>
      </c>
      <c r="H24" s="23"/>
      <c r="I24" s="23" t="n">
        <v>24897</v>
      </c>
      <c r="J24" s="23" t="n">
        <f>MAX(implant2rod5yrstable[[#This Row],[Stock on hand(opening balance)]]+implant2rod5yrstable[[#This Row],[Quantity ]]-implant2rod5yrstable[[#This Row],[Forecasted consumption]],0)</f>
        <v>114548</v>
      </c>
      <c r="K24" s="2"/>
      <c r="L24" s="2"/>
      <c r="M24" s="18" t="s">
        <v>147</v>
      </c>
      <c r="N24" s="23" t="n">
        <v>122788</v>
      </c>
      <c r="O24" s="2"/>
      <c r="P24" s="23"/>
      <c r="Q24" s="24"/>
      <c r="R24" s="2"/>
      <c r="S24" s="2"/>
      <c r="T24" s="18" t="n">
        <v>7</v>
      </c>
      <c r="U24" s="18" t="n">
        <v>15</v>
      </c>
      <c r="V24" s="18" t="n">
        <v>15</v>
      </c>
      <c r="W24" s="20" t="n">
        <f>implant2rod5yrstable[[#This Row],[Closing balance ]]/implant2rod5yrstable[[#This Row],[Forecasted consumption]]</f>
        <v>4.6008756075029122</v>
      </c>
      <c r="X24" s="25"/>
    </row>
    <row r="25">
      <c r="B25" s="6" t="s">
        <v>75</v>
      </c>
      <c r="C25" s="17" t="s">
        <v>41</v>
      </c>
      <c r="D25" s="17" t="s">
        <v>39</v>
      </c>
      <c r="E25" s="18" t="s">
        <v>31</v>
      </c>
      <c r="F25" s="19" t="n">
        <v>45931</v>
      </c>
      <c r="G25" s="23" t="n">
        <f t="shared" si="1"/>
        <v>114548</v>
      </c>
      <c r="H25" s="23"/>
      <c r="I25" s="23" t="n">
        <v>24941</v>
      </c>
      <c r="J25" s="23" t="n">
        <f>MAX(implant2rod5yrstable[[#This Row],[Stock on hand(opening balance)]]+implant2rod5yrstable[[#This Row],[Quantity ]]-implant2rod5yrstable[[#This Row],[Forecasted consumption]],0)</f>
        <v>89607</v>
      </c>
      <c r="K25" s="2"/>
      <c r="L25" s="2"/>
      <c r="M25" s="18"/>
      <c r="N25" s="23"/>
      <c r="O25" s="2"/>
      <c r="P25" s="23"/>
      <c r="Q25" s="24"/>
      <c r="R25" s="2"/>
      <c r="S25" s="2"/>
      <c r="T25" s="18" t="n">
        <v>7</v>
      </c>
      <c r="U25" s="18" t="n">
        <v>15</v>
      </c>
      <c r="V25" s="18" t="n">
        <v>15</v>
      </c>
      <c r="W25" s="20" t="n">
        <f>implant2rod5yrstable[[#This Row],[Closing balance ]]/implant2rod5yrstable[[#This Row],[Forecasted consumption]]</f>
        <v>3.5927589110300309</v>
      </c>
      <c r="X25" s="25"/>
    </row>
    <row r="26">
      <c r="B26" s="6" t="s">
        <v>75</v>
      </c>
      <c r="C26" s="17" t="s">
        <v>41</v>
      </c>
      <c r="D26" s="17" t="s">
        <v>39</v>
      </c>
      <c r="E26" s="18" t="s">
        <v>31</v>
      </c>
      <c r="F26" s="19" t="n">
        <v>45962</v>
      </c>
      <c r="G26" s="23" t="n">
        <f t="shared" si="1"/>
        <v>89607</v>
      </c>
      <c r="H26" s="23"/>
      <c r="I26" s="23" t="n">
        <v>24985</v>
      </c>
      <c r="J26" s="23" t="n">
        <f>MAX(implant2rod5yrstable[[#This Row],[Stock on hand(opening balance)]]+implant2rod5yrstable[[#This Row],[Quantity ]]-implant2rod5yrstable[[#This Row],[Forecasted consumption]],0)</f>
        <v>374059</v>
      </c>
      <c r="K26" s="2"/>
      <c r="L26" s="2"/>
      <c r="M26" s="18" t="s">
        <v>4</v>
      </c>
      <c r="N26" s="23" t="n">
        <v>309437</v>
      </c>
      <c r="O26" s="2"/>
      <c r="P26" s="23"/>
      <c r="Q26" s="24"/>
      <c r="R26" s="2"/>
      <c r="S26" s="2"/>
      <c r="T26" s="18" t="n">
        <v>7</v>
      </c>
      <c r="U26" s="18" t="n">
        <v>15</v>
      </c>
      <c r="V26" s="18" t="n">
        <v>15</v>
      </c>
      <c r="W26" s="20" t="n">
        <f>implant2rod5yrstable[[#This Row],[Closing balance ]]/implant2rod5yrstable[[#This Row],[Forecasted consumption]]</f>
        <v>14.97134280568341</v>
      </c>
      <c r="X26" s="25"/>
    </row>
    <row r="27">
      <c r="B27" s="6" t="s">
        <v>75</v>
      </c>
      <c r="C27" s="17" t="s">
        <v>41</v>
      </c>
      <c r="D27" s="17" t="s">
        <v>39</v>
      </c>
      <c r="E27" s="18" t="s">
        <v>31</v>
      </c>
      <c r="F27" s="19" t="n">
        <v>45992</v>
      </c>
      <c r="G27" s="23" t="n">
        <f t="shared" si="1"/>
        <v>374059</v>
      </c>
      <c r="H27" s="23"/>
      <c r="I27" s="23" t="n">
        <v>25029</v>
      </c>
      <c r="J27" s="23" t="n">
        <f>MAX(implant2rod5yrstable[[#This Row],[Stock on hand(opening balance)]]+implant2rod5yrstable[[#This Row],[Quantity ]]-implant2rod5yrstable[[#This Row],[Forecasted consumption]],0)</f>
        <v>349030</v>
      </c>
      <c r="K27" s="2"/>
      <c r="L27" s="2"/>
      <c r="M27" s="18"/>
      <c r="N27" s="23"/>
      <c r="O27" s="2"/>
      <c r="P27" s="23"/>
      <c r="Q27" s="24"/>
      <c r="R27" s="2"/>
      <c r="S27" s="2"/>
      <c r="T27" s="18" t="n">
        <v>7</v>
      </c>
      <c r="U27" s="18" t="n">
        <v>15</v>
      </c>
      <c r="V27" s="18" t="n">
        <v>15</v>
      </c>
      <c r="W27" s="20" t="n">
        <f>implant2rod5yrstable[[#This Row],[Closing balance ]]/implant2rod5yrstable[[#This Row],[Forecasted consumption]]</f>
        <v>13.945023772423989</v>
      </c>
      <c r="X27" s="25"/>
    </row>
    <row r="28">
      <c r="B28" s="6" t="s">
        <v>75</v>
      </c>
      <c r="C28" s="17" t="s">
        <v>41</v>
      </c>
      <c r="D28" s="17" t="s">
        <v>39</v>
      </c>
      <c r="E28" s="18" t="s">
        <v>31</v>
      </c>
      <c r="F28" s="19" t="n">
        <v>46023</v>
      </c>
      <c r="G28" s="23" t="n">
        <f t="shared" si="1"/>
        <v>349030</v>
      </c>
      <c r="H28" s="23"/>
      <c r="I28" s="23" t="n">
        <v>25029</v>
      </c>
      <c r="J28" s="23" t="n">
        <f>MAX(implant2rod5yrstable[[#This Row],[Stock on hand(opening balance)]]+implant2rod5yrstable[[#This Row],[Quantity ]]-implant2rod5yrstable[[#This Row],[Forecasted consumption]],0)</f>
        <v>324001</v>
      </c>
      <c r="K28" s="2"/>
      <c r="L28" s="2"/>
      <c r="M28" s="18"/>
      <c r="N28" s="23"/>
      <c r="O28" s="2"/>
      <c r="P28" s="23"/>
      <c r="Q28" s="24"/>
      <c r="R28" s="2"/>
      <c r="S28" s="2"/>
      <c r="T28" s="18" t="n">
        <v>7</v>
      </c>
      <c r="U28" s="18" t="n">
        <v>15</v>
      </c>
      <c r="V28" s="18" t="n">
        <v>15</v>
      </c>
      <c r="W28" s="20" t="n">
        <f>implant2rod5yrstable[[#This Row],[Closing balance ]]/implant2rod5yrstable[[#This Row],[Forecasted consumption]]</f>
        <v>12.945023772423989</v>
      </c>
      <c r="X28" s="25"/>
    </row>
    <row r="29">
      <c r="B29" s="6" t="s">
        <v>75</v>
      </c>
      <c r="C29" s="17" t="s">
        <v>41</v>
      </c>
      <c r="D29" s="17" t="s">
        <v>39</v>
      </c>
      <c r="E29" s="18" t="s">
        <v>31</v>
      </c>
      <c r="F29" s="19" t="n">
        <v>46054</v>
      </c>
      <c r="G29" s="23" t="n">
        <f t="shared" si="1"/>
        <v>324001</v>
      </c>
      <c r="H29" s="23"/>
      <c r="I29" s="23" t="n">
        <v>25029</v>
      </c>
      <c r="J29" s="23" t="n">
        <f>MAX(implant2rod5yrstable[[#This Row],[Stock on hand(opening balance)]]+implant2rod5yrstable[[#This Row],[Quantity ]]-implant2rod5yrstable[[#This Row],[Forecasted consumption]],0)</f>
        <v>298972</v>
      </c>
      <c r="K29" s="2"/>
      <c r="L29" s="2"/>
      <c r="M29" s="18"/>
      <c r="N29" s="23"/>
      <c r="O29" s="2"/>
      <c r="P29" s="23"/>
      <c r="Q29" s="24"/>
      <c r="R29" s="2"/>
      <c r="S29" s="2"/>
      <c r="T29" s="18" t="n">
        <v>7</v>
      </c>
      <c r="U29" s="18" t="n">
        <v>15</v>
      </c>
      <c r="V29" s="18" t="n">
        <v>15</v>
      </c>
      <c r="W29" s="20" t="n">
        <f>implant2rod5yrstable[[#This Row],[Closing balance ]]/implant2rod5yrstable[[#This Row],[Forecasted consumption]]</f>
        <v>11.945023772423989</v>
      </c>
      <c r="X29" s="25"/>
    </row>
    <row r="30">
      <c r="B30" s="6" t="s">
        <v>75</v>
      </c>
      <c r="C30" s="17" t="s">
        <v>41</v>
      </c>
      <c r="D30" s="17" t="s">
        <v>39</v>
      </c>
      <c r="E30" s="18" t="s">
        <v>31</v>
      </c>
      <c r="F30" s="19" t="n">
        <v>46082</v>
      </c>
      <c r="G30" s="23" t="n">
        <f t="shared" si="1"/>
        <v>298972</v>
      </c>
      <c r="H30" s="23"/>
      <c r="I30" s="23" t="n">
        <v>25029</v>
      </c>
      <c r="J30" s="23" t="n">
        <f>MAX(implant2rod5yrstable[[#This Row],[Stock on hand(opening balance)]]+implant2rod5yrstable[[#This Row],[Quantity ]]-implant2rod5yrstable[[#This Row],[Forecasted consumption]],0)</f>
        <v>425043</v>
      </c>
      <c r="K30" s="2"/>
      <c r="L30" s="2"/>
      <c r="M30" s="18" t="s">
        <v>4</v>
      </c>
      <c r="N30" s="23" t="n">
        <v>151100</v>
      </c>
      <c r="O30" s="2"/>
      <c r="P30" s="23"/>
      <c r="Q30" s="24"/>
      <c r="R30" s="2"/>
      <c r="S30" s="2"/>
      <c r="T30" s="18" t="n">
        <v>7</v>
      </c>
      <c r="U30" s="18" t="n">
        <v>15</v>
      </c>
      <c r="V30" s="18" t="n">
        <v>15</v>
      </c>
      <c r="W30" s="20" t="n">
        <f>implant2rod5yrstable[[#This Row],[Closing balance ]]/implant2rod5yrstable[[#This Row],[Forecasted consumption]]</f>
        <v>16.982020855807264</v>
      </c>
      <c r="X30" s="25"/>
    </row>
    <row r="31">
      <c r="B31" s="6" t="s">
        <v>75</v>
      </c>
      <c r="C31" s="17" t="s">
        <v>41</v>
      </c>
      <c r="D31" s="17" t="s">
        <v>39</v>
      </c>
      <c r="E31" s="18" t="s">
        <v>31</v>
      </c>
      <c r="F31" s="19" t="n">
        <v>46113</v>
      </c>
      <c r="G31" s="23" t="n">
        <f t="shared" si="1"/>
        <v>425043</v>
      </c>
      <c r="H31" s="23"/>
      <c r="I31" s="23" t="n">
        <v>25029</v>
      </c>
      <c r="J31" s="23" t="n">
        <f>MAX(implant2rod5yrstable[[#This Row],[Stock on hand(opening balance)]]+implant2rod5yrstable[[#This Row],[Quantity ]]-implant2rod5yrstable[[#This Row],[Forecasted consumption]],0)</f>
        <v>400014</v>
      </c>
      <c r="K31" s="2"/>
      <c r="L31" s="2"/>
      <c r="M31" s="18"/>
      <c r="N31" s="23"/>
      <c r="O31" s="2"/>
      <c r="P31" s="23"/>
      <c r="Q31" s="24"/>
      <c r="R31" s="2"/>
      <c r="S31" s="2"/>
      <c r="T31" s="18" t="n">
        <v>7</v>
      </c>
      <c r="U31" s="18" t="n">
        <v>15</v>
      </c>
      <c r="V31" s="18" t="n">
        <v>15</v>
      </c>
      <c r="W31" s="20" t="n">
        <f>implant2rod5yrstable[[#This Row],[Closing balance ]]/implant2rod5yrstable[[#This Row],[Forecasted consumption]]</f>
        <v>15.982020855807264</v>
      </c>
      <c r="X31" s="25"/>
    </row>
    <row r="32">
      <c r="B32" s="6" t="s">
        <v>75</v>
      </c>
      <c r="C32" s="17" t="s">
        <v>41</v>
      </c>
      <c r="D32" s="17" t="s">
        <v>39</v>
      </c>
      <c r="E32" s="18" t="s">
        <v>31</v>
      </c>
      <c r="F32" s="19" t="n">
        <v>46143</v>
      </c>
      <c r="G32" s="23" t="n">
        <f t="shared" si="1"/>
        <v>400014</v>
      </c>
      <c r="H32" s="23"/>
      <c r="I32" s="23" t="n">
        <v>25029</v>
      </c>
      <c r="J32" s="23" t="n">
        <f>MAX(implant2rod5yrstable[[#This Row],[Stock on hand(opening balance)]]+implant2rod5yrstable[[#This Row],[Quantity ]]-implant2rod5yrstable[[#This Row],[Forecasted consumption]],0)</f>
        <v>374985</v>
      </c>
      <c r="K32" s="2"/>
      <c r="L32" s="2"/>
      <c r="M32" s="18"/>
      <c r="N32" s="23"/>
      <c r="O32" s="2"/>
      <c r="P32" s="23"/>
      <c r="Q32" s="24"/>
      <c r="R32" s="2"/>
      <c r="S32" s="2"/>
      <c r="T32" s="18" t="n">
        <v>7</v>
      </c>
      <c r="U32" s="18" t="n">
        <v>15</v>
      </c>
      <c r="V32" s="18" t="n">
        <v>15</v>
      </c>
      <c r="W32" s="20" t="n">
        <f>implant2rod5yrstable[[#This Row],[Closing balance ]]/implant2rod5yrstable[[#This Row],[Forecasted consumption]]</f>
        <v>14.982020855807264</v>
      </c>
      <c r="X32" s="25"/>
    </row>
    <row r="33">
      <c r="B33" s="6" t="s">
        <v>75</v>
      </c>
      <c r="C33" s="17" t="s">
        <v>41</v>
      </c>
      <c r="D33" s="17" t="s">
        <v>39</v>
      </c>
      <c r="E33" s="18" t="s">
        <v>31</v>
      </c>
      <c r="F33" s="19" t="n">
        <v>46174</v>
      </c>
      <c r="G33" s="23" t="n">
        <f t="shared" si="1"/>
        <v>374985</v>
      </c>
      <c r="H33" s="23"/>
      <c r="I33" s="23" t="n">
        <v>25029</v>
      </c>
      <c r="J33" s="23" t="n">
        <f>MAX(implant2rod5yrstable[[#This Row],[Stock on hand(opening balance)]]+implant2rod5yrstable[[#This Row],[Quantity ]]-implant2rod5yrstable[[#This Row],[Forecasted consumption]],0)</f>
        <v>349956</v>
      </c>
      <c r="K33" s="2"/>
      <c r="L33" s="2"/>
      <c r="M33" s="18"/>
      <c r="N33" s="23"/>
      <c r="O33" s="2"/>
      <c r="P33" s="23"/>
      <c r="Q33" s="24"/>
      <c r="R33" s="2"/>
      <c r="S33" s="2"/>
      <c r="T33" s="18" t="n">
        <v>7</v>
      </c>
      <c r="U33" s="18" t="n">
        <v>15</v>
      </c>
      <c r="V33" s="18" t="n">
        <v>15</v>
      </c>
      <c r="W33" s="20" t="n">
        <f>implant2rod5yrstable[[#This Row],[Closing balance ]]/implant2rod5yrstable[[#This Row],[Forecasted consumption]]</f>
        <v>13.982020855807264</v>
      </c>
      <c r="X33" s="25"/>
    </row>
    <row r="34">
      <c r="B34" s="6" t="s">
        <v>75</v>
      </c>
      <c r="C34" s="17" t="s">
        <v>41</v>
      </c>
      <c r="D34" s="17" t="s">
        <v>39</v>
      </c>
      <c r="E34" s="18" t="s">
        <v>31</v>
      </c>
      <c r="F34" s="19" t="n">
        <v>46204</v>
      </c>
      <c r="G34" s="23" t="n">
        <f t="shared" si="1"/>
        <v>349956</v>
      </c>
      <c r="H34" s="23"/>
      <c r="I34" s="23" t="n">
        <v>25029</v>
      </c>
      <c r="J34" s="23" t="n">
        <f>MAX(implant2rod5yrstable[[#This Row],[Stock on hand(opening balance)]]+implant2rod5yrstable[[#This Row],[Quantity ]]-implant2rod5yrstable[[#This Row],[Forecasted consumption]],0)</f>
        <v>324927</v>
      </c>
      <c r="K34" s="2"/>
      <c r="L34" s="2"/>
      <c r="M34" s="18"/>
      <c r="N34" s="23"/>
      <c r="O34" s="2"/>
      <c r="P34" s="23"/>
      <c r="Q34" s="24"/>
      <c r="R34" s="2"/>
      <c r="S34" s="2"/>
      <c r="T34" s="18" t="n">
        <v>7</v>
      </c>
      <c r="U34" s="18" t="n">
        <v>15</v>
      </c>
      <c r="V34" s="18" t="n">
        <v>15</v>
      </c>
      <c r="W34" s="20" t="n">
        <f>implant2rod5yrstable[[#This Row],[Closing balance ]]/implant2rod5yrstable[[#This Row],[Forecasted consumption]]</f>
        <v>12.982020855807264</v>
      </c>
      <c r="X34" s="25"/>
    </row>
    <row r="35">
      <c r="B35" s="6" t="s">
        <v>75</v>
      </c>
      <c r="C35" s="17" t="s">
        <v>41</v>
      </c>
      <c r="D35" s="17" t="s">
        <v>39</v>
      </c>
      <c r="E35" s="18" t="s">
        <v>31</v>
      </c>
      <c r="F35" s="19" t="n">
        <v>46235</v>
      </c>
      <c r="G35" s="23" t="n">
        <f t="shared" si="1"/>
        <v>324927</v>
      </c>
      <c r="H35" s="23"/>
      <c r="I35" s="23" t="n">
        <v>25029</v>
      </c>
      <c r="J35" s="23" t="n">
        <f>MAX(implant2rod5yrstable[[#This Row],[Stock on hand(opening balance)]]+implant2rod5yrstable[[#This Row],[Quantity ]]-implant2rod5yrstable[[#This Row],[Forecasted consumption]],0)</f>
        <v>299898</v>
      </c>
      <c r="K35" s="2"/>
      <c r="L35" s="2"/>
      <c r="M35" s="18"/>
      <c r="N35" s="23"/>
      <c r="O35" s="2"/>
      <c r="P35" s="23"/>
      <c r="Q35" s="24"/>
      <c r="R35" s="2"/>
      <c r="S35" s="2"/>
      <c r="T35" s="18" t="n">
        <v>7</v>
      </c>
      <c r="U35" s="18" t="n">
        <v>15</v>
      </c>
      <c r="V35" s="18" t="n">
        <v>15</v>
      </c>
      <c r="W35" s="20" t="n">
        <f>implant2rod5yrstable[[#This Row],[Closing balance ]]/implant2rod5yrstable[[#This Row],[Forecasted consumption]]</f>
        <v>11.982020855807264</v>
      </c>
      <c r="X35" s="25"/>
    </row>
    <row r="36">
      <c r="B36" s="6" t="s">
        <v>75</v>
      </c>
      <c r="C36" s="17" t="s">
        <v>41</v>
      </c>
      <c r="D36" s="17" t="s">
        <v>39</v>
      </c>
      <c r="E36" s="18" t="s">
        <v>31</v>
      </c>
      <c r="F36" s="19" t="n">
        <v>46266</v>
      </c>
      <c r="G36" s="23" t="n">
        <f t="shared" si="1"/>
        <v>299898</v>
      </c>
      <c r="H36" s="23"/>
      <c r="I36" s="23" t="n">
        <v>25029</v>
      </c>
      <c r="J36" s="23" t="n">
        <f>MAX(implant2rod5yrstable[[#This Row],[Stock on hand(opening balance)]]+implant2rod5yrstable[[#This Row],[Quantity ]]-implant2rod5yrstable[[#This Row],[Forecasted consumption]],0)</f>
        <v>274869</v>
      </c>
      <c r="K36" s="2"/>
      <c r="L36" s="2"/>
      <c r="M36" s="18"/>
      <c r="N36" s="23"/>
      <c r="O36" s="2"/>
      <c r="P36" s="23"/>
      <c r="Q36" s="24"/>
      <c r="R36" s="2"/>
      <c r="S36" s="2"/>
      <c r="T36" s="18" t="n">
        <v>7</v>
      </c>
      <c r="U36" s="18" t="n">
        <v>15</v>
      </c>
      <c r="V36" s="18" t="n">
        <v>15</v>
      </c>
      <c r="W36" s="20" t="n">
        <f>implant2rod5yrstable[[#This Row],[Closing balance ]]/implant2rod5yrstable[[#This Row],[Forecasted consumption]]</f>
        <v>10.982020855807264</v>
      </c>
      <c r="X36" s="25"/>
    </row>
    <row r="37">
      <c r="B37" s="6" t="s">
        <v>76</v>
      </c>
      <c r="C37" s="18" t="s">
        <v>41</v>
      </c>
      <c r="D37" s="17"/>
      <c r="E37" s="18" t="s">
        <v>31</v>
      </c>
      <c r="F37" s="19" t="n">
        <v>45748</v>
      </c>
      <c r="G37" s="20"/>
      <c r="H37" s="20"/>
      <c r="I37" s="20" t="n">
        <v>13803</v>
      </c>
      <c r="J37" s="20" t="n">
        <f>MAX(implant2rod5yrstable[[#This Row],[Stock on hand(opening balance)]]+implant2rod5yrstable[[#This Row],[Quantity ]]-implant2rod5yrstable[[#This Row],[Forecasted consumption]],0)</f>
        <v>0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0" t="n">
        <f>implant2rod5yrstable[[#This Row],[Closing balance ]]/implant2rod5yrstable[[#This Row],[Forecasted consumption]]</f>
        <v>0</v>
      </c>
      <c r="X37" s="22"/>
    </row>
    <row r="38">
      <c r="B38" s="6" t="s">
        <v>76</v>
      </c>
      <c r="C38" s="18" t="s">
        <v>41</v>
      </c>
      <c r="D38" s="17"/>
      <c r="E38" s="18" t="s">
        <v>31</v>
      </c>
      <c r="F38" s="19" t="n">
        <v>45778</v>
      </c>
      <c r="G38" s="23"/>
      <c r="H38" s="23"/>
      <c r="I38" s="20" t="n">
        <v>13803</v>
      </c>
      <c r="J38" s="23" t="n">
        <f>MAX(implant2rod5yrstable[[#This Row],[Stock on hand(opening balance)]]+implant2rod5yrstable[[#This Row],[Quantity ]]-implant2rod5yrstable[[#This Row],[Forecasted consumption]],0)</f>
        <v>0</v>
      </c>
      <c r="K38" s="2"/>
      <c r="L38" s="2"/>
      <c r="M38" s="18"/>
      <c r="N38" s="23"/>
      <c r="O38" s="2"/>
      <c r="P38" s="23"/>
      <c r="Q38" s="24"/>
      <c r="R38" s="2"/>
      <c r="S38" s="2"/>
      <c r="T38" s="18" t="n">
        <v>3</v>
      </c>
      <c r="U38" s="18" t="n">
        <v>6</v>
      </c>
      <c r="V38" s="18" t="n">
        <v>6</v>
      </c>
      <c r="W38" s="20" t="n">
        <f>implant2rod5yrstable[[#This Row],[Closing balance ]]/implant2rod5yrstable[[#This Row],[Forecasted consumption]]</f>
        <v>0</v>
      </c>
      <c r="X38" s="25"/>
    </row>
    <row r="39">
      <c r="B39" s="6" t="s">
        <v>76</v>
      </c>
      <c r="C39" s="18" t="s">
        <v>41</v>
      </c>
      <c r="D39" s="17"/>
      <c r="E39" s="18" t="s">
        <v>31</v>
      </c>
      <c r="F39" s="19" t="n">
        <v>45809</v>
      </c>
      <c r="G39" s="23"/>
      <c r="H39" s="23"/>
      <c r="I39" s="20" t="n">
        <v>13803</v>
      </c>
      <c r="J39" s="23" t="n">
        <f>MAX(implant2rod5yrstable[[#This Row],[Stock on hand(opening balance)]]+implant2rod5yrstable[[#This Row],[Quantity ]]-implant2rod5yrstable[[#This Row],[Forecasted consumption]],0)</f>
        <v>0</v>
      </c>
      <c r="K39" s="2"/>
      <c r="L39" s="2"/>
      <c r="M39" s="18"/>
      <c r="N39" s="23"/>
      <c r="O39" s="2"/>
      <c r="P39" s="23"/>
      <c r="Q39" s="24"/>
      <c r="R39" s="2"/>
      <c r="S39" s="2"/>
      <c r="T39" s="18" t="n">
        <v>3</v>
      </c>
      <c r="U39" s="18" t="n">
        <v>6</v>
      </c>
      <c r="V39" s="18" t="n">
        <v>6</v>
      </c>
      <c r="W39" s="20" t="n">
        <f>implant2rod5yrstable[[#This Row],[Closing balance ]]/implant2rod5yrstable[[#This Row],[Forecasted consumption]]</f>
        <v>0</v>
      </c>
      <c r="X39" s="25"/>
    </row>
    <row r="40">
      <c r="B40" s="6" t="s">
        <v>76</v>
      </c>
      <c r="C40" s="18" t="s">
        <v>41</v>
      </c>
      <c r="D40" s="17"/>
      <c r="E40" s="18" t="s">
        <v>31</v>
      </c>
      <c r="F40" s="19" t="n">
        <v>45839</v>
      </c>
      <c r="G40" s="23"/>
      <c r="H40" s="23"/>
      <c r="I40" s="20" t="n">
        <v>13803</v>
      </c>
      <c r="J40" s="23" t="n">
        <f>MAX(implant2rod5yrstable[[#This Row],[Stock on hand(opening balance)]]+implant2rod5yrstable[[#This Row],[Quantity ]]-implant2rod5yrstable[[#This Row],[Forecasted consumption]],0)</f>
        <v>0</v>
      </c>
      <c r="K40" s="2"/>
      <c r="L40" s="2"/>
      <c r="M40" s="18"/>
      <c r="N40" s="23"/>
      <c r="O40" s="2"/>
      <c r="P40" s="23"/>
      <c r="Q40" s="24"/>
      <c r="R40" s="2"/>
      <c r="S40" s="2"/>
      <c r="T40" s="18" t="n">
        <v>3</v>
      </c>
      <c r="U40" s="18" t="n">
        <v>6</v>
      </c>
      <c r="V40" s="18" t="n">
        <v>6</v>
      </c>
      <c r="W40" s="20" t="n">
        <f>implant2rod5yrstable[[#This Row],[Closing balance ]]/implant2rod5yrstable[[#This Row],[Forecasted consumption]]</f>
        <v>0</v>
      </c>
      <c r="X40" s="25"/>
    </row>
    <row r="41">
      <c r="B41" s="6" t="s">
        <v>76</v>
      </c>
      <c r="C41" s="18" t="s">
        <v>41</v>
      </c>
      <c r="D41" s="17"/>
      <c r="E41" s="18" t="s">
        <v>31</v>
      </c>
      <c r="F41" s="19" t="n">
        <v>45870</v>
      </c>
      <c r="G41" s="23"/>
      <c r="H41" s="23"/>
      <c r="I41" s="20" t="n">
        <v>13803</v>
      </c>
      <c r="J41" s="23" t="n">
        <f>MAX(implant2rod5yrstable[[#This Row],[Stock on hand(opening balance)]]+implant2rod5yrstable[[#This Row],[Quantity ]]-implant2rod5yrstable[[#This Row],[Forecasted consumption]],0)</f>
        <v>0</v>
      </c>
      <c r="K41" s="2"/>
      <c r="L41" s="2"/>
      <c r="M41" s="18"/>
      <c r="N41" s="23"/>
      <c r="O41" s="2"/>
      <c r="P41" s="23"/>
      <c r="Q41" s="24"/>
      <c r="R41" s="2"/>
      <c r="S41" s="2"/>
      <c r="T41" s="18" t="n">
        <v>3</v>
      </c>
      <c r="U41" s="18" t="n">
        <v>6</v>
      </c>
      <c r="V41" s="18" t="n">
        <v>6</v>
      </c>
      <c r="W41" s="20" t="n">
        <f>implant2rod5yrstable[[#This Row],[Closing balance ]]/implant2rod5yrstable[[#This Row],[Forecasted consumption]]</f>
        <v>0</v>
      </c>
      <c r="X41" s="25"/>
    </row>
    <row r="42">
      <c r="B42" s="6" t="s">
        <v>76</v>
      </c>
      <c r="C42" s="18" t="s">
        <v>41</v>
      </c>
      <c r="D42" s="17"/>
      <c r="E42" s="18" t="s">
        <v>31</v>
      </c>
      <c r="F42" s="19" t="n">
        <v>45901</v>
      </c>
      <c r="G42" s="23"/>
      <c r="H42" s="23"/>
      <c r="I42" s="20" t="n">
        <v>13803</v>
      </c>
      <c r="J42" s="23" t="n">
        <f>MAX(implant2rod5yrstable[[#This Row],[Stock on hand(opening balance)]]+implant2rod5yrstable[[#This Row],[Quantity ]]-implant2rod5yrstable[[#This Row],[Forecasted consumption]],0)</f>
        <v>0</v>
      </c>
      <c r="K42" s="2"/>
      <c r="L42" s="2"/>
      <c r="M42" s="18"/>
      <c r="N42" s="23"/>
      <c r="O42" s="2"/>
      <c r="P42" s="23"/>
      <c r="Q42" s="24"/>
      <c r="R42" s="2"/>
      <c r="S42" s="2"/>
      <c r="T42" s="18" t="n">
        <v>3</v>
      </c>
      <c r="U42" s="18" t="n">
        <v>6</v>
      </c>
      <c r="V42" s="18" t="n">
        <v>6</v>
      </c>
      <c r="W42" s="20" t="n">
        <f>implant2rod5yrstable[[#This Row],[Closing balance ]]/implant2rod5yrstable[[#This Row],[Forecasted consumption]]</f>
        <v>0</v>
      </c>
      <c r="X42" s="25"/>
    </row>
    <row r="43">
      <c r="B43" s="6" t="s">
        <v>76</v>
      </c>
      <c r="C43" s="18" t="s">
        <v>41</v>
      </c>
      <c r="D43" s="17"/>
      <c r="E43" s="18" t="s">
        <v>31</v>
      </c>
      <c r="F43" s="19" t="n">
        <v>45931</v>
      </c>
      <c r="G43" s="23"/>
      <c r="H43" s="23"/>
      <c r="I43" s="20" t="n">
        <v>13803</v>
      </c>
      <c r="J43" s="23" t="n">
        <f>MAX(implant2rod5yrstable[[#This Row],[Stock on hand(opening balance)]]+implant2rod5yrstable[[#This Row],[Quantity ]]-implant2rod5yrstable[[#This Row],[Forecasted consumption]],0)</f>
        <v>0</v>
      </c>
      <c r="K43" s="2"/>
      <c r="L43" s="2"/>
      <c r="M43" s="18"/>
      <c r="N43" s="23"/>
      <c r="O43" s="2"/>
      <c r="P43" s="23"/>
      <c r="Q43" s="24"/>
      <c r="R43" s="2"/>
      <c r="S43" s="2"/>
      <c r="T43" s="18" t="n">
        <v>3</v>
      </c>
      <c r="U43" s="18" t="n">
        <v>6</v>
      </c>
      <c r="V43" s="18" t="n">
        <v>6</v>
      </c>
      <c r="W43" s="20" t="n">
        <f>implant2rod5yrstable[[#This Row],[Closing balance ]]/implant2rod5yrstable[[#This Row],[Forecasted consumption]]</f>
        <v>0</v>
      </c>
      <c r="X43" s="25"/>
    </row>
    <row r="44">
      <c r="B44" s="6" t="s">
        <v>76</v>
      </c>
      <c r="C44" s="18" t="s">
        <v>41</v>
      </c>
      <c r="D44" s="17"/>
      <c r="E44" s="18" t="s">
        <v>31</v>
      </c>
      <c r="F44" s="19" t="n">
        <v>45962</v>
      </c>
      <c r="G44" s="23"/>
      <c r="H44" s="23"/>
      <c r="I44" s="20" t="n">
        <v>13803</v>
      </c>
      <c r="J44" s="23" t="n">
        <f>MAX(implant2rod5yrstable[[#This Row],[Stock on hand(opening balance)]]+implant2rod5yrstable[[#This Row],[Quantity ]]-implant2rod5yrstable[[#This Row],[Forecasted consumption]],0)</f>
        <v>0</v>
      </c>
      <c r="K44" s="2"/>
      <c r="L44" s="2"/>
      <c r="M44" s="18"/>
      <c r="N44" s="23"/>
      <c r="O44" s="2"/>
      <c r="P44" s="23"/>
      <c r="Q44" s="24"/>
      <c r="R44" s="2"/>
      <c r="S44" s="2"/>
      <c r="T44" s="18" t="n">
        <v>3</v>
      </c>
      <c r="U44" s="18" t="n">
        <v>6</v>
      </c>
      <c r="V44" s="18" t="n">
        <v>6</v>
      </c>
      <c r="W44" s="20" t="n">
        <f>implant2rod5yrstable[[#This Row],[Closing balance ]]/implant2rod5yrstable[[#This Row],[Forecasted consumption]]</f>
        <v>0</v>
      </c>
      <c r="X44" s="25"/>
    </row>
    <row r="45">
      <c r="B45" s="6" t="s">
        <v>76</v>
      </c>
      <c r="C45" s="18" t="s">
        <v>41</v>
      </c>
      <c r="D45" s="17"/>
      <c r="E45" s="18" t="s">
        <v>31</v>
      </c>
      <c r="F45" s="19" t="n">
        <v>45992</v>
      </c>
      <c r="G45" s="23"/>
      <c r="H45" s="23"/>
      <c r="I45" s="20" t="n">
        <v>13803</v>
      </c>
      <c r="J45" s="23" t="n">
        <f>MAX(implant2rod5yrstable[[#This Row],[Stock on hand(opening balance)]]+implant2rod5yrstable[[#This Row],[Quantity ]]-implant2rod5yrstable[[#This Row],[Forecasted consumption]],0)</f>
        <v>0</v>
      </c>
      <c r="K45" s="2"/>
      <c r="L45" s="2"/>
      <c r="M45" s="18"/>
      <c r="N45" s="23"/>
      <c r="O45" s="2"/>
      <c r="P45" s="23"/>
      <c r="Q45" s="24"/>
      <c r="R45" s="2"/>
      <c r="S45" s="2"/>
      <c r="T45" s="18" t="n">
        <v>3</v>
      </c>
      <c r="U45" s="18" t="n">
        <v>6</v>
      </c>
      <c r="V45" s="18" t="n">
        <v>6</v>
      </c>
      <c r="W45" s="20" t="n">
        <f>implant2rod5yrstable[[#This Row],[Closing balance ]]/implant2rod5yrstable[[#This Row],[Forecasted consumption]]</f>
        <v>0</v>
      </c>
      <c r="X45" s="25"/>
    </row>
    <row r="46">
      <c r="B46" s="6" t="s">
        <v>76</v>
      </c>
      <c r="C46" s="18" t="s">
        <v>41</v>
      </c>
      <c r="D46" s="17"/>
      <c r="E46" s="18" t="s">
        <v>31</v>
      </c>
      <c r="F46" s="19" t="n">
        <v>46023</v>
      </c>
      <c r="G46" s="23"/>
      <c r="H46" s="23"/>
      <c r="I46" s="23" t="n">
        <v>9115</v>
      </c>
      <c r="J46" s="23" t="n">
        <f>MAX(implant2rod5yrstable[[#This Row],[Stock on hand(opening balance)]]+implant2rod5yrstable[[#This Row],[Quantity ]]-implant2rod5yrstable[[#This Row],[Forecasted consumption]],0)</f>
        <v>0</v>
      </c>
      <c r="K46" s="2"/>
      <c r="L46" s="2"/>
      <c r="M46" s="18"/>
      <c r="N46" s="23"/>
      <c r="O46" s="2"/>
      <c r="P46" s="23"/>
      <c r="Q46" s="24"/>
      <c r="R46" s="2"/>
      <c r="S46" s="2"/>
      <c r="T46" s="18" t="n">
        <v>3</v>
      </c>
      <c r="U46" s="18" t="n">
        <v>6</v>
      </c>
      <c r="V46" s="18" t="n">
        <v>6</v>
      </c>
      <c r="W46" s="20" t="n">
        <f>implant2rod5yrstable[[#This Row],[Closing balance ]]/implant2rod5yrstable[[#This Row],[Forecasted consumption]]</f>
        <v>0</v>
      </c>
      <c r="X46" s="25"/>
    </row>
    <row r="47">
      <c r="B47" s="6" t="s">
        <v>76</v>
      </c>
      <c r="C47" s="18" t="s">
        <v>41</v>
      </c>
      <c r="D47" s="17"/>
      <c r="E47" s="18" t="s">
        <v>31</v>
      </c>
      <c r="F47" s="19" t="n">
        <v>46054</v>
      </c>
      <c r="G47" s="23"/>
      <c r="H47" s="23"/>
      <c r="I47" s="23" t="n">
        <v>9115</v>
      </c>
      <c r="J47" s="23" t="n">
        <f>MAX(implant2rod5yrstable[[#This Row],[Stock on hand(opening balance)]]+implant2rod5yrstable[[#This Row],[Quantity ]]-implant2rod5yrstable[[#This Row],[Forecasted consumption]],0)</f>
        <v>0</v>
      </c>
      <c r="K47" s="2"/>
      <c r="L47" s="2"/>
      <c r="M47" s="18"/>
      <c r="N47" s="23"/>
      <c r="O47" s="2"/>
      <c r="P47" s="23"/>
      <c r="Q47" s="24"/>
      <c r="R47" s="2"/>
      <c r="S47" s="2"/>
      <c r="T47" s="18" t="n">
        <v>3</v>
      </c>
      <c r="U47" s="18" t="n">
        <v>6</v>
      </c>
      <c r="V47" s="18" t="n">
        <v>6</v>
      </c>
      <c r="W47" s="20" t="n">
        <f>implant2rod5yrstable[[#This Row],[Closing balance ]]/implant2rod5yrstable[[#This Row],[Forecasted consumption]]</f>
        <v>0</v>
      </c>
      <c r="X47" s="25"/>
    </row>
    <row r="48">
      <c r="B48" s="6" t="s">
        <v>76</v>
      </c>
      <c r="C48" s="18" t="s">
        <v>41</v>
      </c>
      <c r="D48" s="17"/>
      <c r="E48" s="18" t="s">
        <v>31</v>
      </c>
      <c r="F48" s="19" t="n">
        <v>46082</v>
      </c>
      <c r="G48" s="23"/>
      <c r="H48" s="23"/>
      <c r="I48" s="23" t="n">
        <v>9115</v>
      </c>
      <c r="J48" s="23" t="n">
        <f>MAX(implant2rod5yrstable[[#This Row],[Stock on hand(opening balance)]]+implant2rod5yrstable[[#This Row],[Quantity ]]-implant2rod5yrstable[[#This Row],[Forecasted consumption]],0)</f>
        <v>0</v>
      </c>
      <c r="K48" s="2"/>
      <c r="L48" s="2"/>
      <c r="M48" s="18"/>
      <c r="N48" s="23"/>
      <c r="O48" s="2"/>
      <c r="P48" s="23"/>
      <c r="Q48" s="24"/>
      <c r="R48" s="2"/>
      <c r="S48" s="2"/>
      <c r="T48" s="18" t="n">
        <v>3</v>
      </c>
      <c r="U48" s="18" t="n">
        <v>6</v>
      </c>
      <c r="V48" s="18" t="n">
        <v>6</v>
      </c>
      <c r="W48" s="20" t="n">
        <f>implant2rod5yrstable[[#This Row],[Closing balance ]]/implant2rod5yrstable[[#This Row],[Forecasted consumption]]</f>
        <v>0</v>
      </c>
      <c r="X48" s="25"/>
    </row>
    <row r="49">
      <c r="B49" s="6" t="s">
        <v>76</v>
      </c>
      <c r="C49" s="18" t="s">
        <v>41</v>
      </c>
      <c r="D49" s="17"/>
      <c r="E49" s="18" t="s">
        <v>31</v>
      </c>
      <c r="F49" s="19" t="n">
        <v>46113</v>
      </c>
      <c r="G49" s="23"/>
      <c r="H49" s="23"/>
      <c r="I49" s="23" t="n">
        <v>9115</v>
      </c>
      <c r="J49" s="23" t="n">
        <f>MAX(implant2rod5yrstable[[#This Row],[Stock on hand(opening balance)]]+implant2rod5yrstable[[#This Row],[Quantity ]]-implant2rod5yrstable[[#This Row],[Forecasted consumption]],0)</f>
        <v>0</v>
      </c>
      <c r="K49" s="2"/>
      <c r="L49" s="2"/>
      <c r="M49" s="18"/>
      <c r="N49" s="23"/>
      <c r="O49" s="2"/>
      <c r="P49" s="23"/>
      <c r="Q49" s="24"/>
      <c r="R49" s="2"/>
      <c r="S49" s="2"/>
      <c r="T49" s="18" t="n">
        <v>3</v>
      </c>
      <c r="U49" s="18" t="n">
        <v>6</v>
      </c>
      <c r="V49" s="18" t="n">
        <v>6</v>
      </c>
      <c r="W49" s="20" t="n">
        <f>implant2rod5yrstable[[#This Row],[Closing balance ]]/implant2rod5yrstable[[#This Row],[Forecasted consumption]]</f>
        <v>0</v>
      </c>
      <c r="X49" s="25"/>
    </row>
    <row r="50">
      <c r="B50" s="6" t="s">
        <v>76</v>
      </c>
      <c r="C50" s="18" t="s">
        <v>41</v>
      </c>
      <c r="D50" s="17"/>
      <c r="E50" s="18" t="s">
        <v>31</v>
      </c>
      <c r="F50" s="19" t="n">
        <v>46143</v>
      </c>
      <c r="G50" s="23"/>
      <c r="H50" s="23"/>
      <c r="I50" s="23" t="n">
        <v>9115</v>
      </c>
      <c r="J50" s="23" t="n">
        <f>MAX(implant2rod5yrstable[[#This Row],[Stock on hand(opening balance)]]+implant2rod5yrstable[[#This Row],[Quantity ]]-implant2rod5yrstable[[#This Row],[Forecasted consumption]],0)</f>
        <v>0</v>
      </c>
      <c r="K50" s="2"/>
      <c r="L50" s="2"/>
      <c r="M50" s="18"/>
      <c r="N50" s="23"/>
      <c r="O50" s="2"/>
      <c r="P50" s="23"/>
      <c r="Q50" s="24"/>
      <c r="R50" s="2"/>
      <c r="S50" s="2"/>
      <c r="T50" s="18" t="n">
        <v>3</v>
      </c>
      <c r="U50" s="18" t="n">
        <v>6</v>
      </c>
      <c r="V50" s="18" t="n">
        <v>6</v>
      </c>
      <c r="W50" s="20" t="n">
        <f>implant2rod5yrstable[[#This Row],[Closing balance ]]/implant2rod5yrstable[[#This Row],[Forecasted consumption]]</f>
        <v>0</v>
      </c>
      <c r="X50" s="25"/>
    </row>
    <row r="51">
      <c r="B51" s="6" t="s">
        <v>76</v>
      </c>
      <c r="C51" s="18" t="s">
        <v>41</v>
      </c>
      <c r="D51" s="17"/>
      <c r="E51" s="18" t="s">
        <v>31</v>
      </c>
      <c r="F51" s="19" t="n">
        <v>46174</v>
      </c>
      <c r="G51" s="23"/>
      <c r="H51" s="23"/>
      <c r="I51" s="23" t="n">
        <v>9115</v>
      </c>
      <c r="J51" s="23" t="n">
        <f>MAX(implant2rod5yrstable[[#This Row],[Stock on hand(opening balance)]]+implant2rod5yrstable[[#This Row],[Quantity ]]-implant2rod5yrstable[[#This Row],[Forecasted consumption]],0)</f>
        <v>0</v>
      </c>
      <c r="K51" s="2"/>
      <c r="L51" s="2"/>
      <c r="M51" s="18"/>
      <c r="N51" s="23"/>
      <c r="O51" s="2"/>
      <c r="P51" s="23"/>
      <c r="Q51" s="24"/>
      <c r="R51" s="2"/>
      <c r="S51" s="2"/>
      <c r="T51" s="18" t="n">
        <v>3</v>
      </c>
      <c r="U51" s="18" t="n">
        <v>6</v>
      </c>
      <c r="V51" s="18" t="n">
        <v>6</v>
      </c>
      <c r="W51" s="20" t="n">
        <f>implant2rod5yrstable[[#This Row],[Closing balance ]]/implant2rod5yrstable[[#This Row],[Forecasted consumption]]</f>
        <v>0</v>
      </c>
      <c r="X51" s="25"/>
    </row>
    <row r="52">
      <c r="B52" s="6" t="s">
        <v>76</v>
      </c>
      <c r="C52" s="18" t="s">
        <v>41</v>
      </c>
      <c r="D52" s="17"/>
      <c r="E52" s="18" t="s">
        <v>31</v>
      </c>
      <c r="F52" s="19" t="n">
        <v>46204</v>
      </c>
      <c r="G52" s="23"/>
      <c r="H52" s="23"/>
      <c r="I52" s="23" t="n">
        <v>9115</v>
      </c>
      <c r="J52" s="23" t="n">
        <f>MAX(implant2rod5yrstable[[#This Row],[Stock on hand(opening balance)]]+implant2rod5yrstable[[#This Row],[Quantity ]]-implant2rod5yrstable[[#This Row],[Forecasted consumption]],0)</f>
        <v>0</v>
      </c>
      <c r="K52" s="2"/>
      <c r="L52" s="2"/>
      <c r="M52" s="18"/>
      <c r="N52" s="23"/>
      <c r="O52" s="2"/>
      <c r="P52" s="23"/>
      <c r="Q52" s="24"/>
      <c r="R52" s="2"/>
      <c r="S52" s="2"/>
      <c r="T52" s="18" t="n">
        <v>3</v>
      </c>
      <c r="U52" s="18" t="n">
        <v>6</v>
      </c>
      <c r="V52" s="18" t="n">
        <v>6</v>
      </c>
      <c r="W52" s="20" t="n">
        <f>implant2rod5yrstable[[#This Row],[Closing balance ]]/implant2rod5yrstable[[#This Row],[Forecasted consumption]]</f>
        <v>0</v>
      </c>
      <c r="X52" s="25"/>
    </row>
    <row r="53">
      <c r="B53" s="6" t="s">
        <v>76</v>
      </c>
      <c r="C53" s="18" t="s">
        <v>41</v>
      </c>
      <c r="D53" s="17"/>
      <c r="E53" s="18" t="s">
        <v>31</v>
      </c>
      <c r="F53" s="19" t="n">
        <v>46235</v>
      </c>
      <c r="G53" s="23"/>
      <c r="H53" s="23"/>
      <c r="I53" s="23" t="n">
        <v>9115</v>
      </c>
      <c r="J53" s="23" t="n">
        <f>MAX(implant2rod5yrstable[[#This Row],[Stock on hand(opening balance)]]+implant2rod5yrstable[[#This Row],[Quantity ]]-implant2rod5yrstable[[#This Row],[Forecasted consumption]],0)</f>
        <v>0</v>
      </c>
      <c r="K53" s="2"/>
      <c r="L53" s="2"/>
      <c r="M53" s="18"/>
      <c r="N53" s="23"/>
      <c r="O53" s="2"/>
      <c r="P53" s="23"/>
      <c r="Q53" s="24"/>
      <c r="R53" s="2"/>
      <c r="S53" s="2"/>
      <c r="T53" s="18" t="n">
        <v>3</v>
      </c>
      <c r="U53" s="18" t="n">
        <v>6</v>
      </c>
      <c r="V53" s="18" t="n">
        <v>6</v>
      </c>
      <c r="W53" s="20" t="n">
        <f>implant2rod5yrstable[[#This Row],[Closing balance ]]/implant2rod5yrstable[[#This Row],[Forecasted consumption]]</f>
        <v>0</v>
      </c>
      <c r="X53" s="25"/>
    </row>
    <row r="54">
      <c r="B54" s="6" t="s">
        <v>76</v>
      </c>
      <c r="C54" s="18" t="s">
        <v>41</v>
      </c>
      <c r="D54" s="17"/>
      <c r="E54" s="18" t="s">
        <v>31</v>
      </c>
      <c r="F54" s="19" t="n">
        <v>46266</v>
      </c>
      <c r="G54" s="23"/>
      <c r="H54" s="23"/>
      <c r="I54" s="23" t="n">
        <v>9115</v>
      </c>
      <c r="J54" s="23" t="n">
        <f>MAX(implant2rod5yrstable[[#This Row],[Stock on hand(opening balance)]]+implant2rod5yrstable[[#This Row],[Quantity ]]-implant2rod5yrstable[[#This Row],[Forecasted consumption]],0)</f>
        <v>0</v>
      </c>
      <c r="K54" s="2"/>
      <c r="L54" s="2"/>
      <c r="M54" s="18"/>
      <c r="N54" s="23"/>
      <c r="O54" s="2"/>
      <c r="P54" s="23"/>
      <c r="Q54" s="24"/>
      <c r="R54" s="2"/>
      <c r="S54" s="2"/>
      <c r="T54" s="18" t="n">
        <v>3</v>
      </c>
      <c r="U54" s="18" t="n">
        <v>6</v>
      </c>
      <c r="V54" s="18" t="n">
        <v>6</v>
      </c>
      <c r="W54" s="20" t="n">
        <f>implant2rod5yrstable[[#This Row],[Closing balance ]]/implant2rod5yrstable[[#This Row],[Forecasted consumption]]</f>
        <v>0</v>
      </c>
      <c r="X54" s="25"/>
    </row>
    <row r="55">
      <c r="B55" s="6" t="s">
        <v>76</v>
      </c>
      <c r="C55" s="18" t="s">
        <v>41</v>
      </c>
      <c r="D55" s="17"/>
      <c r="E55" s="18" t="s">
        <v>31</v>
      </c>
      <c r="F55" s="19" t="n">
        <v>46296</v>
      </c>
      <c r="G55" s="23"/>
      <c r="H55" s="23"/>
      <c r="I55" s="23" t="n">
        <v>9115</v>
      </c>
      <c r="J55" s="23" t="n">
        <f>MAX(implant2rod5yrstable[[#This Row],[Stock on hand(opening balance)]]+implant2rod5yrstable[[#This Row],[Quantity ]]-implant2rod5yrstable[[#This Row],[Forecasted consumption]],0)</f>
        <v>0</v>
      </c>
      <c r="K55" s="2"/>
      <c r="L55" s="2"/>
      <c r="M55" s="18"/>
      <c r="N55" s="23"/>
      <c r="O55" s="2"/>
      <c r="P55" s="23"/>
      <c r="Q55" s="24"/>
      <c r="R55" s="2"/>
      <c r="S55" s="2"/>
      <c r="T55" s="18" t="n">
        <v>3</v>
      </c>
      <c r="U55" s="18" t="n">
        <v>6</v>
      </c>
      <c r="V55" s="18" t="n">
        <v>6</v>
      </c>
      <c r="W55" s="20" t="n">
        <f>implant2rod5yrstable[[#This Row],[Closing balance ]]/implant2rod5yrstable[[#This Row],[Forecasted consumption]]</f>
        <v>0</v>
      </c>
      <c r="X55" s="25"/>
    </row>
    <row r="56">
      <c r="B56" s="6" t="s">
        <v>76</v>
      </c>
      <c r="C56" s="18" t="s">
        <v>41</v>
      </c>
      <c r="D56" s="17"/>
      <c r="E56" s="18" t="s">
        <v>31</v>
      </c>
      <c r="F56" s="19" t="n">
        <v>46327</v>
      </c>
      <c r="G56" s="23"/>
      <c r="H56" s="23"/>
      <c r="I56" s="23" t="n">
        <v>9115</v>
      </c>
      <c r="J56" s="23" t="n">
        <f>MAX(implant2rod5yrstable[[#This Row],[Stock on hand(opening balance)]]+implant2rod5yrstable[[#This Row],[Quantity ]]-implant2rod5yrstable[[#This Row],[Forecasted consumption]],0)</f>
        <v>0</v>
      </c>
      <c r="K56" s="2"/>
      <c r="L56" s="2"/>
      <c r="M56" s="18"/>
      <c r="N56" s="23"/>
      <c r="O56" s="2"/>
      <c r="P56" s="23"/>
      <c r="Q56" s="24"/>
      <c r="R56" s="2"/>
      <c r="S56" s="2"/>
      <c r="T56" s="18" t="n">
        <v>3</v>
      </c>
      <c r="U56" s="18" t="n">
        <v>6</v>
      </c>
      <c r="V56" s="18" t="n">
        <v>6</v>
      </c>
      <c r="W56" s="20" t="n">
        <f>implant2rod5yrstable[[#This Row],[Closing balance ]]/implant2rod5yrstable[[#This Row],[Forecasted consumption]]</f>
        <v>0</v>
      </c>
      <c r="X56" s="25"/>
    </row>
    <row r="57">
      <c r="B57" s="6" t="s">
        <v>76</v>
      </c>
      <c r="C57" s="18" t="s">
        <v>41</v>
      </c>
      <c r="D57" s="17"/>
      <c r="E57" s="18" t="s">
        <v>31</v>
      </c>
      <c r="F57" s="19" t="n">
        <v>46357</v>
      </c>
      <c r="G57" s="23"/>
      <c r="H57" s="23"/>
      <c r="I57" s="23" t="n">
        <v>9115</v>
      </c>
      <c r="J57" s="23" t="n">
        <f>MAX(implant2rod5yrstable[[#This Row],[Stock on hand(opening balance)]]+implant2rod5yrstable[[#This Row],[Quantity ]]-implant2rod5yrstable[[#This Row],[Forecasted consumption]],0)</f>
        <v>0</v>
      </c>
      <c r="K57" s="2"/>
      <c r="L57" s="2"/>
      <c r="M57" s="18"/>
      <c r="N57" s="23"/>
      <c r="O57" s="2"/>
      <c r="P57" s="23"/>
      <c r="Q57" s="24"/>
      <c r="R57" s="2"/>
      <c r="S57" s="2"/>
      <c r="T57" s="18" t="n">
        <v>3</v>
      </c>
      <c r="U57" s="18" t="n">
        <v>6</v>
      </c>
      <c r="V57" s="18" t="n">
        <v>6</v>
      </c>
      <c r="W57" s="20" t="n">
        <f>implant2rod5yrstable[[#This Row],[Closing balance ]]/implant2rod5yrstable[[#This Row],[Forecasted consumption]]</f>
        <v>0</v>
      </c>
      <c r="X57" s="25"/>
    </row>
    <row r="58">
      <c r="B58" s="6" t="s">
        <v>72</v>
      </c>
      <c r="C58" s="18" t="s">
        <v>41</v>
      </c>
      <c r="D58" s="17"/>
      <c r="E58" s="18" t="s">
        <v>31</v>
      </c>
      <c r="F58" s="19" t="n">
        <v>45689</v>
      </c>
      <c r="G58" s="23" t="n">
        <v>77320</v>
      </c>
      <c r="H58" s="23"/>
      <c r="I58" s="23" t="n">
        <v>14621</v>
      </c>
      <c r="J58" s="23" t="n">
        <f>MAX(implant2rod5yrstable[[#This Row],[Stock on hand(opening balance)]]+implant2rod5yrstable[[#This Row],[Quantity ]]-implant2rod5yrstable[[#This Row],[Forecasted consumption]],0)</f>
        <v>97699</v>
      </c>
      <c r="K58" s="2" t="s">
        <v>51</v>
      </c>
      <c r="L58" s="2" t="s">
        <v>51</v>
      </c>
      <c r="M58" s="18" t="s">
        <v>153</v>
      </c>
      <c r="N58" s="23" t="n">
        <v>35000</v>
      </c>
      <c r="O58" s="2"/>
      <c r="P58" s="23" t="n">
        <v>327250</v>
      </c>
      <c r="Q58" s="24" t="n">
        <v>45689</v>
      </c>
      <c r="R58" s="2"/>
      <c r="S58" s="2"/>
      <c r="T58" s="2" t="n">
        <v>6</v>
      </c>
      <c r="U58" s="2" t="n">
        <v>12</v>
      </c>
      <c r="V58" s="2" t="n">
        <v>12</v>
      </c>
      <c r="W58" s="20" t="n">
        <f>implant2rod5yrstable[[#This Row],[Closing balance ]]/implant2rod5yrstable[[#This Row],[Forecasted consumption]]</f>
        <v>6.6821010874769167</v>
      </c>
      <c r="X58" s="25"/>
    </row>
    <row r="59">
      <c r="B59" s="6" t="s">
        <v>72</v>
      </c>
      <c r="C59" s="18" t="s">
        <v>41</v>
      </c>
      <c r="D59" s="17"/>
      <c r="E59" s="18" t="s">
        <v>31</v>
      </c>
      <c r="F59" s="19" t="n">
        <v>45717</v>
      </c>
      <c r="G59" s="23" t="n">
        <f>J58</f>
        <v>97699</v>
      </c>
      <c r="H59" s="23"/>
      <c r="I59" s="23" t="n">
        <v>14621</v>
      </c>
      <c r="J59" s="23" t="n">
        <f>MAX(implant2rod5yrstable[[#This Row],[Stock on hand(opening balance)]]+implant2rod5yrstable[[#This Row],[Quantity ]]-implant2rod5yrstable[[#This Row],[Forecasted consumption]],0)</f>
        <v>129278</v>
      </c>
      <c r="K59" s="2" t="s">
        <v>51</v>
      </c>
      <c r="L59" s="2" t="s">
        <v>51</v>
      </c>
      <c r="M59" s="18" t="s">
        <v>153</v>
      </c>
      <c r="N59" s="23" t="n">
        <v>46200</v>
      </c>
      <c r="O59" s="2"/>
      <c r="P59" s="23" t="n">
        <v>439824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20" t="n">
        <f>implant2rod5yrstable[[#This Row],[Closing balance ]]/implant2rod5yrstable[[#This Row],[Forecasted consumption]]</f>
        <v>8.8419396758087689</v>
      </c>
      <c r="X59" s="25"/>
    </row>
    <row r="60">
      <c r="B60" s="6" t="s">
        <v>72</v>
      </c>
      <c r="C60" s="18" t="s">
        <v>41</v>
      </c>
      <c r="D60" s="17"/>
      <c r="E60" s="18" t="s">
        <v>31</v>
      </c>
      <c r="F60" s="19" t="n">
        <v>45748</v>
      </c>
      <c r="G60" s="23" t="n">
        <f t="shared" ref="G60:G80" si="2">J59</f>
        <v>129278</v>
      </c>
      <c r="H60" s="23"/>
      <c r="I60" s="23" t="n">
        <v>14621</v>
      </c>
      <c r="J60" s="23" t="n">
        <f>MAX(implant2rod5yrstable[[#This Row],[Stock on hand(opening balance)]]+implant2rod5yrstable[[#This Row],[Quantity ]]-implant2rod5yrstable[[#This Row],[Forecasted consumption]],0)</f>
        <v>164657</v>
      </c>
      <c r="K60" s="2" t="s">
        <v>51</v>
      </c>
      <c r="L60" s="2" t="s">
        <v>51</v>
      </c>
      <c r="M60" s="18" t="s">
        <v>153</v>
      </c>
      <c r="N60" s="23" t="n">
        <v>50000</v>
      </c>
      <c r="O60" s="2"/>
      <c r="P60" s="23" t="n">
        <v>476000</v>
      </c>
      <c r="Q60" s="24" t="n">
        <v>45748</v>
      </c>
      <c r="R60" s="2"/>
      <c r="S60" s="2"/>
      <c r="T60" s="2" t="n">
        <v>6</v>
      </c>
      <c r="U60" s="2" t="n">
        <v>12</v>
      </c>
      <c r="V60" s="2" t="n">
        <v>12</v>
      </c>
      <c r="W60" s="20" t="n">
        <f>implant2rod5yrstable[[#This Row],[Closing balance ]]/implant2rod5yrstable[[#This Row],[Forecasted consumption]]</f>
        <v>11.261678407769647</v>
      </c>
      <c r="X60" s="25"/>
    </row>
    <row r="61">
      <c r="B61" s="6" t="s">
        <v>72</v>
      </c>
      <c r="C61" s="18" t="s">
        <v>41</v>
      </c>
      <c r="D61" s="17"/>
      <c r="E61" s="18" t="s">
        <v>31</v>
      </c>
      <c r="F61" s="19" t="n">
        <v>45778</v>
      </c>
      <c r="G61" s="23" t="n">
        <f t="shared" si="2"/>
        <v>164657</v>
      </c>
      <c r="H61" s="23"/>
      <c r="I61" s="23" t="n">
        <v>14621</v>
      </c>
      <c r="J61" s="23" t="n">
        <f>MAX(implant2rod5yrstable[[#This Row],[Stock on hand(opening balance)]]+implant2rod5yrstable[[#This Row],[Quantity ]]-implant2rod5yrstable[[#This Row],[Forecasted consumption]],0)</f>
        <v>150036</v>
      </c>
      <c r="K61" s="2"/>
      <c r="L61" s="2"/>
      <c r="M61" s="18"/>
      <c r="N61" s="23"/>
      <c r="O61" s="2"/>
      <c r="P61" s="23"/>
      <c r="Q61" s="24"/>
      <c r="R61" s="2"/>
      <c r="S61" s="2"/>
      <c r="T61" s="2" t="n">
        <v>6</v>
      </c>
      <c r="U61" s="2" t="n">
        <v>12</v>
      </c>
      <c r="V61" s="2" t="n">
        <v>12</v>
      </c>
      <c r="W61" s="20" t="n">
        <f>implant2rod5yrstable[[#This Row],[Closing balance ]]/implant2rod5yrstable[[#This Row],[Forecasted consumption]]</f>
        <v>10.261678407769647</v>
      </c>
      <c r="X61" s="25"/>
    </row>
    <row r="62">
      <c r="B62" s="6" t="s">
        <v>72</v>
      </c>
      <c r="C62" s="18" t="s">
        <v>41</v>
      </c>
      <c r="D62" s="17"/>
      <c r="E62" s="18" t="s">
        <v>31</v>
      </c>
      <c r="F62" s="19" t="n">
        <v>45809</v>
      </c>
      <c r="G62" s="23" t="n">
        <f t="shared" si="2"/>
        <v>150036</v>
      </c>
      <c r="H62" s="23"/>
      <c r="I62" s="23" t="n">
        <v>14621</v>
      </c>
      <c r="J62" s="23" t="n">
        <f>MAX(implant2rod5yrstable[[#This Row],[Stock on hand(opening balance)]]+implant2rod5yrstable[[#This Row],[Quantity ]]-implant2rod5yrstable[[#This Row],[Forecasted consumption]],0)</f>
        <v>135415</v>
      </c>
      <c r="K62" s="2"/>
      <c r="L62" s="2"/>
      <c r="M62" s="18"/>
      <c r="N62" s="23"/>
      <c r="O62" s="2"/>
      <c r="P62" s="23"/>
      <c r="Q62" s="24"/>
      <c r="R62" s="2"/>
      <c r="S62" s="2"/>
      <c r="T62" s="2" t="n">
        <v>6</v>
      </c>
      <c r="U62" s="2" t="n">
        <v>12</v>
      </c>
      <c r="V62" s="2" t="n">
        <v>12</v>
      </c>
      <c r="W62" s="20" t="n">
        <f>implant2rod5yrstable[[#This Row],[Closing balance ]]/implant2rod5yrstable[[#This Row],[Forecasted consumption]]</f>
        <v>9.2616784077696472</v>
      </c>
      <c r="X62" s="25"/>
    </row>
    <row r="63">
      <c r="B63" s="6" t="s">
        <v>72</v>
      </c>
      <c r="C63" s="18" t="s">
        <v>41</v>
      </c>
      <c r="D63" s="17"/>
      <c r="E63" s="18" t="s">
        <v>31</v>
      </c>
      <c r="F63" s="19" t="n">
        <v>45839</v>
      </c>
      <c r="G63" s="23" t="n">
        <f t="shared" si="2"/>
        <v>135415</v>
      </c>
      <c r="H63" s="23"/>
      <c r="I63" s="23" t="n">
        <v>14621</v>
      </c>
      <c r="J63" s="23" t="n">
        <f>MAX(implant2rod5yrstable[[#This Row],[Stock on hand(opening balance)]]+implant2rod5yrstable[[#This Row],[Quantity ]]-implant2rod5yrstable[[#This Row],[Forecasted consumption]],0)</f>
        <v>120794</v>
      </c>
      <c r="K63" s="2"/>
      <c r="L63" s="2"/>
      <c r="M63" s="18"/>
      <c r="N63" s="23"/>
      <c r="O63" s="2"/>
      <c r="P63" s="23"/>
      <c r="Q63" s="24"/>
      <c r="R63" s="2"/>
      <c r="S63" s="2"/>
      <c r="T63" s="2" t="n">
        <v>6</v>
      </c>
      <c r="U63" s="2" t="n">
        <v>12</v>
      </c>
      <c r="V63" s="2" t="n">
        <v>12</v>
      </c>
      <c r="W63" s="20" t="n">
        <f>implant2rod5yrstable[[#This Row],[Closing balance ]]/implant2rod5yrstable[[#This Row],[Forecasted consumption]]</f>
        <v>8.2616784077696472</v>
      </c>
      <c r="X63" s="25"/>
    </row>
    <row r="64">
      <c r="B64" s="6" t="s">
        <v>72</v>
      </c>
      <c r="C64" s="18" t="s">
        <v>41</v>
      </c>
      <c r="D64" s="17"/>
      <c r="E64" s="18" t="s">
        <v>31</v>
      </c>
      <c r="F64" s="19" t="n">
        <v>45870</v>
      </c>
      <c r="G64" s="23" t="n">
        <f t="shared" si="2"/>
        <v>120794</v>
      </c>
      <c r="H64" s="23"/>
      <c r="I64" s="23" t="n">
        <v>14621</v>
      </c>
      <c r="J64" s="23" t="n">
        <f>MAX(implant2rod5yrstable[[#This Row],[Stock on hand(opening balance)]]+implant2rod5yrstable[[#This Row],[Quantity ]]-implant2rod5yrstable[[#This Row],[Forecasted consumption]],0)</f>
        <v>106173</v>
      </c>
      <c r="K64" s="2"/>
      <c r="L64" s="2"/>
      <c r="M64" s="18"/>
      <c r="N64" s="23"/>
      <c r="O64" s="2"/>
      <c r="P64" s="23"/>
      <c r="Q64" s="24"/>
      <c r="R64" s="2"/>
      <c r="S64" s="2"/>
      <c r="T64" s="2" t="n">
        <v>6</v>
      </c>
      <c r="U64" s="2" t="n">
        <v>12</v>
      </c>
      <c r="V64" s="2" t="n">
        <v>12</v>
      </c>
      <c r="W64" s="20" t="n">
        <f>implant2rod5yrstable[[#This Row],[Closing balance ]]/implant2rod5yrstable[[#This Row],[Forecasted consumption]]</f>
        <v>7.2616784077696463</v>
      </c>
      <c r="X64" s="25"/>
    </row>
    <row r="65">
      <c r="B65" s="6" t="s">
        <v>72</v>
      </c>
      <c r="C65" s="18" t="s">
        <v>41</v>
      </c>
      <c r="D65" s="17"/>
      <c r="E65" s="18" t="s">
        <v>31</v>
      </c>
      <c r="F65" s="19" t="n">
        <v>45901</v>
      </c>
      <c r="G65" s="23" t="n">
        <f t="shared" si="2"/>
        <v>106173</v>
      </c>
      <c r="H65" s="23"/>
      <c r="I65" s="23" t="n">
        <v>14621</v>
      </c>
      <c r="J65" s="23" t="n">
        <f>MAX(implant2rod5yrstable[[#This Row],[Stock on hand(opening balance)]]+implant2rod5yrstable[[#This Row],[Quantity ]]-implant2rod5yrstable[[#This Row],[Forecasted consumption]],0)</f>
        <v>91552</v>
      </c>
      <c r="K65" s="2"/>
      <c r="L65" s="2"/>
      <c r="M65" s="18"/>
      <c r="N65" s="23"/>
      <c r="O65" s="2"/>
      <c r="P65" s="23"/>
      <c r="Q65" s="24"/>
      <c r="R65" s="2"/>
      <c r="S65" s="2"/>
      <c r="T65" s="2" t="n">
        <v>6</v>
      </c>
      <c r="U65" s="2" t="n">
        <v>12</v>
      </c>
      <c r="V65" s="2" t="n">
        <v>12</v>
      </c>
      <c r="W65" s="20" t="n">
        <f>implant2rod5yrstable[[#This Row],[Closing balance ]]/implant2rod5yrstable[[#This Row],[Forecasted consumption]]</f>
        <v>6.2616784077696463</v>
      </c>
      <c r="X65" s="25"/>
    </row>
    <row r="66">
      <c r="B66" s="6" t="s">
        <v>72</v>
      </c>
      <c r="C66" s="18" t="s">
        <v>41</v>
      </c>
      <c r="D66" s="17"/>
      <c r="E66" s="18" t="s">
        <v>31</v>
      </c>
      <c r="F66" s="19" t="n">
        <v>45931</v>
      </c>
      <c r="G66" s="23" t="n">
        <f t="shared" si="2"/>
        <v>91552</v>
      </c>
      <c r="H66" s="23"/>
      <c r="I66" s="23" t="n">
        <v>14621</v>
      </c>
      <c r="J66" s="23" t="n">
        <f>MAX(implant2rod5yrstable[[#This Row],[Stock on hand(opening balance)]]+implant2rod5yrstable[[#This Row],[Quantity ]]-implant2rod5yrstable[[#This Row],[Forecasted consumption]],0)</f>
        <v>86931</v>
      </c>
      <c r="K66" s="2" t="s">
        <v>160</v>
      </c>
      <c r="L66" s="2" t="s">
        <v>51</v>
      </c>
      <c r="M66" s="18" t="s">
        <v>147</v>
      </c>
      <c r="N66" s="23" t="n">
        <v>10000</v>
      </c>
      <c r="O66" s="2"/>
      <c r="P66" s="23" t="n">
        <v>95200</v>
      </c>
      <c r="Q66" s="24" t="n">
        <v>45931</v>
      </c>
      <c r="R66" s="2"/>
      <c r="S66" s="2"/>
      <c r="T66" s="2" t="n">
        <v>6</v>
      </c>
      <c r="U66" s="2" t="n">
        <v>12</v>
      </c>
      <c r="V66" s="2" t="n">
        <v>12</v>
      </c>
      <c r="W66" s="20" t="n">
        <f>implant2rod5yrstable[[#This Row],[Closing balance ]]/implant2rod5yrstable[[#This Row],[Forecasted consumption]]</f>
        <v>5.9456261541618218</v>
      </c>
      <c r="X66" s="25"/>
    </row>
    <row r="67">
      <c r="B67" s="6" t="s">
        <v>72</v>
      </c>
      <c r="C67" s="18" t="s">
        <v>41</v>
      </c>
      <c r="D67" s="17"/>
      <c r="E67" s="18" t="s">
        <v>31</v>
      </c>
      <c r="F67" s="19" t="n">
        <v>45962</v>
      </c>
      <c r="G67" s="23" t="n">
        <f t="shared" si="2"/>
        <v>86931</v>
      </c>
      <c r="H67" s="23"/>
      <c r="I67" s="23" t="n">
        <v>14621</v>
      </c>
      <c r="J67" s="23" t="n">
        <f>MAX(implant2rod5yrstable[[#This Row],[Stock on hand(opening balance)]]+implant2rod5yrstable[[#This Row],[Quantity ]]-implant2rod5yrstable[[#This Row],[Forecasted consumption]],0)</f>
        <v>107310</v>
      </c>
      <c r="K67" s="2" t="s">
        <v>160</v>
      </c>
      <c r="L67" s="2" t="s">
        <v>51</v>
      </c>
      <c r="M67" s="18" t="s">
        <v>147</v>
      </c>
      <c r="N67" s="23" t="n">
        <v>35000</v>
      </c>
      <c r="O67" s="2"/>
      <c r="P67" s="23" t="n">
        <v>333200</v>
      </c>
      <c r="Q67" s="24" t="n">
        <v>45962</v>
      </c>
      <c r="R67" s="2"/>
      <c r="S67" s="2"/>
      <c r="T67" s="2" t="n">
        <v>6</v>
      </c>
      <c r="U67" s="2" t="n">
        <v>12</v>
      </c>
      <c r="V67" s="2" t="n">
        <v>12</v>
      </c>
      <c r="W67" s="20" t="n">
        <f>implant2rod5yrstable[[#This Row],[Closing balance ]]/implant2rod5yrstable[[#This Row],[Forecasted consumption]]</f>
        <v>7.3394432665344365</v>
      </c>
      <c r="X67" s="25"/>
    </row>
    <row r="68">
      <c r="B68" s="6" t="s">
        <v>72</v>
      </c>
      <c r="C68" s="18" t="s">
        <v>41</v>
      </c>
      <c r="D68" s="17"/>
      <c r="E68" s="18" t="s">
        <v>31</v>
      </c>
      <c r="F68" s="19" t="n">
        <v>45992</v>
      </c>
      <c r="G68" s="23" t="n">
        <f t="shared" si="2"/>
        <v>107310</v>
      </c>
      <c r="H68" s="23"/>
      <c r="I68" s="23" t="n">
        <v>14621</v>
      </c>
      <c r="J68" s="23" t="n">
        <f>MAX(implant2rod5yrstable[[#This Row],[Stock on hand(opening balance)]]+implant2rod5yrstable[[#This Row],[Quantity ]]-implant2rod5yrstable[[#This Row],[Forecasted consumption]],0)</f>
        <v>237449</v>
      </c>
      <c r="K68" s="2" t="s">
        <v>2</v>
      </c>
      <c r="L68" s="2" t="s">
        <v>2</v>
      </c>
      <c r="M68" s="18" t="s">
        <v>4</v>
      </c>
      <c r="N68" s="23" t="n">
        <v>144760</v>
      </c>
      <c r="O68" s="2"/>
      <c r="P68" s="23" t="n">
        <v>1378115</v>
      </c>
      <c r="Q68" s="24" t="n">
        <v>45992</v>
      </c>
      <c r="R68" s="2"/>
      <c r="S68" s="2"/>
      <c r="T68" s="2" t="n">
        <v>6</v>
      </c>
      <c r="U68" s="2" t="n">
        <v>12</v>
      </c>
      <c r="V68" s="2" t="n">
        <v>12</v>
      </c>
      <c r="W68" s="20" t="n">
        <f>implant2rod5yrstable[[#This Row],[Closing balance ]]/implant2rod5yrstable[[#This Row],[Forecasted consumption]]</f>
        <v>16.24027084330757</v>
      </c>
      <c r="X68" s="25"/>
    </row>
    <row r="69">
      <c r="B69" s="6" t="s">
        <v>72</v>
      </c>
      <c r="C69" s="18" t="s">
        <v>41</v>
      </c>
      <c r="D69" s="17"/>
      <c r="E69" s="18" t="s">
        <v>31</v>
      </c>
      <c r="F69" s="19" t="n">
        <v>46023</v>
      </c>
      <c r="G69" s="23" t="n">
        <f t="shared" si="2"/>
        <v>237449</v>
      </c>
      <c r="H69" s="23"/>
      <c r="I69" s="23" t="n">
        <v>14621</v>
      </c>
      <c r="J69" s="23" t="n">
        <f>MAX(implant2rod5yrstable[[#This Row],[Stock on hand(opening balance)]]+implant2rod5yrstable[[#This Row],[Quantity ]]-implant2rod5yrstable[[#This Row],[Forecasted consumption]],0)</f>
        <v>222828</v>
      </c>
      <c r="K69" s="2"/>
      <c r="L69" s="2"/>
      <c r="M69" s="18"/>
      <c r="N69" s="23"/>
      <c r="O69" s="2"/>
      <c r="P69" s="23"/>
      <c r="Q69" s="24"/>
      <c r="R69" s="2"/>
      <c r="S69" s="2"/>
      <c r="T69" s="2" t="n">
        <v>6</v>
      </c>
      <c r="U69" s="2" t="n">
        <v>12</v>
      </c>
      <c r="V69" s="2" t="n">
        <v>12</v>
      </c>
      <c r="W69" s="20" t="n">
        <f>implant2rod5yrstable[[#This Row],[Closing balance ]]/implant2rod5yrstable[[#This Row],[Forecasted consumption]]</f>
        <v>15.240270843307572</v>
      </c>
      <c r="X69" s="25"/>
    </row>
    <row r="70">
      <c r="B70" s="6" t="s">
        <v>72</v>
      </c>
      <c r="C70" s="18" t="s">
        <v>41</v>
      </c>
      <c r="D70" s="17"/>
      <c r="E70" s="18" t="s">
        <v>31</v>
      </c>
      <c r="F70" s="19" t="n">
        <v>46054</v>
      </c>
      <c r="G70" s="23" t="n">
        <f t="shared" si="2"/>
        <v>222828</v>
      </c>
      <c r="H70" s="23"/>
      <c r="I70" s="23" t="n">
        <v>14621</v>
      </c>
      <c r="J70" s="23" t="n">
        <f>MAX(implant2rod5yrstable[[#This Row],[Stock on hand(opening balance)]]+implant2rod5yrstable[[#This Row],[Quantity ]]-implant2rod5yrstable[[#This Row],[Forecasted consumption]],0)</f>
        <v>208207</v>
      </c>
      <c r="K70" s="2"/>
      <c r="L70" s="2"/>
      <c r="M70" s="18"/>
      <c r="N70" s="23"/>
      <c r="O70" s="2"/>
      <c r="P70" s="23"/>
      <c r="Q70" s="24"/>
      <c r="R70" s="2"/>
      <c r="S70" s="2"/>
      <c r="T70" s="2" t="n">
        <v>6</v>
      </c>
      <c r="U70" s="2" t="n">
        <v>12</v>
      </c>
      <c r="V70" s="2" t="n">
        <v>12</v>
      </c>
      <c r="W70" s="20" t="n">
        <f>implant2rod5yrstable[[#This Row],[Closing balance ]]/implant2rod5yrstable[[#This Row],[Forecasted consumption]]</f>
        <v>14.240270843307572</v>
      </c>
      <c r="X70" s="25"/>
    </row>
    <row r="71">
      <c r="B71" s="6" t="s">
        <v>72</v>
      </c>
      <c r="C71" s="18" t="s">
        <v>41</v>
      </c>
      <c r="D71" s="17"/>
      <c r="E71" s="18" t="s">
        <v>31</v>
      </c>
      <c r="F71" s="19" t="n">
        <v>46082</v>
      </c>
      <c r="G71" s="23" t="n">
        <f t="shared" si="2"/>
        <v>208207</v>
      </c>
      <c r="H71" s="23"/>
      <c r="I71" s="23" t="n">
        <v>14621</v>
      </c>
      <c r="J71" s="23" t="n">
        <f>MAX(implant2rod5yrstable[[#This Row],[Stock on hand(opening balance)]]+implant2rod5yrstable[[#This Row],[Quantity ]]-implant2rod5yrstable[[#This Row],[Forecasted consumption]],0)</f>
        <v>193586</v>
      </c>
      <c r="K71" s="2"/>
      <c r="L71" s="2"/>
      <c r="M71" s="18"/>
      <c r="N71" s="23"/>
      <c r="O71" s="2"/>
      <c r="P71" s="23"/>
      <c r="Q71" s="24"/>
      <c r="R71" s="2"/>
      <c r="S71" s="2"/>
      <c r="T71" s="2" t="n">
        <v>6</v>
      </c>
      <c r="U71" s="2" t="n">
        <v>12</v>
      </c>
      <c r="V71" s="2" t="n">
        <v>12</v>
      </c>
      <c r="W71" s="20" t="n">
        <f>implant2rod5yrstable[[#This Row],[Closing balance ]]/implant2rod5yrstable[[#This Row],[Forecasted consumption]]</f>
        <v>13.240270843307572</v>
      </c>
      <c r="X71" s="25"/>
    </row>
    <row r="72">
      <c r="B72" s="6" t="s">
        <v>72</v>
      </c>
      <c r="C72" s="18" t="s">
        <v>41</v>
      </c>
      <c r="D72" s="17"/>
      <c r="E72" s="18" t="s">
        <v>31</v>
      </c>
      <c r="F72" s="19" t="n">
        <v>46113</v>
      </c>
      <c r="G72" s="23" t="n">
        <f t="shared" si="2"/>
        <v>193586</v>
      </c>
      <c r="H72" s="23"/>
      <c r="I72" s="23" t="n">
        <v>14621</v>
      </c>
      <c r="J72" s="23" t="n">
        <f>MAX(implant2rod5yrstable[[#This Row],[Stock on hand(opening balance)]]+implant2rod5yrstable[[#This Row],[Quantity ]]-implant2rod5yrstable[[#This Row],[Forecasted consumption]],0)</f>
        <v>178965</v>
      </c>
      <c r="K72" s="2"/>
      <c r="L72" s="2"/>
      <c r="M72" s="18"/>
      <c r="N72" s="23"/>
      <c r="O72" s="2"/>
      <c r="P72" s="23"/>
      <c r="Q72" s="24"/>
      <c r="R72" s="2"/>
      <c r="S72" s="2"/>
      <c r="T72" s="2" t="n">
        <v>6</v>
      </c>
      <c r="U72" s="2" t="n">
        <v>12</v>
      </c>
      <c r="V72" s="2" t="n">
        <v>12</v>
      </c>
      <c r="W72" s="20" t="n">
        <f>implant2rod5yrstable[[#This Row],[Closing balance ]]/implant2rod5yrstable[[#This Row],[Forecasted consumption]]</f>
        <v>12.240270843307572</v>
      </c>
      <c r="X72" s="25"/>
    </row>
    <row r="73">
      <c r="B73" s="6" t="s">
        <v>72</v>
      </c>
      <c r="C73" s="18" t="s">
        <v>41</v>
      </c>
      <c r="D73" s="17"/>
      <c r="E73" s="18" t="s">
        <v>31</v>
      </c>
      <c r="F73" s="19" t="n">
        <v>46143</v>
      </c>
      <c r="G73" s="23" t="n">
        <f t="shared" si="2"/>
        <v>178965</v>
      </c>
      <c r="H73" s="23"/>
      <c r="I73" s="23" t="n">
        <v>14621</v>
      </c>
      <c r="J73" s="23" t="n">
        <f>MAX(implant2rod5yrstable[[#This Row],[Stock on hand(opening balance)]]+implant2rod5yrstable[[#This Row],[Quantity ]]-implant2rod5yrstable[[#This Row],[Forecasted consumption]],0)</f>
        <v>164344</v>
      </c>
      <c r="K73" s="2"/>
      <c r="L73" s="2"/>
      <c r="M73" s="18"/>
      <c r="N73" s="23"/>
      <c r="O73" s="2"/>
      <c r="P73" s="23"/>
      <c r="Q73" s="24"/>
      <c r="R73" s="2"/>
      <c r="S73" s="2"/>
      <c r="T73" s="2" t="n">
        <v>6</v>
      </c>
      <c r="U73" s="2" t="n">
        <v>12</v>
      </c>
      <c r="V73" s="2" t="n">
        <v>12</v>
      </c>
      <c r="W73" s="20" t="n">
        <f>implant2rod5yrstable[[#This Row],[Closing balance ]]/implant2rod5yrstable[[#This Row],[Forecasted consumption]]</f>
        <v>11.240270843307572</v>
      </c>
      <c r="X73" s="25"/>
    </row>
    <row r="74">
      <c r="B74" s="6" t="s">
        <v>72</v>
      </c>
      <c r="C74" s="18" t="s">
        <v>41</v>
      </c>
      <c r="D74" s="17"/>
      <c r="E74" s="18" t="s">
        <v>31</v>
      </c>
      <c r="F74" s="19" t="n">
        <v>46174</v>
      </c>
      <c r="G74" s="23" t="n">
        <f t="shared" si="2"/>
        <v>164344</v>
      </c>
      <c r="H74" s="23"/>
      <c r="I74" s="23" t="n">
        <v>14621</v>
      </c>
      <c r="J74" s="23" t="n">
        <f>MAX(implant2rod5yrstable[[#This Row],[Stock on hand(opening balance)]]+implant2rod5yrstable[[#This Row],[Quantity ]]-implant2rod5yrstable[[#This Row],[Forecasted consumption]],0)</f>
        <v>254332</v>
      </c>
      <c r="K74" s="2" t="s">
        <v>2</v>
      </c>
      <c r="L74" s="2" t="s">
        <v>2</v>
      </c>
      <c r="M74" s="18" t="s">
        <v>4</v>
      </c>
      <c r="N74" s="23" t="n">
        <v>104609</v>
      </c>
      <c r="O74" s="2"/>
      <c r="P74" s="23" t="n">
        <v>995878</v>
      </c>
      <c r="Q74" s="24" t="n">
        <v>46174</v>
      </c>
      <c r="R74" s="2"/>
      <c r="S74" s="2"/>
      <c r="T74" s="2" t="n">
        <v>6</v>
      </c>
      <c r="U74" s="2" t="n">
        <v>12</v>
      </c>
      <c r="V74" s="2" t="n">
        <v>12</v>
      </c>
      <c r="W74" s="20" t="n">
        <f>implant2rod5yrstable[[#This Row],[Closing balance ]]/implant2rod5yrstable[[#This Row],[Forecasted consumption]]</f>
        <v>17.394979823541483</v>
      </c>
      <c r="X74" s="25"/>
    </row>
    <row r="75">
      <c r="B75" s="6" t="s">
        <v>72</v>
      </c>
      <c r="C75" s="18" t="s">
        <v>41</v>
      </c>
      <c r="D75" s="17"/>
      <c r="E75" s="18" t="s">
        <v>31</v>
      </c>
      <c r="F75" s="19" t="n">
        <v>46204</v>
      </c>
      <c r="G75" s="23" t="n">
        <f t="shared" si="2"/>
        <v>254332</v>
      </c>
      <c r="H75" s="23"/>
      <c r="I75" s="23" t="n">
        <v>14621</v>
      </c>
      <c r="J75" s="23" t="n">
        <f>MAX(implant2rod5yrstable[[#This Row],[Stock on hand(opening balance)]]+implant2rod5yrstable[[#This Row],[Quantity ]]-implant2rod5yrstable[[#This Row],[Forecasted consumption]],0)</f>
        <v>239711</v>
      </c>
      <c r="K75" s="2"/>
      <c r="L75" s="2"/>
      <c r="M75" s="18"/>
      <c r="N75" s="23"/>
      <c r="O75" s="2"/>
      <c r="P75" s="23"/>
      <c r="Q75" s="24"/>
      <c r="R75" s="2"/>
      <c r="S75" s="2"/>
      <c r="T75" s="2" t="n">
        <v>6</v>
      </c>
      <c r="U75" s="2" t="n">
        <v>12</v>
      </c>
      <c r="V75" s="2" t="n">
        <v>12</v>
      </c>
      <c r="W75" s="20" t="n">
        <f>implant2rod5yrstable[[#This Row],[Closing balance ]]/implant2rod5yrstable[[#This Row],[Forecasted consumption]]</f>
        <v>16.394979823541483</v>
      </c>
      <c r="X75" s="25"/>
    </row>
    <row r="76">
      <c r="B76" s="6" t="s">
        <v>72</v>
      </c>
      <c r="C76" s="18" t="s">
        <v>41</v>
      </c>
      <c r="D76" s="17"/>
      <c r="E76" s="18" t="s">
        <v>31</v>
      </c>
      <c r="F76" s="19" t="n">
        <v>46235</v>
      </c>
      <c r="G76" s="23" t="n">
        <f t="shared" si="2"/>
        <v>239711</v>
      </c>
      <c r="H76" s="23"/>
      <c r="I76" s="23" t="n">
        <v>14621</v>
      </c>
      <c r="J76" s="23" t="n">
        <f>MAX(implant2rod5yrstable[[#This Row],[Stock on hand(opening balance)]]+implant2rod5yrstable[[#This Row],[Quantity ]]-implant2rod5yrstable[[#This Row],[Forecasted consumption]],0)</f>
        <v>225090</v>
      </c>
      <c r="K76" s="2"/>
      <c r="L76" s="2"/>
      <c r="M76" s="18"/>
      <c r="N76" s="23"/>
      <c r="O76" s="2"/>
      <c r="P76" s="23"/>
      <c r="Q76" s="24"/>
      <c r="R76" s="2"/>
      <c r="S76" s="2"/>
      <c r="T76" s="2" t="n">
        <v>6</v>
      </c>
      <c r="U76" s="2" t="n">
        <v>12</v>
      </c>
      <c r="V76" s="2" t="n">
        <v>12</v>
      </c>
      <c r="W76" s="20" t="n">
        <f>implant2rod5yrstable[[#This Row],[Closing balance ]]/implant2rod5yrstable[[#This Row],[Forecasted consumption]]</f>
        <v>15.394979823541481</v>
      </c>
      <c r="X76" s="25"/>
    </row>
    <row r="77">
      <c r="B77" s="6" t="s">
        <v>72</v>
      </c>
      <c r="C77" s="18" t="s">
        <v>41</v>
      </c>
      <c r="D77" s="17"/>
      <c r="E77" s="18" t="s">
        <v>31</v>
      </c>
      <c r="F77" s="19" t="n">
        <v>46266</v>
      </c>
      <c r="G77" s="23" t="n">
        <f t="shared" si="2"/>
        <v>225090</v>
      </c>
      <c r="H77" s="23"/>
      <c r="I77" s="23" t="n">
        <v>14621</v>
      </c>
      <c r="J77" s="23" t="n">
        <f>MAX(implant2rod5yrstable[[#This Row],[Stock on hand(opening balance)]]+implant2rod5yrstable[[#This Row],[Quantity ]]-implant2rod5yrstable[[#This Row],[Forecasted consumption]],0)</f>
        <v>210469</v>
      </c>
      <c r="K77" s="2"/>
      <c r="L77" s="2"/>
      <c r="M77" s="18"/>
      <c r="N77" s="23"/>
      <c r="O77" s="2"/>
      <c r="P77" s="23"/>
      <c r="Q77" s="24"/>
      <c r="R77" s="2"/>
      <c r="S77" s="2"/>
      <c r="T77" s="2" t="n">
        <v>6</v>
      </c>
      <c r="U77" s="2" t="n">
        <v>12</v>
      </c>
      <c r="V77" s="2" t="n">
        <v>12</v>
      </c>
      <c r="W77" s="20" t="n">
        <f>implant2rod5yrstable[[#This Row],[Closing balance ]]/implant2rod5yrstable[[#This Row],[Forecasted consumption]]</f>
        <v>14.394979823541481</v>
      </c>
      <c r="X77" s="25"/>
    </row>
    <row r="78">
      <c r="B78" s="6" t="s">
        <v>72</v>
      </c>
      <c r="C78" s="18" t="s">
        <v>41</v>
      </c>
      <c r="D78" s="17"/>
      <c r="E78" s="18" t="s">
        <v>31</v>
      </c>
      <c r="F78" s="19" t="n">
        <v>46296</v>
      </c>
      <c r="G78" s="23" t="n">
        <f t="shared" si="2"/>
        <v>210469</v>
      </c>
      <c r="H78" s="23"/>
      <c r="I78" s="23" t="n">
        <v>14621</v>
      </c>
      <c r="J78" s="23" t="n">
        <f>MAX(implant2rod5yrstable[[#This Row],[Stock on hand(opening balance)]]+implant2rod5yrstable[[#This Row],[Quantity ]]-implant2rod5yrstable[[#This Row],[Forecasted consumption]],0)</f>
        <v>195848</v>
      </c>
      <c r="K78" s="2"/>
      <c r="L78" s="2"/>
      <c r="M78" s="18"/>
      <c r="N78" s="23"/>
      <c r="O78" s="2"/>
      <c r="P78" s="23"/>
      <c r="Q78" s="24"/>
      <c r="R78" s="2"/>
      <c r="S78" s="2"/>
      <c r="T78" s="2" t="n">
        <v>6</v>
      </c>
      <c r="U78" s="2" t="n">
        <v>12</v>
      </c>
      <c r="V78" s="2" t="n">
        <v>12</v>
      </c>
      <c r="W78" s="20" t="n">
        <f>implant2rod5yrstable[[#This Row],[Closing balance ]]/implant2rod5yrstable[[#This Row],[Forecasted consumption]]</f>
        <v>13.394979823541481</v>
      </c>
      <c r="X78" s="25"/>
    </row>
    <row r="79">
      <c r="B79" s="6" t="s">
        <v>72</v>
      </c>
      <c r="C79" s="18" t="s">
        <v>41</v>
      </c>
      <c r="D79" s="17"/>
      <c r="E79" s="18" t="s">
        <v>31</v>
      </c>
      <c r="F79" s="19" t="n">
        <v>46327</v>
      </c>
      <c r="G79" s="23" t="n">
        <f t="shared" si="2"/>
        <v>195848</v>
      </c>
      <c r="H79" s="23"/>
      <c r="I79" s="23" t="n">
        <v>14621</v>
      </c>
      <c r="J79" s="23" t="n">
        <f>MAX(implant2rod5yrstable[[#This Row],[Stock on hand(opening balance)]]+implant2rod5yrstable[[#This Row],[Quantity ]]-implant2rod5yrstable[[#This Row],[Forecasted consumption]],0)</f>
        <v>181227</v>
      </c>
      <c r="K79" s="2"/>
      <c r="L79" s="2"/>
      <c r="M79" s="18"/>
      <c r="N79" s="23"/>
      <c r="O79" s="2"/>
      <c r="P79" s="23"/>
      <c r="Q79" s="24"/>
      <c r="R79" s="2"/>
      <c r="S79" s="2"/>
      <c r="T79" s="2" t="n">
        <v>6</v>
      </c>
      <c r="U79" s="2" t="n">
        <v>12</v>
      </c>
      <c r="V79" s="2" t="n">
        <v>12</v>
      </c>
      <c r="W79" s="20" t="n">
        <f>implant2rod5yrstable[[#This Row],[Closing balance ]]/implant2rod5yrstable[[#This Row],[Forecasted consumption]]</f>
        <v>12.394979823541481</v>
      </c>
      <c r="X79" s="25"/>
    </row>
    <row r="80">
      <c r="B80" s="6" t="s">
        <v>72</v>
      </c>
      <c r="C80" s="18" t="s">
        <v>41</v>
      </c>
      <c r="D80" s="17"/>
      <c r="E80" s="18" t="s">
        <v>31</v>
      </c>
      <c r="F80" s="19" t="n">
        <v>46357</v>
      </c>
      <c r="G80" s="23" t="n">
        <f t="shared" si="2"/>
        <v>181227</v>
      </c>
      <c r="H80" s="23"/>
      <c r="I80" s="23" t="n">
        <v>14621</v>
      </c>
      <c r="J80" s="23" t="n">
        <f>MAX(implant2rod5yrstable[[#This Row],[Stock on hand(opening balance)]]+implant2rod5yrstable[[#This Row],[Quantity ]]-implant2rod5yrstable[[#This Row],[Forecasted consumption]],0)</f>
        <v>264641</v>
      </c>
      <c r="K80" s="2" t="s">
        <v>2</v>
      </c>
      <c r="L80" s="2" t="s">
        <v>2</v>
      </c>
      <c r="M80" s="18" t="s">
        <v>4</v>
      </c>
      <c r="N80" s="23" t="n">
        <v>98035</v>
      </c>
      <c r="O80" s="2"/>
      <c r="P80" s="23" t="n">
        <v>933294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20" t="n">
        <f>implant2rod5yrstable[[#This Row],[Closing balance ]]/implant2rod5yrstable[[#This Row],[Forecasted consumption]]</f>
        <v>18.100061555297174</v>
      </c>
      <c r="X80" s="25"/>
    </row>
    <row r="81">
      <c r="B81" s="6" t="s">
        <v>77</v>
      </c>
      <c r="C81" s="18" t="s">
        <v>41</v>
      </c>
      <c r="D81" s="17"/>
      <c r="E81" s="18" t="s">
        <v>31</v>
      </c>
      <c r="F81" s="19" t="n">
        <v>45839</v>
      </c>
      <c r="G81" s="23" t="n">
        <v>246633</v>
      </c>
      <c r="H81" s="23"/>
      <c r="I81" s="23" t="n">
        <v>47645</v>
      </c>
      <c r="J81" s="23" t="n">
        <f>MAX(implant2rod5yrstable[[#This Row],[Stock on hand(opening balance)]]+implant2rod5yrstable[[#This Row],[Quantity ]]-implant2rod5yrstable[[#This Row],[Forecasted consumption]],0)</f>
        <v>198988</v>
      </c>
      <c r="K81" s="2"/>
      <c r="L81" s="2"/>
      <c r="M81" s="18"/>
      <c r="N81" s="23"/>
      <c r="O81" s="2"/>
      <c r="P81" s="23"/>
      <c r="Q81" s="24"/>
      <c r="R81" s="2"/>
      <c r="S81" s="2"/>
      <c r="T81" s="18" t="n">
        <v>6</v>
      </c>
      <c r="U81" s="18" t="n">
        <v>12</v>
      </c>
      <c r="V81" s="18" t="n">
        <v>12</v>
      </c>
      <c r="W81" s="20" t="n">
        <f>implant2rod5yrstable[[#This Row],[Closing balance ]]/implant2rod5yrstable[[#This Row],[Forecasted consumption]]</f>
        <v>4.1764718228565432</v>
      </c>
      <c r="X81" s="25"/>
    </row>
    <row r="82">
      <c r="B82" s="6" t="s">
        <v>77</v>
      </c>
      <c r="C82" s="18" t="s">
        <v>41</v>
      </c>
      <c r="D82" s="17"/>
      <c r="E82" s="18" t="s">
        <v>31</v>
      </c>
      <c r="F82" s="19" t="n">
        <v>45870</v>
      </c>
      <c r="G82" s="23" t="n">
        <f>J81</f>
        <v>198988</v>
      </c>
      <c r="H82" s="23"/>
      <c r="I82" s="23" t="n">
        <v>47645</v>
      </c>
      <c r="J82" s="23" t="n">
        <f>MAX(implant2rod5yrstable[[#This Row],[Stock on hand(opening balance)]]+implant2rod5yrstable[[#This Row],[Quantity ]]-implant2rod5yrstable[[#This Row],[Forecasted consumption]],0)</f>
        <v>151343</v>
      </c>
      <c r="K82" s="2"/>
      <c r="L82" s="2"/>
      <c r="M82" s="18"/>
      <c r="N82" s="23"/>
      <c r="O82" s="2"/>
      <c r="P82" s="23"/>
      <c r="Q82" s="24"/>
      <c r="R82" s="2"/>
      <c r="S82" s="2"/>
      <c r="T82" s="18" t="n">
        <v>6</v>
      </c>
      <c r="U82" s="18" t="n">
        <v>12</v>
      </c>
      <c r="V82" s="18" t="n">
        <v>12</v>
      </c>
      <c r="W82" s="20" t="n">
        <f>implant2rod5yrstable[[#This Row],[Closing balance ]]/implant2rod5yrstable[[#This Row],[Forecasted consumption]]</f>
        <v>3.1764718228565432</v>
      </c>
      <c r="X82" s="25"/>
    </row>
    <row r="83">
      <c r="B83" s="6" t="s">
        <v>77</v>
      </c>
      <c r="C83" s="18" t="s">
        <v>41</v>
      </c>
      <c r="D83" s="17"/>
      <c r="E83" s="18" t="s">
        <v>31</v>
      </c>
      <c r="F83" s="19" t="n">
        <v>45901</v>
      </c>
      <c r="G83" s="23" t="n">
        <f t="shared" ref="G83:G92" si="3">J82</f>
        <v>151343</v>
      </c>
      <c r="H83" s="23"/>
      <c r="I83" s="23" t="n">
        <v>47645</v>
      </c>
      <c r="J83" s="23" t="n">
        <f>MAX(implant2rod5yrstable[[#This Row],[Stock on hand(opening balance)]]+implant2rod5yrstable[[#This Row],[Quantity ]]-implant2rod5yrstable[[#This Row],[Forecasted consumption]],0)</f>
        <v>103698</v>
      </c>
      <c r="K83" s="2"/>
      <c r="L83" s="2"/>
      <c r="M83" s="18"/>
      <c r="N83" s="23"/>
      <c r="O83" s="2"/>
      <c r="P83" s="23"/>
      <c r="Q83" s="24"/>
      <c r="R83" s="2"/>
      <c r="S83" s="2"/>
      <c r="T83" s="18" t="n">
        <v>6</v>
      </c>
      <c r="U83" s="18" t="n">
        <v>12</v>
      </c>
      <c r="V83" s="18" t="n">
        <v>12</v>
      </c>
      <c r="W83" s="20" t="n">
        <f>implant2rod5yrstable[[#This Row],[Closing balance ]]/implant2rod5yrstable[[#This Row],[Forecasted consumption]]</f>
        <v>2.1764718228565432</v>
      </c>
      <c r="X83" s="25"/>
    </row>
    <row r="84">
      <c r="B84" s="6" t="s">
        <v>77</v>
      </c>
      <c r="C84" s="18" t="s">
        <v>41</v>
      </c>
      <c r="D84" s="17"/>
      <c r="E84" s="18" t="s">
        <v>31</v>
      </c>
      <c r="F84" s="19" t="n">
        <v>45931</v>
      </c>
      <c r="G84" s="23" t="n">
        <f t="shared" si="3"/>
        <v>103698</v>
      </c>
      <c r="H84" s="23"/>
      <c r="I84" s="23" t="n">
        <v>47645</v>
      </c>
      <c r="J84" s="23" t="n">
        <f>MAX(implant2rod5yrstable[[#This Row],[Stock on hand(opening balance)]]+implant2rod5yrstable[[#This Row],[Quantity ]]-implant2rod5yrstable[[#This Row],[Forecasted consumption]],0)</f>
        <v>56053</v>
      </c>
      <c r="K84" s="2"/>
      <c r="L84" s="2"/>
      <c r="M84" s="18"/>
      <c r="N84" s="23"/>
      <c r="O84" s="2"/>
      <c r="P84" s="23"/>
      <c r="Q84" s="24"/>
      <c r="R84" s="2"/>
      <c r="S84" s="2"/>
      <c r="T84" s="18" t="n">
        <v>6</v>
      </c>
      <c r="U84" s="18" t="n">
        <v>12</v>
      </c>
      <c r="V84" s="18" t="n">
        <v>12</v>
      </c>
      <c r="W84" s="20" t="n">
        <f>implant2rod5yrstable[[#This Row],[Closing balance ]]/implant2rod5yrstable[[#This Row],[Forecasted consumption]]</f>
        <v>1.1764718228565432</v>
      </c>
      <c r="X84" s="25"/>
    </row>
    <row r="85">
      <c r="B85" s="6" t="s">
        <v>77</v>
      </c>
      <c r="C85" s="18" t="s">
        <v>41</v>
      </c>
      <c r="D85" s="17"/>
      <c r="E85" s="18" t="s">
        <v>31</v>
      </c>
      <c r="F85" s="19" t="n">
        <v>45962</v>
      </c>
      <c r="G85" s="23" t="n">
        <f t="shared" si="3"/>
        <v>56053</v>
      </c>
      <c r="H85" s="23"/>
      <c r="I85" s="23" t="n">
        <v>47645</v>
      </c>
      <c r="J85" s="23" t="n">
        <f>MAX(implant2rod5yrstable[[#This Row],[Stock on hand(opening balance)]]+implant2rod5yrstable[[#This Row],[Quantity ]]-implant2rod5yrstable[[#This Row],[Forecasted consumption]],0)</f>
        <v>8408</v>
      </c>
      <c r="K85" s="2"/>
      <c r="L85" s="2"/>
      <c r="M85" s="18"/>
      <c r="N85" s="23"/>
      <c r="O85" s="2"/>
      <c r="P85" s="23"/>
      <c r="Q85" s="24"/>
      <c r="R85" s="2"/>
      <c r="S85" s="2"/>
      <c r="T85" s="18" t="n">
        <v>6</v>
      </c>
      <c r="U85" s="18" t="n">
        <v>12</v>
      </c>
      <c r="V85" s="18" t="n">
        <v>12</v>
      </c>
      <c r="W85" s="20" t="n">
        <f>implant2rod5yrstable[[#This Row],[Closing balance ]]/implant2rod5yrstable[[#This Row],[Forecasted consumption]]</f>
        <v>0.17647182285654317</v>
      </c>
      <c r="X85" s="25"/>
    </row>
    <row r="86">
      <c r="B86" s="6" t="s">
        <v>77</v>
      </c>
      <c r="C86" s="18" t="s">
        <v>41</v>
      </c>
      <c r="D86" s="17"/>
      <c r="E86" s="18" t="s">
        <v>31</v>
      </c>
      <c r="F86" s="19" t="n">
        <v>45992</v>
      </c>
      <c r="G86" s="23" t="n">
        <f t="shared" si="3"/>
        <v>8408</v>
      </c>
      <c r="H86" s="23"/>
      <c r="I86" s="23" t="n">
        <v>47645</v>
      </c>
      <c r="J86" s="23" t="n">
        <f>MAX(implant2rod5yrstable[[#This Row],[Stock on hand(opening balance)]]+implant2rod5yrstable[[#This Row],[Quantity ]]-implant2rod5yrstable[[#This Row],[Forecasted consumption]],0)</f>
        <v>0</v>
      </c>
      <c r="K86" s="2"/>
      <c r="L86" s="2"/>
      <c r="M86" s="18"/>
      <c r="N86" s="23"/>
      <c r="O86" s="2"/>
      <c r="P86" s="23"/>
      <c r="Q86" s="24"/>
      <c r="R86" s="2"/>
      <c r="S86" s="2"/>
      <c r="T86" s="18" t="n">
        <v>6</v>
      </c>
      <c r="U86" s="18" t="n">
        <v>12</v>
      </c>
      <c r="V86" s="18" t="n">
        <v>12</v>
      </c>
      <c r="W86" s="20" t="n">
        <f>implant2rod5yrstable[[#This Row],[Closing balance ]]/implant2rod5yrstable[[#This Row],[Forecasted consumption]]</f>
        <v>0</v>
      </c>
      <c r="X86" s="25"/>
    </row>
    <row r="87">
      <c r="B87" s="6" t="s">
        <v>77</v>
      </c>
      <c r="C87" s="18" t="s">
        <v>41</v>
      </c>
      <c r="D87" s="17"/>
      <c r="E87" s="18" t="s">
        <v>31</v>
      </c>
      <c r="F87" s="19" t="n">
        <v>46023</v>
      </c>
      <c r="G87" s="23" t="n">
        <f t="shared" si="3"/>
        <v>0</v>
      </c>
      <c r="H87" s="23"/>
      <c r="I87" s="23" t="n">
        <v>47645</v>
      </c>
      <c r="J87" s="23" t="n">
        <f>MAX(implant2rod5yrstable[[#This Row],[Stock on hand(opening balance)]]+implant2rod5yrstable[[#This Row],[Quantity ]]-implant2rod5yrstable[[#This Row],[Forecasted consumption]],0)</f>
        <v>0</v>
      </c>
      <c r="K87" s="2"/>
      <c r="L87" s="2"/>
      <c r="M87" s="18"/>
      <c r="N87" s="23"/>
      <c r="O87" s="2"/>
      <c r="P87" s="23"/>
      <c r="Q87" s="24"/>
      <c r="R87" s="2"/>
      <c r="S87" s="2"/>
      <c r="T87" s="18" t="n">
        <v>6</v>
      </c>
      <c r="U87" s="18" t="n">
        <v>12</v>
      </c>
      <c r="V87" s="18" t="n">
        <v>12</v>
      </c>
      <c r="W87" s="20" t="n">
        <f>implant2rod5yrstable[[#This Row],[Closing balance ]]/implant2rod5yrstable[[#This Row],[Forecasted consumption]]</f>
        <v>0</v>
      </c>
      <c r="X87" s="25"/>
    </row>
    <row r="88">
      <c r="B88" s="6" t="s">
        <v>77</v>
      </c>
      <c r="C88" s="18" t="s">
        <v>41</v>
      </c>
      <c r="D88" s="17"/>
      <c r="E88" s="18" t="s">
        <v>31</v>
      </c>
      <c r="F88" s="19" t="n">
        <v>46054</v>
      </c>
      <c r="G88" s="23" t="n">
        <f t="shared" si="3"/>
        <v>0</v>
      </c>
      <c r="H88" s="23"/>
      <c r="I88" s="23" t="n">
        <v>47645</v>
      </c>
      <c r="J88" s="23" t="n">
        <f>MAX(implant2rod5yrstable[[#This Row],[Stock on hand(opening balance)]]+implant2rod5yrstable[[#This Row],[Quantity ]]-implant2rod5yrstable[[#This Row],[Forecasted consumption]],0)</f>
        <v>0</v>
      </c>
      <c r="K88" s="2"/>
      <c r="L88" s="2"/>
      <c r="M88" s="18"/>
      <c r="N88" s="23"/>
      <c r="O88" s="2"/>
      <c r="P88" s="23"/>
      <c r="Q88" s="24"/>
      <c r="R88" s="2"/>
      <c r="S88" s="2"/>
      <c r="T88" s="18" t="n">
        <v>6</v>
      </c>
      <c r="U88" s="18" t="n">
        <v>12</v>
      </c>
      <c r="V88" s="18" t="n">
        <v>12</v>
      </c>
      <c r="W88" s="20" t="n">
        <f>implant2rod5yrstable[[#This Row],[Closing balance ]]/implant2rod5yrstable[[#This Row],[Forecasted consumption]]</f>
        <v>0</v>
      </c>
      <c r="X88" s="25"/>
    </row>
    <row r="89">
      <c r="B89" s="6" t="s">
        <v>77</v>
      </c>
      <c r="C89" s="18" t="s">
        <v>41</v>
      </c>
      <c r="D89" s="17"/>
      <c r="E89" s="18" t="s">
        <v>31</v>
      </c>
      <c r="F89" s="19" t="n">
        <v>46082</v>
      </c>
      <c r="G89" s="23" t="n">
        <f t="shared" si="3"/>
        <v>0</v>
      </c>
      <c r="H89" s="23"/>
      <c r="I89" s="23" t="n">
        <v>47645</v>
      </c>
      <c r="J89" s="23" t="n">
        <f>MAX(implant2rod5yrstable[[#This Row],[Stock on hand(opening balance)]]+implant2rod5yrstable[[#This Row],[Quantity ]]-implant2rod5yrstable[[#This Row],[Forecasted consumption]],0)</f>
        <v>0</v>
      </c>
      <c r="K89" s="2"/>
      <c r="L89" s="2"/>
      <c r="M89" s="18"/>
      <c r="N89" s="23"/>
      <c r="O89" s="2"/>
      <c r="P89" s="23"/>
      <c r="Q89" s="24"/>
      <c r="R89" s="2"/>
      <c r="S89" s="2"/>
      <c r="T89" s="18" t="n">
        <v>6</v>
      </c>
      <c r="U89" s="18" t="n">
        <v>12</v>
      </c>
      <c r="V89" s="18" t="n">
        <v>12</v>
      </c>
      <c r="W89" s="20" t="n">
        <f>implant2rod5yrstable[[#This Row],[Closing balance ]]/implant2rod5yrstable[[#This Row],[Forecasted consumption]]</f>
        <v>0</v>
      </c>
      <c r="X89" s="25"/>
    </row>
    <row r="90">
      <c r="B90" s="6" t="s">
        <v>77</v>
      </c>
      <c r="C90" s="18" t="s">
        <v>41</v>
      </c>
      <c r="D90" s="17"/>
      <c r="E90" s="18" t="s">
        <v>31</v>
      </c>
      <c r="F90" s="19" t="n">
        <v>46113</v>
      </c>
      <c r="G90" s="23" t="n">
        <f t="shared" si="3"/>
        <v>0</v>
      </c>
      <c r="H90" s="23"/>
      <c r="I90" s="23" t="n">
        <v>47645</v>
      </c>
      <c r="J90" s="23" t="n">
        <f>MAX(implant2rod5yrstable[[#This Row],[Stock on hand(opening balance)]]+implant2rod5yrstable[[#This Row],[Quantity ]]-implant2rod5yrstable[[#This Row],[Forecasted consumption]],0)</f>
        <v>0</v>
      </c>
      <c r="K90" s="2"/>
      <c r="L90" s="2"/>
      <c r="M90" s="18"/>
      <c r="N90" s="23"/>
      <c r="O90" s="2"/>
      <c r="P90" s="23"/>
      <c r="Q90" s="24"/>
      <c r="R90" s="2"/>
      <c r="S90" s="2"/>
      <c r="T90" s="18" t="n">
        <v>6</v>
      </c>
      <c r="U90" s="18" t="n">
        <v>12</v>
      </c>
      <c r="V90" s="18" t="n">
        <v>12</v>
      </c>
      <c r="W90" s="20" t="n">
        <f>implant2rod5yrstable[[#This Row],[Closing balance ]]/implant2rod5yrstable[[#This Row],[Forecasted consumption]]</f>
        <v>0</v>
      </c>
      <c r="X90" s="25"/>
    </row>
    <row r="91">
      <c r="B91" s="6" t="s">
        <v>77</v>
      </c>
      <c r="C91" s="18" t="s">
        <v>41</v>
      </c>
      <c r="D91" s="17"/>
      <c r="E91" s="18" t="s">
        <v>31</v>
      </c>
      <c r="F91" s="19" t="n">
        <v>46143</v>
      </c>
      <c r="G91" s="23" t="n">
        <f t="shared" si="3"/>
        <v>0</v>
      </c>
      <c r="H91" s="23"/>
      <c r="I91" s="23" t="n">
        <v>47645</v>
      </c>
      <c r="J91" s="23" t="n">
        <f>MAX(implant2rod5yrstable[[#This Row],[Stock on hand(opening balance)]]+implant2rod5yrstable[[#This Row],[Quantity ]]-implant2rod5yrstable[[#This Row],[Forecasted consumption]],0)</f>
        <v>0</v>
      </c>
      <c r="K91" s="2"/>
      <c r="L91" s="2"/>
      <c r="M91" s="18"/>
      <c r="N91" s="23"/>
      <c r="O91" s="2"/>
      <c r="P91" s="23"/>
      <c r="Q91" s="24"/>
      <c r="R91" s="2"/>
      <c r="S91" s="2"/>
      <c r="T91" s="18" t="n">
        <v>6</v>
      </c>
      <c r="U91" s="18" t="n">
        <v>12</v>
      </c>
      <c r="V91" s="18" t="n">
        <v>12</v>
      </c>
      <c r="W91" s="20" t="n">
        <f>implant2rod5yrstable[[#This Row],[Closing balance ]]/implant2rod5yrstable[[#This Row],[Forecasted consumption]]</f>
        <v>0</v>
      </c>
      <c r="X91" s="25"/>
    </row>
    <row r="92">
      <c r="B92" s="6" t="s">
        <v>77</v>
      </c>
      <c r="C92" s="18" t="s">
        <v>41</v>
      </c>
      <c r="D92" s="17"/>
      <c r="E92" s="18" t="s">
        <v>31</v>
      </c>
      <c r="F92" s="19" t="n">
        <v>46174</v>
      </c>
      <c r="G92" s="23" t="n">
        <f t="shared" si="3"/>
        <v>0</v>
      </c>
      <c r="H92" s="23"/>
      <c r="I92" s="23" t="n">
        <v>47645</v>
      </c>
      <c r="J92" s="23" t="n">
        <f>MAX(implant2rod5yrstable[[#This Row],[Stock on hand(opening balance)]]+implant2rod5yrstable[[#This Row],[Quantity ]]-implant2rod5yrstable[[#This Row],[Forecasted consumption]],0)</f>
        <v>0</v>
      </c>
      <c r="K92" s="2"/>
      <c r="L92" s="2"/>
      <c r="M92" s="18"/>
      <c r="N92" s="23"/>
      <c r="O92" s="2"/>
      <c r="P92" s="23"/>
      <c r="Q92" s="24"/>
      <c r="R92" s="2"/>
      <c r="S92" s="2"/>
      <c r="T92" s="18" t="n">
        <v>6</v>
      </c>
      <c r="U92" s="18" t="n">
        <v>12</v>
      </c>
      <c r="V92" s="18" t="n">
        <v>12</v>
      </c>
      <c r="W92" s="20" t="n">
        <f>implant2rod5yrstable[[#This Row],[Closing balance ]]/implant2rod5yrstable[[#This Row],[Forecasted consumption]]</f>
        <v>0</v>
      </c>
      <c r="X92" s="25"/>
    </row>
    <row r="93">
      <c r="B93" s="6" t="s">
        <v>74</v>
      </c>
      <c r="C93" s="18" t="s">
        <v>41</v>
      </c>
      <c r="D93" s="17"/>
      <c r="E93" s="18" t="s">
        <v>31</v>
      </c>
      <c r="F93" s="19" t="n">
        <v>45870</v>
      </c>
      <c r="G93" s="23" t="n">
        <v>151590</v>
      </c>
      <c r="H93" s="23"/>
      <c r="I93" s="23" t="n">
        <v>27890</v>
      </c>
      <c r="J93" s="23" t="n">
        <f>MAX(implant2rod5yrstable[[#This Row],[Stock on hand(opening balance)]]+implant2rod5yrstable[[#This Row],[Quantity ]]-implant2rod5yrstable[[#This Row],[Forecasted consumption]],0)</f>
        <v>123700</v>
      </c>
      <c r="K93" s="2"/>
      <c r="L93" s="2"/>
      <c r="M93" s="2"/>
      <c r="N93" s="23"/>
      <c r="O93" s="2"/>
      <c r="P93" s="23"/>
      <c r="Q93" s="24"/>
      <c r="R93" s="2"/>
      <c r="S93" s="2"/>
      <c r="T93" s="2" t="n">
        <v>3</v>
      </c>
      <c r="U93" s="2" t="n">
        <v>6</v>
      </c>
      <c r="V93" s="2" t="n">
        <v>6</v>
      </c>
      <c r="W93" s="20" t="n">
        <f>implant2rod5yrstable[[#This Row],[Closing balance ]]/implant2rod5yrstable[[#This Row],[Forecasted consumption]]</f>
        <v>4.4352814628899244</v>
      </c>
      <c r="X93" s="25"/>
    </row>
    <row r="94">
      <c r="B94" s="6" t="s">
        <v>74</v>
      </c>
      <c r="C94" s="18" t="s">
        <v>41</v>
      </c>
      <c r="D94" s="17"/>
      <c r="E94" s="18" t="s">
        <v>31</v>
      </c>
      <c r="F94" s="19" t="n">
        <v>45901</v>
      </c>
      <c r="G94" s="23" t="n">
        <f>J93</f>
        <v>123700</v>
      </c>
      <c r="H94" s="23"/>
      <c r="I94" s="23" t="n">
        <v>27890</v>
      </c>
      <c r="J94" s="23" t="n">
        <f>MAX(implant2rod5yrstable[[#This Row],[Stock on hand(opening balance)]]+implant2rod5yrstable[[#This Row],[Quantity ]]-implant2rod5yrstable[[#This Row],[Forecasted consumption]],0)</f>
        <v>95810</v>
      </c>
      <c r="K94" s="2"/>
      <c r="L94" s="2"/>
      <c r="M94" s="18"/>
      <c r="N94" s="23"/>
      <c r="O94" s="2"/>
      <c r="P94" s="23"/>
      <c r="Q94" s="24"/>
      <c r="R94" s="2"/>
      <c r="S94" s="2"/>
      <c r="T94" s="2" t="n">
        <v>3</v>
      </c>
      <c r="U94" s="2" t="n">
        <v>6</v>
      </c>
      <c r="V94" s="2" t="n">
        <v>6</v>
      </c>
      <c r="W94" s="20" t="n">
        <f>implant2rod5yrstable[[#This Row],[Closing balance ]]/implant2rod5yrstable[[#This Row],[Forecasted consumption]]</f>
        <v>3.4352814628899249</v>
      </c>
      <c r="X94" s="25"/>
    </row>
    <row r="95">
      <c r="B95" s="6" t="s">
        <v>74</v>
      </c>
      <c r="C95" s="18" t="s">
        <v>41</v>
      </c>
      <c r="D95" s="17"/>
      <c r="E95" s="18" t="s">
        <v>31</v>
      </c>
      <c r="F95" s="19" t="n">
        <v>45931</v>
      </c>
      <c r="G95" s="23" t="n">
        <f t="shared" ref="G95:G105" si="4">J94</f>
        <v>95810</v>
      </c>
      <c r="H95" s="23"/>
      <c r="I95" s="23" t="n">
        <v>27890</v>
      </c>
      <c r="J95" s="23" t="n">
        <f>MAX(implant2rod5yrstable[[#This Row],[Stock on hand(opening balance)]]+implant2rod5yrstable[[#This Row],[Quantity ]]-implant2rod5yrstable[[#This Row],[Forecasted consumption]],0)</f>
        <v>67920</v>
      </c>
      <c r="K95" s="2"/>
      <c r="L95" s="2"/>
      <c r="M95" s="18"/>
      <c r="N95" s="23"/>
      <c r="O95" s="2"/>
      <c r="P95" s="23"/>
      <c r="Q95" s="24"/>
      <c r="R95" s="2"/>
      <c r="S95" s="2"/>
      <c r="T95" s="2" t="n">
        <v>3</v>
      </c>
      <c r="U95" s="2" t="n">
        <v>6</v>
      </c>
      <c r="V95" s="2" t="n">
        <v>6</v>
      </c>
      <c r="W95" s="20" t="n">
        <f>implant2rod5yrstable[[#This Row],[Closing balance ]]/implant2rod5yrstable[[#This Row],[Forecasted consumption]]</f>
        <v>2.4352814628899249</v>
      </c>
      <c r="X95" s="25"/>
    </row>
    <row r="96">
      <c r="B96" s="6" t="s">
        <v>74</v>
      </c>
      <c r="C96" s="18" t="s">
        <v>41</v>
      </c>
      <c r="D96" s="17"/>
      <c r="E96" s="18" t="s">
        <v>31</v>
      </c>
      <c r="F96" s="19" t="n">
        <v>45962</v>
      </c>
      <c r="G96" s="23" t="n">
        <f t="shared" si="4"/>
        <v>67920</v>
      </c>
      <c r="H96" s="23"/>
      <c r="I96" s="23" t="n">
        <v>27890</v>
      </c>
      <c r="J96" s="23" t="n">
        <f>MAX(implant2rod5yrstable[[#This Row],[Stock on hand(opening balance)]]+implant2rod5yrstable[[#This Row],[Quantity ]]-implant2rod5yrstable[[#This Row],[Forecasted consumption]],0)</f>
        <v>40030</v>
      </c>
      <c r="K96" s="2"/>
      <c r="L96" s="2"/>
      <c r="M96" s="18"/>
      <c r="N96" s="23"/>
      <c r="O96" s="2"/>
      <c r="P96" s="23"/>
      <c r="Q96" s="24"/>
      <c r="R96" s="2"/>
      <c r="S96" s="2"/>
      <c r="T96" s="2" t="n">
        <v>3</v>
      </c>
      <c r="U96" s="2" t="n">
        <v>6</v>
      </c>
      <c r="V96" s="2" t="n">
        <v>6</v>
      </c>
      <c r="W96" s="20" t="n">
        <f>implant2rod5yrstable[[#This Row],[Closing balance ]]/implant2rod5yrstable[[#This Row],[Forecasted consumption]]</f>
        <v>1.4352814628899246</v>
      </c>
      <c r="X96" s="25"/>
    </row>
    <row r="97">
      <c r="B97" s="6" t="s">
        <v>74</v>
      </c>
      <c r="C97" s="18" t="s">
        <v>41</v>
      </c>
      <c r="D97" s="17"/>
      <c r="E97" s="18" t="s">
        <v>31</v>
      </c>
      <c r="F97" s="19" t="n">
        <v>45992</v>
      </c>
      <c r="G97" s="23" t="n">
        <f t="shared" si="4"/>
        <v>40030</v>
      </c>
      <c r="H97" s="23"/>
      <c r="I97" s="23" t="n">
        <v>27890</v>
      </c>
      <c r="J97" s="23" t="n">
        <f>MAX(implant2rod5yrstable[[#This Row],[Stock on hand(opening balance)]]+implant2rod5yrstable[[#This Row],[Quantity ]]-implant2rod5yrstable[[#This Row],[Forecasted consumption]],0)</f>
        <v>160538</v>
      </c>
      <c r="K97" s="2" t="s">
        <v>2</v>
      </c>
      <c r="L97" s="2" t="s">
        <v>2</v>
      </c>
      <c r="M97" s="18" t="s">
        <v>4</v>
      </c>
      <c r="N97" s="23" t="n">
        <v>148398</v>
      </c>
      <c r="O97" s="24" t="n">
        <v>45992</v>
      </c>
      <c r="P97" s="23"/>
      <c r="Q97" s="24"/>
      <c r="R97" s="2"/>
      <c r="S97" s="2"/>
      <c r="T97" s="2" t="n">
        <v>3</v>
      </c>
      <c r="U97" s="2" t="n">
        <v>6</v>
      </c>
      <c r="V97" s="2" t="n">
        <v>6</v>
      </c>
      <c r="W97" s="20" t="n">
        <f>implant2rod5yrstable[[#This Row],[Closing balance ]]/implant2rod5yrstable[[#This Row],[Forecasted consumption]]</f>
        <v>5.756113302258874</v>
      </c>
      <c r="X97" s="25"/>
    </row>
    <row r="98">
      <c r="B98" s="6" t="s">
        <v>74</v>
      </c>
      <c r="C98" s="18" t="s">
        <v>41</v>
      </c>
      <c r="D98" s="17"/>
      <c r="E98" s="18" t="s">
        <v>31</v>
      </c>
      <c r="F98" s="19" t="n">
        <v>46023</v>
      </c>
      <c r="G98" s="23" t="n">
        <f t="shared" si="4"/>
        <v>160538</v>
      </c>
      <c r="H98" s="23"/>
      <c r="I98" s="23" t="n">
        <v>27890</v>
      </c>
      <c r="J98" s="23" t="n">
        <f>MAX(implant2rod5yrstable[[#This Row],[Stock on hand(opening balance)]]+implant2rod5yrstable[[#This Row],[Quantity ]]-implant2rod5yrstable[[#This Row],[Forecasted consumption]],0)</f>
        <v>132648</v>
      </c>
      <c r="K98" s="2"/>
      <c r="L98" s="2"/>
      <c r="M98" s="18"/>
      <c r="N98" s="23"/>
      <c r="O98" s="2"/>
      <c r="P98" s="23"/>
      <c r="Q98" s="24"/>
      <c r="R98" s="2"/>
      <c r="S98" s="2"/>
      <c r="T98" s="2" t="n">
        <v>3</v>
      </c>
      <c r="U98" s="2" t="n">
        <v>6</v>
      </c>
      <c r="V98" s="2" t="n">
        <v>6</v>
      </c>
      <c r="W98" s="20" t="n">
        <f>implant2rod5yrstable[[#This Row],[Closing balance ]]/implant2rod5yrstable[[#This Row],[Forecasted consumption]]</f>
        <v>4.756113302258874</v>
      </c>
      <c r="X98" s="25"/>
    </row>
    <row r="99">
      <c r="B99" s="6" t="s">
        <v>74</v>
      </c>
      <c r="C99" s="18" t="s">
        <v>41</v>
      </c>
      <c r="D99" s="17"/>
      <c r="E99" s="18" t="s">
        <v>31</v>
      </c>
      <c r="F99" s="19" t="n">
        <v>46054</v>
      </c>
      <c r="G99" s="23" t="n">
        <f t="shared" si="4"/>
        <v>132648</v>
      </c>
      <c r="H99" s="23"/>
      <c r="I99" s="23" t="n">
        <v>27890</v>
      </c>
      <c r="J99" s="23" t="n">
        <f>MAX(implant2rod5yrstable[[#This Row],[Stock on hand(opening balance)]]+implant2rod5yrstable[[#This Row],[Quantity ]]-implant2rod5yrstable[[#This Row],[Forecasted consumption]],0)</f>
        <v>104758</v>
      </c>
      <c r="K99" s="2"/>
      <c r="L99" s="2"/>
      <c r="M99" s="18"/>
      <c r="N99" s="23"/>
      <c r="O99" s="2"/>
      <c r="P99" s="23"/>
      <c r="Q99" s="24"/>
      <c r="R99" s="2"/>
      <c r="S99" s="2"/>
      <c r="T99" s="2" t="n">
        <v>3</v>
      </c>
      <c r="U99" s="2" t="n">
        <v>6</v>
      </c>
      <c r="V99" s="2" t="n">
        <v>6</v>
      </c>
      <c r="W99" s="20" t="n">
        <f>implant2rod5yrstable[[#This Row],[Closing balance ]]/implant2rod5yrstable[[#This Row],[Forecasted consumption]]</f>
        <v>3.756113302258874</v>
      </c>
      <c r="X99" s="25"/>
    </row>
    <row r="100">
      <c r="B100" s="6" t="s">
        <v>74</v>
      </c>
      <c r="C100" s="18" t="s">
        <v>41</v>
      </c>
      <c r="D100" s="17"/>
      <c r="E100" s="18" t="s">
        <v>31</v>
      </c>
      <c r="F100" s="19" t="n">
        <v>46082</v>
      </c>
      <c r="G100" s="23" t="n">
        <f t="shared" si="4"/>
        <v>104758</v>
      </c>
      <c r="H100" s="23"/>
      <c r="I100" s="23" t="n">
        <v>27890</v>
      </c>
      <c r="J100" s="23" t="n">
        <f>MAX(implant2rod5yrstable[[#This Row],[Stock on hand(opening balance)]]+implant2rod5yrstable[[#This Row],[Quantity ]]-implant2rod5yrstable[[#This Row],[Forecasted consumption]],0)</f>
        <v>76868</v>
      </c>
      <c r="K100" s="2"/>
      <c r="L100" s="2"/>
      <c r="M100" s="18"/>
      <c r="N100" s="23"/>
      <c r="O100" s="2"/>
      <c r="P100" s="23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20" t="n">
        <f>implant2rod5yrstable[[#This Row],[Closing balance ]]/implant2rod5yrstable[[#This Row],[Forecasted consumption]]</f>
        <v>2.756113302258874</v>
      </c>
      <c r="X100" s="25"/>
    </row>
    <row r="101">
      <c r="B101" s="6" t="s">
        <v>74</v>
      </c>
      <c r="C101" s="18" t="s">
        <v>41</v>
      </c>
      <c r="D101" s="17"/>
      <c r="E101" s="18" t="s">
        <v>31</v>
      </c>
      <c r="F101" s="19" t="n">
        <v>46113</v>
      </c>
      <c r="G101" s="23" t="n">
        <f t="shared" si="4"/>
        <v>76868</v>
      </c>
      <c r="H101" s="23"/>
      <c r="I101" s="23" t="n">
        <v>27890</v>
      </c>
      <c r="J101" s="23" t="n">
        <f>MAX(implant2rod5yrstable[[#This Row],[Stock on hand(opening balance)]]+implant2rod5yrstable[[#This Row],[Quantity ]]-implant2rod5yrstable[[#This Row],[Forecasted consumption]],0)</f>
        <v>48978</v>
      </c>
      <c r="K101" s="2"/>
      <c r="L101" s="2"/>
      <c r="M101" s="18"/>
      <c r="N101" s="23"/>
      <c r="O101" s="2"/>
      <c r="P101" s="23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20" t="n">
        <f>implant2rod5yrstable[[#This Row],[Closing balance ]]/implant2rod5yrstable[[#This Row],[Forecasted consumption]]</f>
        <v>1.7561133022588742</v>
      </c>
      <c r="X101" s="25"/>
    </row>
    <row r="102">
      <c r="B102" s="6" t="s">
        <v>74</v>
      </c>
      <c r="C102" s="18" t="s">
        <v>41</v>
      </c>
      <c r="D102" s="17"/>
      <c r="E102" s="18" t="s">
        <v>31</v>
      </c>
      <c r="F102" s="19" t="n">
        <v>46143</v>
      </c>
      <c r="G102" s="23" t="n">
        <f t="shared" si="4"/>
        <v>48978</v>
      </c>
      <c r="H102" s="23"/>
      <c r="I102" s="23" t="n">
        <v>27890</v>
      </c>
      <c r="J102" s="23" t="n">
        <f>MAX(implant2rod5yrstable[[#This Row],[Stock on hand(opening balance)]]+implant2rod5yrstable[[#This Row],[Quantity ]]-implant2rod5yrstable[[#This Row],[Forecasted consumption]],0)</f>
        <v>21088</v>
      </c>
      <c r="K102" s="2"/>
      <c r="L102" s="2"/>
      <c r="M102" s="18"/>
      <c r="N102" s="23"/>
      <c r="O102" s="2"/>
      <c r="P102" s="23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20" t="n">
        <f>implant2rod5yrstable[[#This Row],[Closing balance ]]/implant2rod5yrstable[[#This Row],[Forecasted consumption]]</f>
        <v>0.75611330225887419</v>
      </c>
      <c r="X102" s="25"/>
    </row>
    <row r="103">
      <c r="B103" s="6" t="s">
        <v>74</v>
      </c>
      <c r="C103" s="18" t="s">
        <v>41</v>
      </c>
      <c r="D103" s="17"/>
      <c r="E103" s="18" t="s">
        <v>31</v>
      </c>
      <c r="F103" s="19" t="n">
        <v>46174</v>
      </c>
      <c r="G103" s="23" t="n">
        <f t="shared" si="4"/>
        <v>21088</v>
      </c>
      <c r="H103" s="23"/>
      <c r="I103" s="23" t="n">
        <v>27890</v>
      </c>
      <c r="J103" s="23" t="n">
        <f>MAX(implant2rod5yrstable[[#This Row],[Stock on hand(opening balance)]]+implant2rod5yrstable[[#This Row],[Quantity ]]-implant2rod5yrstable[[#This Row],[Forecasted consumption]],0)</f>
        <v>0</v>
      </c>
      <c r="K103" s="2"/>
      <c r="L103" s="2"/>
      <c r="M103" s="18"/>
      <c r="N103" s="23"/>
      <c r="O103" s="2"/>
      <c r="P103" s="23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20" t="n">
        <f>implant2rod5yrstable[[#This Row],[Closing balance ]]/implant2rod5yrstable[[#This Row],[Forecasted consumption]]</f>
        <v>0</v>
      </c>
      <c r="X103" s="25"/>
    </row>
    <row r="104">
      <c r="B104" s="6" t="s">
        <v>74</v>
      </c>
      <c r="C104" s="18" t="s">
        <v>41</v>
      </c>
      <c r="D104" s="17"/>
      <c r="E104" s="18" t="s">
        <v>31</v>
      </c>
      <c r="F104" s="19" t="n">
        <v>46204</v>
      </c>
      <c r="G104" s="23" t="n">
        <f t="shared" si="4"/>
        <v>0</v>
      </c>
      <c r="H104" s="23"/>
      <c r="I104" s="23" t="n">
        <v>27890</v>
      </c>
      <c r="J104" s="23" t="n">
        <f>MAX(implant2rod5yrstable[[#This Row],[Stock on hand(opening balance)]]+implant2rod5yrstable[[#This Row],[Quantity ]]-implant2rod5yrstable[[#This Row],[Forecasted consumption]],0)</f>
        <v>0</v>
      </c>
      <c r="K104" s="2"/>
      <c r="L104" s="2"/>
      <c r="M104" s="18"/>
      <c r="N104" s="23"/>
      <c r="O104" s="2"/>
      <c r="P104" s="23"/>
      <c r="Q104" s="24"/>
      <c r="R104" s="2"/>
      <c r="S104" s="2"/>
      <c r="T104" s="2" t="n">
        <v>3</v>
      </c>
      <c r="U104" s="2" t="n">
        <v>6</v>
      </c>
      <c r="V104" s="2" t="n">
        <v>6</v>
      </c>
      <c r="W104" s="20" t="n">
        <f>implant2rod5yrstable[[#This Row],[Closing balance ]]/implant2rod5yrstable[[#This Row],[Forecasted consumption]]</f>
        <v>0</v>
      </c>
      <c r="X104" s="25"/>
    </row>
    <row r="105">
      <c r="B105" s="6" t="s">
        <v>74</v>
      </c>
      <c r="C105" s="18" t="s">
        <v>41</v>
      </c>
      <c r="D105" s="17"/>
      <c r="E105" s="18" t="s">
        <v>31</v>
      </c>
      <c r="F105" s="19" t="n">
        <v>46235</v>
      </c>
      <c r="G105" s="23" t="n">
        <f t="shared" si="4"/>
        <v>0</v>
      </c>
      <c r="H105" s="23"/>
      <c r="I105" s="23" t="n">
        <v>27890</v>
      </c>
      <c r="J105" s="23" t="n">
        <f>MAX(implant2rod5yrstable[[#This Row],[Stock on hand(opening balance)]]+implant2rod5yrstable[[#This Row],[Quantity ]]-implant2rod5yrstable[[#This Row],[Forecasted consumption]],0)</f>
        <v>0</v>
      </c>
      <c r="K105" s="2"/>
      <c r="L105" s="2"/>
      <c r="M105" s="18"/>
      <c r="N105" s="23"/>
      <c r="O105" s="2"/>
      <c r="P105" s="23"/>
      <c r="Q105" s="24"/>
      <c r="R105" s="2"/>
      <c r="S105" s="2"/>
      <c r="T105" s="2" t="n">
        <v>3</v>
      </c>
      <c r="U105" s="2" t="n">
        <v>6</v>
      </c>
      <c r="V105" s="2" t="n">
        <v>6</v>
      </c>
      <c r="W105" s="20" t="n">
        <f>implant2rod5yrstable[[#This Row],[Closing balance ]]/implant2rod5yrstable[[#This Row],[Forecasted consumption]]</f>
        <v>0</v>
      </c>
      <c r="X105" s="25"/>
    </row>
    <row r="106">
      <c r="B106" s="18" t="s">
        <v>166</v>
      </c>
      <c r="C106" s="18" t="s">
        <v>41</v>
      </c>
      <c r="D106" s="17"/>
      <c r="E106" s="18" t="s">
        <v>31</v>
      </c>
      <c r="F106" s="19" t="n">
        <v>45748</v>
      </c>
      <c r="G106" s="20" t="n">
        <v>89100</v>
      </c>
      <c r="H106" s="20"/>
      <c r="I106" s="20" t="n">
        <v>23847</v>
      </c>
      <c r="J106" s="20" t="n">
        <f>MAX(implant2rod5yrstable[[#This Row],[Stock on hand(opening balance)]]+implant2rod5yrstable[[#This Row],[Quantity ]]-implant2rod5yrstable[[#This Row],[Forecasted consumption]],0)</f>
        <v>65253</v>
      </c>
      <c r="K106" s="18"/>
      <c r="L106" s="18"/>
      <c r="M106" s="18"/>
      <c r="N106" s="20"/>
      <c r="O106" s="18"/>
      <c r="P106" s="20"/>
      <c r="Q106" s="19"/>
      <c r="R106" s="18"/>
      <c r="S106" s="18"/>
      <c r="T106" s="18"/>
      <c r="U106" s="18"/>
      <c r="V106" s="18"/>
      <c r="W106" s="20" t="n">
        <f>implant2rod5yrstable[[#This Row],[Closing balance ]]/implant2rod5yrstable[[#This Row],[Forecasted consumption]]</f>
        <v>2.7363190338407346</v>
      </c>
      <c r="X106" s="22"/>
    </row>
    <row r="107">
      <c r="B107" s="18" t="s">
        <v>166</v>
      </c>
      <c r="C107" s="18" t="s">
        <v>41</v>
      </c>
      <c r="D107" s="17"/>
      <c r="E107" s="18" t="s">
        <v>31</v>
      </c>
      <c r="F107" s="19" t="n">
        <v>45778</v>
      </c>
      <c r="G107" s="23" t="n">
        <f>J106</f>
        <v>65253</v>
      </c>
      <c r="H107" s="23"/>
      <c r="I107" s="20" t="n">
        <v>23847</v>
      </c>
      <c r="J107" s="23" t="n">
        <f>MAX(implant2rod5yrstable[[#This Row],[Stock on hand(opening balance)]]+implant2rod5yrstable[[#This Row],[Quantity ]]-implant2rod5yrstable[[#This Row],[Forecasted consumption]],0)</f>
        <v>41406</v>
      </c>
      <c r="K107" s="2"/>
      <c r="L107" s="2"/>
      <c r="M107" s="2"/>
      <c r="N107" s="23"/>
      <c r="O107" s="2"/>
      <c r="P107" s="23"/>
      <c r="Q107" s="24"/>
      <c r="R107" s="2"/>
      <c r="S107" s="2"/>
      <c r="T107" s="2"/>
      <c r="U107" s="2"/>
      <c r="V107" s="2"/>
      <c r="W107" s="20" t="n">
        <f>implant2rod5yrstable[[#This Row],[Closing balance ]]/implant2rod5yrstable[[#This Row],[Forecasted consumption]]</f>
        <v>1.7363190338407346</v>
      </c>
      <c r="X107" s="25"/>
    </row>
    <row r="108">
      <c r="B108" s="18" t="s">
        <v>166</v>
      </c>
      <c r="C108" s="18" t="s">
        <v>41</v>
      </c>
      <c r="D108" s="17"/>
      <c r="E108" s="18" t="s">
        <v>31</v>
      </c>
      <c r="F108" s="19" t="n">
        <v>45809</v>
      </c>
      <c r="G108" s="23" t="n">
        <f t="shared" ref="G108:G114" si="5">J107</f>
        <v>41406</v>
      </c>
      <c r="H108" s="23"/>
      <c r="I108" s="20" t="n">
        <v>23847</v>
      </c>
      <c r="J108" s="23" t="n">
        <f>MAX(implant2rod5yrstable[[#This Row],[Stock on hand(opening balance)]]+implant2rod5yrstable[[#This Row],[Quantity ]]-implant2rod5yrstable[[#This Row],[Forecasted consumption]],0)</f>
        <v>17559</v>
      </c>
      <c r="K108" s="2"/>
      <c r="L108" s="2"/>
      <c r="M108" s="2"/>
      <c r="N108" s="23"/>
      <c r="O108" s="2"/>
      <c r="P108" s="23"/>
      <c r="Q108" s="24"/>
      <c r="R108" s="2"/>
      <c r="S108" s="2"/>
      <c r="T108" s="2"/>
      <c r="U108" s="2"/>
      <c r="V108" s="2"/>
      <c r="W108" s="20" t="n">
        <f>implant2rod5yrstable[[#This Row],[Closing balance ]]/implant2rod5yrstable[[#This Row],[Forecasted consumption]]</f>
        <v>0.73631903384073472</v>
      </c>
      <c r="X108" s="25"/>
    </row>
    <row r="109">
      <c r="B109" s="18" t="s">
        <v>166</v>
      </c>
      <c r="C109" s="18" t="s">
        <v>41</v>
      </c>
      <c r="D109" s="17"/>
      <c r="E109" s="18" t="s">
        <v>31</v>
      </c>
      <c r="F109" s="19" t="n">
        <v>45839</v>
      </c>
      <c r="G109" s="23" t="n">
        <f t="shared" si="5"/>
        <v>17559</v>
      </c>
      <c r="H109" s="23"/>
      <c r="I109" s="20" t="n">
        <v>23847</v>
      </c>
      <c r="J109" s="23" t="n">
        <f>MAX(implant2rod5yrstable[[#This Row],[Stock on hand(opening balance)]]+implant2rod5yrstable[[#This Row],[Quantity ]]-implant2rod5yrstable[[#This Row],[Forecasted consumption]],0)</f>
        <v>51712</v>
      </c>
      <c r="K109" s="2"/>
      <c r="L109" s="2"/>
      <c r="M109" s="2"/>
      <c r="N109" s="23" t="n">
        <v>58000</v>
      </c>
      <c r="O109" s="24" t="n">
        <v>45839</v>
      </c>
      <c r="P109" s="23"/>
      <c r="Q109" s="24"/>
      <c r="R109" s="2"/>
      <c r="S109" s="2"/>
      <c r="T109" s="2"/>
      <c r="U109" s="2"/>
      <c r="V109" s="2"/>
      <c r="W109" s="20" t="n">
        <f>implant2rod5yrstable[[#This Row],[Closing balance ]]/implant2rod5yrstable[[#This Row],[Forecasted consumption]]</f>
        <v>2.168490795487902</v>
      </c>
      <c r="X109" s="25"/>
    </row>
    <row r="110">
      <c r="B110" s="18" t="s">
        <v>166</v>
      </c>
      <c r="C110" s="18" t="s">
        <v>41</v>
      </c>
      <c r="D110" s="17"/>
      <c r="E110" s="18" t="s">
        <v>31</v>
      </c>
      <c r="F110" s="19" t="n">
        <v>45870</v>
      </c>
      <c r="G110" s="23" t="n">
        <f t="shared" si="5"/>
        <v>51712</v>
      </c>
      <c r="H110" s="23"/>
      <c r="I110" s="20" t="n">
        <v>23847</v>
      </c>
      <c r="J110" s="23" t="n">
        <f>MAX(implant2rod5yrstable[[#This Row],[Stock on hand(opening balance)]]+implant2rod5yrstable[[#This Row],[Quantity ]]-implant2rod5yrstable[[#This Row],[Forecasted consumption]],0)</f>
        <v>27865</v>
      </c>
      <c r="K110" s="2"/>
      <c r="L110" s="2"/>
      <c r="M110" s="2"/>
      <c r="N110" s="23"/>
      <c r="O110" s="2"/>
      <c r="P110" s="23"/>
      <c r="Q110" s="24"/>
      <c r="R110" s="2"/>
      <c r="S110" s="2"/>
      <c r="T110" s="2"/>
      <c r="U110" s="2"/>
      <c r="V110" s="2"/>
      <c r="W110" s="20" t="n">
        <f>implant2rod5yrstable[[#This Row],[Closing balance ]]/implant2rod5yrstable[[#This Row],[Forecasted consumption]]</f>
        <v>1.168490795487902</v>
      </c>
      <c r="X110" s="25"/>
    </row>
    <row r="111">
      <c r="B111" s="18" t="s">
        <v>166</v>
      </c>
      <c r="C111" s="18" t="s">
        <v>41</v>
      </c>
      <c r="D111" s="17"/>
      <c r="E111" s="18" t="s">
        <v>31</v>
      </c>
      <c r="F111" s="19" t="n">
        <v>45901</v>
      </c>
      <c r="G111" s="23" t="n">
        <f t="shared" si="5"/>
        <v>27865</v>
      </c>
      <c r="H111" s="23"/>
      <c r="I111" s="20" t="n">
        <v>23847</v>
      </c>
      <c r="J111" s="23" t="n">
        <f>MAX(implant2rod5yrstable[[#This Row],[Stock on hand(opening balance)]]+implant2rod5yrstable[[#This Row],[Quantity ]]-implant2rod5yrstable[[#This Row],[Forecasted consumption]],0)</f>
        <v>4018</v>
      </c>
      <c r="K111" s="2"/>
      <c r="L111" s="2"/>
      <c r="M111" s="2"/>
      <c r="N111" s="23"/>
      <c r="O111" s="2"/>
      <c r="P111" s="23"/>
      <c r="Q111" s="24"/>
      <c r="R111" s="2"/>
      <c r="S111" s="2"/>
      <c r="T111" s="2"/>
      <c r="U111" s="2"/>
      <c r="V111" s="2"/>
      <c r="W111" s="20" t="n">
        <f>implant2rod5yrstable[[#This Row],[Closing balance ]]/implant2rod5yrstable[[#This Row],[Forecasted consumption]]</f>
        <v>0.16849079548790205</v>
      </c>
      <c r="X111" s="25"/>
    </row>
    <row r="112">
      <c r="B112" s="18" t="s">
        <v>166</v>
      </c>
      <c r="C112" s="18" t="s">
        <v>41</v>
      </c>
      <c r="D112" s="17"/>
      <c r="E112" s="18" t="s">
        <v>31</v>
      </c>
      <c r="F112" s="19" t="n">
        <v>45931</v>
      </c>
      <c r="G112" s="23" t="n">
        <f t="shared" si="5"/>
        <v>4018</v>
      </c>
      <c r="H112" s="23"/>
      <c r="I112" s="20" t="n">
        <v>23847</v>
      </c>
      <c r="J112" s="23" t="n">
        <f>MAX(implant2rod5yrstable[[#This Row],[Stock on hand(opening balance)]]+implant2rod5yrstable[[#This Row],[Quantity ]]-implant2rod5yrstable[[#This Row],[Forecasted consumption]],0)</f>
        <v>0</v>
      </c>
      <c r="K112" s="2"/>
      <c r="L112" s="2"/>
      <c r="M112" s="2"/>
      <c r="N112" s="23"/>
      <c r="O112" s="2"/>
      <c r="P112" s="23"/>
      <c r="Q112" s="24"/>
      <c r="R112" s="2"/>
      <c r="S112" s="2"/>
      <c r="T112" s="2"/>
      <c r="U112" s="2"/>
      <c r="V112" s="2"/>
      <c r="W112" s="20" t="n">
        <f>implant2rod5yrstable[[#This Row],[Closing balance ]]/implant2rod5yrstable[[#This Row],[Forecasted consumption]]</f>
        <v>0</v>
      </c>
      <c r="X112" s="25"/>
    </row>
    <row r="113">
      <c r="B113" s="18" t="s">
        <v>166</v>
      </c>
      <c r="C113" s="18" t="s">
        <v>41</v>
      </c>
      <c r="D113" s="17"/>
      <c r="E113" s="18" t="s">
        <v>31</v>
      </c>
      <c r="F113" s="19" t="n">
        <v>45962</v>
      </c>
      <c r="G113" s="23" t="n">
        <f t="shared" si="5"/>
        <v>0</v>
      </c>
      <c r="H113" s="23"/>
      <c r="I113" s="20" t="n">
        <v>23847</v>
      </c>
      <c r="J113" s="23" t="n">
        <f>MAX(implant2rod5yrstable[[#This Row],[Stock on hand(opening balance)]]+implant2rod5yrstable[[#This Row],[Quantity ]]-implant2rod5yrstable[[#This Row],[Forecasted consumption]],0)</f>
        <v>0</v>
      </c>
      <c r="K113" s="2"/>
      <c r="L113" s="2"/>
      <c r="M113" s="2"/>
      <c r="N113" s="23"/>
      <c r="O113" s="2"/>
      <c r="P113" s="23"/>
      <c r="Q113" s="24"/>
      <c r="R113" s="2"/>
      <c r="S113" s="2"/>
      <c r="T113" s="2"/>
      <c r="U113" s="2"/>
      <c r="V113" s="2"/>
      <c r="W113" s="20" t="n">
        <f>implant2rod5yrstable[[#This Row],[Closing balance ]]/implant2rod5yrstable[[#This Row],[Forecasted consumption]]</f>
        <v>0</v>
      </c>
      <c r="X113" s="25"/>
    </row>
    <row r="114">
      <c r="B114" s="18" t="s">
        <v>166</v>
      </c>
      <c r="C114" s="18" t="s">
        <v>41</v>
      </c>
      <c r="D114" s="17"/>
      <c r="E114" s="18" t="s">
        <v>31</v>
      </c>
      <c r="F114" s="19" t="n">
        <v>45992</v>
      </c>
      <c r="G114" s="23" t="n">
        <f t="shared" si="5"/>
        <v>0</v>
      </c>
      <c r="H114" s="23"/>
      <c r="I114" s="20" t="n">
        <v>23847</v>
      </c>
      <c r="J114" s="23" t="n">
        <f>MAX(implant2rod5yrstable[[#This Row],[Stock on hand(opening balance)]]+implant2rod5yrstable[[#This Row],[Quantity ]]-implant2rod5yrstable[[#This Row],[Forecasted consumption]],0)</f>
        <v>0</v>
      </c>
      <c r="K114" s="2"/>
      <c r="L114" s="2"/>
      <c r="M114" s="2"/>
      <c r="N114" s="23"/>
      <c r="O114" s="2"/>
      <c r="P114" s="23"/>
      <c r="Q114" s="24"/>
      <c r="R114" s="2"/>
      <c r="S114" s="2"/>
      <c r="T114" s="2"/>
      <c r="U114" s="2"/>
      <c r="V114" s="2"/>
      <c r="W114" s="20" t="n">
        <f>implant2rod5yrstable[[#This Row],[Closing balance ]]/implant2rod5yrstable[[#This Row],[Forecasted consumption]]</f>
        <v>0</v>
      </c>
      <c r="X114" s="25"/>
    </row>
  </sheetData>
  <dataValidations count="3">
    <dataValidation type="list" allowBlank="1" showInputMessage="1" showErrorMessage="1" sqref="M94:M105 M7:M92" xr:uid="{FBA2F70E-97FC-4976-B2DD-B9423CD00E69}">
      <formula1>"Committed,  Planned,Placed, Expected Deliveries, Received, cancelled"</formula1>
    </dataValidation>
    <dataValidation type="list" allowBlank="1" showInputMessage="1" showErrorMessage="1" sqref="M106:M199" xr:uid="{4B72FE77-889C-475B-AF93-EBBD274BCA3E}">
      <formula1>"Committed,  Placed, Expected Deliveries, Received, cancelled"</formula1>
    </dataValidation>
    <dataValidation type="list" allowBlank="1" showInputMessage="1" showErrorMessage="1" sqref="E7:E114" xr:uid="{E65BECD0-0909-44DD-BB57-56D841CE8CCA}">
      <formula1>"All levels, Central, Central and Regional, Facilities "</formula1>
    </dataValidation>
  </dataValidations>
  <pageMargins left="0.7" right="0.7" top="0.75" bottom="0.75" header="0.3" footer="0.3"/>
  <pageSetup paperSize="9" orientation="portrait" r:id="rId2"/>
  <tableParts count="1">
    <tablePart r:id="rId2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173BD6A-42CC-42F0-98ED-AE24E3570A39}">
          <x14:formula1>
            <xm:f>'choices countries '!$B$3:$B$12</xm:f>
          </x14:formula1>
          <xm:sqref>B115:B500 B7:B105</xm:sqref>
        </x14:dataValidation>
        <x14:dataValidation type="list" allowBlank="1" showInputMessage="1" showErrorMessage="1" xr:uid="{1CE52462-9B2B-4262-A073-2849C6826C0C}">
          <x14:formula1>
            <xm:f>'choices countries '!$B$3:$B$15</xm:f>
          </x14:formula1>
          <xm:sqref>B106:B114</xm:sqref>
        </x14:dataValidation>
        <x14:dataValidation type="list" allowBlank="1" showInputMessage="1" showErrorMessage="1" xr:uid="{BB3193A5-7DEA-4A19-B738-D4C70933CA07}">
          <x14:formula1>
            <xm:f>'product list '!$A$32</xm:f>
          </x14:formula1>
          <xm:sqref>C7:C114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42</v>
      </c>
      <c r="D7" s="17" t="s">
        <v>43</v>
      </c>
      <c r="E7" s="18" t="s">
        <v>31</v>
      </c>
      <c r="F7" s="19" t="n">
        <v>45839</v>
      </c>
      <c r="G7" s="20" t="n">
        <v>368535</v>
      </c>
      <c r="H7" s="20"/>
      <c r="I7" s="20" t="n">
        <v>25415</v>
      </c>
      <c r="J7" s="20" t="n">
        <f>MAX(DMPASCtable[[#This Row],[Stock on hand(opening balance)]]+DMPASCtable[[#This Row],[Quantity ]]-DMPASCtable[[#This Row],[Forecasted consumption]],0)</f>
        <v>343120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DMPASCtable[[#This Row],[Closing balance ]]/DMPASCtable[[#This Row],[Forecasted consumption]]</f>
        <v>13.500688569742278</v>
      </c>
      <c r="X7" s="22"/>
    </row>
    <row r="8">
      <c r="B8" s="6" t="s">
        <v>28</v>
      </c>
      <c r="C8" s="17" t="s">
        <v>42</v>
      </c>
      <c r="D8" s="17" t="s">
        <v>43</v>
      </c>
      <c r="E8" s="18" t="s">
        <v>31</v>
      </c>
      <c r="F8" s="19" t="n">
        <v>45870</v>
      </c>
      <c r="G8" s="23" t="n">
        <f>J7</f>
        <v>343120</v>
      </c>
      <c r="H8" s="23"/>
      <c r="I8" s="20" t="n">
        <v>25415</v>
      </c>
      <c r="J8" s="23" t="n">
        <f>MAX(DMPASCtable[[#This Row],[Stock on hand(opening balance)]]+DMPASCtable[[#This Row],[Quantity ]]-DMPASCtable[[#This Row],[Forecasted consumption]],0)</f>
        <v>317705</v>
      </c>
      <c r="K8" s="2"/>
      <c r="L8" s="2"/>
      <c r="M8" s="18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21" t="n">
        <f>DMPASCtable[[#This Row],[Closing balance ]]/DMPASCtable[[#This Row],[Forecasted consumption]]</f>
        <v>12.500688569742278</v>
      </c>
      <c r="X8" s="25"/>
    </row>
    <row r="9">
      <c r="B9" s="6" t="s">
        <v>28</v>
      </c>
      <c r="C9" s="17" t="s">
        <v>42</v>
      </c>
      <c r="D9" s="17" t="s">
        <v>43</v>
      </c>
      <c r="E9" s="18" t="s">
        <v>31</v>
      </c>
      <c r="F9" s="19" t="n">
        <v>45901</v>
      </c>
      <c r="G9" s="23" t="n">
        <f t="shared" ref="G9:G18" si="0">J8</f>
        <v>317705</v>
      </c>
      <c r="H9" s="23"/>
      <c r="I9" s="20" t="n">
        <v>25415</v>
      </c>
      <c r="J9" s="23" t="n">
        <f>MAX(DMPASCtable[[#This Row],[Stock on hand(opening balance)]]+DMPASCtable[[#This Row],[Quantity ]]-DMPASCtable[[#This Row],[Forecasted consumption]],0)</f>
        <v>292290</v>
      </c>
      <c r="K9" s="2"/>
      <c r="L9" s="2"/>
      <c r="M9" s="18"/>
      <c r="N9" s="23"/>
      <c r="O9" s="2"/>
      <c r="P9" s="31"/>
      <c r="Q9" s="24"/>
      <c r="R9" s="2"/>
      <c r="S9" s="2"/>
      <c r="T9" s="18" t="n">
        <v>9</v>
      </c>
      <c r="U9" s="18" t="n">
        <v>14</v>
      </c>
      <c r="V9" s="18" t="n">
        <v>13</v>
      </c>
      <c r="W9" s="21" t="n">
        <f>DMPASCtable[[#This Row],[Closing balance ]]/DMPASCtable[[#This Row],[Forecasted consumption]]</f>
        <v>11.500688569742278</v>
      </c>
      <c r="X9" s="25"/>
    </row>
    <row r="10">
      <c r="B10" s="6" t="s">
        <v>28</v>
      </c>
      <c r="C10" s="17" t="s">
        <v>42</v>
      </c>
      <c r="D10" s="17" t="s">
        <v>43</v>
      </c>
      <c r="E10" s="18" t="s">
        <v>31</v>
      </c>
      <c r="F10" s="19" t="n">
        <v>45931</v>
      </c>
      <c r="G10" s="23" t="n">
        <f t="shared" si="0"/>
        <v>292290</v>
      </c>
      <c r="H10" s="23"/>
      <c r="I10" s="20" t="n">
        <v>25415</v>
      </c>
      <c r="J10" s="23" t="n">
        <f>MAX(DMPASCtable[[#This Row],[Stock on hand(opening balance)]]+DMPASCtable[[#This Row],[Quantity ]]-DMPASCtable[[#This Row],[Forecasted consumption]],0)</f>
        <v>266875</v>
      </c>
      <c r="K10" s="2"/>
      <c r="L10" s="2"/>
      <c r="M10" s="18"/>
      <c r="N10" s="23"/>
      <c r="O10" s="2"/>
      <c r="P10" s="31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1" t="n">
        <f>DMPASCtable[[#This Row],[Closing balance ]]/DMPASCtable[[#This Row],[Forecasted consumption]]</f>
        <v>10.500688569742278</v>
      </c>
      <c r="X10" s="25"/>
    </row>
    <row r="11">
      <c r="B11" s="6" t="s">
        <v>28</v>
      </c>
      <c r="C11" s="17" t="s">
        <v>42</v>
      </c>
      <c r="D11" s="17" t="s">
        <v>43</v>
      </c>
      <c r="E11" s="18" t="s">
        <v>31</v>
      </c>
      <c r="F11" s="19" t="n">
        <v>45962</v>
      </c>
      <c r="G11" s="23" t="n">
        <f t="shared" si="0"/>
        <v>266875</v>
      </c>
      <c r="H11" s="23"/>
      <c r="I11" s="20" t="n">
        <v>25415</v>
      </c>
      <c r="J11" s="23" t="n">
        <f>MAX(DMPASCtable[[#This Row],[Stock on hand(opening balance)]]+DMPASCtable[[#This Row],[Quantity ]]-DMPASCtable[[#This Row],[Forecasted consumption]],0)</f>
        <v>241460</v>
      </c>
      <c r="K11" s="2"/>
      <c r="L11" s="2"/>
      <c r="M11" s="18"/>
      <c r="N11" s="23"/>
      <c r="O11" s="2"/>
      <c r="P11" s="31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1" t="n">
        <f>DMPASCtable[[#This Row],[Closing balance ]]/DMPASCtable[[#This Row],[Forecasted consumption]]</f>
        <v>9.5006885697422785</v>
      </c>
      <c r="X11" s="25"/>
    </row>
    <row r="12">
      <c r="B12" s="6" t="s">
        <v>28</v>
      </c>
      <c r="C12" s="17" t="s">
        <v>42</v>
      </c>
      <c r="D12" s="17" t="s">
        <v>43</v>
      </c>
      <c r="E12" s="18" t="s">
        <v>31</v>
      </c>
      <c r="F12" s="19" t="n">
        <v>45992</v>
      </c>
      <c r="G12" s="23" t="n">
        <f t="shared" si="0"/>
        <v>241460</v>
      </c>
      <c r="H12" s="23"/>
      <c r="I12" s="20" t="n">
        <v>25415</v>
      </c>
      <c r="J12" s="23" t="n">
        <f>MAX(DMPASCtable[[#This Row],[Stock on hand(opening balance)]]+DMPASCtable[[#This Row],[Quantity ]]-DMPASCtable[[#This Row],[Forecasted consumption]],0)</f>
        <v>216045</v>
      </c>
      <c r="K12" s="2"/>
      <c r="L12" s="2"/>
      <c r="M12" s="18"/>
      <c r="N12" s="23"/>
      <c r="O12" s="2"/>
      <c r="P12" s="31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1" t="n">
        <f>DMPASCtable[[#This Row],[Closing balance ]]/DMPASCtable[[#This Row],[Forecasted consumption]]</f>
        <v>8.5006885697422785</v>
      </c>
      <c r="X12" s="25"/>
    </row>
    <row r="13">
      <c r="B13" s="6" t="s">
        <v>28</v>
      </c>
      <c r="C13" s="17" t="s">
        <v>42</v>
      </c>
      <c r="D13" s="17" t="s">
        <v>43</v>
      </c>
      <c r="E13" s="18" t="s">
        <v>31</v>
      </c>
      <c r="F13" s="19" t="n">
        <v>46023</v>
      </c>
      <c r="G13" s="23" t="n">
        <f t="shared" si="0"/>
        <v>216045</v>
      </c>
      <c r="H13" s="23"/>
      <c r="I13" s="20" t="n">
        <v>25415</v>
      </c>
      <c r="J13" s="23" t="n">
        <f>MAX(DMPASCtable[[#This Row],[Stock on hand(opening balance)]]+DMPASCtable[[#This Row],[Quantity ]]-DMPASCtable[[#This Row],[Forecasted consumption]],0)</f>
        <v>190630</v>
      </c>
      <c r="K13" s="2"/>
      <c r="L13" s="2"/>
      <c r="M13" s="18"/>
      <c r="N13" s="23"/>
      <c r="O13" s="2"/>
      <c r="P13" s="31"/>
      <c r="Q13" s="24"/>
      <c r="R13" s="2"/>
      <c r="S13" s="2"/>
      <c r="T13" s="18" t="n">
        <v>9</v>
      </c>
      <c r="U13" s="18" t="n">
        <v>14</v>
      </c>
      <c r="V13" s="18" t="n">
        <v>13</v>
      </c>
      <c r="W13" s="21" t="n">
        <f>DMPASCtable[[#This Row],[Closing balance ]]/DMPASCtable[[#This Row],[Forecasted consumption]]</f>
        <v>7.5006885697422785</v>
      </c>
      <c r="X13" s="25"/>
    </row>
    <row r="14">
      <c r="B14" s="6" t="s">
        <v>28</v>
      </c>
      <c r="C14" s="17" t="s">
        <v>42</v>
      </c>
      <c r="D14" s="17" t="s">
        <v>43</v>
      </c>
      <c r="E14" s="18" t="s">
        <v>31</v>
      </c>
      <c r="F14" s="19" t="n">
        <v>46054</v>
      </c>
      <c r="G14" s="23" t="n">
        <f t="shared" si="0"/>
        <v>190630</v>
      </c>
      <c r="H14" s="23"/>
      <c r="I14" s="20" t="n">
        <v>25415</v>
      </c>
      <c r="J14" s="23" t="n">
        <f>MAX(DMPASCtable[[#This Row],[Stock on hand(opening balance)]]+DMPASCtable[[#This Row],[Quantity ]]-DMPASCtable[[#This Row],[Forecasted consumption]],0)</f>
        <v>312920</v>
      </c>
      <c r="K14" s="2" t="s">
        <v>2</v>
      </c>
      <c r="L14" s="2" t="s">
        <v>2</v>
      </c>
      <c r="M14" s="18" t="s">
        <v>4</v>
      </c>
      <c r="N14" s="23" t="n">
        <v>147705</v>
      </c>
      <c r="O14" s="2"/>
      <c r="P14" s="31" t="n">
        <v>150659</v>
      </c>
      <c r="Q14" s="24" t="n">
        <v>46054</v>
      </c>
      <c r="R14" s="2"/>
      <c r="S14" s="2"/>
      <c r="T14" s="18" t="n">
        <v>9</v>
      </c>
      <c r="U14" s="18" t="n">
        <v>14</v>
      </c>
      <c r="V14" s="18" t="n">
        <v>13</v>
      </c>
      <c r="W14" s="21" t="n">
        <f>DMPASCtable[[#This Row],[Closing balance ]]/DMPASCtable[[#This Row],[Forecasted consumption]]</f>
        <v>12.312413928782215</v>
      </c>
      <c r="X14" s="25"/>
    </row>
    <row r="15">
      <c r="B15" s="6" t="s">
        <v>28</v>
      </c>
      <c r="C15" s="17" t="s">
        <v>42</v>
      </c>
      <c r="D15" s="17" t="s">
        <v>43</v>
      </c>
      <c r="E15" s="18" t="s">
        <v>31</v>
      </c>
      <c r="F15" s="19" t="n">
        <v>46082</v>
      </c>
      <c r="G15" s="23" t="n">
        <f t="shared" si="0"/>
        <v>312920</v>
      </c>
      <c r="H15" s="23"/>
      <c r="I15" s="20" t="n">
        <v>25415</v>
      </c>
      <c r="J15" s="23" t="n">
        <f>MAX(DMPASCtable[[#This Row],[Stock on hand(opening balance)]]+DMPASCtable[[#This Row],[Quantity ]]-DMPASCtable[[#This Row],[Forecasted consumption]],0)</f>
        <v>287505</v>
      </c>
      <c r="K15" s="2"/>
      <c r="L15" s="2"/>
      <c r="M15" s="18"/>
      <c r="N15" s="23"/>
      <c r="O15" s="2"/>
      <c r="P15" s="31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1" t="n">
        <f>DMPASCtable[[#This Row],[Closing balance ]]/DMPASCtable[[#This Row],[Forecasted consumption]]</f>
        <v>11.312413928782215</v>
      </c>
      <c r="X15" s="25"/>
    </row>
    <row r="16">
      <c r="B16" s="6" t="s">
        <v>28</v>
      </c>
      <c r="C16" s="17" t="s">
        <v>42</v>
      </c>
      <c r="D16" s="17" t="s">
        <v>43</v>
      </c>
      <c r="E16" s="18" t="s">
        <v>31</v>
      </c>
      <c r="F16" s="19" t="n">
        <v>46113</v>
      </c>
      <c r="G16" s="23" t="n">
        <f t="shared" si="0"/>
        <v>287505</v>
      </c>
      <c r="H16" s="23"/>
      <c r="I16" s="20" t="n">
        <v>25415</v>
      </c>
      <c r="J16" s="23" t="n">
        <f>MAX(DMPASCtable[[#This Row],[Stock on hand(opening balance)]]+DMPASCtable[[#This Row],[Quantity ]]-DMPASCtable[[#This Row],[Forecasted consumption]],0)</f>
        <v>262090</v>
      </c>
      <c r="K16" s="2"/>
      <c r="L16" s="2"/>
      <c r="M16" s="18"/>
      <c r="N16" s="23"/>
      <c r="O16" s="2"/>
      <c r="P16" s="31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1" t="n">
        <f>DMPASCtable[[#This Row],[Closing balance ]]/DMPASCtable[[#This Row],[Forecasted consumption]]</f>
        <v>10.312413928782215</v>
      </c>
      <c r="X16" s="25"/>
    </row>
    <row r="17">
      <c r="B17" s="6" t="s">
        <v>28</v>
      </c>
      <c r="C17" s="17" t="s">
        <v>42</v>
      </c>
      <c r="D17" s="17" t="s">
        <v>43</v>
      </c>
      <c r="E17" s="18" t="s">
        <v>31</v>
      </c>
      <c r="F17" s="19" t="n">
        <v>46143</v>
      </c>
      <c r="G17" s="23" t="n">
        <f t="shared" si="0"/>
        <v>262090</v>
      </c>
      <c r="H17" s="23"/>
      <c r="I17" s="20" t="n">
        <v>25415</v>
      </c>
      <c r="J17" s="23" t="n">
        <f>MAX(DMPASCtable[[#This Row],[Stock on hand(opening balance)]]+DMPASCtable[[#This Row],[Quantity ]]-DMPASCtable[[#This Row],[Forecasted consumption]],0)</f>
        <v>236675</v>
      </c>
      <c r="K17" s="2"/>
      <c r="L17" s="2"/>
      <c r="M17" s="18"/>
      <c r="N17" s="23"/>
      <c r="O17" s="2"/>
      <c r="P17" s="31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1" t="n">
        <f>DMPASCtable[[#This Row],[Closing balance ]]/DMPASCtable[[#This Row],[Forecasted consumption]]</f>
        <v>9.312413928782215</v>
      </c>
      <c r="X17" s="25"/>
    </row>
    <row r="18">
      <c r="B18" s="6" t="s">
        <v>28</v>
      </c>
      <c r="C18" s="17" t="s">
        <v>42</v>
      </c>
      <c r="D18" s="17" t="s">
        <v>43</v>
      </c>
      <c r="E18" s="18" t="s">
        <v>31</v>
      </c>
      <c r="F18" s="19" t="n">
        <v>46174</v>
      </c>
      <c r="G18" s="23" t="n">
        <f t="shared" si="0"/>
        <v>236675</v>
      </c>
      <c r="H18" s="23"/>
      <c r="I18" s="20" t="n">
        <v>25415</v>
      </c>
      <c r="J18" s="23" t="n">
        <f>MAX(DMPASCtable[[#This Row],[Stock on hand(opening balance)]]+DMPASCtable[[#This Row],[Quantity ]]-DMPASCtable[[#This Row],[Forecasted consumption]],0)</f>
        <v>211260</v>
      </c>
      <c r="K18" s="2"/>
      <c r="L18" s="2"/>
      <c r="M18" s="18"/>
      <c r="N18" s="23"/>
      <c r="O18" s="2"/>
      <c r="P18" s="31"/>
      <c r="Q18" s="24"/>
      <c r="R18" s="2"/>
      <c r="S18" s="2"/>
      <c r="T18" s="18" t="n">
        <v>9</v>
      </c>
      <c r="U18" s="18" t="n">
        <v>14</v>
      </c>
      <c r="V18" s="18" t="n">
        <v>13</v>
      </c>
      <c r="W18" s="21" t="n">
        <f>DMPASCtable[[#This Row],[Closing balance ]]/DMPASCtable[[#This Row],[Forecasted consumption]]</f>
        <v>8.312413928782215</v>
      </c>
      <c r="X18" s="25"/>
    </row>
    <row r="19">
      <c r="B19" s="6" t="s">
        <v>75</v>
      </c>
      <c r="C19" s="18" t="s">
        <v>42</v>
      </c>
      <c r="D19" s="17" t="s">
        <v>43</v>
      </c>
      <c r="E19" s="18" t="s">
        <v>31</v>
      </c>
      <c r="F19" s="19" t="n">
        <v>45748</v>
      </c>
      <c r="G19" s="20" t="n">
        <v>2388682</v>
      </c>
      <c r="H19" s="20"/>
      <c r="I19" s="20" t="n">
        <v>308825</v>
      </c>
      <c r="J19" s="20" t="n">
        <f>MAX(DMPASCtable[[#This Row],[Stock on hand(opening balance)]]+DMPASCtable[[#This Row],[Quantity ]]-DMPASCtable[[#This Row],[Forecasted consumption]],0)</f>
        <v>2079857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6</v>
      </c>
      <c r="U19" s="18" t="n">
        <v>12</v>
      </c>
      <c r="V19" s="18" t="n">
        <v>12</v>
      </c>
      <c r="W19" s="21" t="n">
        <f>DMPASCtable[[#This Row],[Closing balance ]]/DMPASCtable[[#This Row],[Forecasted consumption]]</f>
        <v>6.7347429774143936</v>
      </c>
      <c r="X19" s="22"/>
    </row>
    <row r="20">
      <c r="B20" s="6" t="s">
        <v>75</v>
      </c>
      <c r="C20" s="18" t="s">
        <v>42</v>
      </c>
      <c r="D20" s="17" t="s">
        <v>43</v>
      </c>
      <c r="E20" s="18" t="s">
        <v>31</v>
      </c>
      <c r="F20" s="19" t="n">
        <v>45778</v>
      </c>
      <c r="G20" s="23" t="n">
        <f>J19</f>
        <v>2079857</v>
      </c>
      <c r="H20" s="23"/>
      <c r="I20" s="23" t="n">
        <v>312846</v>
      </c>
      <c r="J20" s="23" t="n">
        <f>MAX(DMPASCtable[[#This Row],[Stock on hand(opening balance)]]+DMPASCtable[[#This Row],[Quantity ]]-DMPASCtable[[#This Row],[Forecasted consumption]],0)</f>
        <v>2267011</v>
      </c>
      <c r="K20" s="2"/>
      <c r="L20" s="2"/>
      <c r="M20" s="18" t="s">
        <v>153</v>
      </c>
      <c r="N20" s="23" t="n">
        <v>500000</v>
      </c>
      <c r="O20" s="2"/>
      <c r="P20" s="20"/>
      <c r="Q20" s="24"/>
      <c r="R20" s="2"/>
      <c r="S20" s="2"/>
      <c r="T20" s="18" t="n">
        <v>6</v>
      </c>
      <c r="U20" s="18" t="n">
        <v>12</v>
      </c>
      <c r="V20" s="18" t="n">
        <v>12</v>
      </c>
      <c r="W20" s="21" t="n">
        <f>DMPASCtable[[#This Row],[Closing balance ]]/DMPASCtable[[#This Row],[Forecasted consumption]]</f>
        <v>7.2464119726638669</v>
      </c>
      <c r="X20" s="25"/>
    </row>
    <row r="21">
      <c r="B21" s="6" t="s">
        <v>75</v>
      </c>
      <c r="C21" s="18" t="s">
        <v>42</v>
      </c>
      <c r="D21" s="17" t="s">
        <v>43</v>
      </c>
      <c r="E21" s="18" t="s">
        <v>31</v>
      </c>
      <c r="F21" s="19" t="n">
        <v>45809</v>
      </c>
      <c r="G21" s="23" t="n">
        <f t="shared" ref="G21:G36" si="1">J20</f>
        <v>2267011</v>
      </c>
      <c r="H21" s="23"/>
      <c r="I21" s="23" t="n">
        <v>316867</v>
      </c>
      <c r="J21" s="23" t="n">
        <f>MAX(DMPASCtable[[#This Row],[Stock on hand(opening balance)]]+DMPASCtable[[#This Row],[Quantity ]]-DMPASCtable[[#This Row],[Forecasted consumption]],0)</f>
        <v>1950144</v>
      </c>
      <c r="K21" s="2"/>
      <c r="L21" s="2"/>
      <c r="M21" s="18"/>
      <c r="N21" s="23"/>
      <c r="O21" s="2"/>
      <c r="P21" s="20"/>
      <c r="Q21" s="24"/>
      <c r="R21" s="2"/>
      <c r="S21" s="2"/>
      <c r="T21" s="18" t="n">
        <v>6</v>
      </c>
      <c r="U21" s="18" t="n">
        <v>12</v>
      </c>
      <c r="V21" s="18" t="n">
        <v>12</v>
      </c>
      <c r="W21" s="21" t="n">
        <f>DMPASCtable[[#This Row],[Closing balance ]]/DMPASCtable[[#This Row],[Forecasted consumption]]</f>
        <v>6.1544559704860395</v>
      </c>
      <c r="X21" s="25"/>
    </row>
    <row r="22">
      <c r="B22" s="6" t="s">
        <v>75</v>
      </c>
      <c r="C22" s="18" t="s">
        <v>42</v>
      </c>
      <c r="D22" s="17" t="s">
        <v>43</v>
      </c>
      <c r="E22" s="18" t="s">
        <v>31</v>
      </c>
      <c r="F22" s="19" t="n">
        <v>45839</v>
      </c>
      <c r="G22" s="23" t="n">
        <f t="shared" si="1"/>
        <v>1950144</v>
      </c>
      <c r="H22" s="23"/>
      <c r="I22" s="23" t="n">
        <v>320888</v>
      </c>
      <c r="J22" s="23" t="n">
        <f>MAX(DMPASCtable[[#This Row],[Stock on hand(opening balance)]]+DMPASCtable[[#This Row],[Quantity ]]-DMPASCtable[[#This Row],[Forecasted consumption]],0)</f>
        <v>1629256</v>
      </c>
      <c r="K22" s="2"/>
      <c r="L22" s="2"/>
      <c r="M22" s="18"/>
      <c r="N22" s="23"/>
      <c r="O22" s="2"/>
      <c r="P22" s="20"/>
      <c r="Q22" s="24"/>
      <c r="R22" s="2"/>
      <c r="S22" s="2"/>
      <c r="T22" s="18" t="n">
        <v>6</v>
      </c>
      <c r="U22" s="18" t="n">
        <v>12</v>
      </c>
      <c r="V22" s="18" t="n">
        <v>12</v>
      </c>
      <c r="W22" s="21" t="n">
        <f>DMPASCtable[[#This Row],[Closing balance ]]/DMPASCtable[[#This Row],[Forecasted consumption]]</f>
        <v>5.0773353942808708</v>
      </c>
      <c r="X22" s="25"/>
    </row>
    <row r="23">
      <c r="B23" s="6" t="s">
        <v>75</v>
      </c>
      <c r="C23" s="18" t="s">
        <v>42</v>
      </c>
      <c r="D23" s="17" t="s">
        <v>43</v>
      </c>
      <c r="E23" s="18" t="s">
        <v>31</v>
      </c>
      <c r="F23" s="19" t="n">
        <v>45870</v>
      </c>
      <c r="G23" s="23" t="n">
        <f t="shared" si="1"/>
        <v>1629256</v>
      </c>
      <c r="H23" s="23"/>
      <c r="I23" s="23" t="n">
        <v>324910</v>
      </c>
      <c r="J23" s="23" t="n">
        <f>MAX(DMPASCtable[[#This Row],[Stock on hand(opening balance)]]+DMPASCtable[[#This Row],[Quantity ]]-DMPASCtable[[#This Row],[Forecasted consumption]],0)</f>
        <v>1304346</v>
      </c>
      <c r="K23" s="2"/>
      <c r="L23" s="2"/>
      <c r="M23" s="18"/>
      <c r="N23" s="23"/>
      <c r="O23" s="2"/>
      <c r="P23" s="20"/>
      <c r="Q23" s="24"/>
      <c r="R23" s="2"/>
      <c r="S23" s="2"/>
      <c r="T23" s="18" t="n">
        <v>6</v>
      </c>
      <c r="U23" s="18" t="n">
        <v>12</v>
      </c>
      <c r="V23" s="18" t="n">
        <v>12</v>
      </c>
      <c r="W23" s="21" t="n">
        <f>DMPASCtable[[#This Row],[Closing balance ]]/DMPASCtable[[#This Row],[Forecasted consumption]]</f>
        <v>4.0144840109568802</v>
      </c>
      <c r="X23" s="25"/>
    </row>
    <row r="24">
      <c r="B24" s="6" t="s">
        <v>75</v>
      </c>
      <c r="C24" s="18" t="s">
        <v>42</v>
      </c>
      <c r="D24" s="17" t="s">
        <v>43</v>
      </c>
      <c r="E24" s="18" t="s">
        <v>31</v>
      </c>
      <c r="F24" s="19" t="n">
        <v>45901</v>
      </c>
      <c r="G24" s="23" t="n">
        <f t="shared" si="1"/>
        <v>1304346</v>
      </c>
      <c r="H24" s="23"/>
      <c r="I24" s="23" t="n">
        <v>328931</v>
      </c>
      <c r="J24" s="23" t="n">
        <f>MAX(DMPASCtable[[#This Row],[Stock on hand(opening balance)]]+DMPASCtable[[#This Row],[Quantity ]]-DMPASCtable[[#This Row],[Forecasted consumption]],0)</f>
        <v>1875415</v>
      </c>
      <c r="K24" s="2"/>
      <c r="L24" s="2"/>
      <c r="M24" s="18" t="s">
        <v>147</v>
      </c>
      <c r="N24" s="23" t="n">
        <v>900000</v>
      </c>
      <c r="O24" s="2"/>
      <c r="P24" s="20"/>
      <c r="Q24" s="24"/>
      <c r="R24" s="2"/>
      <c r="S24" s="2"/>
      <c r="T24" s="18" t="n">
        <v>6</v>
      </c>
      <c r="U24" s="18" t="n">
        <v>12</v>
      </c>
      <c r="V24" s="18" t="n">
        <v>12</v>
      </c>
      <c r="W24" s="21" t="n">
        <f>DMPASCtable[[#This Row],[Closing balance ]]/DMPASCtable[[#This Row],[Forecasted consumption]]</f>
        <v>5.7015453088945707</v>
      </c>
      <c r="X24" s="25"/>
    </row>
    <row r="25">
      <c r="B25" s="6" t="s">
        <v>75</v>
      </c>
      <c r="C25" s="18" t="s">
        <v>42</v>
      </c>
      <c r="D25" s="17" t="s">
        <v>43</v>
      </c>
      <c r="E25" s="18" t="s">
        <v>31</v>
      </c>
      <c r="F25" s="19" t="n">
        <v>45931</v>
      </c>
      <c r="G25" s="23" t="n">
        <f t="shared" si="1"/>
        <v>1875415</v>
      </c>
      <c r="H25" s="23"/>
      <c r="I25" s="23" t="n">
        <v>332952</v>
      </c>
      <c r="J25" s="23" t="n">
        <f>MAX(DMPASCtable[[#This Row],[Stock on hand(opening balance)]]+DMPASCtable[[#This Row],[Quantity ]]-DMPASCtable[[#This Row],[Forecasted consumption]],0)</f>
        <v>3923043</v>
      </c>
      <c r="K25" s="2"/>
      <c r="L25" s="2"/>
      <c r="M25" s="18" t="s">
        <v>4</v>
      </c>
      <c r="N25" s="23" t="n">
        <v>2380580</v>
      </c>
      <c r="O25" s="2"/>
      <c r="P25" s="20"/>
      <c r="Q25" s="24"/>
      <c r="R25" s="2"/>
      <c r="S25" s="2"/>
      <c r="T25" s="18" t="n">
        <v>6</v>
      </c>
      <c r="U25" s="18" t="n">
        <v>12</v>
      </c>
      <c r="V25" s="18" t="n">
        <v>12</v>
      </c>
      <c r="W25" s="21" t="n">
        <f>DMPASCtable[[#This Row],[Closing balance ]]/DMPASCtable[[#This Row],[Forecasted consumption]]</f>
        <v>11.782608303899661</v>
      </c>
      <c r="X25" s="25"/>
    </row>
    <row r="26">
      <c r="B26" s="6" t="s">
        <v>75</v>
      </c>
      <c r="C26" s="18" t="s">
        <v>42</v>
      </c>
      <c r="D26" s="17" t="s">
        <v>43</v>
      </c>
      <c r="E26" s="18" t="s">
        <v>31</v>
      </c>
      <c r="F26" s="19" t="n">
        <v>45962</v>
      </c>
      <c r="G26" s="23" t="n">
        <f t="shared" si="1"/>
        <v>3923043</v>
      </c>
      <c r="H26" s="23"/>
      <c r="I26" s="23" t="n">
        <v>336973</v>
      </c>
      <c r="J26" s="23" t="n">
        <f>MAX(DMPASCtable[[#This Row],[Stock on hand(opening balance)]]+DMPASCtable[[#This Row],[Quantity ]]-DMPASCtable[[#This Row],[Forecasted consumption]],0)</f>
        <v>3586070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6</v>
      </c>
      <c r="U26" s="18" t="n">
        <v>12</v>
      </c>
      <c r="V26" s="18" t="n">
        <v>12</v>
      </c>
      <c r="W26" s="21" t="n">
        <f>DMPASCtable[[#This Row],[Closing balance ]]/DMPASCtable[[#This Row],[Forecasted consumption]]</f>
        <v>10.642009893967765</v>
      </c>
      <c r="X26" s="25"/>
    </row>
    <row r="27">
      <c r="B27" s="6" t="s">
        <v>75</v>
      </c>
      <c r="C27" s="18" t="s">
        <v>42</v>
      </c>
      <c r="D27" s="17" t="s">
        <v>43</v>
      </c>
      <c r="E27" s="18" t="s">
        <v>31</v>
      </c>
      <c r="F27" s="19" t="n">
        <v>45992</v>
      </c>
      <c r="G27" s="23" t="n">
        <f t="shared" si="1"/>
        <v>3586070</v>
      </c>
      <c r="H27" s="23"/>
      <c r="I27" s="23" t="n">
        <v>340994</v>
      </c>
      <c r="J27" s="23" t="n">
        <f>MAX(DMPASCtable[[#This Row],[Stock on hand(opening balance)]]+DMPASCtable[[#This Row],[Quantity ]]-DMPASCtable[[#This Row],[Forecasted consumption]],0)</f>
        <v>3245076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6</v>
      </c>
      <c r="U27" s="18" t="n">
        <v>12</v>
      </c>
      <c r="V27" s="18" t="n">
        <v>12</v>
      </c>
      <c r="W27" s="21" t="n">
        <f>DMPASCtable[[#This Row],[Closing balance ]]/DMPASCtable[[#This Row],[Forecasted consumption]]</f>
        <v>9.5165193522466662</v>
      </c>
      <c r="X27" s="25"/>
    </row>
    <row r="28">
      <c r="B28" s="6" t="s">
        <v>75</v>
      </c>
      <c r="C28" s="18" t="s">
        <v>42</v>
      </c>
      <c r="D28" s="17" t="s">
        <v>43</v>
      </c>
      <c r="E28" s="18" t="s">
        <v>31</v>
      </c>
      <c r="F28" s="19" t="n">
        <v>46023</v>
      </c>
      <c r="G28" s="23" t="n">
        <f t="shared" si="1"/>
        <v>3245076</v>
      </c>
      <c r="H28" s="23"/>
      <c r="I28" s="23" t="n">
        <v>345016</v>
      </c>
      <c r="J28" s="23" t="n">
        <f>MAX(DMPASCtable[[#This Row],[Stock on hand(opening balance)]]+DMPASCtable[[#This Row],[Quantity ]]-DMPASCtable[[#This Row],[Forecasted consumption]],0)</f>
        <v>2900060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6</v>
      </c>
      <c r="U28" s="18" t="n">
        <v>12</v>
      </c>
      <c r="V28" s="18" t="n">
        <v>12</v>
      </c>
      <c r="W28" s="21" t="n">
        <f>DMPASCtable[[#This Row],[Closing balance ]]/DMPASCtable[[#This Row],[Forecasted consumption]]</f>
        <v>8.4055811904375446</v>
      </c>
      <c r="X28" s="25"/>
    </row>
    <row r="29">
      <c r="B29" s="6" t="s">
        <v>75</v>
      </c>
      <c r="C29" s="18" t="s">
        <v>42</v>
      </c>
      <c r="D29" s="17" t="s">
        <v>43</v>
      </c>
      <c r="E29" s="18" t="s">
        <v>31</v>
      </c>
      <c r="F29" s="19" t="n">
        <v>46054</v>
      </c>
      <c r="G29" s="23" t="n">
        <f t="shared" si="1"/>
        <v>2900060</v>
      </c>
      <c r="H29" s="23"/>
      <c r="I29" s="23" t="n">
        <v>349037</v>
      </c>
      <c r="J29" s="23" t="n">
        <f>MAX(DMPASCtable[[#This Row],[Stock on hand(opening balance)]]+DMPASCtable[[#This Row],[Quantity ]]-DMPASCtable[[#This Row],[Forecasted consumption]],0)</f>
        <v>2551023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6</v>
      </c>
      <c r="U29" s="18" t="n">
        <v>12</v>
      </c>
      <c r="V29" s="18" t="n">
        <v>12</v>
      </c>
      <c r="W29" s="21" t="n">
        <f>DMPASCtable[[#This Row],[Closing balance ]]/DMPASCtable[[#This Row],[Forecasted consumption]]</f>
        <v>7.308746637176001</v>
      </c>
      <c r="X29" s="25"/>
    </row>
    <row r="30">
      <c r="B30" s="6" t="s">
        <v>75</v>
      </c>
      <c r="C30" s="18" t="s">
        <v>42</v>
      </c>
      <c r="D30" s="17" t="s">
        <v>43</v>
      </c>
      <c r="E30" s="18" t="s">
        <v>31</v>
      </c>
      <c r="F30" s="19" t="n">
        <v>46082</v>
      </c>
      <c r="G30" s="23" t="n">
        <f t="shared" si="1"/>
        <v>2551023</v>
      </c>
      <c r="H30" s="23"/>
      <c r="I30" s="23" t="n">
        <v>353058</v>
      </c>
      <c r="J30" s="23" t="n">
        <f>MAX(DMPASCtable[[#This Row],[Stock on hand(opening balance)]]+DMPASCtable[[#This Row],[Quantity ]]-DMPASCtable[[#This Row],[Forecasted consumption]],0)</f>
        <v>2197965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6</v>
      </c>
      <c r="U30" s="18" t="n">
        <v>12</v>
      </c>
      <c r="V30" s="18" t="n">
        <v>12</v>
      </c>
      <c r="W30" s="21" t="n">
        <f>DMPASCtable[[#This Row],[Closing balance ]]/DMPASCtable[[#This Row],[Forecasted consumption]]</f>
        <v>6.2255068572302568</v>
      </c>
      <c r="X30" s="25"/>
    </row>
    <row r="31">
      <c r="B31" s="6" t="s">
        <v>75</v>
      </c>
      <c r="C31" s="18" t="s">
        <v>42</v>
      </c>
      <c r="D31" s="17" t="s">
        <v>43</v>
      </c>
      <c r="E31" s="18" t="s">
        <v>31</v>
      </c>
      <c r="F31" s="19" t="n">
        <v>46113</v>
      </c>
      <c r="G31" s="23" t="n">
        <f t="shared" si="1"/>
        <v>2197965</v>
      </c>
      <c r="H31" s="23"/>
      <c r="I31" s="23" t="n">
        <v>357079</v>
      </c>
      <c r="J31" s="23" t="n">
        <f>MAX(DMPASCtable[[#This Row],[Stock on hand(opening balance)]]+DMPASCtable[[#This Row],[Quantity ]]-DMPASCtable[[#This Row],[Forecasted consumption]],0)</f>
        <v>4212570</v>
      </c>
      <c r="K31" s="2"/>
      <c r="L31" s="2"/>
      <c r="M31" s="18" t="s">
        <v>4</v>
      </c>
      <c r="N31" s="23" t="n">
        <v>2371684</v>
      </c>
      <c r="O31" s="2"/>
      <c r="P31" s="20"/>
      <c r="Q31" s="24"/>
      <c r="R31" s="2"/>
      <c r="S31" s="2"/>
      <c r="T31" s="18" t="n">
        <v>6</v>
      </c>
      <c r="U31" s="18" t="n">
        <v>12</v>
      </c>
      <c r="V31" s="18" t="n">
        <v>12</v>
      </c>
      <c r="W31" s="21" t="n">
        <f>DMPASCtable[[#This Row],[Closing balance ]]/DMPASCtable[[#This Row],[Forecasted consumption]]</f>
        <v>11.797305358198045</v>
      </c>
      <c r="X31" s="25"/>
    </row>
    <row r="32">
      <c r="B32" s="6" t="s">
        <v>75</v>
      </c>
      <c r="C32" s="18" t="s">
        <v>42</v>
      </c>
      <c r="D32" s="17" t="s">
        <v>43</v>
      </c>
      <c r="E32" s="18" t="s">
        <v>31</v>
      </c>
      <c r="F32" s="19" t="n">
        <v>46143</v>
      </c>
      <c r="G32" s="23" t="n">
        <f t="shared" si="1"/>
        <v>4212570</v>
      </c>
      <c r="H32" s="23"/>
      <c r="I32" s="23" t="n">
        <v>361100</v>
      </c>
      <c r="J32" s="23" t="n">
        <f>MAX(DMPASCtable[[#This Row],[Stock on hand(opening balance)]]+DMPASCtable[[#This Row],[Quantity ]]-DMPASCtable[[#This Row],[Forecasted consumption]],0)</f>
        <v>3851470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6</v>
      </c>
      <c r="U32" s="18" t="n">
        <v>12</v>
      </c>
      <c r="V32" s="18" t="n">
        <v>12</v>
      </c>
      <c r="W32" s="21" t="n">
        <f>DMPASCtable[[#This Row],[Closing balance ]]/DMPASCtable[[#This Row],[Forecasted consumption]]</f>
        <v>10.665937413458876</v>
      </c>
      <c r="X32" s="25"/>
    </row>
    <row r="33">
      <c r="B33" s="6" t="s">
        <v>75</v>
      </c>
      <c r="C33" s="18" t="s">
        <v>42</v>
      </c>
      <c r="D33" s="17" t="s">
        <v>43</v>
      </c>
      <c r="E33" s="18" t="s">
        <v>31</v>
      </c>
      <c r="F33" s="19" t="n">
        <v>46174</v>
      </c>
      <c r="G33" s="23" t="n">
        <f t="shared" si="1"/>
        <v>3851470</v>
      </c>
      <c r="H33" s="23"/>
      <c r="I33" s="23" t="n">
        <v>365121</v>
      </c>
      <c r="J33" s="23" t="n">
        <f>MAX(DMPASCtable[[#This Row],[Stock on hand(opening balance)]]+DMPASCtable[[#This Row],[Quantity ]]-DMPASCtable[[#This Row],[Forecasted consumption]],0)</f>
        <v>3486349</v>
      </c>
      <c r="K33" s="2"/>
      <c r="L33" s="2"/>
      <c r="M33" s="18"/>
      <c r="N33" s="23"/>
      <c r="O33" s="2"/>
      <c r="P33" s="20"/>
      <c r="Q33" s="24"/>
      <c r="R33" s="2"/>
      <c r="S33" s="2"/>
      <c r="T33" s="18" t="n">
        <v>6</v>
      </c>
      <c r="U33" s="18" t="n">
        <v>12</v>
      </c>
      <c r="V33" s="18" t="n">
        <v>12</v>
      </c>
      <c r="W33" s="21" t="n">
        <f>DMPASCtable[[#This Row],[Closing balance ]]/DMPASCtable[[#This Row],[Forecasted consumption]]</f>
        <v>9.5484757107917648</v>
      </c>
      <c r="X33" s="25"/>
    </row>
    <row r="34">
      <c r="B34" s="6" t="s">
        <v>75</v>
      </c>
      <c r="C34" s="18" t="s">
        <v>42</v>
      </c>
      <c r="D34" s="17" t="s">
        <v>43</v>
      </c>
      <c r="E34" s="18" t="s">
        <v>31</v>
      </c>
      <c r="F34" s="19" t="n">
        <v>46204</v>
      </c>
      <c r="G34" s="23" t="n">
        <f t="shared" si="1"/>
        <v>3486349</v>
      </c>
      <c r="H34" s="23"/>
      <c r="I34" s="23" t="n">
        <v>369143</v>
      </c>
      <c r="J34" s="23" t="n">
        <f>MAX(DMPASCtable[[#This Row],[Stock on hand(opening balance)]]+DMPASCtable[[#This Row],[Quantity ]]-DMPASCtable[[#This Row],[Forecasted consumption]],0)</f>
        <v>3117206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6</v>
      </c>
      <c r="U34" s="18" t="n">
        <v>12</v>
      </c>
      <c r="V34" s="18" t="n">
        <v>12</v>
      </c>
      <c r="W34" s="21" t="n">
        <f>DMPASCtable[[#This Row],[Closing balance ]]/DMPASCtable[[#This Row],[Forecasted consumption]]</f>
        <v>8.4444402304797865</v>
      </c>
      <c r="X34" s="25"/>
    </row>
    <row r="35">
      <c r="B35" s="6" t="s">
        <v>75</v>
      </c>
      <c r="C35" s="18" t="s">
        <v>42</v>
      </c>
      <c r="D35" s="17" t="s">
        <v>43</v>
      </c>
      <c r="E35" s="18" t="s">
        <v>31</v>
      </c>
      <c r="F35" s="19" t="n">
        <v>46235</v>
      </c>
      <c r="G35" s="23" t="n">
        <f t="shared" si="1"/>
        <v>3117206</v>
      </c>
      <c r="H35" s="23"/>
      <c r="I35" s="23" t="n">
        <v>373164</v>
      </c>
      <c r="J35" s="23" t="n">
        <f>MAX(DMPASCtable[[#This Row],[Stock on hand(opening balance)]]+DMPASCtable[[#This Row],[Quantity ]]-DMPASCtable[[#This Row],[Forecasted consumption]],0)</f>
        <v>2744042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6</v>
      </c>
      <c r="U35" s="18" t="n">
        <v>12</v>
      </c>
      <c r="V35" s="18" t="n">
        <v>12</v>
      </c>
      <c r="W35" s="21" t="n">
        <f>DMPASCtable[[#This Row],[Closing balance ]]/DMPASCtable[[#This Row],[Forecasted consumption]]</f>
        <v>7.3534478138298445</v>
      </c>
      <c r="X35" s="25"/>
    </row>
    <row r="36">
      <c r="B36" s="6" t="s">
        <v>75</v>
      </c>
      <c r="C36" s="18" t="s">
        <v>42</v>
      </c>
      <c r="D36" s="17" t="s">
        <v>43</v>
      </c>
      <c r="E36" s="18" t="s">
        <v>31</v>
      </c>
      <c r="F36" s="19" t="n">
        <v>46266</v>
      </c>
      <c r="G36" s="23" t="n">
        <f t="shared" si="1"/>
        <v>2744042</v>
      </c>
      <c r="H36" s="23"/>
      <c r="I36" s="23" t="n">
        <v>377185</v>
      </c>
      <c r="J36" s="23" t="n">
        <f>MAX(DMPASCtable[[#This Row],[Stock on hand(opening balance)]]+DMPASCtable[[#This Row],[Quantity ]]-DMPASCtable[[#This Row],[Forecasted consumption]],0)</f>
        <v>2366857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6</v>
      </c>
      <c r="U36" s="18" t="n">
        <v>12</v>
      </c>
      <c r="V36" s="18" t="n">
        <v>12</v>
      </c>
      <c r="W36" s="21" t="n">
        <f>DMPASCtable[[#This Row],[Closing balance ]]/DMPASCtable[[#This Row],[Forecasted consumption]]</f>
        <v>6.2750560069992183</v>
      </c>
      <c r="X36" s="25"/>
    </row>
    <row r="37">
      <c r="B37" s="6" t="s">
        <v>76</v>
      </c>
      <c r="C37" s="18" t="s">
        <v>42</v>
      </c>
      <c r="D37" s="17" t="s">
        <v>43</v>
      </c>
      <c r="E37" s="18" t="s">
        <v>31</v>
      </c>
      <c r="F37" s="19" t="n">
        <v>45748</v>
      </c>
      <c r="G37" s="20" t="n">
        <v>11876</v>
      </c>
      <c r="H37" s="20"/>
      <c r="I37" s="20" t="n">
        <v>197423</v>
      </c>
      <c r="J37" s="20" t="n">
        <f>MAX(DMPASCtable[[#This Row],[Stock on hand(opening balance)]]+DMPASCtable[[#This Row],[Quantity ]]-DMPASCtable[[#This Row],[Forecasted consumption]],0)</f>
        <v>0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DMPASCtable[[#This Row],[Closing balance ]]/DMPASCtable[[#This Row],[Forecasted consumption]]</f>
        <v>0</v>
      </c>
      <c r="X37" s="22"/>
    </row>
    <row r="38">
      <c r="B38" s="6" t="s">
        <v>76</v>
      </c>
      <c r="C38" s="18" t="s">
        <v>42</v>
      </c>
      <c r="D38" s="17" t="s">
        <v>43</v>
      </c>
      <c r="E38" s="18" t="s">
        <v>31</v>
      </c>
      <c r="F38" s="19" t="n">
        <v>45778</v>
      </c>
      <c r="G38" s="23" t="n">
        <f>I37</f>
        <v>197423</v>
      </c>
      <c r="H38" s="23"/>
      <c r="I38" s="20" t="n">
        <v>197423</v>
      </c>
      <c r="J38" s="23" t="n">
        <f>MAX(DMPASCtable[[#This Row],[Stock on hand(opening balance)]]+DMPASCtable[[#This Row],[Quantity ]]-DMPASCtable[[#This Row],[Forecasted consumption]],0)</f>
        <v>0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21" t="n">
        <f>DMPASCtable[[#This Row],[Closing balance ]]/DMPASCtable[[#This Row],[Forecasted consumption]]</f>
        <v>0</v>
      </c>
      <c r="X38" s="25"/>
    </row>
    <row r="39">
      <c r="B39" s="6" t="s">
        <v>76</v>
      </c>
      <c r="C39" s="18" t="s">
        <v>42</v>
      </c>
      <c r="D39" s="17" t="s">
        <v>43</v>
      </c>
      <c r="E39" s="18" t="s">
        <v>31</v>
      </c>
      <c r="F39" s="19" t="n">
        <v>45809</v>
      </c>
      <c r="G39" s="23" t="n">
        <f t="shared" ref="G39:G57" si="2">I38</f>
        <v>197423</v>
      </c>
      <c r="H39" s="23"/>
      <c r="I39" s="20" t="n">
        <v>197423</v>
      </c>
      <c r="J39" s="23" t="n">
        <f>MAX(DMPASCtable[[#This Row],[Stock on hand(opening balance)]]+DMPASCtable[[#This Row],[Quantity ]]-DMPASCtable[[#This Row],[Forecasted consumption]],0)</f>
        <v>0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21" t="n">
        <f>DMPASCtable[[#This Row],[Closing balance ]]/DMPASCtable[[#This Row],[Forecasted consumption]]</f>
        <v>0</v>
      </c>
      <c r="X39" s="25"/>
    </row>
    <row r="40">
      <c r="B40" s="6" t="s">
        <v>76</v>
      </c>
      <c r="C40" s="18" t="s">
        <v>42</v>
      </c>
      <c r="D40" s="17" t="s">
        <v>43</v>
      </c>
      <c r="E40" s="18" t="s">
        <v>31</v>
      </c>
      <c r="F40" s="19" t="n">
        <v>45839</v>
      </c>
      <c r="G40" s="23" t="n">
        <f t="shared" si="2"/>
        <v>197423</v>
      </c>
      <c r="H40" s="23"/>
      <c r="I40" s="20" t="n">
        <v>197423</v>
      </c>
      <c r="J40" s="23" t="n">
        <f>MAX(DMPASCtable[[#This Row],[Stock on hand(opening balance)]]+DMPASCtable[[#This Row],[Quantity ]]-DMPASCtable[[#This Row],[Forecasted consumption]],0)</f>
        <v>0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21" t="n">
        <f>DMPASCtable[[#This Row],[Closing balance ]]/DMPASCtable[[#This Row],[Forecasted consumption]]</f>
        <v>0</v>
      </c>
      <c r="X40" s="25"/>
    </row>
    <row r="41">
      <c r="B41" s="6" t="s">
        <v>76</v>
      </c>
      <c r="C41" s="18" t="s">
        <v>42</v>
      </c>
      <c r="D41" s="17" t="s">
        <v>43</v>
      </c>
      <c r="E41" s="18" t="s">
        <v>31</v>
      </c>
      <c r="F41" s="19" t="n">
        <v>45870</v>
      </c>
      <c r="G41" s="23" t="n">
        <f t="shared" si="2"/>
        <v>197423</v>
      </c>
      <c r="H41" s="23"/>
      <c r="I41" s="20" t="n">
        <v>197423</v>
      </c>
      <c r="J41" s="23" t="n">
        <f>MAX(DMPASCtable[[#This Row],[Stock on hand(opening balance)]]+DMPASCtable[[#This Row],[Quantity ]]-DMPASCtable[[#This Row],[Forecasted consumption]],0)</f>
        <v>0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21" t="n">
        <f>DMPASCtable[[#This Row],[Closing balance ]]/DMPASCtable[[#This Row],[Forecasted consumption]]</f>
        <v>0</v>
      </c>
      <c r="X41" s="25"/>
    </row>
    <row r="42">
      <c r="B42" s="6" t="s">
        <v>76</v>
      </c>
      <c r="C42" s="18" t="s">
        <v>42</v>
      </c>
      <c r="D42" s="17" t="s">
        <v>43</v>
      </c>
      <c r="E42" s="18" t="s">
        <v>31</v>
      </c>
      <c r="F42" s="19" t="n">
        <v>45901</v>
      </c>
      <c r="G42" s="23" t="n">
        <f t="shared" si="2"/>
        <v>197423</v>
      </c>
      <c r="H42" s="23"/>
      <c r="I42" s="20" t="n">
        <v>197423</v>
      </c>
      <c r="J42" s="23" t="n">
        <f>MAX(DMPASCtable[[#This Row],[Stock on hand(opening balance)]]+DMPASCtable[[#This Row],[Quantity ]]-DMPASCtable[[#This Row],[Forecasted consumption]],0)</f>
        <v>0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21" t="n">
        <f>DMPASCtable[[#This Row],[Closing balance ]]/DMPASCtable[[#This Row],[Forecasted consumption]]</f>
        <v>0</v>
      </c>
      <c r="X42" s="25"/>
    </row>
    <row r="43">
      <c r="B43" s="6" t="s">
        <v>76</v>
      </c>
      <c r="C43" s="18" t="s">
        <v>42</v>
      </c>
      <c r="D43" s="17" t="s">
        <v>43</v>
      </c>
      <c r="E43" s="18" t="s">
        <v>31</v>
      </c>
      <c r="F43" s="19" t="n">
        <v>45931</v>
      </c>
      <c r="G43" s="23" t="n">
        <f t="shared" si="2"/>
        <v>197423</v>
      </c>
      <c r="H43" s="23"/>
      <c r="I43" s="20" t="n">
        <v>197423</v>
      </c>
      <c r="J43" s="23" t="n">
        <f>MAX(DMPASCtable[[#This Row],[Stock on hand(opening balance)]]+DMPASCtable[[#This Row],[Quantity ]]-DMPASCtable[[#This Row],[Forecasted consumption]],0)</f>
        <v>0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21" t="n">
        <f>DMPASCtable[[#This Row],[Closing balance ]]/DMPASCtable[[#This Row],[Forecasted consumption]]</f>
        <v>0</v>
      </c>
      <c r="X43" s="25"/>
    </row>
    <row r="44">
      <c r="B44" s="6" t="s">
        <v>76</v>
      </c>
      <c r="C44" s="18" t="s">
        <v>42</v>
      </c>
      <c r="D44" s="17" t="s">
        <v>43</v>
      </c>
      <c r="E44" s="18" t="s">
        <v>31</v>
      </c>
      <c r="F44" s="19" t="n">
        <v>45962</v>
      </c>
      <c r="G44" s="23" t="n">
        <f t="shared" si="2"/>
        <v>197423</v>
      </c>
      <c r="H44" s="23"/>
      <c r="I44" s="20" t="n">
        <v>197423</v>
      </c>
      <c r="J44" s="23" t="n">
        <f>MAX(DMPASCtable[[#This Row],[Stock on hand(opening balance)]]+DMPASCtable[[#This Row],[Quantity ]]-DMPASCtable[[#This Row],[Forecasted consumption]],0)</f>
        <v>0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21" t="n">
        <f>DMPASCtable[[#This Row],[Closing balance ]]/DMPASCtable[[#This Row],[Forecasted consumption]]</f>
        <v>0</v>
      </c>
      <c r="X44" s="25"/>
    </row>
    <row r="45">
      <c r="B45" s="6" t="s">
        <v>76</v>
      </c>
      <c r="C45" s="18" t="s">
        <v>42</v>
      </c>
      <c r="D45" s="17" t="s">
        <v>43</v>
      </c>
      <c r="E45" s="18" t="s">
        <v>31</v>
      </c>
      <c r="F45" s="19" t="n">
        <v>45992</v>
      </c>
      <c r="G45" s="23" t="n">
        <f t="shared" si="2"/>
        <v>197423</v>
      </c>
      <c r="H45" s="23"/>
      <c r="I45" s="23" t="n">
        <v>258958</v>
      </c>
      <c r="J45" s="23" t="n">
        <f>MAX(DMPASCtable[[#This Row],[Stock on hand(opening balance)]]+DMPASCtable[[#This Row],[Quantity ]]-DMPASCtable[[#This Row],[Forecasted consumption]],0)</f>
        <v>0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21" t="n">
        <f>DMPASCtable[[#This Row],[Closing balance ]]/DMPASCtable[[#This Row],[Forecasted consumption]]</f>
        <v>0</v>
      </c>
      <c r="X45" s="25"/>
    </row>
    <row r="46">
      <c r="B46" s="6" t="s">
        <v>76</v>
      </c>
      <c r="C46" s="18" t="s">
        <v>42</v>
      </c>
      <c r="D46" s="17" t="s">
        <v>43</v>
      </c>
      <c r="E46" s="18" t="s">
        <v>31</v>
      </c>
      <c r="F46" s="19" t="n">
        <v>46023</v>
      </c>
      <c r="G46" s="23" t="n">
        <f t="shared" si="2"/>
        <v>258958</v>
      </c>
      <c r="H46" s="23"/>
      <c r="I46" s="23" t="n">
        <v>258958</v>
      </c>
      <c r="J46" s="23" t="n">
        <f>MAX(DMPASCtable[[#This Row],[Stock on hand(opening balance)]]+DMPASCtable[[#This Row],[Quantity ]]-DMPASCtable[[#This Row],[Forecasted consumption]],0)</f>
        <v>0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21" t="n">
        <f>DMPASCtable[[#This Row],[Closing balance ]]/DMPASCtable[[#This Row],[Forecasted consumption]]</f>
        <v>0</v>
      </c>
      <c r="X46" s="25"/>
    </row>
    <row r="47">
      <c r="B47" s="6" t="s">
        <v>76</v>
      </c>
      <c r="C47" s="18" t="s">
        <v>42</v>
      </c>
      <c r="D47" s="17" t="s">
        <v>43</v>
      </c>
      <c r="E47" s="18" t="s">
        <v>31</v>
      </c>
      <c r="F47" s="19" t="n">
        <v>46054</v>
      </c>
      <c r="G47" s="23" t="n">
        <f t="shared" si="2"/>
        <v>258958</v>
      </c>
      <c r="H47" s="23"/>
      <c r="I47" s="23" t="n">
        <v>258958</v>
      </c>
      <c r="J47" s="23" t="n">
        <f>MAX(DMPASCtable[[#This Row],[Stock on hand(opening balance)]]+DMPASCtable[[#This Row],[Quantity ]]-DMPASCtable[[#This Row],[Forecasted consumption]],0)</f>
        <v>0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21" t="n">
        <f>DMPASCtable[[#This Row],[Closing balance ]]/DMPASCtable[[#This Row],[Forecasted consumption]]</f>
        <v>0</v>
      </c>
      <c r="X47" s="25"/>
    </row>
    <row r="48">
      <c r="B48" s="6" t="s">
        <v>76</v>
      </c>
      <c r="C48" s="18" t="s">
        <v>42</v>
      </c>
      <c r="D48" s="17" t="s">
        <v>43</v>
      </c>
      <c r="E48" s="18" t="s">
        <v>31</v>
      </c>
      <c r="F48" s="19" t="n">
        <v>46082</v>
      </c>
      <c r="G48" s="23" t="n">
        <f t="shared" si="2"/>
        <v>258958</v>
      </c>
      <c r="H48" s="23"/>
      <c r="I48" s="23" t="n">
        <v>258958</v>
      </c>
      <c r="J48" s="23" t="n">
        <f>MAX(DMPASCtable[[#This Row],[Stock on hand(opening balance)]]+DMPASCtable[[#This Row],[Quantity ]]-DMPASCtable[[#This Row],[Forecasted consumption]],0)</f>
        <v>0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21" t="n">
        <f>DMPASCtable[[#This Row],[Closing balance ]]/DMPASCtable[[#This Row],[Forecasted consumption]]</f>
        <v>0</v>
      </c>
      <c r="X48" s="25"/>
    </row>
    <row r="49">
      <c r="B49" s="6" t="s">
        <v>76</v>
      </c>
      <c r="C49" s="18" t="s">
        <v>42</v>
      </c>
      <c r="D49" s="17" t="s">
        <v>43</v>
      </c>
      <c r="E49" s="18" t="s">
        <v>31</v>
      </c>
      <c r="F49" s="19" t="n">
        <v>46113</v>
      </c>
      <c r="G49" s="23" t="n">
        <f t="shared" si="2"/>
        <v>258958</v>
      </c>
      <c r="H49" s="23"/>
      <c r="I49" s="23" t="n">
        <v>258958</v>
      </c>
      <c r="J49" s="23" t="n">
        <f>MAX(DMPASCtable[[#This Row],[Stock on hand(opening balance)]]+DMPASCtable[[#This Row],[Quantity ]]-DMPASCtable[[#This Row],[Forecasted consumption]],0)</f>
        <v>0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21" t="n">
        <f>DMPASCtable[[#This Row],[Closing balance ]]/DMPASCtable[[#This Row],[Forecasted consumption]]</f>
        <v>0</v>
      </c>
      <c r="X49" s="25"/>
    </row>
    <row r="50">
      <c r="B50" s="6" t="s">
        <v>76</v>
      </c>
      <c r="C50" s="18" t="s">
        <v>42</v>
      </c>
      <c r="D50" s="17" t="s">
        <v>43</v>
      </c>
      <c r="E50" s="18" t="s">
        <v>31</v>
      </c>
      <c r="F50" s="19" t="n">
        <v>46143</v>
      </c>
      <c r="G50" s="23" t="n">
        <f t="shared" si="2"/>
        <v>258958</v>
      </c>
      <c r="H50" s="23"/>
      <c r="I50" s="23" t="n">
        <v>258958</v>
      </c>
      <c r="J50" s="23" t="n">
        <f>MAX(DMPASCtable[[#This Row],[Stock on hand(opening balance)]]+DMPASCtable[[#This Row],[Quantity ]]-DMPASCtable[[#This Row],[Forecasted consumption]],0)</f>
        <v>0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21" t="n">
        <f>DMPASCtable[[#This Row],[Closing balance ]]/DMPASCtable[[#This Row],[Forecasted consumption]]</f>
        <v>0</v>
      </c>
      <c r="X50" s="25"/>
    </row>
    <row r="51">
      <c r="B51" s="6" t="s">
        <v>76</v>
      </c>
      <c r="C51" s="18" t="s">
        <v>42</v>
      </c>
      <c r="D51" s="17" t="s">
        <v>43</v>
      </c>
      <c r="E51" s="18" t="s">
        <v>31</v>
      </c>
      <c r="F51" s="19" t="n">
        <v>46174</v>
      </c>
      <c r="G51" s="23" t="n">
        <f t="shared" si="2"/>
        <v>258958</v>
      </c>
      <c r="H51" s="23"/>
      <c r="I51" s="23" t="n">
        <v>258958</v>
      </c>
      <c r="J51" s="23" t="n">
        <f>MAX(DMPASCtable[[#This Row],[Stock on hand(opening balance)]]+DMPASCtable[[#This Row],[Quantity ]]-DMPASCtable[[#This Row],[Forecasted consumption]],0)</f>
        <v>0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21" t="n">
        <f>DMPASCtable[[#This Row],[Closing balance ]]/DMPASCtable[[#This Row],[Forecasted consumption]]</f>
        <v>0</v>
      </c>
      <c r="X51" s="25"/>
    </row>
    <row r="52">
      <c r="B52" s="6" t="s">
        <v>76</v>
      </c>
      <c r="C52" s="18" t="s">
        <v>42</v>
      </c>
      <c r="D52" s="17" t="s">
        <v>43</v>
      </c>
      <c r="E52" s="18" t="s">
        <v>31</v>
      </c>
      <c r="F52" s="19" t="n">
        <v>46204</v>
      </c>
      <c r="G52" s="23" t="n">
        <f t="shared" si="2"/>
        <v>258958</v>
      </c>
      <c r="H52" s="23"/>
      <c r="I52" s="23" t="n">
        <v>258958</v>
      </c>
      <c r="J52" s="23" t="n">
        <f>MAX(DMPASCtable[[#This Row],[Stock on hand(opening balance)]]+DMPASCtable[[#This Row],[Quantity ]]-DMPASCtable[[#This Row],[Forecasted consumption]],0)</f>
        <v>0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21" t="n">
        <f>DMPASCtable[[#This Row],[Closing balance ]]/DMPASCtable[[#This Row],[Forecasted consumption]]</f>
        <v>0</v>
      </c>
      <c r="X52" s="25"/>
    </row>
    <row r="53">
      <c r="B53" s="6" t="s">
        <v>76</v>
      </c>
      <c r="C53" s="18" t="s">
        <v>42</v>
      </c>
      <c r="D53" s="17" t="s">
        <v>43</v>
      </c>
      <c r="E53" s="18" t="s">
        <v>31</v>
      </c>
      <c r="F53" s="19" t="n">
        <v>46235</v>
      </c>
      <c r="G53" s="23" t="n">
        <f t="shared" si="2"/>
        <v>258958</v>
      </c>
      <c r="H53" s="23"/>
      <c r="I53" s="23" t="n">
        <v>258958</v>
      </c>
      <c r="J53" s="23" t="n">
        <f>MAX(DMPASCtable[[#This Row],[Stock on hand(opening balance)]]+DMPASCtable[[#This Row],[Quantity ]]-DMPASCtable[[#This Row],[Forecasted consumption]],0)</f>
        <v>0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21" t="n">
        <f>DMPASCtable[[#This Row],[Closing balance ]]/DMPASCtable[[#This Row],[Forecasted consumption]]</f>
        <v>0</v>
      </c>
      <c r="X53" s="25"/>
    </row>
    <row r="54">
      <c r="B54" s="6" t="s">
        <v>76</v>
      </c>
      <c r="C54" s="18" t="s">
        <v>42</v>
      </c>
      <c r="D54" s="17" t="s">
        <v>43</v>
      </c>
      <c r="E54" s="18" t="s">
        <v>31</v>
      </c>
      <c r="F54" s="19" t="n">
        <v>46266</v>
      </c>
      <c r="G54" s="23" t="n">
        <f t="shared" si="2"/>
        <v>258958</v>
      </c>
      <c r="H54" s="23"/>
      <c r="I54" s="23" t="n">
        <v>258958</v>
      </c>
      <c r="J54" s="23" t="n">
        <f>MAX(DMPASCtable[[#This Row],[Stock on hand(opening balance)]]+DMPASCtable[[#This Row],[Quantity ]]-DMPASCtable[[#This Row],[Forecasted consumption]],0)</f>
        <v>0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21" t="n">
        <f>DMPASCtable[[#This Row],[Closing balance ]]/DMPASCtable[[#This Row],[Forecasted consumption]]</f>
        <v>0</v>
      </c>
      <c r="X54" s="25"/>
    </row>
    <row r="55">
      <c r="B55" s="6" t="s">
        <v>76</v>
      </c>
      <c r="C55" s="18" t="s">
        <v>42</v>
      </c>
      <c r="D55" s="17" t="s">
        <v>43</v>
      </c>
      <c r="E55" s="18" t="s">
        <v>31</v>
      </c>
      <c r="F55" s="19" t="n">
        <v>46296</v>
      </c>
      <c r="G55" s="23" t="n">
        <f t="shared" si="2"/>
        <v>258958</v>
      </c>
      <c r="H55" s="23"/>
      <c r="I55" s="23" t="n">
        <v>258958</v>
      </c>
      <c r="J55" s="23" t="n">
        <f>MAX(DMPASCtable[[#This Row],[Stock on hand(opening balance)]]+DMPASCtable[[#This Row],[Quantity ]]-DMPASCtable[[#This Row],[Forecasted consumption]],0)</f>
        <v>0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21" t="n">
        <f>DMPASCtable[[#This Row],[Closing balance ]]/DMPASCtable[[#This Row],[Forecasted consumption]]</f>
        <v>0</v>
      </c>
      <c r="X55" s="25"/>
    </row>
    <row r="56">
      <c r="B56" s="6" t="s">
        <v>76</v>
      </c>
      <c r="C56" s="18" t="s">
        <v>42</v>
      </c>
      <c r="D56" s="17" t="s">
        <v>43</v>
      </c>
      <c r="E56" s="18" t="s">
        <v>31</v>
      </c>
      <c r="F56" s="19" t="n">
        <v>46327</v>
      </c>
      <c r="G56" s="23" t="n">
        <f t="shared" si="2"/>
        <v>258958</v>
      </c>
      <c r="H56" s="23"/>
      <c r="I56" s="23" t="n">
        <v>258958</v>
      </c>
      <c r="J56" s="23" t="n">
        <f>MAX(DMPASCtable[[#This Row],[Stock on hand(opening balance)]]+DMPASCtable[[#This Row],[Quantity ]]-DMPASCtable[[#This Row],[Forecasted consumption]],0)</f>
        <v>0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21" t="n">
        <f>DMPASCtable[[#This Row],[Closing balance ]]/DMPASCtable[[#This Row],[Forecasted consumption]]</f>
        <v>0</v>
      </c>
      <c r="X56" s="25"/>
    </row>
    <row r="57">
      <c r="B57" s="6" t="s">
        <v>76</v>
      </c>
      <c r="C57" s="18" t="s">
        <v>42</v>
      </c>
      <c r="D57" s="17" t="s">
        <v>43</v>
      </c>
      <c r="E57" s="18" t="s">
        <v>31</v>
      </c>
      <c r="F57" s="19" t="n">
        <v>46357</v>
      </c>
      <c r="G57" s="23" t="n">
        <f t="shared" si="2"/>
        <v>258958</v>
      </c>
      <c r="H57" s="23"/>
      <c r="I57" s="23" t="n">
        <v>258958</v>
      </c>
      <c r="J57" s="23" t="n">
        <f>MAX(DMPASCtable[[#This Row],[Stock on hand(opening balance)]]+DMPASCtable[[#This Row],[Quantity ]]-DMPASCtable[[#This Row],[Forecasted consumption]],0)</f>
        <v>0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21" t="n">
        <f>DMPASCtable[[#This Row],[Closing balance ]]/DMPASCtable[[#This Row],[Forecasted consumption]]</f>
        <v>0</v>
      </c>
      <c r="X57" s="25"/>
    </row>
    <row r="58">
      <c r="B58" s="6" t="s">
        <v>72</v>
      </c>
      <c r="C58" s="18" t="s">
        <v>42</v>
      </c>
      <c r="D58" s="17" t="s">
        <v>43</v>
      </c>
      <c r="E58" s="18" t="s">
        <v>31</v>
      </c>
      <c r="F58" s="19" t="n">
        <v>45689</v>
      </c>
      <c r="G58" s="23" t="n">
        <v>113300</v>
      </c>
      <c r="H58" s="23"/>
      <c r="I58" s="23" t="n">
        <v>34618</v>
      </c>
      <c r="J58" s="23" t="n">
        <f>MAX(DMPASCtable[[#This Row],[Stock on hand(opening balance)]]+DMPASCtable[[#This Row],[Quantity ]]-DMPASCtable[[#This Row],[Forecasted consumption]],0)</f>
        <v>378682</v>
      </c>
      <c r="K58" s="2" t="s">
        <v>51</v>
      </c>
      <c r="L58" s="2" t="s">
        <v>51</v>
      </c>
      <c r="M58" s="18" t="s">
        <v>153</v>
      </c>
      <c r="N58" s="23" t="n">
        <v>300000</v>
      </c>
      <c r="O58" s="2"/>
      <c r="P58" s="20" t="n">
        <v>285600</v>
      </c>
      <c r="Q58" s="24" t="n">
        <v>45689</v>
      </c>
      <c r="R58" s="2"/>
      <c r="S58" s="2"/>
      <c r="T58" s="2" t="n">
        <v>6</v>
      </c>
      <c r="U58" s="2" t="n">
        <v>12</v>
      </c>
      <c r="V58" s="2" t="n">
        <v>12</v>
      </c>
      <c r="W58" s="21" t="n">
        <f>DMPASCtable[[#This Row],[Closing balance ]]/DMPASCtable[[#This Row],[Forecasted consumption]]</f>
        <v>10.938875729389334</v>
      </c>
      <c r="X58" s="25"/>
    </row>
    <row r="59">
      <c r="B59" s="6" t="s">
        <v>72</v>
      </c>
      <c r="C59" s="18" t="s">
        <v>42</v>
      </c>
      <c r="D59" s="17" t="s">
        <v>43</v>
      </c>
      <c r="E59" s="18" t="s">
        <v>31</v>
      </c>
      <c r="F59" s="19" t="n">
        <v>45717</v>
      </c>
      <c r="G59" s="23" t="n">
        <f>J58</f>
        <v>378682</v>
      </c>
      <c r="H59" s="23"/>
      <c r="I59" s="23" t="n">
        <v>34618</v>
      </c>
      <c r="J59" s="23" t="n">
        <f>MAX(DMPASCtable[[#This Row],[Stock on hand(opening balance)]]+DMPASCtable[[#This Row],[Quantity ]]-DMPASCtable[[#This Row],[Forecasted consumption]],0)</f>
        <v>450864</v>
      </c>
      <c r="K59" s="2" t="s">
        <v>51</v>
      </c>
      <c r="L59" s="2" t="s">
        <v>51</v>
      </c>
      <c r="M59" s="18" t="s">
        <v>153</v>
      </c>
      <c r="N59" s="23" t="n">
        <v>106800</v>
      </c>
      <c r="O59" s="2"/>
      <c r="P59" s="20" t="n">
        <v>90780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21" t="n">
        <f>DMPASCtable[[#This Row],[Closing balance ]]/DMPASCtable[[#This Row],[Forecasted consumption]]</f>
        <v>13.023975966260327</v>
      </c>
      <c r="X59" s="25"/>
    </row>
    <row r="60">
      <c r="B60" s="6" t="s">
        <v>72</v>
      </c>
      <c r="C60" s="18" t="s">
        <v>42</v>
      </c>
      <c r="D60" s="17" t="s">
        <v>43</v>
      </c>
      <c r="E60" s="18" t="s">
        <v>31</v>
      </c>
      <c r="F60" s="19" t="n">
        <v>45748</v>
      </c>
      <c r="G60" s="23" t="n">
        <f t="shared" ref="G60:G80" si="3">J59</f>
        <v>450864</v>
      </c>
      <c r="H60" s="23"/>
      <c r="I60" s="23" t="n">
        <v>34618</v>
      </c>
      <c r="J60" s="23" t="n">
        <f>MAX(DMPASCtable[[#This Row],[Stock on hand(opening balance)]]+DMPASCtable[[#This Row],[Quantity ]]-DMPASCtable[[#This Row],[Forecasted consumption]],0)</f>
        <v>416246</v>
      </c>
      <c r="K60" s="2"/>
      <c r="L60" s="2"/>
      <c r="M60" s="18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21" t="n">
        <f>DMPASCtable[[#This Row],[Closing balance ]]/DMPASCtable[[#This Row],[Forecasted consumption]]</f>
        <v>12.023975966260327</v>
      </c>
      <c r="X60" s="25"/>
    </row>
    <row r="61">
      <c r="B61" s="6" t="s">
        <v>72</v>
      </c>
      <c r="C61" s="18" t="s">
        <v>42</v>
      </c>
      <c r="D61" s="17" t="s">
        <v>43</v>
      </c>
      <c r="E61" s="18" t="s">
        <v>31</v>
      </c>
      <c r="F61" s="19" t="n">
        <v>45778</v>
      </c>
      <c r="G61" s="23" t="n">
        <f t="shared" si="3"/>
        <v>416246</v>
      </c>
      <c r="H61" s="23"/>
      <c r="I61" s="23" t="n">
        <v>34618</v>
      </c>
      <c r="J61" s="23" t="n">
        <f>MAX(DMPASCtable[[#This Row],[Stock on hand(opening balance)]]+DMPASCtable[[#This Row],[Quantity ]]-DMPASCtable[[#This Row],[Forecasted consumption]],0)</f>
        <v>381628</v>
      </c>
      <c r="K61" s="2"/>
      <c r="L61" s="2"/>
      <c r="M61" s="18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21" t="n">
        <f>DMPASCtable[[#This Row],[Closing balance ]]/DMPASCtable[[#This Row],[Forecasted consumption]]</f>
        <v>11.023975966260327</v>
      </c>
      <c r="X61" s="25"/>
    </row>
    <row r="62">
      <c r="B62" s="6" t="s">
        <v>72</v>
      </c>
      <c r="C62" s="18" t="s">
        <v>42</v>
      </c>
      <c r="D62" s="17" t="s">
        <v>43</v>
      </c>
      <c r="E62" s="18" t="s">
        <v>31</v>
      </c>
      <c r="F62" s="19" t="n">
        <v>45809</v>
      </c>
      <c r="G62" s="23" t="n">
        <f t="shared" si="3"/>
        <v>381628</v>
      </c>
      <c r="H62" s="23"/>
      <c r="I62" s="23" t="n">
        <v>34618</v>
      </c>
      <c r="J62" s="23" t="n">
        <f>MAX(DMPASCtable[[#This Row],[Stock on hand(opening balance)]]+DMPASCtable[[#This Row],[Quantity ]]-DMPASCtable[[#This Row],[Forecasted consumption]],0)</f>
        <v>347010</v>
      </c>
      <c r="K62" s="2"/>
      <c r="L62" s="2"/>
      <c r="M62" s="18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21" t="n">
        <f>DMPASCtable[[#This Row],[Closing balance ]]/DMPASCtable[[#This Row],[Forecasted consumption]]</f>
        <v>10.023975966260327</v>
      </c>
      <c r="X62" s="25"/>
    </row>
    <row r="63">
      <c r="B63" s="6" t="s">
        <v>72</v>
      </c>
      <c r="C63" s="18" t="s">
        <v>42</v>
      </c>
      <c r="D63" s="17" t="s">
        <v>43</v>
      </c>
      <c r="E63" s="18" t="s">
        <v>31</v>
      </c>
      <c r="F63" s="19" t="n">
        <v>45839</v>
      </c>
      <c r="G63" s="23" t="n">
        <f t="shared" si="3"/>
        <v>347010</v>
      </c>
      <c r="H63" s="23"/>
      <c r="I63" s="23" t="n">
        <v>34618</v>
      </c>
      <c r="J63" s="23" t="n">
        <f>MAX(DMPASCtable[[#This Row],[Stock on hand(opening balance)]]+DMPASCtable[[#This Row],[Quantity ]]-DMPASCtable[[#This Row],[Forecasted consumption]],0)</f>
        <v>312392</v>
      </c>
      <c r="K63" s="2"/>
      <c r="L63" s="2"/>
      <c r="M63" s="18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21" t="n">
        <f>DMPASCtable[[#This Row],[Closing balance ]]/DMPASCtable[[#This Row],[Forecasted consumption]]</f>
        <v>9.0239759662603269</v>
      </c>
      <c r="X63" s="25"/>
    </row>
    <row r="64">
      <c r="B64" s="6" t="s">
        <v>72</v>
      </c>
      <c r="C64" s="18" t="s">
        <v>42</v>
      </c>
      <c r="D64" s="17" t="s">
        <v>43</v>
      </c>
      <c r="E64" s="18" t="s">
        <v>31</v>
      </c>
      <c r="F64" s="19" t="n">
        <v>45870</v>
      </c>
      <c r="G64" s="23" t="n">
        <f t="shared" si="3"/>
        <v>312392</v>
      </c>
      <c r="H64" s="23"/>
      <c r="I64" s="23" t="n">
        <v>34618</v>
      </c>
      <c r="J64" s="23" t="n">
        <f>MAX(DMPASCtable[[#This Row],[Stock on hand(opening balance)]]+DMPASCtable[[#This Row],[Quantity ]]-DMPASCtable[[#This Row],[Forecasted consumption]],0)</f>
        <v>277774</v>
      </c>
      <c r="K64" s="2"/>
      <c r="L64" s="2"/>
      <c r="M64" s="18"/>
      <c r="N64" s="23"/>
      <c r="O64" s="2"/>
      <c r="P64" s="20"/>
      <c r="Q64" s="24"/>
      <c r="R64" s="2"/>
      <c r="S64" s="2"/>
      <c r="T64" s="2" t="n">
        <v>6</v>
      </c>
      <c r="U64" s="2" t="n">
        <v>12</v>
      </c>
      <c r="V64" s="2" t="n">
        <v>12</v>
      </c>
      <c r="W64" s="21" t="n">
        <f>DMPASCtable[[#This Row],[Closing balance ]]/DMPASCtable[[#This Row],[Forecasted consumption]]</f>
        <v>8.0239759662603269</v>
      </c>
      <c r="X64" s="25"/>
    </row>
    <row r="65">
      <c r="B65" s="6" t="s">
        <v>72</v>
      </c>
      <c r="C65" s="18" t="s">
        <v>42</v>
      </c>
      <c r="D65" s="17" t="s">
        <v>43</v>
      </c>
      <c r="E65" s="18" t="s">
        <v>31</v>
      </c>
      <c r="F65" s="19" t="n">
        <v>45901</v>
      </c>
      <c r="G65" s="23" t="n">
        <f t="shared" si="3"/>
        <v>277774</v>
      </c>
      <c r="H65" s="23"/>
      <c r="I65" s="23" t="n">
        <v>34618</v>
      </c>
      <c r="J65" s="23" t="n">
        <f>MAX(DMPASCtable[[#This Row],[Stock on hand(opening balance)]]+DMPASCtable[[#This Row],[Quantity ]]-DMPASCtable[[#This Row],[Forecasted consumption]],0)</f>
        <v>990556</v>
      </c>
      <c r="K65" s="2" t="s">
        <v>51</v>
      </c>
      <c r="L65" s="2" t="s">
        <v>51</v>
      </c>
      <c r="M65" s="18" t="s">
        <v>147</v>
      </c>
      <c r="N65" s="23" t="n">
        <v>747400</v>
      </c>
      <c r="O65" s="2"/>
      <c r="P65" s="20" t="n">
        <v>711525</v>
      </c>
      <c r="Q65" s="24" t="n">
        <v>45901</v>
      </c>
      <c r="R65" s="2"/>
      <c r="S65" s="2"/>
      <c r="T65" s="2" t="n">
        <v>6</v>
      </c>
      <c r="U65" s="2" t="n">
        <v>12</v>
      </c>
      <c r="V65" s="2" t="n">
        <v>12</v>
      </c>
      <c r="W65" s="21" t="n">
        <f>DMPASCtable[[#This Row],[Closing balance ]]/DMPASCtable[[#This Row],[Forecasted consumption]]</f>
        <v>28.613900283089723</v>
      </c>
      <c r="X65" s="25"/>
    </row>
    <row r="66">
      <c r="B66" s="6" t="s">
        <v>72</v>
      </c>
      <c r="C66" s="18" t="s">
        <v>42</v>
      </c>
      <c r="D66" s="17" t="s">
        <v>43</v>
      </c>
      <c r="E66" s="18" t="s">
        <v>31</v>
      </c>
      <c r="F66" s="19" t="n">
        <v>45931</v>
      </c>
      <c r="G66" s="23" t="n">
        <f t="shared" si="3"/>
        <v>990556</v>
      </c>
      <c r="H66" s="23"/>
      <c r="I66" s="23" t="n">
        <v>34618</v>
      </c>
      <c r="J66" s="23" t="n">
        <f>MAX(DMPASCtable[[#This Row],[Stock on hand(opening balance)]]+DMPASCtable[[#This Row],[Quantity ]]-DMPASCtable[[#This Row],[Forecasted consumption]],0)</f>
        <v>955938</v>
      </c>
      <c r="K66" s="2"/>
      <c r="L66" s="2"/>
      <c r="M66" s="18"/>
      <c r="N66" s="23"/>
      <c r="O66" s="2"/>
      <c r="P66" s="20"/>
      <c r="Q66" s="24"/>
      <c r="R66" s="2"/>
      <c r="S66" s="2"/>
      <c r="T66" s="2" t="n">
        <v>6</v>
      </c>
      <c r="U66" s="2" t="n">
        <v>12</v>
      </c>
      <c r="V66" s="2" t="n">
        <v>12</v>
      </c>
      <c r="W66" s="21" t="n">
        <f>DMPASCtable[[#This Row],[Closing balance ]]/DMPASCtable[[#This Row],[Forecasted consumption]]</f>
        <v>27.613900283089723</v>
      </c>
      <c r="X66" s="25"/>
    </row>
    <row r="67">
      <c r="B67" s="6" t="s">
        <v>72</v>
      </c>
      <c r="C67" s="18" t="s">
        <v>42</v>
      </c>
      <c r="D67" s="17" t="s">
        <v>43</v>
      </c>
      <c r="E67" s="18" t="s">
        <v>31</v>
      </c>
      <c r="F67" s="19" t="n">
        <v>45962</v>
      </c>
      <c r="G67" s="23" t="n">
        <f t="shared" si="3"/>
        <v>955938</v>
      </c>
      <c r="H67" s="23"/>
      <c r="I67" s="23" t="n">
        <v>34618</v>
      </c>
      <c r="J67" s="23" t="n">
        <f>MAX(DMPASCtable[[#This Row],[Stock on hand(opening balance)]]+DMPASCtable[[#This Row],[Quantity ]]-DMPASCtable[[#This Row],[Forecasted consumption]],0)</f>
        <v>921320</v>
      </c>
      <c r="K67" s="2"/>
      <c r="L67" s="2"/>
      <c r="M67" s="18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21" t="n">
        <f>DMPASCtable[[#This Row],[Closing balance ]]/DMPASCtable[[#This Row],[Forecasted consumption]]</f>
        <v>26.613900283089723</v>
      </c>
      <c r="X67" s="25"/>
    </row>
    <row r="68">
      <c r="B68" s="6" t="s">
        <v>72</v>
      </c>
      <c r="C68" s="18" t="s">
        <v>42</v>
      </c>
      <c r="D68" s="17" t="s">
        <v>43</v>
      </c>
      <c r="E68" s="18" t="s">
        <v>31</v>
      </c>
      <c r="F68" s="19" t="n">
        <v>45992</v>
      </c>
      <c r="G68" s="23" t="n">
        <f t="shared" si="3"/>
        <v>921320</v>
      </c>
      <c r="H68" s="23"/>
      <c r="I68" s="23" t="n">
        <v>34618</v>
      </c>
      <c r="J68" s="23" t="n">
        <f>MAX(DMPASCtable[[#This Row],[Stock on hand(opening balance)]]+DMPASCtable[[#This Row],[Quantity ]]-DMPASCtable[[#This Row],[Forecasted consumption]],0)</f>
        <v>886702</v>
      </c>
      <c r="K68" s="2"/>
      <c r="L68" s="2"/>
      <c r="M68" s="18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21" t="n">
        <f>DMPASCtable[[#This Row],[Closing balance ]]/DMPASCtable[[#This Row],[Forecasted consumption]]</f>
        <v>25.613900283089723</v>
      </c>
      <c r="X68" s="25"/>
    </row>
    <row r="69">
      <c r="B69" s="6" t="s">
        <v>72</v>
      </c>
      <c r="C69" s="18" t="s">
        <v>42</v>
      </c>
      <c r="D69" s="17" t="s">
        <v>43</v>
      </c>
      <c r="E69" s="18" t="s">
        <v>31</v>
      </c>
      <c r="F69" s="19" t="n">
        <v>46023</v>
      </c>
      <c r="G69" s="23" t="n">
        <f t="shared" si="3"/>
        <v>886702</v>
      </c>
      <c r="H69" s="23"/>
      <c r="I69" s="23" t="n">
        <v>34618</v>
      </c>
      <c r="J69" s="23" t="n">
        <f>MAX(DMPASCtable[[#This Row],[Stock on hand(opening balance)]]+DMPASCtable[[#This Row],[Quantity ]]-DMPASCtable[[#This Row],[Forecasted consumption]],0)</f>
        <v>852084</v>
      </c>
      <c r="K69" s="2"/>
      <c r="L69" s="2"/>
      <c r="M69" s="18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21" t="n">
        <f>DMPASCtable[[#This Row],[Closing balance ]]/DMPASCtable[[#This Row],[Forecasted consumption]]</f>
        <v>24.613900283089723</v>
      </c>
      <c r="X69" s="25"/>
    </row>
    <row r="70">
      <c r="B70" s="6" t="s">
        <v>72</v>
      </c>
      <c r="C70" s="18" t="s">
        <v>42</v>
      </c>
      <c r="D70" s="17" t="s">
        <v>43</v>
      </c>
      <c r="E70" s="18" t="s">
        <v>31</v>
      </c>
      <c r="F70" s="19" t="n">
        <v>46054</v>
      </c>
      <c r="G70" s="23" t="n">
        <f t="shared" si="3"/>
        <v>852084</v>
      </c>
      <c r="H70" s="23"/>
      <c r="I70" s="23" t="n">
        <v>34618</v>
      </c>
      <c r="J70" s="23" t="n">
        <f>MAX(DMPASCtable[[#This Row],[Stock on hand(opening balance)]]+DMPASCtable[[#This Row],[Quantity ]]-DMPASCtable[[#This Row],[Forecasted consumption]],0)</f>
        <v>817466</v>
      </c>
      <c r="K70" s="2"/>
      <c r="L70" s="2"/>
      <c r="M70" s="18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21" t="n">
        <f>DMPASCtable[[#This Row],[Closing balance ]]/DMPASCtable[[#This Row],[Forecasted consumption]]</f>
        <v>23.613900283089723</v>
      </c>
      <c r="X70" s="25"/>
    </row>
    <row r="71">
      <c r="B71" s="6" t="s">
        <v>72</v>
      </c>
      <c r="C71" s="18" t="s">
        <v>42</v>
      </c>
      <c r="D71" s="17" t="s">
        <v>43</v>
      </c>
      <c r="E71" s="18" t="s">
        <v>31</v>
      </c>
      <c r="F71" s="19" t="n">
        <v>46082</v>
      </c>
      <c r="G71" s="23" t="n">
        <f t="shared" si="3"/>
        <v>817466</v>
      </c>
      <c r="H71" s="23"/>
      <c r="I71" s="23" t="n">
        <v>34618</v>
      </c>
      <c r="J71" s="23" t="n">
        <f>MAX(DMPASCtable[[#This Row],[Stock on hand(opening balance)]]+DMPASCtable[[#This Row],[Quantity ]]-DMPASCtable[[#This Row],[Forecasted consumption]],0)</f>
        <v>782848</v>
      </c>
      <c r="K71" s="2"/>
      <c r="L71" s="2"/>
      <c r="M71" s="18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21" t="n">
        <f>DMPASCtable[[#This Row],[Closing balance ]]/DMPASCtable[[#This Row],[Forecasted consumption]]</f>
        <v>22.613900283089723</v>
      </c>
      <c r="X71" s="25"/>
    </row>
    <row r="72">
      <c r="B72" s="6" t="s">
        <v>72</v>
      </c>
      <c r="C72" s="18" t="s">
        <v>42</v>
      </c>
      <c r="D72" s="17" t="s">
        <v>43</v>
      </c>
      <c r="E72" s="18" t="s">
        <v>31</v>
      </c>
      <c r="F72" s="19" t="n">
        <v>46113</v>
      </c>
      <c r="G72" s="23" t="n">
        <f t="shared" si="3"/>
        <v>782848</v>
      </c>
      <c r="H72" s="23"/>
      <c r="I72" s="23" t="n">
        <v>34618</v>
      </c>
      <c r="J72" s="23" t="n">
        <f>MAX(DMPASCtable[[#This Row],[Stock on hand(opening balance)]]+DMPASCtable[[#This Row],[Quantity ]]-DMPASCtable[[#This Row],[Forecasted consumption]],0)</f>
        <v>748230</v>
      </c>
      <c r="K72" s="2"/>
      <c r="L72" s="2"/>
      <c r="M72" s="18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21" t="n">
        <f>DMPASCtable[[#This Row],[Closing balance ]]/DMPASCtable[[#This Row],[Forecasted consumption]]</f>
        <v>21.613900283089723</v>
      </c>
      <c r="X72" s="25"/>
    </row>
    <row r="73">
      <c r="B73" s="6" t="s">
        <v>72</v>
      </c>
      <c r="C73" s="18" t="s">
        <v>42</v>
      </c>
      <c r="D73" s="17" t="s">
        <v>43</v>
      </c>
      <c r="E73" s="18" t="s">
        <v>31</v>
      </c>
      <c r="F73" s="19" t="n">
        <v>46143</v>
      </c>
      <c r="G73" s="23" t="n">
        <f t="shared" si="3"/>
        <v>748230</v>
      </c>
      <c r="H73" s="23"/>
      <c r="I73" s="23" t="n">
        <v>34618</v>
      </c>
      <c r="J73" s="23" t="n">
        <f>MAX(DMPASCtable[[#This Row],[Stock on hand(opening balance)]]+DMPASCtable[[#This Row],[Quantity ]]-DMPASCtable[[#This Row],[Forecasted consumption]],0)</f>
        <v>713612</v>
      </c>
      <c r="K73" s="2"/>
      <c r="L73" s="2"/>
      <c r="M73" s="18"/>
      <c r="N73" s="23"/>
      <c r="O73" s="2"/>
      <c r="P73" s="20"/>
      <c r="Q73" s="24"/>
      <c r="R73" s="2"/>
      <c r="S73" s="2"/>
      <c r="T73" s="2" t="n">
        <v>6</v>
      </c>
      <c r="U73" s="2" t="n">
        <v>12</v>
      </c>
      <c r="V73" s="2" t="n">
        <v>12</v>
      </c>
      <c r="W73" s="21" t="n">
        <f>DMPASCtable[[#This Row],[Closing balance ]]/DMPASCtable[[#This Row],[Forecasted consumption]]</f>
        <v>20.613900283089723</v>
      </c>
      <c r="X73" s="25"/>
    </row>
    <row r="74">
      <c r="B74" s="6" t="s">
        <v>72</v>
      </c>
      <c r="C74" s="18" t="s">
        <v>42</v>
      </c>
      <c r="D74" s="17" t="s">
        <v>43</v>
      </c>
      <c r="E74" s="18" t="s">
        <v>31</v>
      </c>
      <c r="F74" s="19" t="n">
        <v>46174</v>
      </c>
      <c r="G74" s="23" t="n">
        <f t="shared" si="3"/>
        <v>713612</v>
      </c>
      <c r="H74" s="23"/>
      <c r="I74" s="23" t="n">
        <v>34618</v>
      </c>
      <c r="J74" s="23" t="n">
        <f>MAX(DMPASCtable[[#This Row],[Stock on hand(opening balance)]]+DMPASCtable[[#This Row],[Quantity ]]-DMPASCtable[[#This Row],[Forecasted consumption]],0)</f>
        <v>678994</v>
      </c>
      <c r="K74" s="2"/>
      <c r="L74" s="2"/>
      <c r="M74" s="18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21" t="n">
        <f>DMPASCtable[[#This Row],[Closing balance ]]/DMPASCtable[[#This Row],[Forecasted consumption]]</f>
        <v>19.613900283089723</v>
      </c>
      <c r="X74" s="25"/>
    </row>
    <row r="75">
      <c r="B75" s="6" t="s">
        <v>72</v>
      </c>
      <c r="C75" s="18" t="s">
        <v>42</v>
      </c>
      <c r="D75" s="17" t="s">
        <v>43</v>
      </c>
      <c r="E75" s="18" t="s">
        <v>31</v>
      </c>
      <c r="F75" s="19" t="n">
        <v>46204</v>
      </c>
      <c r="G75" s="23" t="n">
        <f t="shared" si="3"/>
        <v>678994</v>
      </c>
      <c r="H75" s="23"/>
      <c r="I75" s="23" t="n">
        <v>34618</v>
      </c>
      <c r="J75" s="23" t="n">
        <f>MAX(DMPASCtable[[#This Row],[Stock on hand(opening balance)]]+DMPASCtable[[#This Row],[Quantity ]]-DMPASCtable[[#This Row],[Forecasted consumption]],0)</f>
        <v>644376</v>
      </c>
      <c r="K75" s="2"/>
      <c r="L75" s="2"/>
      <c r="M75" s="18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21" t="n">
        <f>DMPASCtable[[#This Row],[Closing balance ]]/DMPASCtable[[#This Row],[Forecasted consumption]]</f>
        <v>18.613900283089723</v>
      </c>
      <c r="X75" s="25"/>
    </row>
    <row r="76">
      <c r="B76" s="6" t="s">
        <v>72</v>
      </c>
      <c r="C76" s="18" t="s">
        <v>42</v>
      </c>
      <c r="D76" s="17" t="s">
        <v>43</v>
      </c>
      <c r="E76" s="18" t="s">
        <v>31</v>
      </c>
      <c r="F76" s="19" t="n">
        <v>46235</v>
      </c>
      <c r="G76" s="23" t="n">
        <f t="shared" si="3"/>
        <v>644376</v>
      </c>
      <c r="H76" s="23"/>
      <c r="I76" s="23" t="n">
        <v>34618</v>
      </c>
      <c r="J76" s="23" t="n">
        <f>MAX(DMPASCtable[[#This Row],[Stock on hand(opening balance)]]+DMPASCtable[[#This Row],[Quantity ]]-DMPASCtable[[#This Row],[Forecasted consumption]],0)</f>
        <v>609758</v>
      </c>
      <c r="K76" s="2"/>
      <c r="L76" s="2"/>
      <c r="M76" s="18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21" t="n">
        <f>DMPASCtable[[#This Row],[Closing balance ]]/DMPASCtable[[#This Row],[Forecasted consumption]]</f>
        <v>17.613900283089723</v>
      </c>
      <c r="X76" s="25"/>
    </row>
    <row r="77">
      <c r="B77" s="6" t="s">
        <v>72</v>
      </c>
      <c r="C77" s="18" t="s">
        <v>42</v>
      </c>
      <c r="D77" s="17" t="s">
        <v>43</v>
      </c>
      <c r="E77" s="18" t="s">
        <v>31</v>
      </c>
      <c r="F77" s="19" t="n">
        <v>46266</v>
      </c>
      <c r="G77" s="23" t="n">
        <f t="shared" si="3"/>
        <v>609758</v>
      </c>
      <c r="H77" s="23"/>
      <c r="I77" s="23" t="n">
        <v>34618</v>
      </c>
      <c r="J77" s="23" t="n">
        <f>MAX(DMPASCtable[[#This Row],[Stock on hand(opening balance)]]+DMPASCtable[[#This Row],[Quantity ]]-DMPASCtable[[#This Row],[Forecasted consumption]],0)</f>
        <v>575140</v>
      </c>
      <c r="K77" s="2"/>
      <c r="L77" s="2"/>
      <c r="M77" s="18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21" t="n">
        <f>DMPASCtable[[#This Row],[Closing balance ]]/DMPASCtable[[#This Row],[Forecasted consumption]]</f>
        <v>16.613900283089723</v>
      </c>
      <c r="X77" s="25"/>
    </row>
    <row r="78">
      <c r="B78" s="6" t="s">
        <v>72</v>
      </c>
      <c r="C78" s="18" t="s">
        <v>42</v>
      </c>
      <c r="D78" s="17" t="s">
        <v>43</v>
      </c>
      <c r="E78" s="18" t="s">
        <v>31</v>
      </c>
      <c r="F78" s="19" t="n">
        <v>46296</v>
      </c>
      <c r="G78" s="23" t="n">
        <f t="shared" si="3"/>
        <v>575140</v>
      </c>
      <c r="H78" s="23"/>
      <c r="I78" s="23" t="n">
        <v>34618</v>
      </c>
      <c r="J78" s="23" t="n">
        <f>MAX(DMPASCtable[[#This Row],[Stock on hand(opening balance)]]+DMPASCtable[[#This Row],[Quantity ]]-DMPASCtable[[#This Row],[Forecasted consumption]],0)</f>
        <v>540522</v>
      </c>
      <c r="K78" s="2"/>
      <c r="L78" s="2"/>
      <c r="M78" s="18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21" t="n">
        <f>DMPASCtable[[#This Row],[Closing balance ]]/DMPASCtable[[#This Row],[Forecasted consumption]]</f>
        <v>15.613900283089722</v>
      </c>
      <c r="X78" s="25"/>
    </row>
    <row r="79">
      <c r="B79" s="6" t="s">
        <v>72</v>
      </c>
      <c r="C79" s="18" t="s">
        <v>42</v>
      </c>
      <c r="D79" s="17" t="s">
        <v>43</v>
      </c>
      <c r="E79" s="18" t="s">
        <v>31</v>
      </c>
      <c r="F79" s="19" t="n">
        <v>46327</v>
      </c>
      <c r="G79" s="23" t="n">
        <f t="shared" si="3"/>
        <v>540522</v>
      </c>
      <c r="H79" s="23"/>
      <c r="I79" s="23" t="n">
        <v>34618</v>
      </c>
      <c r="J79" s="23" t="n">
        <f>MAX(DMPASCtable[[#This Row],[Stock on hand(opening balance)]]+DMPASCtable[[#This Row],[Quantity ]]-DMPASCtable[[#This Row],[Forecasted consumption]],0)</f>
        <v>505904</v>
      </c>
      <c r="K79" s="2"/>
      <c r="L79" s="2"/>
      <c r="M79" s="18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21" t="n">
        <f>DMPASCtable[[#This Row],[Closing balance ]]/DMPASCtable[[#This Row],[Forecasted consumption]]</f>
        <v>14.613900283089722</v>
      </c>
      <c r="X79" s="25"/>
    </row>
    <row r="80">
      <c r="B80" s="6" t="s">
        <v>72</v>
      </c>
      <c r="C80" s="18" t="s">
        <v>42</v>
      </c>
      <c r="D80" s="17" t="s">
        <v>43</v>
      </c>
      <c r="E80" s="18" t="s">
        <v>31</v>
      </c>
      <c r="F80" s="19" t="n">
        <v>46357</v>
      </c>
      <c r="G80" s="23" t="n">
        <f t="shared" si="3"/>
        <v>505904</v>
      </c>
      <c r="H80" s="23"/>
      <c r="I80" s="23" t="n">
        <v>34618</v>
      </c>
      <c r="J80" s="23" t="n">
        <f>MAX(DMPASCtable[[#This Row],[Stock on hand(opening balance)]]+DMPASCtable[[#This Row],[Quantity ]]-DMPASCtable[[#This Row],[Forecasted consumption]],0)</f>
        <v>471286</v>
      </c>
      <c r="K80" s="2"/>
      <c r="L80" s="2"/>
      <c r="M80" s="18"/>
      <c r="N80" s="23"/>
      <c r="O80" s="2"/>
      <c r="P80" s="20"/>
      <c r="Q80" s="24"/>
      <c r="R80" s="2"/>
      <c r="S80" s="2"/>
      <c r="T80" s="2" t="n">
        <v>6</v>
      </c>
      <c r="U80" s="2" t="n">
        <v>12</v>
      </c>
      <c r="V80" s="2" t="n">
        <v>12</v>
      </c>
      <c r="W80" s="21" t="n">
        <f>DMPASCtable[[#This Row],[Closing balance ]]/DMPASCtable[[#This Row],[Forecasted consumption]]</f>
        <v>13.613900283089722</v>
      </c>
      <c r="X80" s="25"/>
    </row>
    <row r="81">
      <c r="B81" s="6" t="s">
        <v>77</v>
      </c>
      <c r="C81" s="18" t="s">
        <v>42</v>
      </c>
      <c r="D81" s="17" t="s">
        <v>43</v>
      </c>
      <c r="E81" s="18" t="s">
        <v>31</v>
      </c>
      <c r="F81" s="19" t="n">
        <v>45839</v>
      </c>
      <c r="G81" s="23" t="n">
        <v>501800</v>
      </c>
      <c r="H81" s="23"/>
      <c r="I81" s="23" t="n">
        <v>66627</v>
      </c>
      <c r="J81" s="23" t="n">
        <f>MAX(DMPASCtable[[#This Row],[Stock on hand(opening balance)]]+DMPASCtable[[#This Row],[Quantity ]]-DMPASCtable[[#This Row],[Forecasted consumption]],0)</f>
        <v>435173</v>
      </c>
      <c r="K81" s="2"/>
      <c r="L81" s="2"/>
      <c r="M81" s="18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21" t="n">
        <f>DMPASCtable[[#This Row],[Closing balance ]]/DMPASCtable[[#This Row],[Forecasted consumption]]</f>
        <v>6.5314812313326431</v>
      </c>
      <c r="X81" s="25"/>
    </row>
    <row r="82">
      <c r="B82" s="6" t="s">
        <v>77</v>
      </c>
      <c r="C82" s="18" t="s">
        <v>42</v>
      </c>
      <c r="D82" s="17" t="s">
        <v>43</v>
      </c>
      <c r="E82" s="18" t="s">
        <v>31</v>
      </c>
      <c r="F82" s="19" t="n">
        <v>45870</v>
      </c>
      <c r="G82" s="23" t="n">
        <f>J81</f>
        <v>435173</v>
      </c>
      <c r="H82" s="23"/>
      <c r="I82" s="23" t="n">
        <v>66627</v>
      </c>
      <c r="J82" s="23" t="n">
        <f>MAX(DMPASCtable[[#This Row],[Stock on hand(opening balance)]]+DMPASCtable[[#This Row],[Quantity ]]-DMPASCtable[[#This Row],[Forecasted consumption]],0)</f>
        <v>368546</v>
      </c>
      <c r="K82" s="2"/>
      <c r="L82" s="2"/>
      <c r="M82" s="18"/>
      <c r="N82" s="23"/>
      <c r="O82" s="2"/>
      <c r="P82" s="20"/>
      <c r="Q82" s="24"/>
      <c r="R82" s="2"/>
      <c r="S82" s="2"/>
      <c r="T82" s="2" t="n">
        <v>6</v>
      </c>
      <c r="U82" s="2" t="n">
        <v>12</v>
      </c>
      <c r="V82" s="2" t="n">
        <v>12</v>
      </c>
      <c r="W82" s="21" t="n">
        <f>DMPASCtable[[#This Row],[Closing balance ]]/DMPASCtable[[#This Row],[Forecasted consumption]]</f>
        <v>5.5314812313326431</v>
      </c>
      <c r="X82" s="25"/>
    </row>
    <row r="83">
      <c r="B83" s="6" t="s">
        <v>77</v>
      </c>
      <c r="C83" s="18" t="s">
        <v>42</v>
      </c>
      <c r="D83" s="17" t="s">
        <v>43</v>
      </c>
      <c r="E83" s="18" t="s">
        <v>31</v>
      </c>
      <c r="F83" s="19" t="n">
        <v>45901</v>
      </c>
      <c r="G83" s="23" t="n">
        <f t="shared" ref="G83:G92" si="4">J82</f>
        <v>368546</v>
      </c>
      <c r="H83" s="23"/>
      <c r="I83" s="23" t="n">
        <v>66627</v>
      </c>
      <c r="J83" s="23" t="n">
        <f>MAX(DMPASCtable[[#This Row],[Stock on hand(opening balance)]]+DMPASCtable[[#This Row],[Quantity ]]-DMPASCtable[[#This Row],[Forecasted consumption]],0)</f>
        <v>301919</v>
      </c>
      <c r="K83" s="2"/>
      <c r="L83" s="2"/>
      <c r="M83" s="18"/>
      <c r="N83" s="23"/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21" t="n">
        <f>DMPASCtable[[#This Row],[Closing balance ]]/DMPASCtable[[#This Row],[Forecasted consumption]]</f>
        <v>4.5314812313326431</v>
      </c>
      <c r="X83" s="25"/>
    </row>
    <row r="84">
      <c r="B84" s="6" t="s">
        <v>77</v>
      </c>
      <c r="C84" s="18" t="s">
        <v>42</v>
      </c>
      <c r="D84" s="17" t="s">
        <v>43</v>
      </c>
      <c r="E84" s="18" t="s">
        <v>31</v>
      </c>
      <c r="F84" s="19" t="n">
        <v>45931</v>
      </c>
      <c r="G84" s="23" t="n">
        <f t="shared" si="4"/>
        <v>301919</v>
      </c>
      <c r="H84" s="23"/>
      <c r="I84" s="23" t="n">
        <v>66627</v>
      </c>
      <c r="J84" s="23" t="n">
        <f>MAX(DMPASCtable[[#This Row],[Stock on hand(opening balance)]]+DMPASCtable[[#This Row],[Quantity ]]-DMPASCtable[[#This Row],[Forecasted consumption]],0)</f>
        <v>235292</v>
      </c>
      <c r="K84" s="2"/>
      <c r="L84" s="2"/>
      <c r="M84" s="18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21" t="n">
        <f>DMPASCtable[[#This Row],[Closing balance ]]/DMPASCtable[[#This Row],[Forecasted consumption]]</f>
        <v>3.5314812313326431</v>
      </c>
      <c r="X84" s="25"/>
    </row>
    <row r="85">
      <c r="B85" s="6" t="s">
        <v>77</v>
      </c>
      <c r="C85" s="18" t="s">
        <v>42</v>
      </c>
      <c r="D85" s="17" t="s">
        <v>43</v>
      </c>
      <c r="E85" s="18" t="s">
        <v>31</v>
      </c>
      <c r="F85" s="19" t="n">
        <v>45962</v>
      </c>
      <c r="G85" s="23" t="n">
        <f t="shared" si="4"/>
        <v>235292</v>
      </c>
      <c r="H85" s="23"/>
      <c r="I85" s="23" t="n">
        <v>66627</v>
      </c>
      <c r="J85" s="23" t="n">
        <f>MAX(DMPASCtable[[#This Row],[Stock on hand(opening balance)]]+DMPASCtable[[#This Row],[Quantity ]]-DMPASCtable[[#This Row],[Forecasted consumption]],0)</f>
        <v>168665</v>
      </c>
      <c r="K85" s="2"/>
      <c r="L85" s="2"/>
      <c r="M85" s="18"/>
      <c r="N85" s="23"/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21" t="n">
        <f>DMPASCtable[[#This Row],[Closing balance ]]/DMPASCtable[[#This Row],[Forecasted consumption]]</f>
        <v>2.5314812313326431</v>
      </c>
      <c r="X85" s="25"/>
    </row>
    <row r="86">
      <c r="B86" s="6" t="s">
        <v>77</v>
      </c>
      <c r="C86" s="18" t="s">
        <v>42</v>
      </c>
      <c r="D86" s="17" t="s">
        <v>43</v>
      </c>
      <c r="E86" s="18" t="s">
        <v>31</v>
      </c>
      <c r="F86" s="19" t="n">
        <v>45992</v>
      </c>
      <c r="G86" s="23" t="n">
        <f t="shared" si="4"/>
        <v>168665</v>
      </c>
      <c r="H86" s="23"/>
      <c r="I86" s="23" t="n">
        <v>66627</v>
      </c>
      <c r="J86" s="23" t="n">
        <f>MAX(DMPASCtable[[#This Row],[Stock on hand(opening balance)]]+DMPASCtable[[#This Row],[Quantity ]]-DMPASCtable[[#This Row],[Forecasted consumption]],0)</f>
        <v>102038</v>
      </c>
      <c r="K86" s="2"/>
      <c r="L86" s="2"/>
      <c r="M86" s="18"/>
      <c r="N86" s="23"/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21" t="n">
        <f>DMPASCtable[[#This Row],[Closing balance ]]/DMPASCtable[[#This Row],[Forecasted consumption]]</f>
        <v>1.5314812313326429</v>
      </c>
      <c r="X86" s="25"/>
    </row>
    <row r="87">
      <c r="B87" s="6" t="s">
        <v>77</v>
      </c>
      <c r="C87" s="18" t="s">
        <v>42</v>
      </c>
      <c r="D87" s="17" t="s">
        <v>43</v>
      </c>
      <c r="E87" s="18" t="s">
        <v>31</v>
      </c>
      <c r="F87" s="19" t="n">
        <v>46023</v>
      </c>
      <c r="G87" s="23" t="n">
        <f t="shared" si="4"/>
        <v>102038</v>
      </c>
      <c r="H87" s="23"/>
      <c r="I87" s="23" t="n">
        <v>66627</v>
      </c>
      <c r="J87" s="23" t="n">
        <f>MAX(DMPASCtable[[#This Row],[Stock on hand(opening balance)]]+DMPASCtable[[#This Row],[Quantity ]]-DMPASCtable[[#This Row],[Forecasted consumption]],0)</f>
        <v>35411</v>
      </c>
      <c r="K87" s="2"/>
      <c r="L87" s="2"/>
      <c r="M87" s="18"/>
      <c r="N87" s="23"/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21" t="n">
        <f>DMPASCtable[[#This Row],[Closing balance ]]/DMPASCtable[[#This Row],[Forecasted consumption]]</f>
        <v>0.53148123133264291</v>
      </c>
      <c r="X87" s="25"/>
    </row>
    <row r="88">
      <c r="B88" s="6" t="s">
        <v>77</v>
      </c>
      <c r="C88" s="18" t="s">
        <v>42</v>
      </c>
      <c r="D88" s="17" t="s">
        <v>43</v>
      </c>
      <c r="E88" s="18" t="s">
        <v>31</v>
      </c>
      <c r="F88" s="19" t="n">
        <v>46054</v>
      </c>
      <c r="G88" s="23" t="n">
        <f t="shared" si="4"/>
        <v>35411</v>
      </c>
      <c r="H88" s="23"/>
      <c r="I88" s="23" t="n">
        <v>66627</v>
      </c>
      <c r="J88" s="23" t="n">
        <f>MAX(DMPASCtable[[#This Row],[Stock on hand(opening balance)]]+DMPASCtable[[#This Row],[Quantity ]]-DMPASCtable[[#This Row],[Forecasted consumption]],0)</f>
        <v>0</v>
      </c>
      <c r="K88" s="2"/>
      <c r="L88" s="2"/>
      <c r="M88" s="18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21" t="n">
        <f>DMPASCtable[[#This Row],[Closing balance ]]/DMPASCtable[[#This Row],[Forecasted consumption]]</f>
        <v>0</v>
      </c>
      <c r="X88" s="25"/>
    </row>
    <row r="89">
      <c r="B89" s="6" t="s">
        <v>77</v>
      </c>
      <c r="C89" s="18" t="s">
        <v>42</v>
      </c>
      <c r="D89" s="17" t="s">
        <v>43</v>
      </c>
      <c r="E89" s="18" t="s">
        <v>31</v>
      </c>
      <c r="F89" s="19" t="n">
        <v>46082</v>
      </c>
      <c r="G89" s="23" t="n">
        <f t="shared" si="4"/>
        <v>0</v>
      </c>
      <c r="H89" s="23"/>
      <c r="I89" s="23" t="n">
        <v>66627</v>
      </c>
      <c r="J89" s="23" t="n">
        <f>MAX(DMPASCtable[[#This Row],[Stock on hand(opening balance)]]+DMPASCtable[[#This Row],[Quantity ]]-DMPASCtable[[#This Row],[Forecasted consumption]],0)</f>
        <v>0</v>
      </c>
      <c r="K89" s="2"/>
      <c r="L89" s="2"/>
      <c r="M89" s="18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21" t="n">
        <f>DMPASCtable[[#This Row],[Closing balance ]]/DMPASCtable[[#This Row],[Forecasted consumption]]</f>
        <v>0</v>
      </c>
      <c r="X89" s="25"/>
    </row>
    <row r="90">
      <c r="B90" s="6" t="s">
        <v>77</v>
      </c>
      <c r="C90" s="18" t="s">
        <v>42</v>
      </c>
      <c r="D90" s="17" t="s">
        <v>43</v>
      </c>
      <c r="E90" s="18" t="s">
        <v>31</v>
      </c>
      <c r="F90" s="19" t="n">
        <v>46113</v>
      </c>
      <c r="G90" s="23" t="n">
        <f t="shared" si="4"/>
        <v>0</v>
      </c>
      <c r="H90" s="23"/>
      <c r="I90" s="23" t="n">
        <v>66627</v>
      </c>
      <c r="J90" s="23" t="n">
        <f>MAX(DMPASCtable[[#This Row],[Stock on hand(opening balance)]]+DMPASCtable[[#This Row],[Quantity ]]-DMPASCtable[[#This Row],[Forecasted consumption]],0)</f>
        <v>0</v>
      </c>
      <c r="K90" s="2"/>
      <c r="L90" s="2"/>
      <c r="M90" s="18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21" t="n">
        <f>DMPASCtable[[#This Row],[Closing balance ]]/DMPASCtable[[#This Row],[Forecasted consumption]]</f>
        <v>0</v>
      </c>
      <c r="X90" s="25"/>
    </row>
    <row r="91">
      <c r="B91" s="6" t="s">
        <v>77</v>
      </c>
      <c r="C91" s="18" t="s">
        <v>42</v>
      </c>
      <c r="D91" s="17" t="s">
        <v>43</v>
      </c>
      <c r="E91" s="18" t="s">
        <v>31</v>
      </c>
      <c r="F91" s="19" t="n">
        <v>46143</v>
      </c>
      <c r="G91" s="23" t="n">
        <f t="shared" si="4"/>
        <v>0</v>
      </c>
      <c r="H91" s="23"/>
      <c r="I91" s="23" t="n">
        <v>66627</v>
      </c>
      <c r="J91" s="23" t="n">
        <f>MAX(DMPASCtable[[#This Row],[Stock on hand(opening balance)]]+DMPASCtable[[#This Row],[Quantity ]]-DMPASCtable[[#This Row],[Forecasted consumption]],0)</f>
        <v>0</v>
      </c>
      <c r="K91" s="2"/>
      <c r="L91" s="2"/>
      <c r="M91" s="18"/>
      <c r="N91" s="23"/>
      <c r="O91" s="2"/>
      <c r="P91" s="20"/>
      <c r="Q91" s="24"/>
      <c r="R91" s="2"/>
      <c r="S91" s="2"/>
      <c r="T91" s="2" t="n">
        <v>6</v>
      </c>
      <c r="U91" s="2" t="n">
        <v>12</v>
      </c>
      <c r="V91" s="2" t="n">
        <v>12</v>
      </c>
      <c r="W91" s="21" t="n">
        <f>DMPASCtable[[#This Row],[Closing balance ]]/DMPASCtable[[#This Row],[Forecasted consumption]]</f>
        <v>0</v>
      </c>
      <c r="X91" s="25"/>
    </row>
    <row r="92">
      <c r="B92" s="6" t="s">
        <v>77</v>
      </c>
      <c r="C92" s="18" t="s">
        <v>42</v>
      </c>
      <c r="D92" s="17" t="s">
        <v>43</v>
      </c>
      <c r="E92" s="18" t="s">
        <v>31</v>
      </c>
      <c r="F92" s="19" t="n">
        <v>46174</v>
      </c>
      <c r="G92" s="23" t="n">
        <f t="shared" si="4"/>
        <v>0</v>
      </c>
      <c r="H92" s="23"/>
      <c r="I92" s="23" t="n">
        <v>66627</v>
      </c>
      <c r="J92" s="23" t="n">
        <f>MAX(DMPASCtable[[#This Row],[Stock on hand(opening balance)]]+DMPASCtable[[#This Row],[Quantity ]]-DMPASCtable[[#This Row],[Forecasted consumption]],0)</f>
        <v>0</v>
      </c>
      <c r="K92" s="2"/>
      <c r="L92" s="2"/>
      <c r="M92" s="18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21" t="n">
        <f>DMPASCtable[[#This Row],[Closing balance ]]/DMPASCtable[[#This Row],[Forecasted consumption]]</f>
        <v>0</v>
      </c>
      <c r="X92" s="25"/>
    </row>
    <row r="93">
      <c r="B93" s="6" t="s">
        <v>74</v>
      </c>
      <c r="C93" s="18" t="s">
        <v>42</v>
      </c>
      <c r="D93" s="17" t="s">
        <v>43</v>
      </c>
      <c r="E93" s="18" t="s">
        <v>31</v>
      </c>
      <c r="F93" s="19" t="n">
        <v>45870</v>
      </c>
      <c r="G93" s="23" t="n">
        <v>2530800</v>
      </c>
      <c r="H93" s="23"/>
      <c r="I93" s="23" t="n">
        <v>210000</v>
      </c>
      <c r="J93" s="23" t="n">
        <f>MAX(DMPASCtable[[#This Row],[Stock on hand(opening balance)]]+DMPASCtable[[#This Row],[Quantity ]]-DMPASCtable[[#This Row],[Forecasted consumption]],0)</f>
        <v>3870800</v>
      </c>
      <c r="K93" s="2" t="s">
        <v>51</v>
      </c>
      <c r="L93" s="2" t="s">
        <v>51</v>
      </c>
      <c r="M93" s="18" t="s">
        <v>154</v>
      </c>
      <c r="N93" s="23" t="n">
        <v>1550000</v>
      </c>
      <c r="O93" s="2"/>
      <c r="P93" s="20"/>
      <c r="Q93" s="24"/>
      <c r="R93" s="2"/>
      <c r="S93" s="2"/>
      <c r="T93" s="2" t="n">
        <v>3</v>
      </c>
      <c r="U93" s="2" t="n">
        <v>6</v>
      </c>
      <c r="V93" s="2" t="n">
        <v>6</v>
      </c>
      <c r="W93" s="21" t="n">
        <f>DMPASCtable[[#This Row],[Closing balance ]]/DMPASCtable[[#This Row],[Forecasted consumption]]</f>
        <v>18.432380952380953</v>
      </c>
      <c r="X93" s="25"/>
    </row>
    <row r="94">
      <c r="B94" s="6" t="s">
        <v>74</v>
      </c>
      <c r="C94" s="18" t="s">
        <v>42</v>
      </c>
      <c r="D94" s="17" t="s">
        <v>43</v>
      </c>
      <c r="E94" s="18" t="s">
        <v>31</v>
      </c>
      <c r="F94" s="19" t="n">
        <v>45901</v>
      </c>
      <c r="G94" s="23" t="n">
        <f>J93</f>
        <v>3870800</v>
      </c>
      <c r="H94" s="23"/>
      <c r="I94" s="23" t="n">
        <v>210000</v>
      </c>
      <c r="J94" s="23" t="n">
        <f>MAX(DMPASCtable[[#This Row],[Stock on hand(opening balance)]]+DMPASCtable[[#This Row],[Quantity ]]-DMPASCtable[[#This Row],[Forecasted consumption]],0)</f>
        <v>3706400</v>
      </c>
      <c r="K94" s="2" t="s">
        <v>51</v>
      </c>
      <c r="L94" s="2" t="s">
        <v>51</v>
      </c>
      <c r="M94" s="18" t="s">
        <v>147</v>
      </c>
      <c r="N94" s="23" t="n">
        <v>45600</v>
      </c>
      <c r="O94" s="2"/>
      <c r="P94" s="20"/>
      <c r="Q94" s="24"/>
      <c r="R94" s="2"/>
      <c r="S94" s="2"/>
      <c r="T94" s="2" t="n">
        <v>3</v>
      </c>
      <c r="U94" s="2" t="n">
        <v>6</v>
      </c>
      <c r="V94" s="2" t="n">
        <v>6</v>
      </c>
      <c r="W94" s="21" t="n">
        <f>DMPASCtable[[#This Row],[Closing balance ]]/DMPASCtable[[#This Row],[Forecasted consumption]]</f>
        <v>17.64952380952381</v>
      </c>
      <c r="X94" s="25"/>
    </row>
    <row r="95">
      <c r="B95" s="6" t="s">
        <v>74</v>
      </c>
      <c r="C95" s="18" t="s">
        <v>42</v>
      </c>
      <c r="D95" s="17" t="s">
        <v>43</v>
      </c>
      <c r="E95" s="18" t="s">
        <v>31</v>
      </c>
      <c r="F95" s="19" t="n">
        <v>45931</v>
      </c>
      <c r="G95" s="23" t="n">
        <f t="shared" ref="G95:G105" si="5">J94</f>
        <v>3706400</v>
      </c>
      <c r="H95" s="23"/>
      <c r="I95" s="23" t="n">
        <v>210000</v>
      </c>
      <c r="J95" s="23" t="n">
        <f>MAX(DMPASCtable[[#This Row],[Stock on hand(opening balance)]]+DMPASCtable[[#This Row],[Quantity ]]-DMPASCtable[[#This Row],[Forecasted consumption]],0)</f>
        <v>3496400</v>
      </c>
      <c r="K95" s="2"/>
      <c r="L95" s="2"/>
      <c r="M95" s="18"/>
      <c r="N95" s="23"/>
      <c r="O95" s="2"/>
      <c r="P95" s="20"/>
      <c r="Q95" s="24"/>
      <c r="R95" s="2"/>
      <c r="S95" s="2"/>
      <c r="T95" s="2" t="n">
        <v>3</v>
      </c>
      <c r="U95" s="2" t="n">
        <v>6</v>
      </c>
      <c r="V95" s="2" t="n">
        <v>6</v>
      </c>
      <c r="W95" s="21" t="n">
        <f>DMPASCtable[[#This Row],[Closing balance ]]/DMPASCtable[[#This Row],[Forecasted consumption]]</f>
        <v>16.64952380952381</v>
      </c>
      <c r="X95" s="25"/>
    </row>
    <row r="96">
      <c r="B96" s="6" t="s">
        <v>74</v>
      </c>
      <c r="C96" s="18" t="s">
        <v>42</v>
      </c>
      <c r="D96" s="17" t="s">
        <v>43</v>
      </c>
      <c r="E96" s="18" t="s">
        <v>31</v>
      </c>
      <c r="F96" s="19" t="n">
        <v>45962</v>
      </c>
      <c r="G96" s="23" t="n">
        <f t="shared" si="5"/>
        <v>3496400</v>
      </c>
      <c r="H96" s="23"/>
      <c r="I96" s="23" t="n">
        <v>210000</v>
      </c>
      <c r="J96" s="23" t="n">
        <f>MAX(DMPASCtable[[#This Row],[Stock on hand(opening balance)]]+DMPASCtable[[#This Row],[Quantity ]]-DMPASCtable[[#This Row],[Forecasted consumption]],0)</f>
        <v>3286400</v>
      </c>
      <c r="K96" s="2"/>
      <c r="L96" s="2"/>
      <c r="M96" s="18"/>
      <c r="N96" s="23"/>
      <c r="O96" s="2"/>
      <c r="P96" s="20"/>
      <c r="Q96" s="24"/>
      <c r="R96" s="2"/>
      <c r="S96" s="2"/>
      <c r="T96" s="2" t="n">
        <v>3</v>
      </c>
      <c r="U96" s="2" t="n">
        <v>6</v>
      </c>
      <c r="V96" s="2" t="n">
        <v>6</v>
      </c>
      <c r="W96" s="21" t="n">
        <f>DMPASCtable[[#This Row],[Closing balance ]]/DMPASCtable[[#This Row],[Forecasted consumption]]</f>
        <v>15.64952380952381</v>
      </c>
      <c r="X96" s="25"/>
    </row>
    <row r="97">
      <c r="B97" s="6" t="s">
        <v>74</v>
      </c>
      <c r="C97" s="18" t="s">
        <v>42</v>
      </c>
      <c r="D97" s="17" t="s">
        <v>43</v>
      </c>
      <c r="E97" s="18" t="s">
        <v>31</v>
      </c>
      <c r="F97" s="19" t="n">
        <v>45992</v>
      </c>
      <c r="G97" s="23" t="n">
        <f t="shared" si="5"/>
        <v>3286400</v>
      </c>
      <c r="H97" s="23"/>
      <c r="I97" s="23" t="n">
        <v>210000</v>
      </c>
      <c r="J97" s="23" t="n">
        <f>MAX(DMPASCtable[[#This Row],[Stock on hand(opening balance)]]+DMPASCtable[[#This Row],[Quantity ]]-DMPASCtable[[#This Row],[Forecasted consumption]],0)</f>
        <v>3076400</v>
      </c>
      <c r="K97" s="2"/>
      <c r="L97" s="2"/>
      <c r="M97" s="18"/>
      <c r="N97" s="23"/>
      <c r="O97" s="2"/>
      <c r="P97" s="20"/>
      <c r="Q97" s="24"/>
      <c r="R97" s="2"/>
      <c r="S97" s="2"/>
      <c r="T97" s="2" t="n">
        <v>3</v>
      </c>
      <c r="U97" s="2" t="n">
        <v>6</v>
      </c>
      <c r="V97" s="2" t="n">
        <v>6</v>
      </c>
      <c r="W97" s="21" t="n">
        <f>DMPASCtable[[#This Row],[Closing balance ]]/DMPASCtable[[#This Row],[Forecasted consumption]]</f>
        <v>14.64952380952381</v>
      </c>
      <c r="X97" s="25"/>
    </row>
    <row r="98">
      <c r="B98" s="6" t="s">
        <v>74</v>
      </c>
      <c r="C98" s="18" t="s">
        <v>42</v>
      </c>
      <c r="D98" s="17" t="s">
        <v>43</v>
      </c>
      <c r="E98" s="18" t="s">
        <v>31</v>
      </c>
      <c r="F98" s="19" t="n">
        <v>46023</v>
      </c>
      <c r="G98" s="23" t="n">
        <f t="shared" si="5"/>
        <v>3076400</v>
      </c>
      <c r="H98" s="23"/>
      <c r="I98" s="23" t="n">
        <v>210000</v>
      </c>
      <c r="J98" s="23" t="n">
        <f>MAX(DMPASCtable[[#This Row],[Stock on hand(opening balance)]]+DMPASCtable[[#This Row],[Quantity ]]-DMPASCtable[[#This Row],[Forecasted consumption]],0)</f>
        <v>2866400</v>
      </c>
      <c r="K98" s="2"/>
      <c r="L98" s="2"/>
      <c r="M98" s="18"/>
      <c r="N98" s="23"/>
      <c r="O98" s="2"/>
      <c r="P98" s="20"/>
      <c r="Q98" s="24"/>
      <c r="R98" s="2"/>
      <c r="S98" s="2"/>
      <c r="T98" s="2" t="n">
        <v>3</v>
      </c>
      <c r="U98" s="2" t="n">
        <v>6</v>
      </c>
      <c r="V98" s="2" t="n">
        <v>6</v>
      </c>
      <c r="W98" s="21" t="n">
        <f>DMPASCtable[[#This Row],[Closing balance ]]/DMPASCtable[[#This Row],[Forecasted consumption]]</f>
        <v>13.64952380952381</v>
      </c>
      <c r="X98" s="25"/>
    </row>
    <row r="99">
      <c r="B99" s="6" t="s">
        <v>74</v>
      </c>
      <c r="C99" s="18" t="s">
        <v>42</v>
      </c>
      <c r="D99" s="17" t="s">
        <v>43</v>
      </c>
      <c r="E99" s="18" t="s">
        <v>31</v>
      </c>
      <c r="F99" s="19" t="n">
        <v>46054</v>
      </c>
      <c r="G99" s="23" t="n">
        <f t="shared" si="5"/>
        <v>2866400</v>
      </c>
      <c r="H99" s="23"/>
      <c r="I99" s="23" t="n">
        <v>210000</v>
      </c>
      <c r="J99" s="23" t="n">
        <f>MAX(DMPASCtable[[#This Row],[Stock on hand(opening balance)]]+DMPASCtable[[#This Row],[Quantity ]]-DMPASCtable[[#This Row],[Forecasted consumption]],0)</f>
        <v>2656400</v>
      </c>
      <c r="K99" s="2"/>
      <c r="L99" s="2"/>
      <c r="M99" s="18"/>
      <c r="N99" s="23"/>
      <c r="O99" s="2"/>
      <c r="P99" s="20"/>
      <c r="Q99" s="24"/>
      <c r="R99" s="2"/>
      <c r="S99" s="2"/>
      <c r="T99" s="2" t="n">
        <v>3</v>
      </c>
      <c r="U99" s="2" t="n">
        <v>6</v>
      </c>
      <c r="V99" s="2" t="n">
        <v>6</v>
      </c>
      <c r="W99" s="21" t="n">
        <f>DMPASCtable[[#This Row],[Closing balance ]]/DMPASCtable[[#This Row],[Forecasted consumption]]</f>
        <v>12.64952380952381</v>
      </c>
      <c r="X99" s="25"/>
    </row>
    <row r="100">
      <c r="B100" s="6" t="s">
        <v>74</v>
      </c>
      <c r="C100" s="18" t="s">
        <v>42</v>
      </c>
      <c r="D100" s="17" t="s">
        <v>43</v>
      </c>
      <c r="E100" s="18" t="s">
        <v>31</v>
      </c>
      <c r="F100" s="19" t="n">
        <v>46082</v>
      </c>
      <c r="G100" s="23" t="n">
        <f t="shared" si="5"/>
        <v>2656400</v>
      </c>
      <c r="H100" s="23"/>
      <c r="I100" s="23" t="n">
        <v>210000</v>
      </c>
      <c r="J100" s="23" t="n">
        <f>MAX(DMPASCtable[[#This Row],[Stock on hand(opening balance)]]+DMPASCtable[[#This Row],[Quantity ]]-DMPASCtable[[#This Row],[Forecasted consumption]],0)</f>
        <v>2446400</v>
      </c>
      <c r="K100" s="2"/>
      <c r="L100" s="2"/>
      <c r="M100" s="18"/>
      <c r="N100" s="23"/>
      <c r="O100" s="2"/>
      <c r="P100" s="20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21" t="n">
        <f>DMPASCtable[[#This Row],[Closing balance ]]/DMPASCtable[[#This Row],[Forecasted consumption]]</f>
        <v>11.64952380952381</v>
      </c>
      <c r="X100" s="25"/>
    </row>
    <row r="101">
      <c r="B101" s="6" t="s">
        <v>74</v>
      </c>
      <c r="C101" s="18" t="s">
        <v>42</v>
      </c>
      <c r="D101" s="17" t="s">
        <v>43</v>
      </c>
      <c r="E101" s="18" t="s">
        <v>31</v>
      </c>
      <c r="F101" s="19" t="n">
        <v>46113</v>
      </c>
      <c r="G101" s="23" t="n">
        <f t="shared" si="5"/>
        <v>2446400</v>
      </c>
      <c r="H101" s="23"/>
      <c r="I101" s="23" t="n">
        <v>210000</v>
      </c>
      <c r="J101" s="23" t="n">
        <f>MAX(DMPASCtable[[#This Row],[Stock on hand(opening balance)]]+DMPASCtable[[#This Row],[Quantity ]]-DMPASCtable[[#This Row],[Forecasted consumption]],0)</f>
        <v>2236400</v>
      </c>
      <c r="K101" s="2"/>
      <c r="L101" s="2"/>
      <c r="M101" s="18"/>
      <c r="N101" s="23"/>
      <c r="O101" s="2"/>
      <c r="P101" s="20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21" t="n">
        <f>DMPASCtable[[#This Row],[Closing balance ]]/DMPASCtable[[#This Row],[Forecasted consumption]]</f>
        <v>10.64952380952381</v>
      </c>
      <c r="X101" s="25"/>
    </row>
    <row r="102">
      <c r="B102" s="6" t="s">
        <v>74</v>
      </c>
      <c r="C102" s="18" t="s">
        <v>42</v>
      </c>
      <c r="D102" s="17" t="s">
        <v>43</v>
      </c>
      <c r="E102" s="18" t="s">
        <v>31</v>
      </c>
      <c r="F102" s="19" t="n">
        <v>46143</v>
      </c>
      <c r="G102" s="23" t="n">
        <f t="shared" si="5"/>
        <v>2236400</v>
      </c>
      <c r="H102" s="23"/>
      <c r="I102" s="23" t="n">
        <v>210000</v>
      </c>
      <c r="J102" s="23" t="n">
        <f>MAX(DMPASCtable[[#This Row],[Stock on hand(opening balance)]]+DMPASCtable[[#This Row],[Quantity ]]-DMPASCtable[[#This Row],[Forecasted consumption]],0)</f>
        <v>2811000</v>
      </c>
      <c r="K102" s="2" t="s">
        <v>2</v>
      </c>
      <c r="L102" s="2" t="s">
        <v>2</v>
      </c>
      <c r="M102" s="18" t="s">
        <v>4</v>
      </c>
      <c r="N102" s="23" t="n">
        <v>784600</v>
      </c>
      <c r="O102" s="2"/>
      <c r="P102" s="20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21" t="n">
        <f>DMPASCtable[[#This Row],[Closing balance ]]/DMPASCtable[[#This Row],[Forecasted consumption]]</f>
        <v>13.385714285714286</v>
      </c>
      <c r="X102" s="25"/>
    </row>
    <row r="103">
      <c r="B103" s="6" t="s">
        <v>74</v>
      </c>
      <c r="C103" s="18" t="s">
        <v>42</v>
      </c>
      <c r="D103" s="17" t="s">
        <v>43</v>
      </c>
      <c r="E103" s="18" t="s">
        <v>31</v>
      </c>
      <c r="F103" s="19" t="n">
        <v>46174</v>
      </c>
      <c r="G103" s="23" t="n">
        <f t="shared" si="5"/>
        <v>2811000</v>
      </c>
      <c r="H103" s="23"/>
      <c r="I103" s="23" t="n">
        <v>210000</v>
      </c>
      <c r="J103" s="23" t="n">
        <f>MAX(DMPASCtable[[#This Row],[Stock on hand(opening balance)]]+DMPASCtable[[#This Row],[Quantity ]]-DMPASCtable[[#This Row],[Forecasted consumption]],0)</f>
        <v>2601000</v>
      </c>
      <c r="K103" s="2"/>
      <c r="L103" s="2"/>
      <c r="M103" s="18"/>
      <c r="N103" s="23"/>
      <c r="O103" s="2"/>
      <c r="P103" s="20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21" t="n">
        <f>DMPASCtable[[#This Row],[Closing balance ]]/DMPASCtable[[#This Row],[Forecasted consumption]]</f>
        <v>12.385714285714286</v>
      </c>
      <c r="X103" s="25"/>
    </row>
    <row r="104">
      <c r="B104" s="6" t="s">
        <v>74</v>
      </c>
      <c r="C104" s="18" t="s">
        <v>42</v>
      </c>
      <c r="D104" s="17" t="s">
        <v>43</v>
      </c>
      <c r="E104" s="18" t="s">
        <v>31</v>
      </c>
      <c r="F104" s="19" t="n">
        <v>46204</v>
      </c>
      <c r="G104" s="23" t="n">
        <f t="shared" si="5"/>
        <v>2601000</v>
      </c>
      <c r="H104" s="23"/>
      <c r="I104" s="23" t="n">
        <v>210000</v>
      </c>
      <c r="J104" s="23" t="n">
        <f>MAX(DMPASCtable[[#This Row],[Stock on hand(opening balance)]]+DMPASCtable[[#This Row],[Quantity ]]-DMPASCtable[[#This Row],[Forecasted consumption]],0)</f>
        <v>2633800</v>
      </c>
      <c r="K104" s="2" t="s">
        <v>2</v>
      </c>
      <c r="L104" s="2" t="s">
        <v>2</v>
      </c>
      <c r="M104" s="18" t="s">
        <v>4</v>
      </c>
      <c r="N104" s="23" t="n">
        <v>242800</v>
      </c>
      <c r="O104" s="2"/>
      <c r="P104" s="20"/>
      <c r="Q104" s="24"/>
      <c r="R104" s="2"/>
      <c r="S104" s="2"/>
      <c r="T104" s="2" t="n">
        <v>3</v>
      </c>
      <c r="U104" s="2" t="n">
        <v>6</v>
      </c>
      <c r="V104" s="2" t="n">
        <v>6</v>
      </c>
      <c r="W104" s="21" t="n">
        <f>DMPASCtable[[#This Row],[Closing balance ]]/DMPASCtable[[#This Row],[Forecasted consumption]]</f>
        <v>12.541904761904762</v>
      </c>
      <c r="X104" s="25"/>
    </row>
    <row r="105">
      <c r="B105" s="6" t="s">
        <v>74</v>
      </c>
      <c r="C105" s="18" t="s">
        <v>42</v>
      </c>
      <c r="D105" s="17" t="s">
        <v>43</v>
      </c>
      <c r="E105" s="18" t="s">
        <v>31</v>
      </c>
      <c r="F105" s="19" t="n">
        <v>46235</v>
      </c>
      <c r="G105" s="23" t="n">
        <f t="shared" si="5"/>
        <v>2633800</v>
      </c>
      <c r="H105" s="23"/>
      <c r="I105" s="23" t="n">
        <v>210000</v>
      </c>
      <c r="J105" s="23" t="n">
        <f>MAX(DMPASCtable[[#This Row],[Stock on hand(opening balance)]]+DMPASCtable[[#This Row],[Quantity ]]-DMPASCtable[[#This Row],[Forecasted consumption]],0)</f>
        <v>2823800</v>
      </c>
      <c r="K105" s="2" t="s">
        <v>2</v>
      </c>
      <c r="L105" s="2" t="s">
        <v>2</v>
      </c>
      <c r="M105" s="18" t="s">
        <v>4</v>
      </c>
      <c r="N105" s="23" t="n">
        <v>400000</v>
      </c>
      <c r="O105" s="2"/>
      <c r="P105" s="20"/>
      <c r="Q105" s="24"/>
      <c r="R105" s="2"/>
      <c r="S105" s="2"/>
      <c r="T105" s="2" t="n">
        <v>3</v>
      </c>
      <c r="U105" s="2" t="n">
        <v>6</v>
      </c>
      <c r="V105" s="2" t="n">
        <v>6</v>
      </c>
      <c r="W105" s="21" t="n">
        <f>DMPASCtable[[#This Row],[Closing balance ]]/DMPASCtable[[#This Row],[Forecasted consumption]]</f>
        <v>13.446666666666667</v>
      </c>
      <c r="X105" s="25"/>
    </row>
    <row r="106">
      <c r="B106" s="6" t="s">
        <v>166</v>
      </c>
      <c r="C106" s="18" t="s">
        <v>42</v>
      </c>
      <c r="D106" s="17" t="s">
        <v>43</v>
      </c>
      <c r="E106" s="18" t="s">
        <v>31</v>
      </c>
      <c r="F106" s="19" t="n">
        <v>45748</v>
      </c>
      <c r="G106" s="20" t="n">
        <v>31200</v>
      </c>
      <c r="H106" s="20"/>
      <c r="I106" s="20" t="n">
        <v>6178</v>
      </c>
      <c r="J106" s="20" t="n">
        <f>MAX(DMPASCtable[[#This Row],[Stock on hand(opening balance)]]+DMPASCtable[[#This Row],[Quantity ]]-DMPASCtable[[#This Row],[Forecasted consumption]],0)</f>
        <v>25022</v>
      </c>
      <c r="K106" s="18"/>
      <c r="L106" s="18"/>
      <c r="M106" s="18"/>
      <c r="N106" s="20"/>
      <c r="O106" s="18"/>
      <c r="P106" s="20"/>
      <c r="Q106" s="19"/>
      <c r="R106" s="18"/>
      <c r="S106" s="18"/>
      <c r="T106" s="18"/>
      <c r="U106" s="18"/>
      <c r="V106" s="18"/>
      <c r="W106" s="21" t="n">
        <f>DMPASCtable[[#This Row],[Closing balance ]]/DMPASCtable[[#This Row],[Forecasted consumption]]</f>
        <v>4.0501780511492393</v>
      </c>
      <c r="X106" s="22"/>
    </row>
    <row r="107">
      <c r="B107" s="6" t="s">
        <v>166</v>
      </c>
      <c r="C107" s="18" t="s">
        <v>42</v>
      </c>
      <c r="D107" s="17" t="s">
        <v>43</v>
      </c>
      <c r="E107" s="18" t="s">
        <v>31</v>
      </c>
      <c r="F107" s="19" t="n">
        <v>45778</v>
      </c>
      <c r="G107" s="23" t="n">
        <f>J106</f>
        <v>25022</v>
      </c>
      <c r="H107" s="23"/>
      <c r="I107" s="20" t="n">
        <v>6178</v>
      </c>
      <c r="J107" s="23" t="n">
        <f>MAX(DMPASCtable[[#This Row],[Stock on hand(opening balance)]]+DMPASCtable[[#This Row],[Quantity ]]-DMPASCtable[[#This Row],[Forecasted consumption]],0)</f>
        <v>18844</v>
      </c>
      <c r="K107" s="2"/>
      <c r="L107" s="2"/>
      <c r="M107" s="2"/>
      <c r="N107" s="23"/>
      <c r="O107" s="2"/>
      <c r="P107" s="20"/>
      <c r="Q107" s="24"/>
      <c r="R107" s="2"/>
      <c r="S107" s="2"/>
      <c r="T107" s="2"/>
      <c r="U107" s="2"/>
      <c r="V107" s="2"/>
      <c r="W107" s="21" t="n">
        <f>DMPASCtable[[#This Row],[Closing balance ]]/DMPASCtable[[#This Row],[Forecasted consumption]]</f>
        <v>3.0501780511492393</v>
      </c>
      <c r="X107" s="25"/>
    </row>
    <row r="108">
      <c r="B108" s="6" t="s">
        <v>166</v>
      </c>
      <c r="C108" s="18" t="s">
        <v>42</v>
      </c>
      <c r="D108" s="17" t="s">
        <v>43</v>
      </c>
      <c r="E108" s="18" t="s">
        <v>31</v>
      </c>
      <c r="F108" s="19" t="n">
        <v>45809</v>
      </c>
      <c r="G108" s="23" t="n">
        <f t="shared" ref="G108:G114" si="6">J107</f>
        <v>18844</v>
      </c>
      <c r="H108" s="23"/>
      <c r="I108" s="20" t="n">
        <v>6178</v>
      </c>
      <c r="J108" s="23" t="n">
        <f>MAX(DMPASCtable[[#This Row],[Stock on hand(opening balance)]]+DMPASCtable[[#This Row],[Quantity ]]-DMPASCtable[[#This Row],[Forecasted consumption]],0)</f>
        <v>32666</v>
      </c>
      <c r="K108" s="2"/>
      <c r="L108" s="2"/>
      <c r="M108" s="2"/>
      <c r="N108" s="23" t="n">
        <v>20000</v>
      </c>
      <c r="O108" s="2"/>
      <c r="P108" s="20"/>
      <c r="Q108" s="24"/>
      <c r="R108" s="2"/>
      <c r="S108" s="2"/>
      <c r="T108" s="2"/>
      <c r="U108" s="2"/>
      <c r="V108" s="2"/>
      <c r="W108" s="21" t="n">
        <f>DMPASCtable[[#This Row],[Closing balance ]]/DMPASCtable[[#This Row],[Forecasted consumption]]</f>
        <v>5.2874716736808027</v>
      </c>
      <c r="X108" s="25"/>
    </row>
    <row r="109">
      <c r="B109" s="6" t="s">
        <v>166</v>
      </c>
      <c r="C109" s="18" t="s">
        <v>42</v>
      </c>
      <c r="D109" s="17" t="s">
        <v>43</v>
      </c>
      <c r="E109" s="18" t="s">
        <v>31</v>
      </c>
      <c r="F109" s="19" t="n">
        <v>45839</v>
      </c>
      <c r="G109" s="23" t="n">
        <f t="shared" si="6"/>
        <v>32666</v>
      </c>
      <c r="H109" s="23"/>
      <c r="I109" s="20" t="n">
        <v>6178</v>
      </c>
      <c r="J109" s="23" t="n">
        <f>MAX(DMPASCtable[[#This Row],[Stock on hand(opening balance)]]+DMPASCtable[[#This Row],[Quantity ]]-DMPASCtable[[#This Row],[Forecasted consumption]],0)</f>
        <v>26488</v>
      </c>
      <c r="K109" s="2"/>
      <c r="L109" s="2"/>
      <c r="M109" s="2"/>
      <c r="N109" s="23"/>
      <c r="O109" s="2"/>
      <c r="P109" s="20"/>
      <c r="Q109" s="24"/>
      <c r="R109" s="2"/>
      <c r="S109" s="2"/>
      <c r="T109" s="2"/>
      <c r="U109" s="2"/>
      <c r="V109" s="2"/>
      <c r="W109" s="21" t="n">
        <f>DMPASCtable[[#This Row],[Closing balance ]]/DMPASCtable[[#This Row],[Forecasted consumption]]</f>
        <v>4.2874716736808027</v>
      </c>
      <c r="X109" s="25"/>
    </row>
    <row r="110">
      <c r="B110" s="6" t="s">
        <v>166</v>
      </c>
      <c r="C110" s="18" t="s">
        <v>42</v>
      </c>
      <c r="D110" s="17" t="s">
        <v>43</v>
      </c>
      <c r="E110" s="18" t="s">
        <v>31</v>
      </c>
      <c r="F110" s="19" t="n">
        <v>45870</v>
      </c>
      <c r="G110" s="23" t="n">
        <f t="shared" si="6"/>
        <v>26488</v>
      </c>
      <c r="H110" s="23"/>
      <c r="I110" s="20" t="n">
        <v>6178</v>
      </c>
      <c r="J110" s="23" t="n">
        <f>MAX(DMPASCtable[[#This Row],[Stock on hand(opening balance)]]+DMPASCtable[[#This Row],[Quantity ]]-DMPASCtable[[#This Row],[Forecasted consumption]],0)</f>
        <v>20310</v>
      </c>
      <c r="K110" s="2"/>
      <c r="L110" s="2"/>
      <c r="M110" s="2"/>
      <c r="N110" s="23"/>
      <c r="O110" s="2"/>
      <c r="P110" s="20"/>
      <c r="Q110" s="24"/>
      <c r="R110" s="2"/>
      <c r="S110" s="2"/>
      <c r="T110" s="2"/>
      <c r="U110" s="2"/>
      <c r="V110" s="2"/>
      <c r="W110" s="21" t="n">
        <f>DMPASCtable[[#This Row],[Closing balance ]]/DMPASCtable[[#This Row],[Forecasted consumption]]</f>
        <v>3.2874716736808027</v>
      </c>
      <c r="X110" s="25"/>
    </row>
    <row r="111">
      <c r="B111" s="6" t="s">
        <v>166</v>
      </c>
      <c r="C111" s="18" t="s">
        <v>42</v>
      </c>
      <c r="D111" s="17" t="s">
        <v>43</v>
      </c>
      <c r="E111" s="18" t="s">
        <v>31</v>
      </c>
      <c r="F111" s="19" t="n">
        <v>45901</v>
      </c>
      <c r="G111" s="23" t="n">
        <f t="shared" si="6"/>
        <v>20310</v>
      </c>
      <c r="H111" s="23"/>
      <c r="I111" s="20" t="n">
        <v>6178</v>
      </c>
      <c r="J111" s="23" t="n">
        <f>MAX(DMPASCtable[[#This Row],[Stock on hand(opening balance)]]+DMPASCtable[[#This Row],[Quantity ]]-DMPASCtable[[#This Row],[Forecasted consumption]],0)</f>
        <v>14132</v>
      </c>
      <c r="K111" s="2"/>
      <c r="L111" s="2"/>
      <c r="M111" s="2"/>
      <c r="N111" s="23"/>
      <c r="O111" s="2"/>
      <c r="P111" s="20"/>
      <c r="Q111" s="24"/>
      <c r="R111" s="2"/>
      <c r="S111" s="2"/>
      <c r="T111" s="2"/>
      <c r="U111" s="2"/>
      <c r="V111" s="2"/>
      <c r="W111" s="21" t="n">
        <f>DMPASCtable[[#This Row],[Closing balance ]]/DMPASCtable[[#This Row],[Forecasted consumption]]</f>
        <v>2.2874716736808027</v>
      </c>
      <c r="X111" s="25"/>
    </row>
    <row r="112">
      <c r="B112" s="6" t="s">
        <v>166</v>
      </c>
      <c r="C112" s="18" t="s">
        <v>42</v>
      </c>
      <c r="D112" s="17" t="s">
        <v>43</v>
      </c>
      <c r="E112" s="18" t="s">
        <v>31</v>
      </c>
      <c r="F112" s="19" t="n">
        <v>45931</v>
      </c>
      <c r="G112" s="23" t="n">
        <f t="shared" si="6"/>
        <v>14132</v>
      </c>
      <c r="H112" s="23"/>
      <c r="I112" s="20" t="n">
        <v>6178</v>
      </c>
      <c r="J112" s="23" t="n">
        <f>MAX(DMPASCtable[[#This Row],[Stock on hand(opening balance)]]+DMPASCtable[[#This Row],[Quantity ]]-DMPASCtable[[#This Row],[Forecasted consumption]],0)</f>
        <v>7954</v>
      </c>
      <c r="K112" s="2"/>
      <c r="L112" s="2"/>
      <c r="M112" s="2"/>
      <c r="N112" s="23"/>
      <c r="O112" s="2"/>
      <c r="P112" s="20"/>
      <c r="Q112" s="24"/>
      <c r="R112" s="2"/>
      <c r="S112" s="2"/>
      <c r="T112" s="2"/>
      <c r="U112" s="2"/>
      <c r="V112" s="2"/>
      <c r="W112" s="21" t="n">
        <f>DMPASCtable[[#This Row],[Closing balance ]]/DMPASCtable[[#This Row],[Forecasted consumption]]</f>
        <v>1.287471673680803</v>
      </c>
      <c r="X112" s="25"/>
    </row>
    <row r="113">
      <c r="B113" s="6" t="s">
        <v>166</v>
      </c>
      <c r="C113" s="18" t="s">
        <v>42</v>
      </c>
      <c r="D113" s="17" t="s">
        <v>43</v>
      </c>
      <c r="E113" s="18" t="s">
        <v>31</v>
      </c>
      <c r="F113" s="19" t="n">
        <v>45962</v>
      </c>
      <c r="G113" s="23" t="n">
        <f t="shared" si="6"/>
        <v>7954</v>
      </c>
      <c r="H113" s="23"/>
      <c r="I113" s="20" t="n">
        <v>6178</v>
      </c>
      <c r="J113" s="23" t="n">
        <f>MAX(DMPASCtable[[#This Row],[Stock on hand(opening balance)]]+DMPASCtable[[#This Row],[Quantity ]]-DMPASCtable[[#This Row],[Forecasted consumption]],0)</f>
        <v>1776</v>
      </c>
      <c r="K113" s="2"/>
      <c r="L113" s="2"/>
      <c r="M113" s="2"/>
      <c r="N113" s="23"/>
      <c r="O113" s="2"/>
      <c r="P113" s="20"/>
      <c r="Q113" s="24"/>
      <c r="R113" s="2"/>
      <c r="S113" s="2"/>
      <c r="T113" s="2"/>
      <c r="U113" s="2"/>
      <c r="V113" s="2"/>
      <c r="W113" s="21" t="n">
        <f>DMPASCtable[[#This Row],[Closing balance ]]/DMPASCtable[[#This Row],[Forecasted consumption]]</f>
        <v>0.28747167368080284</v>
      </c>
      <c r="X113" s="25"/>
    </row>
    <row r="114">
      <c r="B114" s="6" t="s">
        <v>166</v>
      </c>
      <c r="C114" s="18" t="s">
        <v>42</v>
      </c>
      <c r="D114" s="17" t="s">
        <v>43</v>
      </c>
      <c r="E114" s="18" t="s">
        <v>31</v>
      </c>
      <c r="F114" s="19" t="n">
        <v>45992</v>
      </c>
      <c r="G114" s="23" t="n">
        <f t="shared" si="6"/>
        <v>1776</v>
      </c>
      <c r="H114" s="23"/>
      <c r="I114" s="20" t="n">
        <v>6178</v>
      </c>
      <c r="J114" s="23" t="n">
        <f>MAX(DMPASCtable[[#This Row],[Stock on hand(opening balance)]]+DMPASCtable[[#This Row],[Quantity ]]-DMPASCtable[[#This Row],[Forecasted consumption]],0)</f>
        <v>0</v>
      </c>
      <c r="K114" s="2"/>
      <c r="L114" s="2"/>
      <c r="M114" s="2"/>
      <c r="N114" s="23"/>
      <c r="O114" s="2"/>
      <c r="P114" s="20"/>
      <c r="Q114" s="24"/>
      <c r="R114" s="2"/>
      <c r="S114" s="2"/>
      <c r="T114" s="2"/>
      <c r="U114" s="2"/>
      <c r="V114" s="2"/>
      <c r="W114" s="21" t="n">
        <f>DMPASCtable[[#This Row],[Closing balance ]]/DMPASCtable[[#This Row],[Forecasted consumption]]</f>
        <v>0</v>
      </c>
      <c r="X114" s="25"/>
    </row>
  </sheetData>
  <dataValidations count="3">
    <dataValidation type="list" allowBlank="1" showInputMessage="1" showErrorMessage="1" sqref="M106:M199" xr:uid="{3996488C-818F-4E19-BE6E-98D11C0456A8}">
      <formula1>"Committed,  Placed, Expected Deliveries, Received, cancelled"</formula1>
    </dataValidation>
    <dataValidation type="list" allowBlank="1" showInputMessage="1" showErrorMessage="1" sqref="E7:E114" xr:uid="{A1691F81-E763-47D0-B8DA-2F97296E5852}">
      <formula1>"All levels, Central, Central and Regional, Facilities "</formula1>
    </dataValidation>
    <dataValidation type="list" allowBlank="1" showInputMessage="1" showErrorMessage="1" sqref="M7:M105" xr:uid="{D1752A2A-889C-4D6F-AD41-1C0F910E0FF2}">
      <formula1>"Committed,  Placed, Expected Deliveries, Received, cancelled ,Planned"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FE1B9-1375-4377-9E3B-9EFFF702146E}">
          <x14:formula1>
            <xm:f>'choices countries '!$B$3:$B$12</xm:f>
          </x14:formula1>
          <xm:sqref>B115:B500 B7:B105</xm:sqref>
        </x14:dataValidation>
        <x14:dataValidation type="list" allowBlank="1" showInputMessage="1" showErrorMessage="1" xr:uid="{B41B7C01-3985-4B05-9A27-6FD67D0E0BC0}">
          <x14:formula1>
            <xm:f>'choices countries '!$B$3:$B$15</xm:f>
          </x14:formula1>
          <xm:sqref>B106:B114</xm:sqref>
        </x14:dataValidation>
        <x14:dataValidation type="list" allowBlank="1" showInputMessage="1" showErrorMessage="1" xr:uid="{960ECA75-7DFE-4C99-984F-A8D3AF870B2F}">
          <x14:formula1>
            <xm:f>'product list '!$A$33</xm:f>
          </x14:formula1>
          <xm:sqref>C7:C114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44</v>
      </c>
      <c r="D7" s="17" t="s">
        <v>45</v>
      </c>
      <c r="E7" s="18" t="s">
        <v>31</v>
      </c>
      <c r="F7" s="19" t="n">
        <v>45839</v>
      </c>
      <c r="G7" s="20" t="n">
        <v>238677</v>
      </c>
      <c r="H7" s="20"/>
      <c r="I7" s="20" t="n">
        <v>78968</v>
      </c>
      <c r="J7" s="20" t="n">
        <f>MAX(DMPAIMtable[[#This Row],[Stock on hand(opening balance)]]+DMPAIMtable[[#This Row],[Quantity ]]-DMPAIMtable[[#This Row],[Forecasted consumption]],0)</f>
        <v>159709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DMPAIMtable[[#This Row],[Closing balance ]]/DMPAIMtable[[#This Row],[Forecasted consumption]]</f>
        <v>2.0224521325093709</v>
      </c>
      <c r="X7" s="22"/>
    </row>
    <row r="8">
      <c r="B8" s="6" t="s">
        <v>28</v>
      </c>
      <c r="C8" s="17" t="s">
        <v>44</v>
      </c>
      <c r="D8" s="17" t="s">
        <v>45</v>
      </c>
      <c r="E8" s="18" t="s">
        <v>31</v>
      </c>
      <c r="F8" s="19" t="n">
        <v>45870</v>
      </c>
      <c r="G8" s="23" t="n">
        <f>J7</f>
        <v>159709</v>
      </c>
      <c r="H8" s="23"/>
      <c r="I8" s="20" t="n">
        <v>78968</v>
      </c>
      <c r="J8" s="23" t="n">
        <f>MAX(DMPAIMtable[[#This Row],[Stock on hand(opening balance)]]+DMPAIMtable[[#This Row],[Quantity ]]-DMPAIMtable[[#This Row],[Forecasted consumption]],0)</f>
        <v>80741</v>
      </c>
      <c r="K8" s="2"/>
      <c r="L8" s="2"/>
      <c r="M8" s="2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DMPAIMtable[[#This Row],[Closing balance ]]/DMPAIMtable[[#This Row],[Forecasted consumption]]</f>
        <v>1.0224521325093709</v>
      </c>
      <c r="X8" s="25"/>
    </row>
    <row r="9">
      <c r="B9" s="6" t="s">
        <v>28</v>
      </c>
      <c r="C9" s="17" t="s">
        <v>44</v>
      </c>
      <c r="D9" s="17" t="s">
        <v>45</v>
      </c>
      <c r="E9" s="18" t="s">
        <v>31</v>
      </c>
      <c r="F9" s="19" t="n">
        <v>45901</v>
      </c>
      <c r="G9" s="23" t="n">
        <f t="shared" ref="G9:G18" si="0">J8</f>
        <v>80741</v>
      </c>
      <c r="H9" s="23"/>
      <c r="I9" s="20" t="n">
        <v>78968</v>
      </c>
      <c r="J9" s="23" t="n">
        <f>MAX(DMPAIMtable[[#This Row],[Stock on hand(opening balance)]]+DMPAIMtable[[#This Row],[Quantity ]]-DMPAIMtable[[#This Row],[Forecasted consumption]],0)</f>
        <v>402646</v>
      </c>
      <c r="K9" s="2" t="s">
        <v>2</v>
      </c>
      <c r="L9" s="2" t="s">
        <v>2</v>
      </c>
      <c r="M9" s="2" t="s">
        <v>4</v>
      </c>
      <c r="N9" s="23" t="n">
        <v>400873</v>
      </c>
      <c r="O9" s="2"/>
      <c r="P9" s="31" t="n">
        <v>365596</v>
      </c>
      <c r="Q9" s="24" t="n">
        <v>45901</v>
      </c>
      <c r="R9" s="2"/>
      <c r="S9" s="2"/>
      <c r="T9" s="18" t="n">
        <v>9</v>
      </c>
      <c r="U9" s="18" t="n">
        <v>14</v>
      </c>
      <c r="V9" s="18" t="n">
        <v>13</v>
      </c>
      <c r="W9" s="3" t="n">
        <f>DMPAIMtable[[#This Row],[Closing balance ]]/DMPAIMtable[[#This Row],[Forecasted consumption]]</f>
        <v>5.0988501671563169</v>
      </c>
      <c r="X9" s="25"/>
    </row>
    <row r="10">
      <c r="B10" s="6" t="s">
        <v>28</v>
      </c>
      <c r="C10" s="17" t="s">
        <v>44</v>
      </c>
      <c r="D10" s="17" t="s">
        <v>45</v>
      </c>
      <c r="E10" s="18" t="s">
        <v>31</v>
      </c>
      <c r="F10" s="19" t="n">
        <v>45931</v>
      </c>
      <c r="G10" s="23" t="n">
        <f t="shared" si="0"/>
        <v>402646</v>
      </c>
      <c r="H10" s="23"/>
      <c r="I10" s="20" t="n">
        <v>78968</v>
      </c>
      <c r="J10" s="23" t="n">
        <f>MAX(DMPAIMtable[[#This Row],[Stock on hand(opening balance)]]+DMPAIMtable[[#This Row],[Quantity ]]-DMPAIMtable[[#This Row],[Forecasted consumption]],0)</f>
        <v>323678</v>
      </c>
      <c r="K10" s="2"/>
      <c r="L10" s="2"/>
      <c r="M10" s="2"/>
      <c r="N10" s="23"/>
      <c r="O10" s="2"/>
      <c r="P10" s="31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DMPAIMtable[[#This Row],[Closing balance ]]/DMPAIMtable[[#This Row],[Forecasted consumption]]</f>
        <v>4.0988501671563169</v>
      </c>
      <c r="X10" s="25"/>
    </row>
    <row r="11">
      <c r="B11" s="6" t="s">
        <v>28</v>
      </c>
      <c r="C11" s="17" t="s">
        <v>44</v>
      </c>
      <c r="D11" s="17" t="s">
        <v>45</v>
      </c>
      <c r="E11" s="18" t="s">
        <v>31</v>
      </c>
      <c r="F11" s="19" t="n">
        <v>45962</v>
      </c>
      <c r="G11" s="23" t="n">
        <f t="shared" si="0"/>
        <v>323678</v>
      </c>
      <c r="H11" s="23"/>
      <c r="I11" s="20" t="n">
        <v>78968</v>
      </c>
      <c r="J11" s="23" t="n">
        <f>MAX(DMPAIMtable[[#This Row],[Stock on hand(opening balance)]]+DMPAIMtable[[#This Row],[Quantity ]]-DMPAIMtable[[#This Row],[Forecasted consumption]],0)</f>
        <v>244710</v>
      </c>
      <c r="K11" s="2"/>
      <c r="L11" s="2"/>
      <c r="M11" s="2"/>
      <c r="N11" s="23"/>
      <c r="O11" s="2"/>
      <c r="P11" s="31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DMPAIMtable[[#This Row],[Closing balance ]]/DMPAIMtable[[#This Row],[Forecasted consumption]]</f>
        <v>3.0988501671563164</v>
      </c>
      <c r="X11" s="25"/>
    </row>
    <row r="12">
      <c r="B12" s="6" t="s">
        <v>28</v>
      </c>
      <c r="C12" s="17" t="s">
        <v>44</v>
      </c>
      <c r="D12" s="17" t="s">
        <v>45</v>
      </c>
      <c r="E12" s="18" t="s">
        <v>31</v>
      </c>
      <c r="F12" s="19" t="n">
        <v>45992</v>
      </c>
      <c r="G12" s="23" t="n">
        <f t="shared" si="0"/>
        <v>244710</v>
      </c>
      <c r="H12" s="23"/>
      <c r="I12" s="20" t="n">
        <v>78968</v>
      </c>
      <c r="J12" s="23" t="n">
        <f>MAX(DMPAIMtable[[#This Row],[Stock on hand(opening balance)]]+DMPAIMtable[[#This Row],[Quantity ]]-DMPAIMtable[[#This Row],[Forecasted consumption]],0)</f>
        <v>165742</v>
      </c>
      <c r="K12" s="2"/>
      <c r="L12" s="2"/>
      <c r="M12" s="2"/>
      <c r="N12" s="23"/>
      <c r="O12" s="2"/>
      <c r="P12" s="31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DMPAIMtable[[#This Row],[Closing balance ]]/DMPAIMtable[[#This Row],[Forecasted consumption]]</f>
        <v>2.0988501671563164</v>
      </c>
      <c r="X12" s="25"/>
    </row>
    <row r="13">
      <c r="B13" s="6" t="s">
        <v>28</v>
      </c>
      <c r="C13" s="17" t="s">
        <v>44</v>
      </c>
      <c r="D13" s="17" t="s">
        <v>45</v>
      </c>
      <c r="E13" s="18" t="s">
        <v>31</v>
      </c>
      <c r="F13" s="19" t="n">
        <v>46023</v>
      </c>
      <c r="G13" s="23" t="n">
        <f t="shared" si="0"/>
        <v>165742</v>
      </c>
      <c r="H13" s="23"/>
      <c r="I13" s="20" t="n">
        <v>78968</v>
      </c>
      <c r="J13" s="23" t="n">
        <f>MAX(DMPAIMtable[[#This Row],[Stock on hand(opening balance)]]+DMPAIMtable[[#This Row],[Quantity ]]-DMPAIMtable[[#This Row],[Forecasted consumption]],0)</f>
        <v>86774</v>
      </c>
      <c r="K13" s="2"/>
      <c r="L13" s="2"/>
      <c r="M13" s="2"/>
      <c r="N13" s="23"/>
      <c r="O13" s="2"/>
      <c r="P13" s="31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DMPAIMtable[[#This Row],[Closing balance ]]/DMPAIMtable[[#This Row],[Forecasted consumption]]</f>
        <v>1.0988501671563164</v>
      </c>
      <c r="X13" s="25"/>
    </row>
    <row r="14">
      <c r="B14" s="6" t="s">
        <v>28</v>
      </c>
      <c r="C14" s="17" t="s">
        <v>44</v>
      </c>
      <c r="D14" s="17" t="s">
        <v>45</v>
      </c>
      <c r="E14" s="18" t="s">
        <v>31</v>
      </c>
      <c r="F14" s="19" t="n">
        <v>46054</v>
      </c>
      <c r="G14" s="23" t="n">
        <f t="shared" si="0"/>
        <v>86774</v>
      </c>
      <c r="H14" s="23"/>
      <c r="I14" s="20" t="n">
        <v>78968</v>
      </c>
      <c r="J14" s="23" t="n">
        <f>MAX(DMPAIMtable[[#This Row],[Stock on hand(opening balance)]]+DMPAIMtable[[#This Row],[Quantity ]]-DMPAIMtable[[#This Row],[Forecasted consumption]],0)</f>
        <v>412374</v>
      </c>
      <c r="K14" s="2" t="s">
        <v>2</v>
      </c>
      <c r="L14" s="2" t="s">
        <v>2</v>
      </c>
      <c r="M14" s="2" t="s">
        <v>4</v>
      </c>
      <c r="N14" s="23" t="n">
        <v>404568</v>
      </c>
      <c r="O14" s="2"/>
      <c r="P14" s="31" t="n">
        <v>368966</v>
      </c>
      <c r="Q14" s="24" t="n">
        <v>46054</v>
      </c>
      <c r="R14" s="2"/>
      <c r="S14" s="2"/>
      <c r="T14" s="18" t="n">
        <v>9</v>
      </c>
      <c r="U14" s="18" t="n">
        <v>14</v>
      </c>
      <c r="V14" s="18" t="n">
        <v>13</v>
      </c>
      <c r="W14" s="3" t="n">
        <f>DMPAIMtable[[#This Row],[Closing balance ]]/DMPAIMtable[[#This Row],[Forecasted consumption]]</f>
        <v>5.2220393070610882</v>
      </c>
      <c r="X14" s="25"/>
    </row>
    <row r="15">
      <c r="B15" s="6" t="s">
        <v>28</v>
      </c>
      <c r="C15" s="17" t="s">
        <v>44</v>
      </c>
      <c r="D15" s="17" t="s">
        <v>45</v>
      </c>
      <c r="E15" s="18" t="s">
        <v>31</v>
      </c>
      <c r="F15" s="19" t="n">
        <v>46082</v>
      </c>
      <c r="G15" s="23" t="n">
        <f t="shared" si="0"/>
        <v>412374</v>
      </c>
      <c r="H15" s="23"/>
      <c r="I15" s="20" t="n">
        <v>78968</v>
      </c>
      <c r="J15" s="23" t="n">
        <f>MAX(DMPAIMtable[[#This Row],[Stock on hand(opening balance)]]+DMPAIMtable[[#This Row],[Quantity ]]-DMPAIMtable[[#This Row],[Forecasted consumption]],0)</f>
        <v>333406</v>
      </c>
      <c r="K15" s="2"/>
      <c r="L15" s="2"/>
      <c r="M15" s="2"/>
      <c r="N15" s="23"/>
      <c r="O15" s="2"/>
      <c r="P15" s="31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DMPAIMtable[[#This Row],[Closing balance ]]/DMPAIMtable[[#This Row],[Forecasted consumption]]</f>
        <v>4.2220393070610882</v>
      </c>
      <c r="X15" s="25"/>
    </row>
    <row r="16">
      <c r="B16" s="6" t="s">
        <v>28</v>
      </c>
      <c r="C16" s="17" t="s">
        <v>44</v>
      </c>
      <c r="D16" s="17" t="s">
        <v>45</v>
      </c>
      <c r="E16" s="18" t="s">
        <v>31</v>
      </c>
      <c r="F16" s="19" t="n">
        <v>46113</v>
      </c>
      <c r="G16" s="23" t="n">
        <f t="shared" si="0"/>
        <v>333406</v>
      </c>
      <c r="H16" s="23"/>
      <c r="I16" s="20" t="n">
        <v>78968</v>
      </c>
      <c r="J16" s="23" t="n">
        <f>MAX(DMPAIMtable[[#This Row],[Stock on hand(opening balance)]]+DMPAIMtable[[#This Row],[Quantity ]]-DMPAIMtable[[#This Row],[Forecasted consumption]],0)</f>
        <v>254438</v>
      </c>
      <c r="K16" s="2"/>
      <c r="L16" s="2"/>
      <c r="M16" s="2"/>
      <c r="N16" s="23"/>
      <c r="O16" s="2"/>
      <c r="P16" s="31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DMPAIMtable[[#This Row],[Closing balance ]]/DMPAIMtable[[#This Row],[Forecasted consumption]]</f>
        <v>3.2220393070610882</v>
      </c>
      <c r="X16" s="25"/>
    </row>
    <row r="17">
      <c r="B17" s="6" t="s">
        <v>28</v>
      </c>
      <c r="C17" s="17" t="s">
        <v>44</v>
      </c>
      <c r="D17" s="17" t="s">
        <v>45</v>
      </c>
      <c r="E17" s="18" t="s">
        <v>31</v>
      </c>
      <c r="F17" s="19" t="n">
        <v>46143</v>
      </c>
      <c r="G17" s="23" t="n">
        <f t="shared" si="0"/>
        <v>254438</v>
      </c>
      <c r="H17" s="23"/>
      <c r="I17" s="20" t="n">
        <v>78968</v>
      </c>
      <c r="J17" s="23" t="n">
        <f>MAX(DMPAIMtable[[#This Row],[Stock on hand(opening balance)]]+DMPAIMtable[[#This Row],[Quantity ]]-DMPAIMtable[[#This Row],[Forecasted consumption]],0)</f>
        <v>175470</v>
      </c>
      <c r="K17" s="2"/>
      <c r="L17" s="2"/>
      <c r="M17" s="2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DMPAIMtable[[#This Row],[Closing balance ]]/DMPAIMtable[[#This Row],[Forecasted consumption]]</f>
        <v>2.2220393070610882</v>
      </c>
      <c r="X17" s="25"/>
    </row>
    <row r="18">
      <c r="B18" s="6" t="s">
        <v>28</v>
      </c>
      <c r="C18" s="17" t="s">
        <v>44</v>
      </c>
      <c r="D18" s="17" t="s">
        <v>45</v>
      </c>
      <c r="E18" s="2" t="s">
        <v>31</v>
      </c>
      <c r="F18" s="19" t="n">
        <v>46174</v>
      </c>
      <c r="G18" s="23" t="n">
        <f t="shared" si="0"/>
        <v>175470</v>
      </c>
      <c r="H18" s="23"/>
      <c r="I18" s="20" t="n">
        <v>78968</v>
      </c>
      <c r="J18" s="23" t="n">
        <f>MAX(DMPAIMtable[[#This Row],[Stock on hand(opening balance)]]+DMPAIMtable[[#This Row],[Quantity ]]-DMPAIMtable[[#This Row],[Forecasted consumption]],0)</f>
        <v>96502</v>
      </c>
      <c r="K18" s="2"/>
      <c r="L18" s="2"/>
      <c r="M18" s="2"/>
      <c r="N18" s="23"/>
      <c r="O18" s="2"/>
      <c r="P18" s="31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DMPAIMtable[[#This Row],[Closing balance ]]/DMPAIMtable[[#This Row],[Forecasted consumption]]</f>
        <v>1.222039307061088</v>
      </c>
      <c r="X18" s="25"/>
    </row>
    <row r="19">
      <c r="B19" s="6" t="s">
        <v>75</v>
      </c>
      <c r="C19" s="18" t="s">
        <v>44</v>
      </c>
      <c r="D19" s="17" t="s">
        <v>45</v>
      </c>
      <c r="E19" s="18" t="s">
        <v>31</v>
      </c>
      <c r="F19" s="19" t="n">
        <v>45748</v>
      </c>
      <c r="G19" s="20" t="n">
        <v>2388682</v>
      </c>
      <c r="H19" s="20"/>
      <c r="I19" s="20" t="n">
        <v>308825</v>
      </c>
      <c r="J19" s="20" t="n">
        <f>MAX(DMPAIMtable[[#This Row],[Stock on hand(opening balance)]]+DMPAIMtable[[#This Row],[Quantity ]]-DMPAIMtable[[#This Row],[Forecasted consumption]],0)</f>
        <v>2079857</v>
      </c>
      <c r="K19" s="18"/>
      <c r="L19" s="18"/>
      <c r="M19" s="2"/>
      <c r="N19" s="20"/>
      <c r="O19" s="18"/>
      <c r="P19" s="20"/>
      <c r="Q19" s="19"/>
      <c r="R19" s="18"/>
      <c r="S19" s="18"/>
      <c r="T19" s="18" t="n">
        <v>6</v>
      </c>
      <c r="U19" s="18" t="n">
        <v>12</v>
      </c>
      <c r="V19" s="18" t="n">
        <v>12</v>
      </c>
      <c r="W19" s="21" t="n">
        <f>DMPAIMtable[[#This Row],[Closing balance ]]/DMPAIMtable[[#This Row],[Forecasted consumption]]</f>
        <v>6.7347429774143936</v>
      </c>
      <c r="X19" s="22"/>
    </row>
    <row r="20">
      <c r="B20" s="6" t="s">
        <v>75</v>
      </c>
      <c r="C20" s="18" t="s">
        <v>44</v>
      </c>
      <c r="D20" s="17" t="s">
        <v>45</v>
      </c>
      <c r="E20" s="18" t="s">
        <v>31</v>
      </c>
      <c r="F20" s="19" t="n">
        <v>45778</v>
      </c>
      <c r="G20" s="23" t="n">
        <f>J19</f>
        <v>2079857</v>
      </c>
      <c r="H20" s="23"/>
      <c r="I20" s="23" t="n">
        <v>312846</v>
      </c>
      <c r="J20" s="23" t="n">
        <f>MAX(DMPAIMtable[[#This Row],[Stock on hand(opening balance)]]+DMPAIMtable[[#This Row],[Quantity ]]-DMPAIMtable[[#This Row],[Forecasted consumption]],0)</f>
        <v>2267011</v>
      </c>
      <c r="K20" s="2"/>
      <c r="L20" s="2"/>
      <c r="M20" s="2" t="s">
        <v>153</v>
      </c>
      <c r="N20" s="23" t="n">
        <v>500000</v>
      </c>
      <c r="O20" s="2"/>
      <c r="P20" s="20"/>
      <c r="Q20" s="24"/>
      <c r="R20" s="2"/>
      <c r="S20" s="2"/>
      <c r="T20" s="18" t="n">
        <v>6</v>
      </c>
      <c r="U20" s="18" t="n">
        <v>12</v>
      </c>
      <c r="V20" s="18" t="n">
        <v>12</v>
      </c>
      <c r="W20" s="3" t="n">
        <f>DMPAIMtable[[#This Row],[Closing balance ]]/DMPAIMtable[[#This Row],[Forecasted consumption]]</f>
        <v>7.2464119726638669</v>
      </c>
      <c r="X20" s="25"/>
    </row>
    <row r="21">
      <c r="B21" s="6" t="s">
        <v>75</v>
      </c>
      <c r="C21" s="18" t="s">
        <v>44</v>
      </c>
      <c r="D21" s="17" t="s">
        <v>45</v>
      </c>
      <c r="E21" s="18" t="s">
        <v>31</v>
      </c>
      <c r="F21" s="19" t="n">
        <v>45809</v>
      </c>
      <c r="G21" s="23" t="n">
        <f t="shared" ref="G21:G36" si="1">J20</f>
        <v>2267011</v>
      </c>
      <c r="H21" s="23"/>
      <c r="I21" s="23" t="n">
        <v>316867</v>
      </c>
      <c r="J21" s="23" t="n">
        <f>MAX(DMPAIMtable[[#This Row],[Stock on hand(opening balance)]]+DMPAIMtable[[#This Row],[Quantity ]]-DMPAIMtable[[#This Row],[Forecasted consumption]],0)</f>
        <v>1950144</v>
      </c>
      <c r="K21" s="2"/>
      <c r="L21" s="2"/>
      <c r="M21" s="2"/>
      <c r="N21" s="23"/>
      <c r="O21" s="2"/>
      <c r="P21" s="20"/>
      <c r="Q21" s="24"/>
      <c r="R21" s="2"/>
      <c r="S21" s="2"/>
      <c r="T21" s="18" t="n">
        <v>6</v>
      </c>
      <c r="U21" s="18" t="n">
        <v>12</v>
      </c>
      <c r="V21" s="18" t="n">
        <v>12</v>
      </c>
      <c r="W21" s="3" t="n">
        <f>DMPAIMtable[[#This Row],[Closing balance ]]/DMPAIMtable[[#This Row],[Forecasted consumption]]</f>
        <v>6.1544559704860395</v>
      </c>
      <c r="X21" s="25"/>
    </row>
    <row r="22">
      <c r="B22" s="6" t="s">
        <v>75</v>
      </c>
      <c r="C22" s="18" t="s">
        <v>44</v>
      </c>
      <c r="D22" s="17" t="s">
        <v>45</v>
      </c>
      <c r="E22" s="18" t="s">
        <v>31</v>
      </c>
      <c r="F22" s="19" t="n">
        <v>45839</v>
      </c>
      <c r="G22" s="23" t="n">
        <f t="shared" si="1"/>
        <v>1950144</v>
      </c>
      <c r="H22" s="23"/>
      <c r="I22" s="23" t="n">
        <v>320888</v>
      </c>
      <c r="J22" s="23" t="n">
        <f>MAX(DMPAIMtable[[#This Row],[Stock on hand(opening balance)]]+DMPAIMtable[[#This Row],[Quantity ]]-DMPAIMtable[[#This Row],[Forecasted consumption]],0)</f>
        <v>1629256</v>
      </c>
      <c r="K22" s="2"/>
      <c r="L22" s="2"/>
      <c r="M22" s="2"/>
      <c r="N22" s="23"/>
      <c r="O22" s="2"/>
      <c r="P22" s="20"/>
      <c r="Q22" s="24"/>
      <c r="R22" s="2"/>
      <c r="S22" s="2"/>
      <c r="T22" s="18" t="n">
        <v>6</v>
      </c>
      <c r="U22" s="18" t="n">
        <v>12</v>
      </c>
      <c r="V22" s="18" t="n">
        <v>12</v>
      </c>
      <c r="W22" s="3" t="n">
        <f>DMPAIMtable[[#This Row],[Closing balance ]]/DMPAIMtable[[#This Row],[Forecasted consumption]]</f>
        <v>5.0773353942808708</v>
      </c>
      <c r="X22" s="25"/>
    </row>
    <row r="23">
      <c r="B23" s="6" t="s">
        <v>75</v>
      </c>
      <c r="C23" s="18" t="s">
        <v>44</v>
      </c>
      <c r="D23" s="17" t="s">
        <v>45</v>
      </c>
      <c r="E23" s="18" t="s">
        <v>31</v>
      </c>
      <c r="F23" s="19" t="n">
        <v>45870</v>
      </c>
      <c r="G23" s="23" t="n">
        <f t="shared" si="1"/>
        <v>1629256</v>
      </c>
      <c r="H23" s="23"/>
      <c r="I23" s="23" t="n">
        <v>324910</v>
      </c>
      <c r="J23" s="23" t="n">
        <f>MAX(DMPAIMtable[[#This Row],[Stock on hand(opening balance)]]+DMPAIMtable[[#This Row],[Quantity ]]-DMPAIMtable[[#This Row],[Forecasted consumption]],0)</f>
        <v>1304346</v>
      </c>
      <c r="K23" s="2"/>
      <c r="L23" s="2"/>
      <c r="M23" s="2"/>
      <c r="N23" s="23"/>
      <c r="O23" s="2"/>
      <c r="P23" s="20"/>
      <c r="Q23" s="24"/>
      <c r="R23" s="2"/>
      <c r="S23" s="2"/>
      <c r="T23" s="18" t="n">
        <v>6</v>
      </c>
      <c r="U23" s="18" t="n">
        <v>12</v>
      </c>
      <c r="V23" s="18" t="n">
        <v>12</v>
      </c>
      <c r="W23" s="3" t="n">
        <f>DMPAIMtable[[#This Row],[Closing balance ]]/DMPAIMtable[[#This Row],[Forecasted consumption]]</f>
        <v>4.0144840109568802</v>
      </c>
      <c r="X23" s="25"/>
    </row>
    <row r="24">
      <c r="B24" s="6" t="s">
        <v>75</v>
      </c>
      <c r="C24" s="18" t="s">
        <v>44</v>
      </c>
      <c r="D24" s="17" t="s">
        <v>45</v>
      </c>
      <c r="E24" s="18" t="s">
        <v>31</v>
      </c>
      <c r="F24" s="19" t="n">
        <v>45901</v>
      </c>
      <c r="G24" s="23" t="n">
        <f t="shared" si="1"/>
        <v>1304346</v>
      </c>
      <c r="H24" s="23"/>
      <c r="I24" s="23" t="n">
        <v>328931</v>
      </c>
      <c r="J24" s="23" t="n">
        <f>MAX(DMPAIMtable[[#This Row],[Stock on hand(opening balance)]]+DMPAIMtable[[#This Row],[Quantity ]]-DMPAIMtable[[#This Row],[Forecasted consumption]],0)</f>
        <v>1875415</v>
      </c>
      <c r="K24" s="2"/>
      <c r="L24" s="2"/>
      <c r="M24" s="2" t="s">
        <v>152</v>
      </c>
      <c r="N24" s="23" t="n">
        <v>900000</v>
      </c>
      <c r="O24" s="2"/>
      <c r="P24" s="20"/>
      <c r="Q24" s="24"/>
      <c r="R24" s="2"/>
      <c r="S24" s="2"/>
      <c r="T24" s="18" t="n">
        <v>6</v>
      </c>
      <c r="U24" s="18" t="n">
        <v>12</v>
      </c>
      <c r="V24" s="18" t="n">
        <v>12</v>
      </c>
      <c r="W24" s="3" t="n">
        <f>DMPAIMtable[[#This Row],[Closing balance ]]/DMPAIMtable[[#This Row],[Forecasted consumption]]</f>
        <v>5.7015453088945707</v>
      </c>
      <c r="X24" s="25"/>
    </row>
    <row r="25">
      <c r="B25" s="6" t="s">
        <v>75</v>
      </c>
      <c r="C25" s="18" t="s">
        <v>44</v>
      </c>
      <c r="D25" s="17" t="s">
        <v>45</v>
      </c>
      <c r="E25" s="18" t="s">
        <v>31</v>
      </c>
      <c r="F25" s="19" t="n">
        <v>45931</v>
      </c>
      <c r="G25" s="23" t="n">
        <f t="shared" si="1"/>
        <v>1875415</v>
      </c>
      <c r="H25" s="23"/>
      <c r="I25" s="23" t="n">
        <v>332952</v>
      </c>
      <c r="J25" s="23" t="n">
        <f>MAX(DMPAIMtable[[#This Row],[Stock on hand(opening balance)]]+DMPAIMtable[[#This Row],[Quantity ]]-DMPAIMtable[[#This Row],[Forecasted consumption]],0)</f>
        <v>3923043</v>
      </c>
      <c r="K25" s="2"/>
      <c r="L25" s="2"/>
      <c r="M25" s="2" t="s">
        <v>4</v>
      </c>
      <c r="N25" s="23" t="n">
        <v>2380580</v>
      </c>
      <c r="O25" s="2"/>
      <c r="P25" s="20"/>
      <c r="Q25" s="24"/>
      <c r="R25" s="2"/>
      <c r="S25" s="2"/>
      <c r="T25" s="18" t="n">
        <v>6</v>
      </c>
      <c r="U25" s="18" t="n">
        <v>12</v>
      </c>
      <c r="V25" s="18" t="n">
        <v>12</v>
      </c>
      <c r="W25" s="3" t="n">
        <f>DMPAIMtable[[#This Row],[Closing balance ]]/DMPAIMtable[[#This Row],[Forecasted consumption]]</f>
        <v>11.782608303899661</v>
      </c>
      <c r="X25" s="25"/>
    </row>
    <row r="26">
      <c r="B26" s="6" t="s">
        <v>75</v>
      </c>
      <c r="C26" s="18" t="s">
        <v>44</v>
      </c>
      <c r="D26" s="17" t="s">
        <v>45</v>
      </c>
      <c r="E26" s="18" t="s">
        <v>31</v>
      </c>
      <c r="F26" s="19" t="n">
        <v>45962</v>
      </c>
      <c r="G26" s="23" t="n">
        <f t="shared" si="1"/>
        <v>3923043</v>
      </c>
      <c r="H26" s="23"/>
      <c r="I26" s="23" t="n">
        <v>336973</v>
      </c>
      <c r="J26" s="23" t="n">
        <f>MAX(DMPAIMtable[[#This Row],[Stock on hand(opening balance)]]+DMPAIMtable[[#This Row],[Quantity ]]-DMPAIMtable[[#This Row],[Forecasted consumption]],0)</f>
        <v>3586070</v>
      </c>
      <c r="K26" s="2"/>
      <c r="L26" s="2"/>
      <c r="M26" s="2"/>
      <c r="N26" s="23"/>
      <c r="O26" s="2"/>
      <c r="P26" s="20"/>
      <c r="Q26" s="24"/>
      <c r="R26" s="2"/>
      <c r="S26" s="2"/>
      <c r="T26" s="18" t="n">
        <v>6</v>
      </c>
      <c r="U26" s="18" t="n">
        <v>12</v>
      </c>
      <c r="V26" s="18" t="n">
        <v>12</v>
      </c>
      <c r="W26" s="3" t="n">
        <f>DMPAIMtable[[#This Row],[Closing balance ]]/DMPAIMtable[[#This Row],[Forecasted consumption]]</f>
        <v>10.642009893967765</v>
      </c>
      <c r="X26" s="25"/>
    </row>
    <row r="27">
      <c r="B27" s="6" t="s">
        <v>75</v>
      </c>
      <c r="C27" s="18" t="s">
        <v>44</v>
      </c>
      <c r="D27" s="17" t="s">
        <v>45</v>
      </c>
      <c r="E27" s="18" t="s">
        <v>31</v>
      </c>
      <c r="F27" s="19" t="n">
        <v>45992</v>
      </c>
      <c r="G27" s="23" t="n">
        <f t="shared" si="1"/>
        <v>3586070</v>
      </c>
      <c r="H27" s="23"/>
      <c r="I27" s="23" t="n">
        <v>340994</v>
      </c>
      <c r="J27" s="23" t="n">
        <f>MAX(DMPAIMtable[[#This Row],[Stock on hand(opening balance)]]+DMPAIMtable[[#This Row],[Quantity ]]-DMPAIMtable[[#This Row],[Forecasted consumption]],0)</f>
        <v>3245076</v>
      </c>
      <c r="K27" s="2"/>
      <c r="L27" s="2"/>
      <c r="M27" s="2"/>
      <c r="N27" s="23"/>
      <c r="O27" s="2"/>
      <c r="P27" s="20"/>
      <c r="Q27" s="24"/>
      <c r="R27" s="2"/>
      <c r="S27" s="2"/>
      <c r="T27" s="18" t="n">
        <v>6</v>
      </c>
      <c r="U27" s="18" t="n">
        <v>12</v>
      </c>
      <c r="V27" s="18" t="n">
        <v>12</v>
      </c>
      <c r="W27" s="3" t="n">
        <f>DMPAIMtable[[#This Row],[Closing balance ]]/DMPAIMtable[[#This Row],[Forecasted consumption]]</f>
        <v>9.5165193522466662</v>
      </c>
      <c r="X27" s="25"/>
    </row>
    <row r="28">
      <c r="B28" s="6" t="s">
        <v>75</v>
      </c>
      <c r="C28" s="18" t="s">
        <v>44</v>
      </c>
      <c r="D28" s="17" t="s">
        <v>45</v>
      </c>
      <c r="E28" s="18" t="s">
        <v>31</v>
      </c>
      <c r="F28" s="19" t="n">
        <v>46023</v>
      </c>
      <c r="G28" s="23" t="n">
        <f t="shared" si="1"/>
        <v>3245076</v>
      </c>
      <c r="H28" s="23"/>
      <c r="I28" s="23" t="n">
        <v>345016</v>
      </c>
      <c r="J28" s="23" t="n">
        <f>MAX(DMPAIMtable[[#This Row],[Stock on hand(opening balance)]]+DMPAIMtable[[#This Row],[Quantity ]]-DMPAIMtable[[#This Row],[Forecasted consumption]],0)</f>
        <v>2900060</v>
      </c>
      <c r="K28" s="2"/>
      <c r="L28" s="2"/>
      <c r="M28" s="2"/>
      <c r="N28" s="23"/>
      <c r="O28" s="2"/>
      <c r="P28" s="20"/>
      <c r="Q28" s="24"/>
      <c r="R28" s="2"/>
      <c r="S28" s="2"/>
      <c r="T28" s="18" t="n">
        <v>6</v>
      </c>
      <c r="U28" s="18" t="n">
        <v>12</v>
      </c>
      <c r="V28" s="18" t="n">
        <v>12</v>
      </c>
      <c r="W28" s="3" t="n">
        <f>DMPAIMtable[[#This Row],[Closing balance ]]/DMPAIMtable[[#This Row],[Forecasted consumption]]</f>
        <v>8.4055811904375446</v>
      </c>
      <c r="X28" s="25"/>
    </row>
    <row r="29">
      <c r="B29" s="6" t="s">
        <v>75</v>
      </c>
      <c r="C29" s="18" t="s">
        <v>44</v>
      </c>
      <c r="D29" s="17" t="s">
        <v>45</v>
      </c>
      <c r="E29" s="18" t="s">
        <v>31</v>
      </c>
      <c r="F29" s="19" t="n">
        <v>46054</v>
      </c>
      <c r="G29" s="23" t="n">
        <f t="shared" si="1"/>
        <v>2900060</v>
      </c>
      <c r="H29" s="23"/>
      <c r="I29" s="23" t="n">
        <v>349037</v>
      </c>
      <c r="J29" s="23" t="n">
        <f>MAX(DMPAIMtable[[#This Row],[Stock on hand(opening balance)]]+DMPAIMtable[[#This Row],[Quantity ]]-DMPAIMtable[[#This Row],[Forecasted consumption]],0)</f>
        <v>2551023</v>
      </c>
      <c r="K29" s="2"/>
      <c r="L29" s="2"/>
      <c r="M29" s="2"/>
      <c r="N29" s="23"/>
      <c r="O29" s="2"/>
      <c r="P29" s="20"/>
      <c r="Q29" s="24"/>
      <c r="R29" s="2"/>
      <c r="S29" s="2"/>
      <c r="T29" s="18" t="n">
        <v>6</v>
      </c>
      <c r="U29" s="18" t="n">
        <v>12</v>
      </c>
      <c r="V29" s="18" t="n">
        <v>12</v>
      </c>
      <c r="W29" s="3" t="n">
        <f>DMPAIMtable[[#This Row],[Closing balance ]]/DMPAIMtable[[#This Row],[Forecasted consumption]]</f>
        <v>7.308746637176001</v>
      </c>
      <c r="X29" s="25"/>
    </row>
    <row r="30">
      <c r="B30" s="6" t="s">
        <v>75</v>
      </c>
      <c r="C30" s="18" t="s">
        <v>44</v>
      </c>
      <c r="D30" s="17" t="s">
        <v>45</v>
      </c>
      <c r="E30" s="18" t="s">
        <v>31</v>
      </c>
      <c r="F30" s="19" t="n">
        <v>46082</v>
      </c>
      <c r="G30" s="23" t="n">
        <f t="shared" si="1"/>
        <v>2551023</v>
      </c>
      <c r="H30" s="23"/>
      <c r="I30" s="23" t="n">
        <v>353058</v>
      </c>
      <c r="J30" s="23" t="n">
        <f>MAX(DMPAIMtable[[#This Row],[Stock on hand(opening balance)]]+DMPAIMtable[[#This Row],[Quantity ]]-DMPAIMtable[[#This Row],[Forecasted consumption]],0)</f>
        <v>2197965</v>
      </c>
      <c r="K30" s="2"/>
      <c r="L30" s="2"/>
      <c r="M30" s="2"/>
      <c r="N30" s="23"/>
      <c r="O30" s="2"/>
      <c r="P30" s="20"/>
      <c r="Q30" s="24"/>
      <c r="R30" s="2"/>
      <c r="S30" s="2"/>
      <c r="T30" s="18" t="n">
        <v>6</v>
      </c>
      <c r="U30" s="18" t="n">
        <v>12</v>
      </c>
      <c r="V30" s="18" t="n">
        <v>12</v>
      </c>
      <c r="W30" s="3" t="n">
        <f>DMPAIMtable[[#This Row],[Closing balance ]]/DMPAIMtable[[#This Row],[Forecasted consumption]]</f>
        <v>6.2255068572302568</v>
      </c>
      <c r="X30" s="25"/>
    </row>
    <row r="31">
      <c r="B31" s="6" t="s">
        <v>75</v>
      </c>
      <c r="C31" s="18" t="s">
        <v>44</v>
      </c>
      <c r="D31" s="17" t="s">
        <v>45</v>
      </c>
      <c r="E31" s="18" t="s">
        <v>31</v>
      </c>
      <c r="F31" s="19" t="n">
        <v>46113</v>
      </c>
      <c r="G31" s="23" t="n">
        <f t="shared" si="1"/>
        <v>2197965</v>
      </c>
      <c r="H31" s="23"/>
      <c r="I31" s="23" t="n">
        <v>357079</v>
      </c>
      <c r="J31" s="23" t="n">
        <f>MAX(DMPAIMtable[[#This Row],[Stock on hand(opening balance)]]+DMPAIMtable[[#This Row],[Quantity ]]-DMPAIMtable[[#This Row],[Forecasted consumption]],0)</f>
        <v>4212570</v>
      </c>
      <c r="K31" s="2"/>
      <c r="L31" s="2"/>
      <c r="M31" s="2" t="s">
        <v>4</v>
      </c>
      <c r="N31" s="23" t="n">
        <v>2371684</v>
      </c>
      <c r="O31" s="2"/>
      <c r="P31" s="20"/>
      <c r="Q31" s="24"/>
      <c r="R31" s="2"/>
      <c r="S31" s="2"/>
      <c r="T31" s="18" t="n">
        <v>6</v>
      </c>
      <c r="U31" s="18" t="n">
        <v>12</v>
      </c>
      <c r="V31" s="18" t="n">
        <v>12</v>
      </c>
      <c r="W31" s="3" t="n">
        <f>DMPAIMtable[[#This Row],[Closing balance ]]/DMPAIMtable[[#This Row],[Forecasted consumption]]</f>
        <v>11.797305358198045</v>
      </c>
      <c r="X31" s="25"/>
    </row>
    <row r="32">
      <c r="B32" s="6" t="s">
        <v>75</v>
      </c>
      <c r="C32" s="18" t="s">
        <v>44</v>
      </c>
      <c r="D32" s="17" t="s">
        <v>45</v>
      </c>
      <c r="E32" s="18" t="s">
        <v>31</v>
      </c>
      <c r="F32" s="19" t="n">
        <v>46143</v>
      </c>
      <c r="G32" s="23" t="n">
        <f t="shared" si="1"/>
        <v>4212570</v>
      </c>
      <c r="H32" s="23"/>
      <c r="I32" s="23" t="n">
        <v>361100</v>
      </c>
      <c r="J32" s="23" t="n">
        <f>MAX(DMPAIMtable[[#This Row],[Stock on hand(opening balance)]]+DMPAIMtable[[#This Row],[Quantity ]]-DMPAIMtable[[#This Row],[Forecasted consumption]],0)</f>
        <v>3851470</v>
      </c>
      <c r="K32" s="2"/>
      <c r="L32" s="2"/>
      <c r="M32" s="2"/>
      <c r="N32" s="23"/>
      <c r="O32" s="2"/>
      <c r="P32" s="20"/>
      <c r="Q32" s="24"/>
      <c r="R32" s="2"/>
      <c r="S32" s="2"/>
      <c r="T32" s="18" t="n">
        <v>6</v>
      </c>
      <c r="U32" s="18" t="n">
        <v>12</v>
      </c>
      <c r="V32" s="18" t="n">
        <v>12</v>
      </c>
      <c r="W32" s="3" t="n">
        <f>DMPAIMtable[[#This Row],[Closing balance ]]/DMPAIMtable[[#This Row],[Forecasted consumption]]</f>
        <v>10.665937413458876</v>
      </c>
      <c r="X32" s="25"/>
    </row>
    <row r="33">
      <c r="B33" s="6" t="s">
        <v>75</v>
      </c>
      <c r="C33" s="18" t="s">
        <v>44</v>
      </c>
      <c r="D33" s="17" t="s">
        <v>45</v>
      </c>
      <c r="E33" s="18" t="s">
        <v>31</v>
      </c>
      <c r="F33" s="19" t="n">
        <v>46174</v>
      </c>
      <c r="G33" s="23" t="n">
        <f t="shared" si="1"/>
        <v>3851470</v>
      </c>
      <c r="H33" s="23"/>
      <c r="I33" s="23" t="n">
        <v>365121</v>
      </c>
      <c r="J33" s="23" t="n">
        <f>MAX(DMPAIMtable[[#This Row],[Stock on hand(opening balance)]]+DMPAIMtable[[#This Row],[Quantity ]]-DMPAIMtable[[#This Row],[Forecasted consumption]],0)</f>
        <v>3486349</v>
      </c>
      <c r="K33" s="2"/>
      <c r="L33" s="2"/>
      <c r="M33" s="2"/>
      <c r="N33" s="23"/>
      <c r="O33" s="2"/>
      <c r="P33" s="20"/>
      <c r="Q33" s="24"/>
      <c r="R33" s="2"/>
      <c r="S33" s="2"/>
      <c r="T33" s="18" t="n">
        <v>6</v>
      </c>
      <c r="U33" s="18" t="n">
        <v>12</v>
      </c>
      <c r="V33" s="18" t="n">
        <v>12</v>
      </c>
      <c r="W33" s="3" t="n">
        <f>DMPAIMtable[[#This Row],[Closing balance ]]/DMPAIMtable[[#This Row],[Forecasted consumption]]</f>
        <v>9.5484757107917648</v>
      </c>
      <c r="X33" s="25"/>
    </row>
    <row r="34">
      <c r="B34" s="6" t="s">
        <v>75</v>
      </c>
      <c r="C34" s="18" t="s">
        <v>44</v>
      </c>
      <c r="D34" s="17" t="s">
        <v>45</v>
      </c>
      <c r="E34" s="18" t="s">
        <v>31</v>
      </c>
      <c r="F34" s="19" t="n">
        <v>46204</v>
      </c>
      <c r="G34" s="23" t="n">
        <f t="shared" si="1"/>
        <v>3486349</v>
      </c>
      <c r="H34" s="23"/>
      <c r="I34" s="23" t="n">
        <v>369143</v>
      </c>
      <c r="J34" s="23" t="n">
        <f>MAX(DMPAIMtable[[#This Row],[Stock on hand(opening balance)]]+DMPAIMtable[[#This Row],[Quantity ]]-DMPAIMtable[[#This Row],[Forecasted consumption]],0)</f>
        <v>3117206</v>
      </c>
      <c r="K34" s="2"/>
      <c r="L34" s="2"/>
      <c r="M34" s="2"/>
      <c r="N34" s="23"/>
      <c r="O34" s="2"/>
      <c r="P34" s="20"/>
      <c r="Q34" s="24"/>
      <c r="R34" s="2"/>
      <c r="S34" s="2"/>
      <c r="T34" s="18" t="n">
        <v>6</v>
      </c>
      <c r="U34" s="18" t="n">
        <v>12</v>
      </c>
      <c r="V34" s="18" t="n">
        <v>12</v>
      </c>
      <c r="W34" s="3" t="n">
        <f>DMPAIMtable[[#This Row],[Closing balance ]]/DMPAIMtable[[#This Row],[Forecasted consumption]]</f>
        <v>8.4444402304797865</v>
      </c>
      <c r="X34" s="25"/>
    </row>
    <row r="35">
      <c r="B35" s="6" t="s">
        <v>75</v>
      </c>
      <c r="C35" s="18" t="s">
        <v>44</v>
      </c>
      <c r="D35" s="17" t="s">
        <v>45</v>
      </c>
      <c r="E35" s="18" t="s">
        <v>31</v>
      </c>
      <c r="F35" s="19" t="n">
        <v>46235</v>
      </c>
      <c r="G35" s="23" t="n">
        <f t="shared" si="1"/>
        <v>3117206</v>
      </c>
      <c r="H35" s="23"/>
      <c r="I35" s="23" t="n">
        <v>373164</v>
      </c>
      <c r="J35" s="23" t="n">
        <f>MAX(DMPAIMtable[[#This Row],[Stock on hand(opening balance)]]+DMPAIMtable[[#This Row],[Quantity ]]-DMPAIMtable[[#This Row],[Forecasted consumption]],0)</f>
        <v>2744042</v>
      </c>
      <c r="K35" s="2"/>
      <c r="L35" s="2"/>
      <c r="M35" s="2"/>
      <c r="N35" s="23"/>
      <c r="O35" s="2"/>
      <c r="P35" s="20"/>
      <c r="Q35" s="24"/>
      <c r="R35" s="2"/>
      <c r="S35" s="2"/>
      <c r="T35" s="18" t="n">
        <v>6</v>
      </c>
      <c r="U35" s="18" t="n">
        <v>12</v>
      </c>
      <c r="V35" s="18" t="n">
        <v>12</v>
      </c>
      <c r="W35" s="3" t="n">
        <f>DMPAIMtable[[#This Row],[Closing balance ]]/DMPAIMtable[[#This Row],[Forecasted consumption]]</f>
        <v>7.3534478138298445</v>
      </c>
      <c r="X35" s="25"/>
    </row>
    <row r="36">
      <c r="B36" s="6" t="s">
        <v>75</v>
      </c>
      <c r="C36" s="18" t="s">
        <v>44</v>
      </c>
      <c r="D36" s="17" t="s">
        <v>45</v>
      </c>
      <c r="E36" s="18" t="s">
        <v>31</v>
      </c>
      <c r="F36" s="19" t="n">
        <v>46266</v>
      </c>
      <c r="G36" s="23" t="n">
        <f t="shared" si="1"/>
        <v>2744042</v>
      </c>
      <c r="H36" s="23"/>
      <c r="I36" s="23" t="n">
        <v>377185</v>
      </c>
      <c r="J36" s="23" t="n">
        <f>MAX(DMPAIMtable[[#This Row],[Stock on hand(opening balance)]]+DMPAIMtable[[#This Row],[Quantity ]]-DMPAIMtable[[#This Row],[Forecasted consumption]],0)</f>
        <v>2366857</v>
      </c>
      <c r="K36" s="2"/>
      <c r="L36" s="2"/>
      <c r="M36" s="2"/>
      <c r="N36" s="23"/>
      <c r="O36" s="2"/>
      <c r="P36" s="20"/>
      <c r="Q36" s="24"/>
      <c r="R36" s="2"/>
      <c r="S36" s="2"/>
      <c r="T36" s="18" t="n">
        <v>6</v>
      </c>
      <c r="U36" s="18" t="n">
        <v>12</v>
      </c>
      <c r="V36" s="18" t="n">
        <v>12</v>
      </c>
      <c r="W36" s="3" t="n">
        <f>DMPAIMtable[[#This Row],[Closing balance ]]/DMPAIMtable[[#This Row],[Forecasted consumption]]</f>
        <v>6.2750560069992183</v>
      </c>
      <c r="X36" s="25"/>
    </row>
    <row r="37">
      <c r="B37" s="6" t="s">
        <v>76</v>
      </c>
      <c r="C37" s="18" t="s">
        <v>44</v>
      </c>
      <c r="D37" s="17" t="s">
        <v>45</v>
      </c>
      <c r="E37" s="18" t="s">
        <v>31</v>
      </c>
      <c r="F37" s="19" t="n">
        <v>45748</v>
      </c>
      <c r="G37" s="20" t="n">
        <v>1248680</v>
      </c>
      <c r="H37" s="20"/>
      <c r="I37" s="20" t="n">
        <v>131615</v>
      </c>
      <c r="J37" s="20" t="n">
        <f>MAX(DMPAIMtable[[#This Row],[Stock on hand(opening balance)]]+DMPAIMtable[[#This Row],[Quantity ]]-DMPAIMtable[[#This Row],[Forecasted consumption]],0)</f>
        <v>1117065</v>
      </c>
      <c r="K37" s="18"/>
      <c r="L37" s="18"/>
      <c r="M37" s="2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DMPAIMtable[[#This Row],[Closing balance ]]/DMPAIMtable[[#This Row],[Forecasted consumption]]</f>
        <v>8.4873684610416742</v>
      </c>
      <c r="X37" s="22"/>
    </row>
    <row r="38">
      <c r="B38" s="6" t="s">
        <v>76</v>
      </c>
      <c r="C38" s="18" t="s">
        <v>44</v>
      </c>
      <c r="D38" s="17" t="s">
        <v>45</v>
      </c>
      <c r="E38" s="18" t="s">
        <v>31</v>
      </c>
      <c r="F38" s="19" t="n">
        <v>45778</v>
      </c>
      <c r="G38" s="23" t="n">
        <f>J37</f>
        <v>1117065</v>
      </c>
      <c r="H38" s="23"/>
      <c r="I38" s="20" t="n">
        <v>131615</v>
      </c>
      <c r="J38" s="23" t="n">
        <f>MAX(DMPAIMtable[[#This Row],[Stock on hand(opening balance)]]+DMPAIMtable[[#This Row],[Quantity ]]-DMPAIMtable[[#This Row],[Forecasted consumption]],0)</f>
        <v>985450</v>
      </c>
      <c r="K38" s="2"/>
      <c r="L38" s="2"/>
      <c r="M38" s="2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DMPAIMtable[[#This Row],[Closing balance ]]/DMPAIMtable[[#This Row],[Forecasted consumption]]</f>
        <v>7.4873684610416742</v>
      </c>
      <c r="X38" s="25"/>
    </row>
    <row r="39">
      <c r="B39" s="6" t="s">
        <v>76</v>
      </c>
      <c r="C39" s="18" t="s">
        <v>44</v>
      </c>
      <c r="D39" s="17" t="s">
        <v>45</v>
      </c>
      <c r="E39" s="18" t="s">
        <v>31</v>
      </c>
      <c r="F39" s="19" t="n">
        <v>45809</v>
      </c>
      <c r="G39" s="23" t="n">
        <f t="shared" ref="G39:G57" si="2">J38</f>
        <v>985450</v>
      </c>
      <c r="H39" s="23"/>
      <c r="I39" s="20" t="n">
        <v>131615</v>
      </c>
      <c r="J39" s="23" t="n">
        <f>MAX(DMPAIMtable[[#This Row],[Stock on hand(opening balance)]]+DMPAIMtable[[#This Row],[Quantity ]]-DMPAIMtable[[#This Row],[Forecasted consumption]],0)</f>
        <v>853835</v>
      </c>
      <c r="K39" s="2"/>
      <c r="L39" s="2"/>
      <c r="M39" s="2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DMPAIMtable[[#This Row],[Closing balance ]]/DMPAIMtable[[#This Row],[Forecasted consumption]]</f>
        <v>6.4873684610416742</v>
      </c>
      <c r="X39" s="25"/>
    </row>
    <row r="40">
      <c r="B40" s="6" t="s">
        <v>76</v>
      </c>
      <c r="C40" s="18" t="s">
        <v>44</v>
      </c>
      <c r="D40" s="17" t="s">
        <v>45</v>
      </c>
      <c r="E40" s="18" t="s">
        <v>31</v>
      </c>
      <c r="F40" s="19" t="n">
        <v>45839</v>
      </c>
      <c r="G40" s="23" t="n">
        <f t="shared" si="2"/>
        <v>853835</v>
      </c>
      <c r="H40" s="23"/>
      <c r="I40" s="20" t="n">
        <v>131615</v>
      </c>
      <c r="J40" s="23" t="n">
        <f>MAX(DMPAIMtable[[#This Row],[Stock on hand(opening balance)]]+DMPAIMtable[[#This Row],[Quantity ]]-DMPAIMtable[[#This Row],[Forecasted consumption]],0)</f>
        <v>722220</v>
      </c>
      <c r="K40" s="2"/>
      <c r="L40" s="2"/>
      <c r="M40" s="2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DMPAIMtable[[#This Row],[Closing balance ]]/DMPAIMtable[[#This Row],[Forecasted consumption]]</f>
        <v>5.4873684610416742</v>
      </c>
      <c r="X40" s="25"/>
    </row>
    <row r="41">
      <c r="B41" s="6" t="s">
        <v>76</v>
      </c>
      <c r="C41" s="18" t="s">
        <v>44</v>
      </c>
      <c r="D41" s="17" t="s">
        <v>45</v>
      </c>
      <c r="E41" s="18" t="s">
        <v>31</v>
      </c>
      <c r="F41" s="19" t="n">
        <v>45870</v>
      </c>
      <c r="G41" s="23" t="n">
        <f t="shared" si="2"/>
        <v>722220</v>
      </c>
      <c r="H41" s="23"/>
      <c r="I41" s="20" t="n">
        <v>131615</v>
      </c>
      <c r="J41" s="23" t="n">
        <f>MAX(DMPAIMtable[[#This Row],[Stock on hand(opening balance)]]+DMPAIMtable[[#This Row],[Quantity ]]-DMPAIMtable[[#This Row],[Forecasted consumption]],0)</f>
        <v>590605</v>
      </c>
      <c r="K41" s="2"/>
      <c r="L41" s="2"/>
      <c r="M41" s="2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DMPAIMtable[[#This Row],[Closing balance ]]/DMPAIMtable[[#This Row],[Forecasted consumption]]</f>
        <v>4.4873684610416742</v>
      </c>
      <c r="X41" s="25"/>
    </row>
    <row r="42">
      <c r="B42" s="6" t="s">
        <v>76</v>
      </c>
      <c r="C42" s="18" t="s">
        <v>44</v>
      </c>
      <c r="D42" s="17" t="s">
        <v>45</v>
      </c>
      <c r="E42" s="18" t="s">
        <v>31</v>
      </c>
      <c r="F42" s="19" t="n">
        <v>45901</v>
      </c>
      <c r="G42" s="23" t="n">
        <f t="shared" si="2"/>
        <v>590605</v>
      </c>
      <c r="H42" s="23"/>
      <c r="I42" s="20" t="n">
        <v>131615</v>
      </c>
      <c r="J42" s="23" t="n">
        <f>MAX(DMPAIMtable[[#This Row],[Stock on hand(opening balance)]]+DMPAIMtable[[#This Row],[Quantity ]]-DMPAIMtable[[#This Row],[Forecasted consumption]],0)</f>
        <v>458990</v>
      </c>
      <c r="K42" s="2"/>
      <c r="L42" s="2"/>
      <c r="M42" s="2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DMPAIMtable[[#This Row],[Closing balance ]]/DMPAIMtable[[#This Row],[Forecasted consumption]]</f>
        <v>3.4873684610416746</v>
      </c>
      <c r="X42" s="25"/>
    </row>
    <row r="43">
      <c r="B43" s="6" t="s">
        <v>76</v>
      </c>
      <c r="C43" s="18" t="s">
        <v>44</v>
      </c>
      <c r="D43" s="17" t="s">
        <v>45</v>
      </c>
      <c r="E43" s="18" t="s">
        <v>31</v>
      </c>
      <c r="F43" s="19" t="n">
        <v>45931</v>
      </c>
      <c r="G43" s="23" t="n">
        <f t="shared" si="2"/>
        <v>458990</v>
      </c>
      <c r="H43" s="23"/>
      <c r="I43" s="20" t="n">
        <v>131615</v>
      </c>
      <c r="J43" s="23" t="n">
        <f>MAX(DMPAIMtable[[#This Row],[Stock on hand(opening balance)]]+DMPAIMtable[[#This Row],[Quantity ]]-DMPAIMtable[[#This Row],[Forecasted consumption]],0)</f>
        <v>327375</v>
      </c>
      <c r="K43" s="2"/>
      <c r="L43" s="2"/>
      <c r="M43" s="2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DMPAIMtable[[#This Row],[Closing balance ]]/DMPAIMtable[[#This Row],[Forecasted consumption]]</f>
        <v>2.4873684610416746</v>
      </c>
      <c r="X43" s="25"/>
    </row>
    <row r="44">
      <c r="B44" s="6" t="s">
        <v>76</v>
      </c>
      <c r="C44" s="18" t="s">
        <v>44</v>
      </c>
      <c r="D44" s="17" t="s">
        <v>45</v>
      </c>
      <c r="E44" s="18" t="s">
        <v>31</v>
      </c>
      <c r="F44" s="19" t="n">
        <v>45962</v>
      </c>
      <c r="G44" s="23" t="n">
        <f t="shared" si="2"/>
        <v>327375</v>
      </c>
      <c r="H44" s="23"/>
      <c r="I44" s="20" t="n">
        <v>131615</v>
      </c>
      <c r="J44" s="23" t="n">
        <f>MAX(DMPAIMtable[[#This Row],[Stock on hand(opening balance)]]+DMPAIMtable[[#This Row],[Quantity ]]-DMPAIMtable[[#This Row],[Forecasted consumption]],0)</f>
        <v>195760</v>
      </c>
      <c r="K44" s="2"/>
      <c r="L44" s="2"/>
      <c r="M44" s="2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DMPAIMtable[[#This Row],[Closing balance ]]/DMPAIMtable[[#This Row],[Forecasted consumption]]</f>
        <v>1.4873684610416746</v>
      </c>
      <c r="X44" s="25"/>
    </row>
    <row r="45">
      <c r="B45" s="6" t="s">
        <v>76</v>
      </c>
      <c r="C45" s="18" t="s">
        <v>44</v>
      </c>
      <c r="D45" s="17" t="s">
        <v>45</v>
      </c>
      <c r="E45" s="18" t="s">
        <v>31</v>
      </c>
      <c r="F45" s="19" t="n">
        <v>45992</v>
      </c>
      <c r="G45" s="23" t="n">
        <f t="shared" si="2"/>
        <v>195760</v>
      </c>
      <c r="H45" s="23"/>
      <c r="I45" s="20" t="n">
        <v>131615</v>
      </c>
      <c r="J45" s="23" t="n">
        <f>MAX(DMPAIMtable[[#This Row],[Stock on hand(opening balance)]]+DMPAIMtable[[#This Row],[Quantity ]]-DMPAIMtable[[#This Row],[Forecasted consumption]],0)</f>
        <v>64145</v>
      </c>
      <c r="K45" s="2"/>
      <c r="L45" s="2"/>
      <c r="M45" s="2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DMPAIMtable[[#This Row],[Closing balance ]]/DMPAIMtable[[#This Row],[Forecasted consumption]]</f>
        <v>0.48736846104167458</v>
      </c>
      <c r="X45" s="25"/>
    </row>
    <row r="46">
      <c r="B46" s="6" t="s">
        <v>76</v>
      </c>
      <c r="C46" s="18" t="s">
        <v>44</v>
      </c>
      <c r="D46" s="17" t="s">
        <v>45</v>
      </c>
      <c r="E46" s="18" t="s">
        <v>31</v>
      </c>
      <c r="F46" s="19" t="n">
        <v>46023</v>
      </c>
      <c r="G46" s="23" t="n">
        <f t="shared" si="2"/>
        <v>64145</v>
      </c>
      <c r="H46" s="23"/>
      <c r="I46" s="23" t="n">
        <v>140803</v>
      </c>
      <c r="J46" s="23" t="n">
        <f>MAX(DMPAIMtable[[#This Row],[Stock on hand(opening balance)]]+DMPAIMtable[[#This Row],[Quantity ]]-DMPAIMtable[[#This Row],[Forecasted consumption]],0)</f>
        <v>0</v>
      </c>
      <c r="K46" s="2"/>
      <c r="L46" s="2"/>
      <c r="M46" s="2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DMPAIMtable[[#This Row],[Closing balance ]]/DMPAIMtable[[#This Row],[Forecasted consumption]]</f>
        <v>0</v>
      </c>
      <c r="X46" s="25"/>
    </row>
    <row r="47">
      <c r="B47" s="6" t="s">
        <v>76</v>
      </c>
      <c r="C47" s="18" t="s">
        <v>44</v>
      </c>
      <c r="D47" s="17" t="s">
        <v>45</v>
      </c>
      <c r="E47" s="18" t="s">
        <v>31</v>
      </c>
      <c r="F47" s="19" t="n">
        <v>46054</v>
      </c>
      <c r="G47" s="23" t="n">
        <f t="shared" si="2"/>
        <v>0</v>
      </c>
      <c r="H47" s="23"/>
      <c r="I47" s="23" t="n">
        <v>140803</v>
      </c>
      <c r="J47" s="23" t="n">
        <f>MAX(DMPAIMtable[[#This Row],[Stock on hand(opening balance)]]+DMPAIMtable[[#This Row],[Quantity ]]-DMPAIMtable[[#This Row],[Forecasted consumption]],0)</f>
        <v>0</v>
      </c>
      <c r="K47" s="2"/>
      <c r="L47" s="2"/>
      <c r="M47" s="2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DMPAIMtable[[#This Row],[Closing balance ]]/DMPAIMtable[[#This Row],[Forecasted consumption]]</f>
        <v>0</v>
      </c>
      <c r="X47" s="25"/>
    </row>
    <row r="48">
      <c r="B48" s="6" t="s">
        <v>76</v>
      </c>
      <c r="C48" s="18" t="s">
        <v>44</v>
      </c>
      <c r="D48" s="17" t="s">
        <v>45</v>
      </c>
      <c r="E48" s="18" t="s">
        <v>31</v>
      </c>
      <c r="F48" s="19" t="n">
        <v>46082</v>
      </c>
      <c r="G48" s="23" t="n">
        <f t="shared" si="2"/>
        <v>0</v>
      </c>
      <c r="H48" s="23"/>
      <c r="I48" s="23" t="n">
        <v>140803</v>
      </c>
      <c r="J48" s="23" t="n">
        <f>MAX(DMPAIMtable[[#This Row],[Stock on hand(opening balance)]]+DMPAIMtable[[#This Row],[Quantity ]]-DMPAIMtable[[#This Row],[Forecasted consumption]],0)</f>
        <v>0</v>
      </c>
      <c r="K48" s="2"/>
      <c r="L48" s="2"/>
      <c r="M48" s="2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DMPAIMtable[[#This Row],[Closing balance ]]/DMPAIMtable[[#This Row],[Forecasted consumption]]</f>
        <v>0</v>
      </c>
      <c r="X48" s="25"/>
    </row>
    <row r="49">
      <c r="B49" s="6" t="s">
        <v>76</v>
      </c>
      <c r="C49" s="18" t="s">
        <v>44</v>
      </c>
      <c r="D49" s="17" t="s">
        <v>45</v>
      </c>
      <c r="E49" s="18" t="s">
        <v>31</v>
      </c>
      <c r="F49" s="19" t="n">
        <v>46113</v>
      </c>
      <c r="G49" s="23" t="n">
        <f t="shared" si="2"/>
        <v>0</v>
      </c>
      <c r="H49" s="23"/>
      <c r="I49" s="23" t="n">
        <v>140803</v>
      </c>
      <c r="J49" s="23" t="n">
        <f>MAX(DMPAIMtable[[#This Row],[Stock on hand(opening balance)]]+DMPAIMtable[[#This Row],[Quantity ]]-DMPAIMtable[[#This Row],[Forecasted consumption]],0)</f>
        <v>0</v>
      </c>
      <c r="K49" s="2"/>
      <c r="L49" s="2"/>
      <c r="M49" s="2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DMPAIMtable[[#This Row],[Closing balance ]]/DMPAIMtable[[#This Row],[Forecasted consumption]]</f>
        <v>0</v>
      </c>
      <c r="X49" s="25"/>
    </row>
    <row r="50">
      <c r="B50" s="6" t="s">
        <v>76</v>
      </c>
      <c r="C50" s="18" t="s">
        <v>44</v>
      </c>
      <c r="D50" s="17" t="s">
        <v>45</v>
      </c>
      <c r="E50" s="18" t="s">
        <v>31</v>
      </c>
      <c r="F50" s="19" t="n">
        <v>46143</v>
      </c>
      <c r="G50" s="23" t="n">
        <f t="shared" si="2"/>
        <v>0</v>
      </c>
      <c r="H50" s="23"/>
      <c r="I50" s="23" t="n">
        <v>140803</v>
      </c>
      <c r="J50" s="23" t="n">
        <f>MAX(DMPAIMtable[[#This Row],[Stock on hand(opening balance)]]+DMPAIMtable[[#This Row],[Quantity ]]-DMPAIMtable[[#This Row],[Forecasted consumption]],0)</f>
        <v>0</v>
      </c>
      <c r="K50" s="2"/>
      <c r="L50" s="2"/>
      <c r="M50" s="2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DMPAIMtable[[#This Row],[Closing balance ]]/DMPAIMtable[[#This Row],[Forecasted consumption]]</f>
        <v>0</v>
      </c>
      <c r="X50" s="25"/>
    </row>
    <row r="51">
      <c r="B51" s="6" t="s">
        <v>76</v>
      </c>
      <c r="C51" s="18" t="s">
        <v>44</v>
      </c>
      <c r="D51" s="17" t="s">
        <v>45</v>
      </c>
      <c r="E51" s="18" t="s">
        <v>31</v>
      </c>
      <c r="F51" s="19" t="n">
        <v>46174</v>
      </c>
      <c r="G51" s="23" t="n">
        <f t="shared" si="2"/>
        <v>0</v>
      </c>
      <c r="H51" s="23"/>
      <c r="I51" s="23" t="n">
        <v>140803</v>
      </c>
      <c r="J51" s="23" t="n">
        <f>MAX(DMPAIMtable[[#This Row],[Stock on hand(opening balance)]]+DMPAIMtable[[#This Row],[Quantity ]]-DMPAIMtable[[#This Row],[Forecasted consumption]],0)</f>
        <v>0</v>
      </c>
      <c r="K51" s="2"/>
      <c r="L51" s="2"/>
      <c r="M51" s="2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DMPAIMtable[[#This Row],[Closing balance ]]/DMPAIMtable[[#This Row],[Forecasted consumption]]</f>
        <v>0</v>
      </c>
      <c r="X51" s="25"/>
    </row>
    <row r="52">
      <c r="B52" s="6" t="s">
        <v>76</v>
      </c>
      <c r="C52" s="18" t="s">
        <v>44</v>
      </c>
      <c r="D52" s="17" t="s">
        <v>45</v>
      </c>
      <c r="E52" s="18" t="s">
        <v>31</v>
      </c>
      <c r="F52" s="19" t="n">
        <v>46204</v>
      </c>
      <c r="G52" s="23" t="n">
        <f t="shared" si="2"/>
        <v>0</v>
      </c>
      <c r="H52" s="23"/>
      <c r="I52" s="23" t="n">
        <v>140803</v>
      </c>
      <c r="J52" s="23" t="n">
        <f>MAX(DMPAIMtable[[#This Row],[Stock on hand(opening balance)]]+DMPAIMtable[[#This Row],[Quantity ]]-DMPAIMtable[[#This Row],[Forecasted consumption]],0)</f>
        <v>0</v>
      </c>
      <c r="K52" s="2"/>
      <c r="L52" s="2"/>
      <c r="M52" s="2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DMPAIMtable[[#This Row],[Closing balance ]]/DMPAIMtable[[#This Row],[Forecasted consumption]]</f>
        <v>0</v>
      </c>
      <c r="X52" s="25"/>
    </row>
    <row r="53">
      <c r="B53" s="6" t="s">
        <v>76</v>
      </c>
      <c r="C53" s="18" t="s">
        <v>44</v>
      </c>
      <c r="D53" s="17" t="s">
        <v>45</v>
      </c>
      <c r="E53" s="18" t="s">
        <v>31</v>
      </c>
      <c r="F53" s="19" t="n">
        <v>46235</v>
      </c>
      <c r="G53" s="23" t="n">
        <f t="shared" si="2"/>
        <v>0</v>
      </c>
      <c r="H53" s="23"/>
      <c r="I53" s="23" t="n">
        <v>140803</v>
      </c>
      <c r="J53" s="23" t="n">
        <f>MAX(DMPAIMtable[[#This Row],[Stock on hand(opening balance)]]+DMPAIMtable[[#This Row],[Quantity ]]-DMPAIMtable[[#This Row],[Forecasted consumption]],0)</f>
        <v>0</v>
      </c>
      <c r="K53" s="2"/>
      <c r="L53" s="2"/>
      <c r="M53" s="2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DMPAIMtable[[#This Row],[Closing balance ]]/DMPAIMtable[[#This Row],[Forecasted consumption]]</f>
        <v>0</v>
      </c>
      <c r="X53" s="25"/>
    </row>
    <row r="54">
      <c r="B54" s="6" t="s">
        <v>76</v>
      </c>
      <c r="C54" s="18" t="s">
        <v>44</v>
      </c>
      <c r="D54" s="17" t="s">
        <v>45</v>
      </c>
      <c r="E54" s="18" t="s">
        <v>31</v>
      </c>
      <c r="F54" s="19" t="n">
        <v>46266</v>
      </c>
      <c r="G54" s="23" t="n">
        <f t="shared" si="2"/>
        <v>0</v>
      </c>
      <c r="H54" s="23"/>
      <c r="I54" s="23" t="n">
        <v>140803</v>
      </c>
      <c r="J54" s="23" t="n">
        <f>MAX(DMPAIMtable[[#This Row],[Stock on hand(opening balance)]]+DMPAIMtable[[#This Row],[Quantity ]]-DMPAIMtable[[#This Row],[Forecasted consumption]],0)</f>
        <v>0</v>
      </c>
      <c r="K54" s="2"/>
      <c r="L54" s="2"/>
      <c r="M54" s="2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DMPAIMtable[[#This Row],[Closing balance ]]/DMPAIMtable[[#This Row],[Forecasted consumption]]</f>
        <v>0</v>
      </c>
      <c r="X54" s="25"/>
    </row>
    <row r="55">
      <c r="B55" s="6" t="s">
        <v>76</v>
      </c>
      <c r="C55" s="18" t="s">
        <v>44</v>
      </c>
      <c r="D55" s="17" t="s">
        <v>45</v>
      </c>
      <c r="E55" s="18" t="s">
        <v>31</v>
      </c>
      <c r="F55" s="19" t="n">
        <v>46296</v>
      </c>
      <c r="G55" s="23" t="n">
        <f t="shared" si="2"/>
        <v>0</v>
      </c>
      <c r="H55" s="23"/>
      <c r="I55" s="23" t="n">
        <v>140803</v>
      </c>
      <c r="J55" s="23" t="n">
        <f>MAX(DMPAIMtable[[#This Row],[Stock on hand(opening balance)]]+DMPAIMtable[[#This Row],[Quantity ]]-DMPAIMtable[[#This Row],[Forecasted consumption]],0)</f>
        <v>0</v>
      </c>
      <c r="K55" s="2"/>
      <c r="L55" s="2"/>
      <c r="M55" s="2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DMPAIMtable[[#This Row],[Closing balance ]]/DMPAIMtable[[#This Row],[Forecasted consumption]]</f>
        <v>0</v>
      </c>
      <c r="X55" s="25"/>
    </row>
    <row r="56">
      <c r="B56" s="6" t="s">
        <v>76</v>
      </c>
      <c r="C56" s="18" t="s">
        <v>44</v>
      </c>
      <c r="D56" s="17" t="s">
        <v>45</v>
      </c>
      <c r="E56" s="18" t="s">
        <v>31</v>
      </c>
      <c r="F56" s="19" t="n">
        <v>46327</v>
      </c>
      <c r="G56" s="23" t="n">
        <f t="shared" si="2"/>
        <v>0</v>
      </c>
      <c r="H56" s="23"/>
      <c r="I56" s="23" t="n">
        <v>140803</v>
      </c>
      <c r="J56" s="23" t="n">
        <f>MAX(DMPAIMtable[[#This Row],[Stock on hand(opening balance)]]+DMPAIMtable[[#This Row],[Quantity ]]-DMPAIMtable[[#This Row],[Forecasted consumption]],0)</f>
        <v>0</v>
      </c>
      <c r="K56" s="2"/>
      <c r="L56" s="2"/>
      <c r="M56" s="2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DMPAIMtable[[#This Row],[Closing balance ]]/DMPAIMtable[[#This Row],[Forecasted consumption]]</f>
        <v>0</v>
      </c>
      <c r="X56" s="25"/>
    </row>
    <row r="57">
      <c r="B57" s="6" t="s">
        <v>76</v>
      </c>
      <c r="C57" s="18" t="s">
        <v>44</v>
      </c>
      <c r="D57" s="17" t="s">
        <v>45</v>
      </c>
      <c r="E57" s="18" t="s">
        <v>31</v>
      </c>
      <c r="F57" s="19" t="n">
        <v>46357</v>
      </c>
      <c r="G57" s="23" t="n">
        <f t="shared" si="2"/>
        <v>0</v>
      </c>
      <c r="H57" s="23"/>
      <c r="I57" s="23" t="n">
        <v>140803</v>
      </c>
      <c r="J57" s="23" t="n">
        <f>MAX(DMPAIMtable[[#This Row],[Stock on hand(opening balance)]]+DMPAIMtable[[#This Row],[Quantity ]]-DMPAIMtable[[#This Row],[Forecasted consumption]],0)</f>
        <v>0</v>
      </c>
      <c r="K57" s="2"/>
      <c r="L57" s="2"/>
      <c r="M57" s="2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DMPAIMtable[[#This Row],[Closing balance ]]/DMPAIMtable[[#This Row],[Forecasted consumption]]</f>
        <v>0</v>
      </c>
      <c r="X57" s="25"/>
    </row>
    <row r="58" ht="14.5" customHeight="1">
      <c r="B58" s="6" t="s">
        <v>72</v>
      </c>
      <c r="C58" s="18" t="s">
        <v>44</v>
      </c>
      <c r="D58" s="17" t="s">
        <v>45</v>
      </c>
      <c r="E58" s="18" t="s">
        <v>31</v>
      </c>
      <c r="F58" s="19" t="n">
        <v>45689</v>
      </c>
      <c r="G58" s="23" t="n">
        <v>515585</v>
      </c>
      <c r="H58" s="30"/>
      <c r="I58" s="23" t="n">
        <v>110429</v>
      </c>
      <c r="J58" s="23" t="n">
        <f>MAX(DMPAIMtable[[#This Row],[Stock on hand(opening balance)]]+DMPAIMtable[[#This Row],[Quantity ]]-DMPAIMtable[[#This Row],[Forecasted consumption]],0)</f>
        <v>920156</v>
      </c>
      <c r="K58" s="2" t="s">
        <v>157</v>
      </c>
      <c r="L58" s="2" t="s">
        <v>3</v>
      </c>
      <c r="M58" s="2" t="s">
        <v>153</v>
      </c>
      <c r="N58" s="23" t="n">
        <v>515000</v>
      </c>
      <c r="O58" s="2"/>
      <c r="P58" s="20" t="n">
        <v>351848</v>
      </c>
      <c r="Q58" s="24" t="n">
        <v>45689</v>
      </c>
      <c r="R58" s="2"/>
      <c r="S58" s="2"/>
      <c r="T58" s="2" t="n">
        <v>6</v>
      </c>
      <c r="U58" s="2" t="n">
        <v>12</v>
      </c>
      <c r="V58" s="2" t="n">
        <v>12</v>
      </c>
      <c r="W58" s="3" t="n">
        <f>DMPAIMtable[[#This Row],[Closing balance ]]/DMPAIMtable[[#This Row],[Forecasted consumption]]</f>
        <v>8.3325575709279267</v>
      </c>
      <c r="X58" s="25"/>
    </row>
    <row r="59" ht="14.5" customHeight="1">
      <c r="B59" s="6" t="s">
        <v>72</v>
      </c>
      <c r="C59" s="18" t="s">
        <v>44</v>
      </c>
      <c r="D59" s="17" t="s">
        <v>45</v>
      </c>
      <c r="E59" s="18" t="s">
        <v>31</v>
      </c>
      <c r="F59" s="19" t="n">
        <v>45717</v>
      </c>
      <c r="G59" s="23" t="n">
        <f>J58</f>
        <v>920156</v>
      </c>
      <c r="H59" s="30"/>
      <c r="I59" s="23" t="n">
        <v>110429</v>
      </c>
      <c r="J59" s="23" t="n">
        <f>MAX(DMPAIMtable[[#This Row],[Stock on hand(opening balance)]]+DMPAIMtable[[#This Row],[Quantity ]]-DMPAIMtable[[#This Row],[Forecasted consumption]],0)</f>
        <v>916527</v>
      </c>
      <c r="K59" s="2" t="s">
        <v>51</v>
      </c>
      <c r="L59" s="2" t="s">
        <v>51</v>
      </c>
      <c r="M59" s="2" t="s">
        <v>153</v>
      </c>
      <c r="N59" s="23" t="n">
        <v>106800</v>
      </c>
      <c r="O59" s="2"/>
      <c r="P59" s="20" t="n">
        <v>101674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3" t="n">
        <f>DMPAIMtable[[#This Row],[Closing balance ]]/DMPAIMtable[[#This Row],[Forecasted consumption]]</f>
        <v>8.2996948265401294</v>
      </c>
      <c r="X59" s="25"/>
    </row>
    <row r="60" ht="14.5" customHeight="1">
      <c r="B60" s="6" t="s">
        <v>72</v>
      </c>
      <c r="C60" s="18" t="s">
        <v>44</v>
      </c>
      <c r="D60" s="17" t="s">
        <v>45</v>
      </c>
      <c r="E60" s="18" t="s">
        <v>31</v>
      </c>
      <c r="F60" s="19" t="n">
        <v>45748</v>
      </c>
      <c r="G60" s="23" t="n">
        <f t="shared" ref="G60:G80" si="3">J59</f>
        <v>916527</v>
      </c>
      <c r="H60" s="30"/>
      <c r="I60" s="23" t="n">
        <v>110429</v>
      </c>
      <c r="J60" s="23" t="n">
        <f>MAX(DMPAIMtable[[#This Row],[Stock on hand(opening balance)]]+DMPAIMtable[[#This Row],[Quantity ]]-DMPAIMtable[[#This Row],[Forecasted consumption]],0)</f>
        <v>1106098</v>
      </c>
      <c r="K60" s="2" t="s">
        <v>51</v>
      </c>
      <c r="L60" s="2" t="s">
        <v>158</v>
      </c>
      <c r="M60" s="2" t="s">
        <v>153</v>
      </c>
      <c r="N60" s="23" t="n">
        <v>300000</v>
      </c>
      <c r="O60" s="2"/>
      <c r="P60" s="20" t="n">
        <v>258720</v>
      </c>
      <c r="Q60" s="24" t="n">
        <v>45748</v>
      </c>
      <c r="R60" s="2"/>
      <c r="S60" s="2"/>
      <c r="T60" s="2" t="n">
        <v>6</v>
      </c>
      <c r="U60" s="2" t="n">
        <v>12</v>
      </c>
      <c r="V60" s="2" t="n">
        <v>12</v>
      </c>
      <c r="W60" s="3" t="n">
        <f>DMPAIMtable[[#This Row],[Closing balance ]]/DMPAIMtable[[#This Row],[Forecasted consumption]]</f>
        <v>10.016372510844072</v>
      </c>
      <c r="X60" s="25"/>
    </row>
    <row r="61" ht="14.5" customHeight="1">
      <c r="B61" s="6" t="s">
        <v>72</v>
      </c>
      <c r="C61" s="18" t="s">
        <v>44</v>
      </c>
      <c r="D61" s="17" t="s">
        <v>45</v>
      </c>
      <c r="E61" s="18" t="s">
        <v>31</v>
      </c>
      <c r="F61" s="19" t="n">
        <v>45778</v>
      </c>
      <c r="G61" s="23" t="n">
        <f t="shared" si="3"/>
        <v>1106098</v>
      </c>
      <c r="H61" s="30"/>
      <c r="I61" s="23" t="n">
        <v>110429</v>
      </c>
      <c r="J61" s="23" t="n">
        <f>MAX(DMPAIMtable[[#This Row],[Stock on hand(opening balance)]]+DMPAIMtable[[#This Row],[Quantity ]]-DMPAIMtable[[#This Row],[Forecasted consumption]],0)</f>
        <v>1495669</v>
      </c>
      <c r="K61" s="2" t="s">
        <v>157</v>
      </c>
      <c r="L61" s="2" t="s">
        <v>3</v>
      </c>
      <c r="M61" s="2" t="s">
        <v>153</v>
      </c>
      <c r="N61" s="23" t="n">
        <v>500000</v>
      </c>
      <c r="O61" s="2"/>
      <c r="P61" s="20" t="n">
        <v>341600</v>
      </c>
      <c r="Q61" s="24" t="n">
        <v>45778</v>
      </c>
      <c r="R61" s="2"/>
      <c r="S61" s="2"/>
      <c r="T61" s="2" t="n">
        <v>6</v>
      </c>
      <c r="U61" s="2" t="n">
        <v>12</v>
      </c>
      <c r="V61" s="2" t="n">
        <v>12</v>
      </c>
      <c r="W61" s="3" t="n">
        <f>DMPAIMtable[[#This Row],[Closing balance ]]/DMPAIMtable[[#This Row],[Forecasted consumption]]</f>
        <v>13.544168651350642</v>
      </c>
      <c r="X61" s="25"/>
    </row>
    <row r="62" ht="14.5" customHeight="1">
      <c r="B62" s="6" t="s">
        <v>72</v>
      </c>
      <c r="C62" s="18" t="s">
        <v>44</v>
      </c>
      <c r="D62" s="17" t="s">
        <v>45</v>
      </c>
      <c r="E62" s="18" t="s">
        <v>31</v>
      </c>
      <c r="F62" s="19" t="n">
        <v>45809</v>
      </c>
      <c r="G62" s="23" t="n">
        <f t="shared" si="3"/>
        <v>1495669</v>
      </c>
      <c r="H62" s="30"/>
      <c r="I62" s="23" t="n">
        <v>110429</v>
      </c>
      <c r="J62" s="23" t="n">
        <f>MAX(DMPAIMtable[[#This Row],[Stock on hand(opening balance)]]+DMPAIMtable[[#This Row],[Quantity ]]-DMPAIMtable[[#This Row],[Forecasted consumption]],0)</f>
        <v>1385240</v>
      </c>
      <c r="K62" s="2"/>
      <c r="L62" s="2"/>
      <c r="M62" s="2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DMPAIMtable[[#This Row],[Closing balance ]]/DMPAIMtable[[#This Row],[Forecasted consumption]]</f>
        <v>12.544168651350642</v>
      </c>
      <c r="X62" s="25"/>
    </row>
    <row r="63" ht="14.5" customHeight="1">
      <c r="B63" s="6" t="s">
        <v>72</v>
      </c>
      <c r="C63" s="18" t="s">
        <v>44</v>
      </c>
      <c r="D63" s="17" t="s">
        <v>45</v>
      </c>
      <c r="E63" s="18" t="s">
        <v>31</v>
      </c>
      <c r="F63" s="19" t="n">
        <v>45839</v>
      </c>
      <c r="G63" s="23" t="n">
        <f t="shared" si="3"/>
        <v>1385240</v>
      </c>
      <c r="H63" s="30"/>
      <c r="I63" s="23" t="n">
        <v>110429</v>
      </c>
      <c r="J63" s="23" t="n">
        <f>MAX(DMPAIMtable[[#This Row],[Stock on hand(opening balance)]]+DMPAIMtable[[#This Row],[Quantity ]]-DMPAIMtable[[#This Row],[Forecasted consumption]],0)</f>
        <v>1274811</v>
      </c>
      <c r="K63" s="2"/>
      <c r="L63" s="2"/>
      <c r="M63" s="2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DMPAIMtable[[#This Row],[Closing balance ]]/DMPAIMtable[[#This Row],[Forecasted consumption]]</f>
        <v>11.544168651350642</v>
      </c>
      <c r="X63" s="25"/>
    </row>
    <row r="64">
      <c r="B64" s="6" t="s">
        <v>72</v>
      </c>
      <c r="C64" s="18" t="s">
        <v>44</v>
      </c>
      <c r="D64" s="17" t="s">
        <v>45</v>
      </c>
      <c r="E64" s="18" t="s">
        <v>31</v>
      </c>
      <c r="F64" s="19" t="n">
        <v>45870</v>
      </c>
      <c r="G64" s="23" t="n">
        <f t="shared" si="3"/>
        <v>1274811</v>
      </c>
      <c r="H64" s="23"/>
      <c r="I64" s="23" t="n">
        <v>110429</v>
      </c>
      <c r="J64" s="23" t="n">
        <f>MAX(DMPAIMtable[[#This Row],[Stock on hand(opening balance)]]+DMPAIMtable[[#This Row],[Quantity ]]-DMPAIMtable[[#This Row],[Forecasted consumption]],0)</f>
        <v>1264382</v>
      </c>
      <c r="K64" s="2" t="s">
        <v>51</v>
      </c>
      <c r="L64" s="2" t="s">
        <v>51</v>
      </c>
      <c r="M64" s="2" t="s">
        <v>154</v>
      </c>
      <c r="N64" s="23" t="n">
        <v>100000</v>
      </c>
      <c r="O64" s="2"/>
      <c r="P64" s="20" t="n">
        <v>95200</v>
      </c>
      <c r="Q64" s="24" t="n">
        <v>45870</v>
      </c>
      <c r="R64" s="2"/>
      <c r="S64" s="2"/>
      <c r="T64" s="2" t="n">
        <v>6</v>
      </c>
      <c r="U64" s="2" t="n">
        <v>12</v>
      </c>
      <c r="V64" s="2" t="n">
        <v>12</v>
      </c>
      <c r="W64" s="3" t="n">
        <f>DMPAIMtable[[#This Row],[Closing balance ]]/DMPAIMtable[[#This Row],[Forecasted consumption]]</f>
        <v>11.449727879451956</v>
      </c>
      <c r="X64" s="25"/>
    </row>
    <row r="65">
      <c r="B65" s="6" t="s">
        <v>72</v>
      </c>
      <c r="C65" s="18" t="s">
        <v>44</v>
      </c>
      <c r="D65" s="17" t="s">
        <v>45</v>
      </c>
      <c r="E65" s="18" t="s">
        <v>31</v>
      </c>
      <c r="F65" s="19" t="n">
        <v>45901</v>
      </c>
      <c r="G65" s="23" t="n">
        <f t="shared" si="3"/>
        <v>1264382</v>
      </c>
      <c r="H65" s="23"/>
      <c r="I65" s="23" t="n">
        <v>110429</v>
      </c>
      <c r="J65" s="23" t="n">
        <f>MAX(DMPAIMtable[[#This Row],[Stock on hand(opening balance)]]+DMPAIMtable[[#This Row],[Quantity ]]-DMPAIMtable[[#This Row],[Forecasted consumption]],0)</f>
        <v>1153953</v>
      </c>
      <c r="K65" s="2"/>
      <c r="L65" s="2"/>
      <c r="M65" s="2"/>
      <c r="N65" s="23"/>
      <c r="O65" s="2"/>
      <c r="P65" s="20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DMPAIMtable[[#This Row],[Closing balance ]]/DMPAIMtable[[#This Row],[Forecasted consumption]]</f>
        <v>10.449727879451956</v>
      </c>
      <c r="X65" s="25"/>
    </row>
    <row r="66">
      <c r="B66" s="6" t="s">
        <v>72</v>
      </c>
      <c r="C66" s="18" t="s">
        <v>44</v>
      </c>
      <c r="D66" s="17" t="s">
        <v>45</v>
      </c>
      <c r="E66" s="18" t="s">
        <v>31</v>
      </c>
      <c r="F66" s="19" t="n">
        <v>45931</v>
      </c>
      <c r="G66" s="23" t="n">
        <f t="shared" si="3"/>
        <v>1153953</v>
      </c>
      <c r="H66" s="23"/>
      <c r="I66" s="23" t="n">
        <v>110429</v>
      </c>
      <c r="J66" s="23" t="n">
        <f>MAX(DMPAIMtable[[#This Row],[Stock on hand(opening balance)]]+DMPAIMtable[[#This Row],[Quantity ]]-DMPAIMtable[[#This Row],[Forecasted consumption]],0)</f>
        <v>1262124</v>
      </c>
      <c r="K66" s="2" t="s">
        <v>51</v>
      </c>
      <c r="L66" s="2" t="s">
        <v>51</v>
      </c>
      <c r="M66" s="2" t="s">
        <v>147</v>
      </c>
      <c r="N66" s="23" t="n">
        <v>218600</v>
      </c>
      <c r="O66" s="2"/>
      <c r="P66" s="20" t="n">
        <v>195913</v>
      </c>
      <c r="Q66" s="24" t="n">
        <v>45931</v>
      </c>
      <c r="R66" s="2"/>
      <c r="S66" s="2"/>
      <c r="T66" s="2" t="n">
        <v>6</v>
      </c>
      <c r="U66" s="2" t="n">
        <v>12</v>
      </c>
      <c r="V66" s="2" t="n">
        <v>12</v>
      </c>
      <c r="W66" s="3" t="n">
        <f>DMPAIMtable[[#This Row],[Closing balance ]]/DMPAIMtable[[#This Row],[Forecasted consumption]]</f>
        <v>11.429280352081427</v>
      </c>
      <c r="X66" s="25"/>
    </row>
    <row r="67">
      <c r="B67" s="6" t="s">
        <v>72</v>
      </c>
      <c r="C67" s="18" t="s">
        <v>44</v>
      </c>
      <c r="D67" s="17" t="s">
        <v>45</v>
      </c>
      <c r="E67" s="18" t="s">
        <v>31</v>
      </c>
      <c r="F67" s="19" t="n">
        <v>45962</v>
      </c>
      <c r="G67" s="23" t="n">
        <f t="shared" si="3"/>
        <v>1262124</v>
      </c>
      <c r="H67" s="23"/>
      <c r="I67" s="23" t="n">
        <v>110429</v>
      </c>
      <c r="J67" s="23" t="n">
        <f>MAX(DMPAIMtable[[#This Row],[Stock on hand(opening balance)]]+DMPAIMtable[[#This Row],[Quantity ]]-DMPAIMtable[[#This Row],[Forecasted consumption]],0)</f>
        <v>1175695</v>
      </c>
      <c r="K67" s="2" t="s">
        <v>51</v>
      </c>
      <c r="L67" s="2" t="s">
        <v>51</v>
      </c>
      <c r="M67" s="2" t="s">
        <v>147</v>
      </c>
      <c r="N67" s="23" t="n">
        <v>24000</v>
      </c>
      <c r="O67" s="2"/>
      <c r="P67" s="20" t="n">
        <v>20697</v>
      </c>
      <c r="Q67" s="24" t="n">
        <v>45962</v>
      </c>
      <c r="R67" s="2"/>
      <c r="S67" s="2"/>
      <c r="T67" s="2" t="n">
        <v>6</v>
      </c>
      <c r="U67" s="2" t="n">
        <v>12</v>
      </c>
      <c r="V67" s="2" t="n">
        <v>12</v>
      </c>
      <c r="W67" s="3" t="n">
        <f>DMPAIMtable[[#This Row],[Closing balance ]]/DMPAIMtable[[#This Row],[Forecasted consumption]]</f>
        <v>10.646614566825743</v>
      </c>
      <c r="X67" s="25"/>
    </row>
    <row r="68">
      <c r="B68" s="6" t="s">
        <v>72</v>
      </c>
      <c r="C68" s="18" t="s">
        <v>44</v>
      </c>
      <c r="D68" s="17" t="s">
        <v>45</v>
      </c>
      <c r="E68" s="18" t="s">
        <v>31</v>
      </c>
      <c r="F68" s="19" t="n">
        <v>45992</v>
      </c>
      <c r="G68" s="23" t="n">
        <f t="shared" si="3"/>
        <v>1175695</v>
      </c>
      <c r="H68" s="23"/>
      <c r="I68" s="23" t="n">
        <v>110429</v>
      </c>
      <c r="J68" s="23" t="n">
        <f>MAX(DMPAIMtable[[#This Row],[Stock on hand(opening balance)]]+DMPAIMtable[[#This Row],[Quantity ]]-DMPAIMtable[[#This Row],[Forecasted consumption]],0)</f>
        <v>1065266</v>
      </c>
      <c r="K68" s="2"/>
      <c r="L68" s="2"/>
      <c r="M68" s="2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DMPAIMtable[[#This Row],[Closing balance ]]/DMPAIMtable[[#This Row],[Forecasted consumption]]</f>
        <v>9.6466145668257433</v>
      </c>
      <c r="X68" s="25"/>
    </row>
    <row r="69">
      <c r="B69" s="6" t="s">
        <v>72</v>
      </c>
      <c r="C69" s="18" t="s">
        <v>44</v>
      </c>
      <c r="D69" s="17" t="s">
        <v>45</v>
      </c>
      <c r="E69" s="18" t="s">
        <v>31</v>
      </c>
      <c r="F69" s="19" t="n">
        <v>46023</v>
      </c>
      <c r="G69" s="23" t="n">
        <f t="shared" si="3"/>
        <v>1065266</v>
      </c>
      <c r="H69" s="23"/>
      <c r="I69" s="23" t="n">
        <v>110429</v>
      </c>
      <c r="J69" s="23" t="n">
        <f>MAX(DMPAIMtable[[#This Row],[Stock on hand(opening balance)]]+DMPAIMtable[[#This Row],[Quantity ]]-DMPAIMtable[[#This Row],[Forecasted consumption]],0)</f>
        <v>954837</v>
      </c>
      <c r="K69" s="2"/>
      <c r="L69" s="2"/>
      <c r="M69" s="2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3" t="n">
        <f>DMPAIMtable[[#This Row],[Closing balance ]]/DMPAIMtable[[#This Row],[Forecasted consumption]]</f>
        <v>8.6466145668257433</v>
      </c>
      <c r="X69" s="25"/>
    </row>
    <row r="70">
      <c r="B70" s="6" t="s">
        <v>72</v>
      </c>
      <c r="C70" s="18" t="s">
        <v>44</v>
      </c>
      <c r="D70" s="17" t="s">
        <v>45</v>
      </c>
      <c r="E70" s="18" t="s">
        <v>31</v>
      </c>
      <c r="F70" s="19" t="n">
        <v>46054</v>
      </c>
      <c r="G70" s="23" t="n">
        <f t="shared" si="3"/>
        <v>954837</v>
      </c>
      <c r="H70" s="23"/>
      <c r="I70" s="23" t="n">
        <v>110429</v>
      </c>
      <c r="J70" s="23" t="n">
        <f>MAX(DMPAIMtable[[#This Row],[Stock on hand(opening balance)]]+DMPAIMtable[[#This Row],[Quantity ]]-DMPAIMtable[[#This Row],[Forecasted consumption]],0)</f>
        <v>844408</v>
      </c>
      <c r="K70" s="2"/>
      <c r="L70" s="2"/>
      <c r="M70" s="2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DMPAIMtable[[#This Row],[Closing balance ]]/DMPAIMtable[[#This Row],[Forecasted consumption]]</f>
        <v>7.6466145668257433</v>
      </c>
      <c r="X70" s="25"/>
    </row>
    <row r="71">
      <c r="B71" s="6" t="s">
        <v>72</v>
      </c>
      <c r="C71" s="18" t="s">
        <v>44</v>
      </c>
      <c r="D71" s="17" t="s">
        <v>45</v>
      </c>
      <c r="E71" s="18" t="s">
        <v>31</v>
      </c>
      <c r="F71" s="19" t="n">
        <v>46082</v>
      </c>
      <c r="G71" s="23" t="n">
        <f t="shared" si="3"/>
        <v>844408</v>
      </c>
      <c r="H71" s="23"/>
      <c r="I71" s="23" t="n">
        <v>110429</v>
      </c>
      <c r="J71" s="23" t="n">
        <f>MAX(DMPAIMtable[[#This Row],[Stock on hand(opening balance)]]+DMPAIMtable[[#This Row],[Quantity ]]-DMPAIMtable[[#This Row],[Forecasted consumption]],0)</f>
        <v>1365995</v>
      </c>
      <c r="K71" s="2" t="s">
        <v>2</v>
      </c>
      <c r="L71" s="2" t="s">
        <v>2</v>
      </c>
      <c r="M71" s="2" t="s">
        <v>4</v>
      </c>
      <c r="N71" s="23" t="n">
        <v>632016</v>
      </c>
      <c r="O71" s="2"/>
      <c r="P71" s="20" t="n">
        <v>545051</v>
      </c>
      <c r="Q71" s="24" t="n">
        <v>46082</v>
      </c>
      <c r="R71" s="2"/>
      <c r="S71" s="2"/>
      <c r="T71" s="2" t="n">
        <v>6</v>
      </c>
      <c r="U71" s="2" t="n">
        <v>12</v>
      </c>
      <c r="V71" s="2" t="n">
        <v>12</v>
      </c>
      <c r="W71" s="3" t="n">
        <f>DMPAIMtable[[#This Row],[Closing balance ]]/DMPAIMtable[[#This Row],[Forecasted consumption]]</f>
        <v>12.369893777902544</v>
      </c>
      <c r="X71" s="25"/>
    </row>
    <row r="72">
      <c r="B72" s="6" t="s">
        <v>72</v>
      </c>
      <c r="C72" s="18" t="s">
        <v>44</v>
      </c>
      <c r="D72" s="17" t="s">
        <v>45</v>
      </c>
      <c r="E72" s="18" t="s">
        <v>31</v>
      </c>
      <c r="F72" s="19" t="n">
        <v>46113</v>
      </c>
      <c r="G72" s="23" t="n">
        <f t="shared" si="3"/>
        <v>1365995</v>
      </c>
      <c r="H72" s="23"/>
      <c r="I72" s="23" t="n">
        <v>110429</v>
      </c>
      <c r="J72" s="23" t="n">
        <f>MAX(DMPAIMtable[[#This Row],[Stock on hand(opening balance)]]+DMPAIMtable[[#This Row],[Quantity ]]-DMPAIMtable[[#This Row],[Forecasted consumption]],0)</f>
        <v>1255566</v>
      </c>
      <c r="K72" s="2"/>
      <c r="L72" s="2"/>
      <c r="M72" s="2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DMPAIMtable[[#This Row],[Closing balance ]]/DMPAIMtable[[#This Row],[Forecasted consumption]]</f>
        <v>11.369893777902544</v>
      </c>
      <c r="X72" s="25"/>
    </row>
    <row r="73">
      <c r="B73" s="6" t="s">
        <v>72</v>
      </c>
      <c r="C73" s="18" t="s">
        <v>44</v>
      </c>
      <c r="D73" s="17" t="s">
        <v>45</v>
      </c>
      <c r="E73" s="18" t="s">
        <v>31</v>
      </c>
      <c r="F73" s="19" t="n">
        <v>46143</v>
      </c>
      <c r="G73" s="23" t="n">
        <f t="shared" si="3"/>
        <v>1255566</v>
      </c>
      <c r="H73" s="23"/>
      <c r="I73" s="23" t="n">
        <v>110429</v>
      </c>
      <c r="J73" s="23" t="n">
        <f>MAX(DMPAIMtable[[#This Row],[Stock on hand(opening balance)]]+DMPAIMtable[[#This Row],[Quantity ]]-DMPAIMtable[[#This Row],[Forecasted consumption]],0)</f>
        <v>1145137</v>
      </c>
      <c r="K73" s="2"/>
      <c r="L73" s="2"/>
      <c r="M73" s="2"/>
      <c r="N73" s="23"/>
      <c r="O73" s="2"/>
      <c r="P73" s="20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DMPAIMtable[[#This Row],[Closing balance ]]/DMPAIMtable[[#This Row],[Forecasted consumption]]</f>
        <v>10.369893777902544</v>
      </c>
      <c r="X73" s="25"/>
    </row>
    <row r="74">
      <c r="B74" s="6" t="s">
        <v>72</v>
      </c>
      <c r="C74" s="18" t="s">
        <v>44</v>
      </c>
      <c r="D74" s="17" t="s">
        <v>45</v>
      </c>
      <c r="E74" s="18" t="s">
        <v>31</v>
      </c>
      <c r="F74" s="19" t="n">
        <v>46174</v>
      </c>
      <c r="G74" s="23" t="n">
        <f t="shared" si="3"/>
        <v>1145137</v>
      </c>
      <c r="H74" s="23"/>
      <c r="I74" s="23" t="n">
        <v>110429</v>
      </c>
      <c r="J74" s="23" t="n">
        <f>MAX(DMPAIMtable[[#This Row],[Stock on hand(opening balance)]]+DMPAIMtable[[#This Row],[Quantity ]]-DMPAIMtable[[#This Row],[Forecasted consumption]],0)</f>
        <v>1034708</v>
      </c>
      <c r="K74" s="2"/>
      <c r="L74" s="2"/>
      <c r="M74" s="2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DMPAIMtable[[#This Row],[Closing balance ]]/DMPAIMtable[[#This Row],[Forecasted consumption]]</f>
        <v>9.3698937779025435</v>
      </c>
      <c r="X74" s="25"/>
    </row>
    <row r="75">
      <c r="B75" s="6" t="s">
        <v>72</v>
      </c>
      <c r="C75" s="18" t="s">
        <v>44</v>
      </c>
      <c r="D75" s="17" t="s">
        <v>45</v>
      </c>
      <c r="E75" s="18" t="s">
        <v>31</v>
      </c>
      <c r="F75" s="19" t="n">
        <v>46204</v>
      </c>
      <c r="G75" s="23" t="n">
        <f t="shared" si="3"/>
        <v>1034708</v>
      </c>
      <c r="H75" s="23"/>
      <c r="I75" s="23" t="n">
        <v>110429</v>
      </c>
      <c r="J75" s="23" t="n">
        <f>MAX(DMPAIMtable[[#This Row],[Stock on hand(opening balance)]]+DMPAIMtable[[#This Row],[Quantity ]]-DMPAIMtable[[#This Row],[Forecasted consumption]],0)</f>
        <v>924279</v>
      </c>
      <c r="K75" s="2"/>
      <c r="L75" s="2"/>
      <c r="M75" s="2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DMPAIMtable[[#This Row],[Closing balance ]]/DMPAIMtable[[#This Row],[Forecasted consumption]]</f>
        <v>8.3698937779025435</v>
      </c>
      <c r="X75" s="25"/>
    </row>
    <row r="76">
      <c r="B76" s="6" t="s">
        <v>72</v>
      </c>
      <c r="C76" s="18" t="s">
        <v>44</v>
      </c>
      <c r="D76" s="17" t="s">
        <v>45</v>
      </c>
      <c r="E76" s="18" t="s">
        <v>31</v>
      </c>
      <c r="F76" s="19" t="n">
        <v>46235</v>
      </c>
      <c r="G76" s="23" t="n">
        <f t="shared" si="3"/>
        <v>924279</v>
      </c>
      <c r="H76" s="23"/>
      <c r="I76" s="23" t="n">
        <v>110429</v>
      </c>
      <c r="J76" s="23" t="n">
        <f>MAX(DMPAIMtable[[#This Row],[Stock on hand(opening balance)]]+DMPAIMtable[[#This Row],[Quantity ]]-DMPAIMtable[[#This Row],[Forecasted consumption]],0)</f>
        <v>813850</v>
      </c>
      <c r="K76" s="2"/>
      <c r="L76" s="2"/>
      <c r="M76" s="2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DMPAIMtable[[#This Row],[Closing balance ]]/DMPAIMtable[[#This Row],[Forecasted consumption]]</f>
        <v>7.3698937779025435</v>
      </c>
      <c r="X76" s="25"/>
    </row>
    <row r="77">
      <c r="B77" s="6" t="s">
        <v>72</v>
      </c>
      <c r="C77" s="18" t="s">
        <v>44</v>
      </c>
      <c r="D77" s="17" t="s">
        <v>45</v>
      </c>
      <c r="E77" s="18" t="s">
        <v>31</v>
      </c>
      <c r="F77" s="19" t="n">
        <v>46266</v>
      </c>
      <c r="G77" s="23" t="n">
        <f t="shared" si="3"/>
        <v>813850</v>
      </c>
      <c r="H77" s="23"/>
      <c r="I77" s="23" t="n">
        <v>110429</v>
      </c>
      <c r="J77" s="23" t="n">
        <f>MAX(DMPAIMtable[[#This Row],[Stock on hand(opening balance)]]+DMPAIMtable[[#This Row],[Quantity ]]-DMPAIMtable[[#This Row],[Forecasted consumption]],0)</f>
        <v>703421</v>
      </c>
      <c r="K77" s="2"/>
      <c r="L77" s="2"/>
      <c r="M77" s="2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DMPAIMtable[[#This Row],[Closing balance ]]/DMPAIMtable[[#This Row],[Forecasted consumption]]</f>
        <v>6.3698937779025435</v>
      </c>
      <c r="X77" s="25"/>
    </row>
    <row r="78">
      <c r="B78" s="6" t="s">
        <v>72</v>
      </c>
      <c r="C78" s="18" t="s">
        <v>44</v>
      </c>
      <c r="D78" s="17" t="s">
        <v>45</v>
      </c>
      <c r="E78" s="18" t="s">
        <v>31</v>
      </c>
      <c r="F78" s="19" t="n">
        <v>46296</v>
      </c>
      <c r="G78" s="23" t="n">
        <f t="shared" si="3"/>
        <v>703421</v>
      </c>
      <c r="H78" s="23"/>
      <c r="I78" s="23" t="n">
        <v>110429</v>
      </c>
      <c r="J78" s="23" t="n">
        <f>MAX(DMPAIMtable[[#This Row],[Stock on hand(opening balance)]]+DMPAIMtable[[#This Row],[Quantity ]]-DMPAIMtable[[#This Row],[Forecasted consumption]],0)</f>
        <v>1290024</v>
      </c>
      <c r="K78" s="2" t="s">
        <v>2</v>
      </c>
      <c r="L78" s="2" t="s">
        <v>2</v>
      </c>
      <c r="M78" s="2" t="s">
        <v>4</v>
      </c>
      <c r="N78" s="23" t="n">
        <v>697032</v>
      </c>
      <c r="O78" s="2"/>
      <c r="P78" s="20" t="n">
        <v>601120</v>
      </c>
      <c r="Q78" s="24" t="n">
        <v>46296</v>
      </c>
      <c r="R78" s="2"/>
      <c r="S78" s="2"/>
      <c r="T78" s="2" t="n">
        <v>6</v>
      </c>
      <c r="U78" s="2" t="n">
        <v>12</v>
      </c>
      <c r="V78" s="2" t="n">
        <v>12</v>
      </c>
      <c r="W78" s="3" t="n">
        <f>DMPAIMtable[[#This Row],[Closing balance ]]/DMPAIMtable[[#This Row],[Forecasted consumption]]</f>
        <v>11.681931376721694</v>
      </c>
      <c r="X78" s="25"/>
    </row>
    <row r="79">
      <c r="B79" s="6" t="s">
        <v>72</v>
      </c>
      <c r="C79" s="18" t="s">
        <v>44</v>
      </c>
      <c r="D79" s="17" t="s">
        <v>45</v>
      </c>
      <c r="E79" s="18" t="s">
        <v>31</v>
      </c>
      <c r="F79" s="19" t="n">
        <v>46327</v>
      </c>
      <c r="G79" s="23" t="n">
        <f t="shared" si="3"/>
        <v>1290024</v>
      </c>
      <c r="H79" s="23"/>
      <c r="I79" s="23" t="n">
        <v>110429</v>
      </c>
      <c r="J79" s="23" t="n">
        <f>MAX(DMPAIMtable[[#This Row],[Stock on hand(opening balance)]]+DMPAIMtable[[#This Row],[Quantity ]]-DMPAIMtable[[#This Row],[Forecasted consumption]],0)</f>
        <v>1179595</v>
      </c>
      <c r="K79" s="2"/>
      <c r="L79" s="2"/>
      <c r="M79" s="2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DMPAIMtable[[#This Row],[Closing balance ]]/DMPAIMtable[[#This Row],[Forecasted consumption]]</f>
        <v>10.681931376721694</v>
      </c>
      <c r="X79" s="25"/>
    </row>
    <row r="80">
      <c r="B80" s="6" t="s">
        <v>72</v>
      </c>
      <c r="C80" s="18" t="s">
        <v>44</v>
      </c>
      <c r="D80" s="17" t="s">
        <v>45</v>
      </c>
      <c r="E80" s="18" t="s">
        <v>31</v>
      </c>
      <c r="F80" s="19" t="n">
        <v>46357</v>
      </c>
      <c r="G80" s="23" t="n">
        <f t="shared" si="3"/>
        <v>1179595</v>
      </c>
      <c r="H80" s="23"/>
      <c r="I80" s="23" t="n">
        <v>110429</v>
      </c>
      <c r="J80" s="23" t="n">
        <f>MAX(DMPAIMtable[[#This Row],[Stock on hand(opening balance)]]+DMPAIMtable[[#This Row],[Quantity ]]-DMPAIMtable[[#This Row],[Forecasted consumption]],0)</f>
        <v>1069166</v>
      </c>
      <c r="K80" s="2"/>
      <c r="L80" s="2"/>
      <c r="M80" s="2"/>
      <c r="N80" s="23"/>
      <c r="O80" s="2"/>
      <c r="P80" s="20"/>
      <c r="Q80" s="24"/>
      <c r="R80" s="2"/>
      <c r="S80" s="2"/>
      <c r="T80" s="2" t="n">
        <v>6</v>
      </c>
      <c r="U80" s="2" t="n">
        <v>12</v>
      </c>
      <c r="V80" s="2" t="n">
        <v>12</v>
      </c>
      <c r="W80" s="3" t="n">
        <f>DMPAIMtable[[#This Row],[Closing balance ]]/DMPAIMtable[[#This Row],[Forecasted consumption]]</f>
        <v>9.6819313767216943</v>
      </c>
      <c r="X80" s="25"/>
    </row>
    <row r="81">
      <c r="B81" s="6" t="s">
        <v>77</v>
      </c>
      <c r="C81" s="18" t="s">
        <v>44</v>
      </c>
      <c r="D81" s="17" t="s">
        <v>45</v>
      </c>
      <c r="E81" s="18" t="s">
        <v>31</v>
      </c>
      <c r="F81" s="19" t="n">
        <v>45839</v>
      </c>
      <c r="G81" s="23" t="n">
        <v>2250291</v>
      </c>
      <c r="H81" s="23"/>
      <c r="I81" s="23" t="n">
        <v>1332535</v>
      </c>
      <c r="J81" s="23" t="n">
        <f>MAX(DMPAIMtable[[#This Row],[Stock on hand(opening balance)]]+DMPAIMtable[[#This Row],[Quantity ]]-DMPAIMtable[[#This Row],[Forecasted consumption]],0)</f>
        <v>917756</v>
      </c>
      <c r="K81" s="2"/>
      <c r="L81" s="2"/>
      <c r="M81" s="2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DMPAIMtable[[#This Row],[Closing balance ]]/DMPAIMtable[[#This Row],[Forecasted consumption]]</f>
        <v>0.68872937671430767</v>
      </c>
      <c r="X81" s="25"/>
    </row>
    <row r="82">
      <c r="B82" s="6" t="s">
        <v>77</v>
      </c>
      <c r="C82" s="18" t="s">
        <v>44</v>
      </c>
      <c r="D82" s="17" t="s">
        <v>45</v>
      </c>
      <c r="E82" s="18" t="s">
        <v>31</v>
      </c>
      <c r="F82" s="19" t="n">
        <v>45870</v>
      </c>
      <c r="G82" s="23" t="n">
        <f>J81</f>
        <v>917756</v>
      </c>
      <c r="H82" s="23"/>
      <c r="I82" s="23" t="n">
        <v>1332535</v>
      </c>
      <c r="J82" s="23" t="n">
        <f>MAX(DMPAIMtable[[#This Row],[Stock on hand(opening balance)]]+DMPAIMtable[[#This Row],[Quantity ]]-DMPAIMtable[[#This Row],[Forecasted consumption]],0)</f>
        <v>1355221</v>
      </c>
      <c r="K82" s="2" t="s">
        <v>51</v>
      </c>
      <c r="L82" s="2" t="s">
        <v>51</v>
      </c>
      <c r="M82" s="2" t="s">
        <v>154</v>
      </c>
      <c r="N82" s="23" t="n">
        <v>1770000</v>
      </c>
      <c r="O82" s="2"/>
      <c r="P82" s="20"/>
      <c r="Q82" s="24"/>
      <c r="R82" s="2"/>
      <c r="S82" s="2"/>
      <c r="T82" s="2" t="n">
        <v>6</v>
      </c>
      <c r="U82" s="2" t="n">
        <v>12</v>
      </c>
      <c r="V82" s="2" t="n">
        <v>12</v>
      </c>
      <c r="W82" s="3" t="n">
        <f>DMPAIMtable[[#This Row],[Closing balance ]]/DMPAIMtable[[#This Row],[Forecasted consumption]]</f>
        <v>1.0170246935352543</v>
      </c>
      <c r="X82" s="25"/>
    </row>
    <row r="83">
      <c r="B83" s="6" t="s">
        <v>77</v>
      </c>
      <c r="C83" s="18" t="s">
        <v>44</v>
      </c>
      <c r="D83" s="17" t="s">
        <v>45</v>
      </c>
      <c r="E83" s="18" t="s">
        <v>31</v>
      </c>
      <c r="F83" s="19" t="n">
        <v>45901</v>
      </c>
      <c r="G83" s="23" t="n">
        <f t="shared" ref="G83:G90" si="4">J82</f>
        <v>1355221</v>
      </c>
      <c r="H83" s="23"/>
      <c r="I83" s="23" t="n">
        <v>1332535</v>
      </c>
      <c r="J83" s="23" t="n">
        <f>MAX(DMPAIMtable[[#This Row],[Stock on hand(opening balance)]]+DMPAIMtable[[#This Row],[Quantity ]]-DMPAIMtable[[#This Row],[Forecasted consumption]],0)</f>
        <v>5019157</v>
      </c>
      <c r="K83" s="2" t="s">
        <v>168</v>
      </c>
      <c r="L83" s="2" t="s">
        <v>168</v>
      </c>
      <c r="M83" s="2" t="s">
        <v>154</v>
      </c>
      <c r="N83" s="23" t="n">
        <v>4996471</v>
      </c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DMPAIMtable[[#This Row],[Closing balance ]]/DMPAIMtable[[#This Row],[Forecasted consumption]]</f>
        <v>3.7666230155305489</v>
      </c>
      <c r="X83" s="25"/>
    </row>
    <row r="84">
      <c r="B84" s="6" t="s">
        <v>77</v>
      </c>
      <c r="C84" s="18" t="s">
        <v>44</v>
      </c>
      <c r="D84" s="17" t="s">
        <v>45</v>
      </c>
      <c r="E84" s="18" t="s">
        <v>31</v>
      </c>
      <c r="F84" s="19" t="n">
        <v>45931</v>
      </c>
      <c r="G84" s="23" t="n">
        <f t="shared" si="4"/>
        <v>5019157</v>
      </c>
      <c r="H84" s="23"/>
      <c r="I84" s="23" t="n">
        <v>1332535</v>
      </c>
      <c r="J84" s="23" t="n">
        <f>MAX(DMPAIMtable[[#This Row],[Stock on hand(opening balance)]]+DMPAIMtable[[#This Row],[Quantity ]]-DMPAIMtable[[#This Row],[Forecasted consumption]],0)</f>
        <v>3686622</v>
      </c>
      <c r="K84" s="2"/>
      <c r="L84" s="2"/>
      <c r="M84" s="2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3" t="n">
        <f>DMPAIMtable[[#This Row],[Closing balance ]]/DMPAIMtable[[#This Row],[Forecasted consumption]]</f>
        <v>2.7666230155305489</v>
      </c>
      <c r="X84" s="25"/>
    </row>
    <row r="85">
      <c r="B85" s="6" t="s">
        <v>77</v>
      </c>
      <c r="C85" s="18" t="s">
        <v>44</v>
      </c>
      <c r="D85" s="17" t="s">
        <v>45</v>
      </c>
      <c r="E85" s="18" t="s">
        <v>31</v>
      </c>
      <c r="F85" s="19" t="n">
        <v>45962</v>
      </c>
      <c r="G85" s="23" t="n">
        <f t="shared" si="4"/>
        <v>3686622</v>
      </c>
      <c r="H85" s="23"/>
      <c r="I85" s="23" t="n">
        <v>1332535</v>
      </c>
      <c r="J85" s="23" t="n">
        <f>MAX(DMPAIMtable[[#This Row],[Stock on hand(opening balance)]]+DMPAIMtable[[#This Row],[Quantity ]]-DMPAIMtable[[#This Row],[Forecasted consumption]],0)</f>
        <v>2354087</v>
      </c>
      <c r="K85" s="2"/>
      <c r="L85" s="2"/>
      <c r="M85" s="2"/>
      <c r="N85" s="23"/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3" t="n">
        <f>DMPAIMtable[[#This Row],[Closing balance ]]/DMPAIMtable[[#This Row],[Forecasted consumption]]</f>
        <v>1.7666230155305489</v>
      </c>
      <c r="X85" s="25"/>
    </row>
    <row r="86">
      <c r="B86" s="6" t="s">
        <v>77</v>
      </c>
      <c r="C86" s="18" t="s">
        <v>44</v>
      </c>
      <c r="D86" s="17" t="s">
        <v>45</v>
      </c>
      <c r="E86" s="18" t="s">
        <v>31</v>
      </c>
      <c r="F86" s="19" t="n">
        <v>45992</v>
      </c>
      <c r="G86" s="23" t="n">
        <f t="shared" si="4"/>
        <v>2354087</v>
      </c>
      <c r="H86" s="23"/>
      <c r="I86" s="23" t="n">
        <v>1332535</v>
      </c>
      <c r="J86" s="23" t="n">
        <f>MAX(DMPAIMtable[[#This Row],[Stock on hand(opening balance)]]+DMPAIMtable[[#This Row],[Quantity ]]-DMPAIMtable[[#This Row],[Forecasted consumption]],0)</f>
        <v>6151620</v>
      </c>
      <c r="K86" s="2" t="s">
        <v>168</v>
      </c>
      <c r="L86" s="2" t="s">
        <v>168</v>
      </c>
      <c r="M86" s="2" t="s">
        <v>147</v>
      </c>
      <c r="N86" s="23" t="n">
        <v>5130068</v>
      </c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3" t="n">
        <f>DMPAIMtable[[#This Row],[Closing balance ]]/DMPAIMtable[[#This Row],[Forecasted consumption]]</f>
        <v>4.6164791168712265</v>
      </c>
      <c r="X86" s="25"/>
    </row>
    <row r="87">
      <c r="B87" s="6" t="s">
        <v>77</v>
      </c>
      <c r="C87" s="18" t="s">
        <v>44</v>
      </c>
      <c r="D87" s="17" t="s">
        <v>45</v>
      </c>
      <c r="E87" s="18" t="s">
        <v>31</v>
      </c>
      <c r="F87" s="19" t="n">
        <v>46023</v>
      </c>
      <c r="G87" s="23" t="n">
        <f t="shared" si="4"/>
        <v>6151620</v>
      </c>
      <c r="H87" s="23"/>
      <c r="I87" s="23" t="n">
        <v>1332535</v>
      </c>
      <c r="J87" s="23" t="n">
        <f>MAX(DMPAIMtable[[#This Row],[Stock on hand(opening balance)]]+DMPAIMtable[[#This Row],[Quantity ]]-DMPAIMtable[[#This Row],[Forecasted consumption]],0)</f>
        <v>4819085</v>
      </c>
      <c r="K87" s="2"/>
      <c r="L87" s="2"/>
      <c r="M87" s="2"/>
      <c r="N87" s="23"/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3" t="n">
        <f>DMPAIMtable[[#This Row],[Closing balance ]]/DMPAIMtable[[#This Row],[Forecasted consumption]]</f>
        <v>3.6164791168712265</v>
      </c>
      <c r="X87" s="25"/>
    </row>
    <row r="88">
      <c r="B88" s="6" t="s">
        <v>77</v>
      </c>
      <c r="C88" s="18" t="s">
        <v>44</v>
      </c>
      <c r="D88" s="17" t="s">
        <v>45</v>
      </c>
      <c r="E88" s="18" t="s">
        <v>31</v>
      </c>
      <c r="F88" s="19" t="n">
        <v>46054</v>
      </c>
      <c r="G88" s="23" t="n">
        <f t="shared" si="4"/>
        <v>4819085</v>
      </c>
      <c r="H88" s="23"/>
      <c r="I88" s="23" t="n">
        <v>1332535</v>
      </c>
      <c r="J88" s="23" t="n">
        <f>MAX(DMPAIMtable[[#This Row],[Stock on hand(opening balance)]]+DMPAIMtable[[#This Row],[Quantity ]]-DMPAIMtable[[#This Row],[Forecasted consumption]],0)</f>
        <v>3486550</v>
      </c>
      <c r="K88" s="2"/>
      <c r="L88" s="2"/>
      <c r="M88" s="2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3" t="n">
        <f>DMPAIMtable[[#This Row],[Closing balance ]]/DMPAIMtable[[#This Row],[Forecasted consumption]]</f>
        <v>2.6164791168712265</v>
      </c>
      <c r="X88" s="25"/>
    </row>
    <row r="89">
      <c r="B89" s="6" t="s">
        <v>77</v>
      </c>
      <c r="C89" s="18" t="s">
        <v>44</v>
      </c>
      <c r="D89" s="17" t="s">
        <v>45</v>
      </c>
      <c r="E89" s="18" t="s">
        <v>31</v>
      </c>
      <c r="F89" s="19" t="n">
        <v>46082</v>
      </c>
      <c r="G89" s="23" t="n">
        <f t="shared" si="4"/>
        <v>3486550</v>
      </c>
      <c r="H89" s="23"/>
      <c r="I89" s="23" t="n">
        <v>1332535</v>
      </c>
      <c r="J89" s="23" t="n">
        <f>MAX(DMPAIMtable[[#This Row],[Stock on hand(opening balance)]]+DMPAIMtable[[#This Row],[Quantity ]]-DMPAIMtable[[#This Row],[Forecasted consumption]],0)</f>
        <v>2154015</v>
      </c>
      <c r="K89" s="2"/>
      <c r="L89" s="2"/>
      <c r="M89" s="2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3" t="n">
        <f>DMPAIMtable[[#This Row],[Closing balance ]]/DMPAIMtable[[#This Row],[Forecasted consumption]]</f>
        <v>1.6164791168712267</v>
      </c>
      <c r="X89" s="25"/>
    </row>
    <row r="90">
      <c r="B90" s="6" t="s">
        <v>77</v>
      </c>
      <c r="C90" s="18" t="s">
        <v>44</v>
      </c>
      <c r="D90" s="17" t="s">
        <v>45</v>
      </c>
      <c r="E90" s="18" t="s">
        <v>31</v>
      </c>
      <c r="F90" s="19" t="n">
        <v>46113</v>
      </c>
      <c r="G90" s="23" t="n">
        <f t="shared" si="4"/>
        <v>2154015</v>
      </c>
      <c r="H90" s="23"/>
      <c r="I90" s="23" t="n">
        <v>1332535</v>
      </c>
      <c r="J90" s="23" t="n">
        <f>MAX(DMPAIMtable[[#This Row],[Stock on hand(opening balance)]]+DMPAIMtable[[#This Row],[Quantity ]]-DMPAIMtable[[#This Row],[Forecasted consumption]],0)</f>
        <v>821480</v>
      </c>
      <c r="K90" s="2"/>
      <c r="L90" s="2"/>
      <c r="M90" s="2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3" t="n">
        <f>DMPAIMtable[[#This Row],[Closing balance ]]/DMPAIMtable[[#This Row],[Forecasted consumption]]</f>
        <v>0.6164791168712267</v>
      </c>
      <c r="X90" s="25"/>
    </row>
    <row r="91">
      <c r="B91" s="6" t="s">
        <v>74</v>
      </c>
      <c r="C91" s="18" t="s">
        <v>44</v>
      </c>
      <c r="D91" s="17" t="s">
        <v>45</v>
      </c>
      <c r="E91" s="18" t="s">
        <v>31</v>
      </c>
      <c r="F91" s="19" t="n">
        <v>45870</v>
      </c>
      <c r="G91" s="23" t="n">
        <v>1624145</v>
      </c>
      <c r="H91" s="23"/>
      <c r="I91" s="23" t="n">
        <v>130000</v>
      </c>
      <c r="J91" s="23" t="n">
        <f>MAX(DMPAIMtable[[#This Row],[Stock on hand(opening balance)]]+DMPAIMtable[[#This Row],[Quantity ]]-DMPAIMtable[[#This Row],[Forecasted consumption]],0)</f>
        <v>1694145</v>
      </c>
      <c r="K91" s="2" t="s">
        <v>51</v>
      </c>
      <c r="L91" s="2" t="s">
        <v>51</v>
      </c>
      <c r="M91" s="2" t="s">
        <v>154</v>
      </c>
      <c r="N91" s="23" t="n">
        <v>200000</v>
      </c>
      <c r="O91" s="2"/>
      <c r="P91" s="20"/>
      <c r="Q91" s="24"/>
      <c r="R91" s="2"/>
      <c r="S91" s="2"/>
      <c r="T91" s="2" t="n">
        <v>3</v>
      </c>
      <c r="U91" s="2" t="n">
        <v>6</v>
      </c>
      <c r="V91" s="2" t="n">
        <v>6</v>
      </c>
      <c r="W91" s="3" t="n">
        <f>DMPAIMtable[[#This Row],[Closing balance ]]/DMPAIMtable[[#This Row],[Forecasted consumption]]</f>
        <v>13.031884615384616</v>
      </c>
      <c r="X91" s="25"/>
    </row>
    <row r="92">
      <c r="B92" s="6" t="s">
        <v>74</v>
      </c>
      <c r="C92" s="18" t="s">
        <v>44</v>
      </c>
      <c r="D92" s="17" t="s">
        <v>45</v>
      </c>
      <c r="E92" s="18" t="s">
        <v>31</v>
      </c>
      <c r="F92" s="19" t="n">
        <v>45901</v>
      </c>
      <c r="G92" s="23" t="n">
        <f>J91</f>
        <v>1694145</v>
      </c>
      <c r="H92" s="23"/>
      <c r="I92" s="23" t="n">
        <v>130000</v>
      </c>
      <c r="J92" s="23" t="n">
        <f>MAX(DMPAIMtable[[#This Row],[Stock on hand(opening balance)]]+DMPAIMtable[[#This Row],[Quantity ]]-DMPAIMtable[[#This Row],[Forecasted consumption]],0)</f>
        <v>1564145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3</v>
      </c>
      <c r="U92" s="2" t="n">
        <v>6</v>
      </c>
      <c r="V92" s="2" t="n">
        <v>6</v>
      </c>
      <c r="W92" s="3" t="n">
        <f>DMPAIMtable[[#This Row],[Closing balance ]]/DMPAIMtable[[#This Row],[Forecasted consumption]]</f>
        <v>12.031884615384616</v>
      </c>
      <c r="X92" s="25"/>
    </row>
    <row r="93">
      <c r="B93" s="6" t="s">
        <v>74</v>
      </c>
      <c r="C93" s="18" t="s">
        <v>44</v>
      </c>
      <c r="D93" s="17" t="s">
        <v>45</v>
      </c>
      <c r="E93" s="18" t="s">
        <v>31</v>
      </c>
      <c r="F93" s="19" t="n">
        <v>45931</v>
      </c>
      <c r="G93" s="23" t="n">
        <f t="shared" ref="G93:G103" si="5">J92</f>
        <v>1564145</v>
      </c>
      <c r="H93" s="23"/>
      <c r="I93" s="23" t="n">
        <v>130000</v>
      </c>
      <c r="J93" s="23" t="n">
        <f>MAX(DMPAIMtable[[#This Row],[Stock on hand(opening balance)]]+DMPAIMtable[[#This Row],[Quantity ]]-DMPAIMtable[[#This Row],[Forecasted consumption]],0)</f>
        <v>1434145</v>
      </c>
      <c r="K93" s="2"/>
      <c r="L93" s="2"/>
      <c r="M93" s="2"/>
      <c r="N93" s="23"/>
      <c r="O93" s="2"/>
      <c r="P93" s="20"/>
      <c r="Q93" s="24"/>
      <c r="R93" s="2"/>
      <c r="S93" s="2"/>
      <c r="T93" s="2" t="n">
        <v>3</v>
      </c>
      <c r="U93" s="2" t="n">
        <v>6</v>
      </c>
      <c r="V93" s="2" t="n">
        <v>6</v>
      </c>
      <c r="W93" s="3" t="n">
        <f>DMPAIMtable[[#This Row],[Closing balance ]]/DMPAIMtable[[#This Row],[Forecasted consumption]]</f>
        <v>11.031884615384616</v>
      </c>
      <c r="X93" s="25"/>
    </row>
    <row r="94">
      <c r="B94" s="6" t="s">
        <v>74</v>
      </c>
      <c r="C94" s="18" t="s">
        <v>44</v>
      </c>
      <c r="D94" s="17" t="s">
        <v>45</v>
      </c>
      <c r="E94" s="18" t="s">
        <v>31</v>
      </c>
      <c r="F94" s="19" t="n">
        <v>45962</v>
      </c>
      <c r="G94" s="23" t="n">
        <f t="shared" si="5"/>
        <v>1434145</v>
      </c>
      <c r="H94" s="23"/>
      <c r="I94" s="23" t="n">
        <v>130000</v>
      </c>
      <c r="J94" s="23" t="n">
        <f>MAX(DMPAIMtable[[#This Row],[Stock on hand(opening balance)]]+DMPAIMtable[[#This Row],[Quantity ]]-DMPAIMtable[[#This Row],[Forecasted consumption]],0)</f>
        <v>1304145</v>
      </c>
      <c r="K94" s="2"/>
      <c r="L94" s="2"/>
      <c r="M94" s="2"/>
      <c r="N94" s="23"/>
      <c r="O94" s="2"/>
      <c r="P94" s="20"/>
      <c r="Q94" s="24"/>
      <c r="R94" s="2"/>
      <c r="S94" s="2"/>
      <c r="T94" s="2" t="n">
        <v>3</v>
      </c>
      <c r="U94" s="2" t="n">
        <v>6</v>
      </c>
      <c r="V94" s="2" t="n">
        <v>6</v>
      </c>
      <c r="W94" s="3" t="n">
        <f>DMPAIMtable[[#This Row],[Closing balance ]]/DMPAIMtable[[#This Row],[Forecasted consumption]]</f>
        <v>10.031884615384616</v>
      </c>
      <c r="X94" s="25"/>
    </row>
    <row r="95">
      <c r="B95" s="6" t="s">
        <v>74</v>
      </c>
      <c r="C95" s="18" t="s">
        <v>44</v>
      </c>
      <c r="D95" s="17" t="s">
        <v>45</v>
      </c>
      <c r="E95" s="18" t="s">
        <v>31</v>
      </c>
      <c r="F95" s="19" t="n">
        <v>45992</v>
      </c>
      <c r="G95" s="23" t="n">
        <f t="shared" si="5"/>
        <v>1304145</v>
      </c>
      <c r="H95" s="23"/>
      <c r="I95" s="23" t="n">
        <v>130000</v>
      </c>
      <c r="J95" s="23" t="n">
        <f>MAX(DMPAIMtable[[#This Row],[Stock on hand(opening balance)]]+DMPAIMtable[[#This Row],[Quantity ]]-DMPAIMtable[[#This Row],[Forecasted consumption]],0)</f>
        <v>1174145</v>
      </c>
      <c r="K95" s="2"/>
      <c r="L95" s="2"/>
      <c r="M95" s="2"/>
      <c r="N95" s="23"/>
      <c r="O95" s="2"/>
      <c r="P95" s="20"/>
      <c r="Q95" s="24"/>
      <c r="R95" s="2"/>
      <c r="S95" s="2"/>
      <c r="T95" s="2" t="n">
        <v>3</v>
      </c>
      <c r="U95" s="2" t="n">
        <v>6</v>
      </c>
      <c r="V95" s="2" t="n">
        <v>6</v>
      </c>
      <c r="W95" s="3" t="n">
        <f>DMPAIMtable[[#This Row],[Closing balance ]]/DMPAIMtable[[#This Row],[Forecasted consumption]]</f>
        <v>9.031884615384616</v>
      </c>
      <c r="X95" s="25"/>
    </row>
    <row r="96">
      <c r="B96" s="6" t="s">
        <v>74</v>
      </c>
      <c r="C96" s="18" t="s">
        <v>44</v>
      </c>
      <c r="D96" s="17" t="s">
        <v>45</v>
      </c>
      <c r="E96" s="18" t="s">
        <v>31</v>
      </c>
      <c r="F96" s="19" t="n">
        <v>46023</v>
      </c>
      <c r="G96" s="23" t="n">
        <f t="shared" si="5"/>
        <v>1174145</v>
      </c>
      <c r="H96" s="23"/>
      <c r="I96" s="23" t="n">
        <v>130000</v>
      </c>
      <c r="J96" s="23" t="n">
        <f>MAX(DMPAIMtable[[#This Row],[Stock on hand(opening balance)]]+DMPAIMtable[[#This Row],[Quantity ]]-DMPAIMtable[[#This Row],[Forecasted consumption]],0)</f>
        <v>1044145</v>
      </c>
      <c r="K96" s="2"/>
      <c r="L96" s="2"/>
      <c r="M96" s="2"/>
      <c r="N96" s="23"/>
      <c r="O96" s="2"/>
      <c r="P96" s="20"/>
      <c r="Q96" s="24"/>
      <c r="R96" s="2"/>
      <c r="S96" s="2"/>
      <c r="T96" s="2" t="n">
        <v>3</v>
      </c>
      <c r="U96" s="2" t="n">
        <v>6</v>
      </c>
      <c r="V96" s="2" t="n">
        <v>6</v>
      </c>
      <c r="W96" s="3" t="n">
        <f>DMPAIMtable[[#This Row],[Closing balance ]]/DMPAIMtable[[#This Row],[Forecasted consumption]]</f>
        <v>8.031884615384616</v>
      </c>
      <c r="X96" s="25"/>
    </row>
    <row r="97">
      <c r="B97" s="6" t="s">
        <v>74</v>
      </c>
      <c r="C97" s="18" t="s">
        <v>44</v>
      </c>
      <c r="D97" s="17" t="s">
        <v>45</v>
      </c>
      <c r="E97" s="18" t="s">
        <v>31</v>
      </c>
      <c r="F97" s="19" t="n">
        <v>46054</v>
      </c>
      <c r="G97" s="23" t="n">
        <f t="shared" si="5"/>
        <v>1044145</v>
      </c>
      <c r="H97" s="23"/>
      <c r="I97" s="23" t="n">
        <v>130000</v>
      </c>
      <c r="J97" s="23" t="n">
        <f>MAX(DMPAIMtable[[#This Row],[Stock on hand(opening balance)]]+DMPAIMtable[[#This Row],[Quantity ]]-DMPAIMtable[[#This Row],[Forecasted consumption]],0)</f>
        <v>914145</v>
      </c>
      <c r="K97" s="2"/>
      <c r="L97" s="2"/>
      <c r="M97" s="2"/>
      <c r="N97" s="23"/>
      <c r="O97" s="2"/>
      <c r="P97" s="20"/>
      <c r="Q97" s="24"/>
      <c r="R97" s="2"/>
      <c r="S97" s="2"/>
      <c r="T97" s="2" t="n">
        <v>3</v>
      </c>
      <c r="U97" s="2" t="n">
        <v>6</v>
      </c>
      <c r="V97" s="2" t="n">
        <v>6</v>
      </c>
      <c r="W97" s="3" t="n">
        <f>DMPAIMtable[[#This Row],[Closing balance ]]/DMPAIMtable[[#This Row],[Forecasted consumption]]</f>
        <v>7.0318846153846151</v>
      </c>
      <c r="X97" s="25"/>
    </row>
    <row r="98">
      <c r="B98" s="6" t="s">
        <v>74</v>
      </c>
      <c r="C98" s="18" t="s">
        <v>44</v>
      </c>
      <c r="D98" s="17" t="s">
        <v>45</v>
      </c>
      <c r="E98" s="18" t="s">
        <v>31</v>
      </c>
      <c r="F98" s="19" t="n">
        <v>46082</v>
      </c>
      <c r="G98" s="23" t="n">
        <f t="shared" si="5"/>
        <v>914145</v>
      </c>
      <c r="H98" s="23"/>
      <c r="I98" s="23" t="n">
        <v>130000</v>
      </c>
      <c r="J98" s="23" t="n">
        <f>MAX(DMPAIMtable[[#This Row],[Stock on hand(opening balance)]]+DMPAIMtable[[#This Row],[Quantity ]]-DMPAIMtable[[#This Row],[Forecasted consumption]],0)</f>
        <v>784145</v>
      </c>
      <c r="K98" s="2"/>
      <c r="L98" s="2"/>
      <c r="M98" s="2"/>
      <c r="N98" s="23"/>
      <c r="O98" s="2"/>
      <c r="P98" s="20"/>
      <c r="Q98" s="24"/>
      <c r="R98" s="2"/>
      <c r="S98" s="2"/>
      <c r="T98" s="2" t="n">
        <v>3</v>
      </c>
      <c r="U98" s="2" t="n">
        <v>6</v>
      </c>
      <c r="V98" s="2" t="n">
        <v>6</v>
      </c>
      <c r="W98" s="3" t="n">
        <f>DMPAIMtable[[#This Row],[Closing balance ]]/DMPAIMtable[[#This Row],[Forecasted consumption]]</f>
        <v>6.0318846153846151</v>
      </c>
      <c r="X98" s="25"/>
    </row>
    <row r="99">
      <c r="B99" s="6" t="s">
        <v>74</v>
      </c>
      <c r="C99" s="18" t="s">
        <v>44</v>
      </c>
      <c r="D99" s="17" t="s">
        <v>45</v>
      </c>
      <c r="E99" s="18" t="s">
        <v>31</v>
      </c>
      <c r="F99" s="19" t="n">
        <v>46113</v>
      </c>
      <c r="G99" s="23" t="n">
        <f t="shared" si="5"/>
        <v>784145</v>
      </c>
      <c r="H99" s="23"/>
      <c r="I99" s="23" t="n">
        <v>130000</v>
      </c>
      <c r="J99" s="23" t="n">
        <f>MAX(DMPAIMtable[[#This Row],[Stock on hand(opening balance)]]+DMPAIMtable[[#This Row],[Quantity ]]-DMPAIMtable[[#This Row],[Forecasted consumption]],0)</f>
        <v>755020</v>
      </c>
      <c r="K99" s="2" t="s">
        <v>2</v>
      </c>
      <c r="L99" s="2" t="s">
        <v>2</v>
      </c>
      <c r="M99" s="2" t="s">
        <v>4</v>
      </c>
      <c r="N99" s="23" t="n">
        <v>100875</v>
      </c>
      <c r="O99" s="2"/>
      <c r="P99" s="20"/>
      <c r="Q99" s="24"/>
      <c r="R99" s="2"/>
      <c r="S99" s="2"/>
      <c r="T99" s="2" t="n">
        <v>3</v>
      </c>
      <c r="U99" s="2" t="n">
        <v>6</v>
      </c>
      <c r="V99" s="2" t="n">
        <v>6</v>
      </c>
      <c r="W99" s="3" t="n">
        <f>DMPAIMtable[[#This Row],[Closing balance ]]/DMPAIMtable[[#This Row],[Forecasted consumption]]</f>
        <v>5.8078461538461541</v>
      </c>
      <c r="X99" s="25"/>
    </row>
    <row r="100">
      <c r="B100" s="6" t="s">
        <v>74</v>
      </c>
      <c r="C100" s="18" t="s">
        <v>44</v>
      </c>
      <c r="D100" s="17" t="s">
        <v>45</v>
      </c>
      <c r="E100" s="18" t="s">
        <v>31</v>
      </c>
      <c r="F100" s="19" t="n">
        <v>46143</v>
      </c>
      <c r="G100" s="23" t="n">
        <f t="shared" si="5"/>
        <v>755020</v>
      </c>
      <c r="H100" s="23"/>
      <c r="I100" s="23" t="n">
        <v>130000</v>
      </c>
      <c r="J100" s="23" t="n">
        <f>MAX(DMPAIMtable[[#This Row],[Stock on hand(opening balance)]]+DMPAIMtable[[#This Row],[Quantity ]]-DMPAIMtable[[#This Row],[Forecasted consumption]],0)</f>
        <v>1061595</v>
      </c>
      <c r="K100" s="2" t="s">
        <v>2</v>
      </c>
      <c r="L100" s="2" t="s">
        <v>2</v>
      </c>
      <c r="M100" s="2" t="s">
        <v>4</v>
      </c>
      <c r="N100" s="23" t="n">
        <v>436575</v>
      </c>
      <c r="O100" s="2"/>
      <c r="P100" s="20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3" t="n">
        <f>DMPAIMtable[[#This Row],[Closing balance ]]/DMPAIMtable[[#This Row],[Forecasted consumption]]</f>
        <v>8.1661153846153844</v>
      </c>
      <c r="X100" s="25"/>
    </row>
    <row r="101">
      <c r="B101" s="6" t="s">
        <v>74</v>
      </c>
      <c r="C101" s="18" t="s">
        <v>44</v>
      </c>
      <c r="D101" s="17" t="s">
        <v>45</v>
      </c>
      <c r="E101" s="18" t="s">
        <v>31</v>
      </c>
      <c r="F101" s="19" t="n">
        <v>46174</v>
      </c>
      <c r="G101" s="23" t="n">
        <f t="shared" si="5"/>
        <v>1061595</v>
      </c>
      <c r="H101" s="23"/>
      <c r="I101" s="23" t="n">
        <v>130000</v>
      </c>
      <c r="J101" s="23" t="n">
        <f>MAX(DMPAIMtable[[#This Row],[Stock on hand(opening balance)]]+DMPAIMtable[[#This Row],[Quantity ]]-DMPAIMtable[[#This Row],[Forecasted consumption]],0)</f>
        <v>931595</v>
      </c>
      <c r="K101" s="2"/>
      <c r="L101" s="2"/>
      <c r="M101" s="2"/>
      <c r="N101" s="23"/>
      <c r="O101" s="2"/>
      <c r="P101" s="20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3" t="n">
        <f>DMPAIMtable[[#This Row],[Closing balance ]]/DMPAIMtable[[#This Row],[Forecasted consumption]]</f>
        <v>7.1661153846153844</v>
      </c>
      <c r="X101" s="25"/>
    </row>
    <row r="102">
      <c r="B102" s="6" t="s">
        <v>74</v>
      </c>
      <c r="C102" s="18" t="s">
        <v>44</v>
      </c>
      <c r="D102" s="17" t="s">
        <v>45</v>
      </c>
      <c r="E102" s="18" t="s">
        <v>31</v>
      </c>
      <c r="F102" s="19" t="n">
        <v>46204</v>
      </c>
      <c r="G102" s="23" t="n">
        <f t="shared" si="5"/>
        <v>931595</v>
      </c>
      <c r="H102" s="23"/>
      <c r="I102" s="23" t="n">
        <v>130000</v>
      </c>
      <c r="J102" s="23" t="n">
        <f>MAX(DMPAIMtable[[#This Row],[Stock on hand(opening balance)]]+DMPAIMtable[[#This Row],[Quantity ]]-DMPAIMtable[[#This Row],[Forecasted consumption]],0)</f>
        <v>801595</v>
      </c>
      <c r="K102" s="2"/>
      <c r="L102" s="2"/>
      <c r="M102" s="2"/>
      <c r="N102" s="23"/>
      <c r="O102" s="2"/>
      <c r="P102" s="20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3" t="n">
        <f>DMPAIMtable[[#This Row],[Closing balance ]]/DMPAIMtable[[#This Row],[Forecasted consumption]]</f>
        <v>6.1661153846153844</v>
      </c>
      <c r="X102" s="25"/>
    </row>
    <row r="103">
      <c r="B103" s="6" t="s">
        <v>74</v>
      </c>
      <c r="C103" s="18" t="s">
        <v>44</v>
      </c>
      <c r="D103" s="17" t="s">
        <v>45</v>
      </c>
      <c r="E103" s="18" t="s">
        <v>31</v>
      </c>
      <c r="F103" s="19" t="n">
        <v>46235</v>
      </c>
      <c r="G103" s="23" t="n">
        <f t="shared" si="5"/>
        <v>801595</v>
      </c>
      <c r="H103" s="23"/>
      <c r="I103" s="23" t="n">
        <v>130000</v>
      </c>
      <c r="J103" s="23" t="n">
        <f>MAX(DMPAIMtable[[#This Row],[Stock on hand(opening balance)]]+DMPAIMtable[[#This Row],[Quantity ]]-DMPAIMtable[[#This Row],[Forecasted consumption]],0)</f>
        <v>1321667</v>
      </c>
      <c r="K103" s="2" t="s">
        <v>2</v>
      </c>
      <c r="L103" s="2" t="s">
        <v>2</v>
      </c>
      <c r="M103" s="2" t="s">
        <v>4</v>
      </c>
      <c r="N103" s="23" t="n">
        <v>650072</v>
      </c>
      <c r="O103" s="2"/>
      <c r="P103" s="20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3" t="n">
        <f>DMPAIMtable[[#This Row],[Closing balance ]]/DMPAIMtable[[#This Row],[Forecasted consumption]]</f>
        <v>10.16666923076923</v>
      </c>
      <c r="X103" s="25"/>
    </row>
    <row r="104">
      <c r="B104" s="6" t="s">
        <v>166</v>
      </c>
      <c r="C104" s="18" t="s">
        <v>44</v>
      </c>
      <c r="D104" s="17" t="s">
        <v>45</v>
      </c>
      <c r="E104" s="18" t="s">
        <v>31</v>
      </c>
      <c r="F104" s="19" t="n">
        <v>45748</v>
      </c>
      <c r="G104" s="20" t="n">
        <v>214450</v>
      </c>
      <c r="H104" s="20"/>
      <c r="I104" s="20" t="n">
        <v>33220</v>
      </c>
      <c r="J104" s="20" t="n">
        <f>MAX(DMPAIMtable[[#This Row],[Stock on hand(opening balance)]]+DMPAIMtable[[#This Row],[Quantity ]]-DMPAIMtable[[#This Row],[Forecasted consumption]],0)</f>
        <v>181230</v>
      </c>
      <c r="K104" s="18"/>
      <c r="L104" s="18"/>
      <c r="M104" s="18"/>
      <c r="N104" s="20"/>
      <c r="O104" s="18"/>
      <c r="P104" s="20"/>
      <c r="Q104" s="19"/>
      <c r="R104" s="18"/>
      <c r="S104" s="18"/>
      <c r="T104" s="18"/>
      <c r="U104" s="18"/>
      <c r="V104" s="18"/>
      <c r="W104" s="21" t="n">
        <f>DMPAIMtable[[#This Row],[Closing balance ]]/DMPAIMtable[[#This Row],[Forecasted consumption]]</f>
        <v>5.4554485249849485</v>
      </c>
      <c r="X104" s="22"/>
    </row>
    <row r="105">
      <c r="B105" s="6" t="s">
        <v>166</v>
      </c>
      <c r="C105" s="18" t="s">
        <v>44</v>
      </c>
      <c r="D105" s="17" t="s">
        <v>45</v>
      </c>
      <c r="E105" s="18" t="s">
        <v>31</v>
      </c>
      <c r="F105" s="19" t="n">
        <v>45778</v>
      </c>
      <c r="G105" s="23" t="n">
        <f>J104</f>
        <v>181230</v>
      </c>
      <c r="H105" s="23"/>
      <c r="I105" s="20" t="n">
        <v>33220</v>
      </c>
      <c r="J105" s="23" t="n">
        <f>MAX(DMPAIMtable[[#This Row],[Stock on hand(opening balance)]]+DMPAIMtable[[#This Row],[Quantity ]]-DMPAIMtable[[#This Row],[Forecasted consumption]],0)</f>
        <v>148010</v>
      </c>
      <c r="K105" s="2"/>
      <c r="L105" s="2"/>
      <c r="M105" s="2"/>
      <c r="N105" s="23"/>
      <c r="O105" s="2"/>
      <c r="P105" s="20"/>
      <c r="Q105" s="24"/>
      <c r="R105" s="2"/>
      <c r="S105" s="2"/>
      <c r="T105" s="2"/>
      <c r="U105" s="2"/>
      <c r="V105" s="2"/>
      <c r="W105" s="3" t="n">
        <f>DMPAIMtable[[#This Row],[Closing balance ]]/DMPAIMtable[[#This Row],[Forecasted consumption]]</f>
        <v>4.4554485249849485</v>
      </c>
      <c r="X105" s="25"/>
    </row>
    <row r="106">
      <c r="B106" s="6" t="s">
        <v>166</v>
      </c>
      <c r="C106" s="18" t="s">
        <v>44</v>
      </c>
      <c r="D106" s="17" t="s">
        <v>45</v>
      </c>
      <c r="E106" s="18" t="s">
        <v>31</v>
      </c>
      <c r="F106" s="19" t="n">
        <v>45809</v>
      </c>
      <c r="G106" s="23" t="n">
        <f t="shared" ref="G106:G112" si="6">J105</f>
        <v>148010</v>
      </c>
      <c r="H106" s="23"/>
      <c r="I106" s="20" t="n">
        <v>33220</v>
      </c>
      <c r="J106" s="23" t="n">
        <f>MAX(DMPAIMtable[[#This Row],[Stock on hand(opening balance)]]+DMPAIMtable[[#This Row],[Quantity ]]-DMPAIMtable[[#This Row],[Forecasted consumption]],0)</f>
        <v>264790</v>
      </c>
      <c r="K106" s="2"/>
      <c r="L106" s="2"/>
      <c r="M106" s="2"/>
      <c r="N106" s="23" t="n">
        <v>150000</v>
      </c>
      <c r="O106" s="2"/>
      <c r="P106" s="20"/>
      <c r="Q106" s="24"/>
      <c r="R106" s="2"/>
      <c r="S106" s="2"/>
      <c r="T106" s="2"/>
      <c r="U106" s="2"/>
      <c r="V106" s="2"/>
      <c r="W106" s="3" t="n">
        <f>DMPAIMtable[[#This Row],[Closing balance ]]/DMPAIMtable[[#This Row],[Forecasted consumption]]</f>
        <v>7.9708007224563513</v>
      </c>
      <c r="X106" s="25"/>
    </row>
    <row r="107">
      <c r="B107" s="6" t="s">
        <v>166</v>
      </c>
      <c r="C107" s="18" t="s">
        <v>44</v>
      </c>
      <c r="D107" s="17" t="s">
        <v>45</v>
      </c>
      <c r="E107" s="18" t="s">
        <v>31</v>
      </c>
      <c r="F107" s="19" t="n">
        <v>45839</v>
      </c>
      <c r="G107" s="23" t="n">
        <f t="shared" si="6"/>
        <v>264790</v>
      </c>
      <c r="H107" s="23"/>
      <c r="I107" s="20" t="n">
        <v>33220</v>
      </c>
      <c r="J107" s="23" t="n">
        <f>MAX(DMPAIMtable[[#This Row],[Stock on hand(opening balance)]]+DMPAIMtable[[#This Row],[Quantity ]]-DMPAIMtable[[#This Row],[Forecasted consumption]],0)</f>
        <v>231570</v>
      </c>
      <c r="K107" s="2"/>
      <c r="L107" s="2"/>
      <c r="M107" s="2"/>
      <c r="N107" s="23"/>
      <c r="O107" s="2"/>
      <c r="P107" s="20"/>
      <c r="Q107" s="24"/>
      <c r="R107" s="2"/>
      <c r="S107" s="2"/>
      <c r="T107" s="2"/>
      <c r="U107" s="2"/>
      <c r="V107" s="2"/>
      <c r="W107" s="3" t="n">
        <f>DMPAIMtable[[#This Row],[Closing balance ]]/DMPAIMtable[[#This Row],[Forecasted consumption]]</f>
        <v>6.9708007224563513</v>
      </c>
      <c r="X107" s="25"/>
    </row>
    <row r="108">
      <c r="B108" s="6" t="s">
        <v>166</v>
      </c>
      <c r="C108" s="18" t="s">
        <v>44</v>
      </c>
      <c r="D108" s="17" t="s">
        <v>45</v>
      </c>
      <c r="E108" s="18" t="s">
        <v>31</v>
      </c>
      <c r="F108" s="19" t="n">
        <v>45870</v>
      </c>
      <c r="G108" s="23" t="n">
        <f t="shared" si="6"/>
        <v>231570</v>
      </c>
      <c r="H108" s="23"/>
      <c r="I108" s="20" t="n">
        <v>33220</v>
      </c>
      <c r="J108" s="23" t="n">
        <f>MAX(DMPAIMtable[[#This Row],[Stock on hand(opening balance)]]+DMPAIMtable[[#This Row],[Quantity ]]-DMPAIMtable[[#This Row],[Forecasted consumption]],0)</f>
        <v>198350</v>
      </c>
      <c r="K108" s="2"/>
      <c r="L108" s="2"/>
      <c r="M108" s="2"/>
      <c r="N108" s="23"/>
      <c r="O108" s="2"/>
      <c r="P108" s="20"/>
      <c r="Q108" s="24"/>
      <c r="R108" s="2"/>
      <c r="S108" s="2"/>
      <c r="T108" s="2"/>
      <c r="U108" s="2"/>
      <c r="V108" s="2"/>
      <c r="W108" s="3" t="n">
        <f>DMPAIMtable[[#This Row],[Closing balance ]]/DMPAIMtable[[#This Row],[Forecasted consumption]]</f>
        <v>5.9708007224563513</v>
      </c>
      <c r="X108" s="25"/>
    </row>
    <row r="109">
      <c r="B109" s="6" t="s">
        <v>166</v>
      </c>
      <c r="C109" s="18" t="s">
        <v>44</v>
      </c>
      <c r="D109" s="17" t="s">
        <v>45</v>
      </c>
      <c r="E109" s="18" t="s">
        <v>31</v>
      </c>
      <c r="F109" s="19" t="n">
        <v>45901</v>
      </c>
      <c r="G109" s="23" t="n">
        <f t="shared" si="6"/>
        <v>198350</v>
      </c>
      <c r="H109" s="23"/>
      <c r="I109" s="20" t="n">
        <v>33220</v>
      </c>
      <c r="J109" s="23" t="n">
        <f>MAX(DMPAIMtable[[#This Row],[Stock on hand(opening balance)]]+DMPAIMtable[[#This Row],[Quantity ]]-DMPAIMtable[[#This Row],[Forecasted consumption]],0)</f>
        <v>165130</v>
      </c>
      <c r="K109" s="2"/>
      <c r="L109" s="2"/>
      <c r="M109" s="2"/>
      <c r="N109" s="23"/>
      <c r="O109" s="2"/>
      <c r="P109" s="20"/>
      <c r="Q109" s="24"/>
      <c r="R109" s="2"/>
      <c r="S109" s="2"/>
      <c r="T109" s="2"/>
      <c r="U109" s="2"/>
      <c r="V109" s="2"/>
      <c r="W109" s="3" t="n">
        <f>DMPAIMtable[[#This Row],[Closing balance ]]/DMPAIMtable[[#This Row],[Forecasted consumption]]</f>
        <v>4.9708007224563513</v>
      </c>
      <c r="X109" s="25"/>
    </row>
    <row r="110">
      <c r="B110" s="6" t="s">
        <v>166</v>
      </c>
      <c r="C110" s="18" t="s">
        <v>44</v>
      </c>
      <c r="D110" s="17" t="s">
        <v>45</v>
      </c>
      <c r="E110" s="18" t="s">
        <v>31</v>
      </c>
      <c r="F110" s="19" t="n">
        <v>45931</v>
      </c>
      <c r="G110" s="23" t="n">
        <f t="shared" si="6"/>
        <v>165130</v>
      </c>
      <c r="H110" s="23"/>
      <c r="I110" s="20" t="n">
        <v>33220</v>
      </c>
      <c r="J110" s="23" t="n">
        <f>MAX(DMPAIMtable[[#This Row],[Stock on hand(opening balance)]]+DMPAIMtable[[#This Row],[Quantity ]]-DMPAIMtable[[#This Row],[Forecasted consumption]],0)</f>
        <v>131910</v>
      </c>
      <c r="K110" s="2"/>
      <c r="L110" s="2"/>
      <c r="M110" s="2"/>
      <c r="N110" s="23"/>
      <c r="O110" s="2"/>
      <c r="P110" s="20"/>
      <c r="Q110" s="24"/>
      <c r="R110" s="2"/>
      <c r="S110" s="2"/>
      <c r="T110" s="2"/>
      <c r="U110" s="2"/>
      <c r="V110" s="2"/>
      <c r="W110" s="3" t="n">
        <f>DMPAIMtable[[#This Row],[Closing balance ]]/DMPAIMtable[[#This Row],[Forecasted consumption]]</f>
        <v>3.9708007224563517</v>
      </c>
      <c r="X110" s="25"/>
    </row>
    <row r="111">
      <c r="B111" s="6" t="s">
        <v>166</v>
      </c>
      <c r="C111" s="18" t="s">
        <v>44</v>
      </c>
      <c r="D111" s="17" t="s">
        <v>45</v>
      </c>
      <c r="E111" s="18" t="s">
        <v>31</v>
      </c>
      <c r="F111" s="19" t="n">
        <v>45962</v>
      </c>
      <c r="G111" s="23" t="n">
        <f t="shared" si="6"/>
        <v>131910</v>
      </c>
      <c r="H111" s="23"/>
      <c r="I111" s="20" t="n">
        <v>33220</v>
      </c>
      <c r="J111" s="23" t="n">
        <f>MAX(DMPAIMtable[[#This Row],[Stock on hand(opening balance)]]+DMPAIMtable[[#This Row],[Quantity ]]-DMPAIMtable[[#This Row],[Forecasted consumption]],0)</f>
        <v>98690</v>
      </c>
      <c r="K111" s="2"/>
      <c r="L111" s="2"/>
      <c r="M111" s="2"/>
      <c r="N111" s="23"/>
      <c r="O111" s="2"/>
      <c r="P111" s="20"/>
      <c r="Q111" s="24"/>
      <c r="R111" s="2"/>
      <c r="S111" s="2"/>
      <c r="T111" s="2"/>
      <c r="U111" s="2"/>
      <c r="V111" s="2"/>
      <c r="W111" s="3" t="n">
        <f>DMPAIMtable[[#This Row],[Closing balance ]]/DMPAIMtable[[#This Row],[Forecasted consumption]]</f>
        <v>2.9708007224563517</v>
      </c>
      <c r="X111" s="25"/>
    </row>
    <row r="112">
      <c r="B112" s="6" t="s">
        <v>166</v>
      </c>
      <c r="C112" s="18" t="s">
        <v>44</v>
      </c>
      <c r="D112" s="17" t="s">
        <v>45</v>
      </c>
      <c r="E112" s="18" t="s">
        <v>31</v>
      </c>
      <c r="F112" s="19" t="n">
        <v>45992</v>
      </c>
      <c r="G112" s="23" t="n">
        <f t="shared" si="6"/>
        <v>98690</v>
      </c>
      <c r="H112" s="23"/>
      <c r="I112" s="20" t="n">
        <v>33220</v>
      </c>
      <c r="J112" s="23" t="n">
        <f>MAX(DMPAIMtable[[#This Row],[Stock on hand(opening balance)]]+DMPAIMtable[[#This Row],[Quantity ]]-DMPAIMtable[[#This Row],[Forecasted consumption]],0)</f>
        <v>65470</v>
      </c>
      <c r="K112" s="2"/>
      <c r="L112" s="2"/>
      <c r="M112" s="2"/>
      <c r="N112" s="23"/>
      <c r="O112" s="2"/>
      <c r="P112" s="20"/>
      <c r="Q112" s="24"/>
      <c r="R112" s="2"/>
      <c r="S112" s="2"/>
      <c r="T112" s="2"/>
      <c r="U112" s="2"/>
      <c r="V112" s="2"/>
      <c r="W112" s="3" t="n">
        <f>DMPAIMtable[[#This Row],[Closing balance ]]/DMPAIMtable[[#This Row],[Forecasted consumption]]</f>
        <v>1.9708007224563515</v>
      </c>
      <c r="X112" s="25"/>
    </row>
  </sheetData>
  <dataValidations count="3">
    <dataValidation type="list" allowBlank="1" showInputMessage="1" showErrorMessage="1" sqref="M104:M197" xr:uid="{244E2AF3-0B89-4775-AF7B-D344B2B533F8}">
      <formula1>"Committed,  Placed, Expected Deliveries, Received, cancelled"</formula1>
    </dataValidation>
    <dataValidation type="list" allowBlank="1" showInputMessage="1" showErrorMessage="1" sqref="E7:E112" xr:uid="{A38524C8-3E39-4794-B1D6-B5D2B5194FD1}">
      <formula1>"All levels, Central, Central and Regional, Facilities "</formula1>
    </dataValidation>
    <dataValidation type="list" allowBlank="1" showInputMessage="1" showErrorMessage="1" sqref="M7:M103" xr:uid="{F4459B70-C3C6-4753-B7FE-BBBB96BD37E7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4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57C6B75C-F4F3-4C1F-8D4D-F0F581389DB4}">
          <x14:formula1>
            <xm:f>'choices countries '!$B$3:$B$12</xm:f>
          </x14:formula1>
          <xm:sqref>B113:B498 B7:B103</xm:sqref>
        </x14:dataValidation>
        <x14:dataValidation type="list" allowBlank="1" showInputMessage="1" showErrorMessage="1" xr:uid="{713A3EAE-D286-43DD-BF0D-A32DF5CFEBDB}">
          <x14:formula1>
            <xm:f>'choices countries '!$B$3:$B$15</xm:f>
          </x14:formula1>
          <xm:sqref>B104:B112</xm:sqref>
        </x14:dataValidation>
        <x14:dataValidation type="list" allowBlank="1" showInputMessage="1" showErrorMessage="1" xr:uid="{F14FE9D2-BA98-428E-8962-07E592EB0282}">
          <x14:formula1>
            <xm:f>'product list '!$A$34</xm:f>
          </x14:formula1>
          <xm:sqref>C7:C112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E11" sqref="E11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46</v>
      </c>
      <c r="D7" s="17" t="s">
        <v>151</v>
      </c>
      <c r="E7" s="18" t="s">
        <v>31</v>
      </c>
      <c r="F7" s="19" t="n">
        <v>45839</v>
      </c>
      <c r="G7" s="20" t="n">
        <v>4488</v>
      </c>
      <c r="H7" s="20"/>
      <c r="I7" s="20" t="n">
        <v>906</v>
      </c>
      <c r="J7" s="20" t="n">
        <f>MAX(CopperIUDtable[[#This Row],[Stock on hand(opening balance)]]+CopperIUDtable[[#This Row],[Quantity ]]-CopperIUDtable[[#This Row],[Forecasted consumption]],0)</f>
        <v>3582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CopperIUDtable[[#This Row],[Closing balance ]]/CopperIUDtable[[#This Row],[Forecasted consumption]]</f>
        <v>3.9536423841059603</v>
      </c>
      <c r="X7" s="22"/>
    </row>
    <row r="8">
      <c r="B8" s="6" t="s">
        <v>28</v>
      </c>
      <c r="C8" s="17" t="s">
        <v>46</v>
      </c>
      <c r="D8" s="17" t="s">
        <v>151</v>
      </c>
      <c r="E8" s="18" t="s">
        <v>31</v>
      </c>
      <c r="F8" s="19" t="n">
        <v>45870</v>
      </c>
      <c r="G8" s="23" t="n">
        <f>J7</f>
        <v>3582</v>
      </c>
      <c r="H8" s="23"/>
      <c r="I8" s="20" t="n">
        <v>906</v>
      </c>
      <c r="J8" s="23" t="n">
        <f>MAX(CopperIUDtable[[#This Row],[Stock on hand(opening balance)]]+CopperIUDtable[[#This Row],[Quantity ]]-CopperIUDtable[[#This Row],[Forecasted consumption]],0)</f>
        <v>2676</v>
      </c>
      <c r="K8" s="2"/>
      <c r="L8" s="2"/>
      <c r="M8" s="2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CopperIUDtable[[#This Row],[Closing balance ]]/CopperIUDtable[[#This Row],[Forecasted consumption]]</f>
        <v>2.9536423841059603</v>
      </c>
      <c r="X8" s="25"/>
    </row>
    <row r="9">
      <c r="B9" s="6" t="s">
        <v>28</v>
      </c>
      <c r="C9" s="17" t="s">
        <v>46</v>
      </c>
      <c r="D9" s="17" t="s">
        <v>151</v>
      </c>
      <c r="E9" s="18" t="s">
        <v>31</v>
      </c>
      <c r="F9" s="19" t="n">
        <v>45901</v>
      </c>
      <c r="G9" s="23" t="n">
        <f t="shared" ref="G9:G18" si="0">J8</f>
        <v>2676</v>
      </c>
      <c r="H9" s="23"/>
      <c r="I9" s="20" t="n">
        <v>906</v>
      </c>
      <c r="J9" s="23" t="n">
        <f>MAX(CopperIUDtable[[#This Row],[Stock on hand(opening balance)]]+CopperIUDtable[[#This Row],[Quantity ]]-CopperIUDtable[[#This Row],[Forecasted consumption]],0)</f>
        <v>1770</v>
      </c>
      <c r="K9" s="2"/>
      <c r="L9" s="2"/>
      <c r="M9" s="2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CopperIUDtable[[#This Row],[Closing balance ]]/CopperIUDtable[[#This Row],[Forecasted consumption]]</f>
        <v>1.9536423841059603</v>
      </c>
      <c r="X9" s="25"/>
    </row>
    <row r="10">
      <c r="B10" s="6" t="s">
        <v>28</v>
      </c>
      <c r="C10" s="17" t="s">
        <v>46</v>
      </c>
      <c r="D10" s="17" t="s">
        <v>151</v>
      </c>
      <c r="E10" s="18" t="s">
        <v>31</v>
      </c>
      <c r="F10" s="19" t="n">
        <v>45931</v>
      </c>
      <c r="G10" s="23" t="n">
        <f t="shared" si="0"/>
        <v>1770</v>
      </c>
      <c r="H10" s="23"/>
      <c r="I10" s="20" t="n">
        <v>906</v>
      </c>
      <c r="J10" s="23" t="n">
        <f>MAX(CopperIUDtable[[#This Row],[Stock on hand(opening balance)]]+CopperIUDtable[[#This Row],[Quantity ]]-CopperIUDtable[[#This Row],[Forecasted consumption]],0)</f>
        <v>864</v>
      </c>
      <c r="K10" s="2"/>
      <c r="L10" s="2"/>
      <c r="M10" s="2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CopperIUDtable[[#This Row],[Closing balance ]]/CopperIUDtable[[#This Row],[Forecasted consumption]]</f>
        <v>0.95364238410596025</v>
      </c>
      <c r="X10" s="25"/>
    </row>
    <row r="11">
      <c r="B11" s="6" t="s">
        <v>28</v>
      </c>
      <c r="C11" s="17" t="s">
        <v>46</v>
      </c>
      <c r="D11" s="17" t="s">
        <v>151</v>
      </c>
      <c r="E11" s="18" t="s">
        <v>31</v>
      </c>
      <c r="F11" s="19" t="n">
        <v>45962</v>
      </c>
      <c r="G11" s="23" t="n">
        <f t="shared" si="0"/>
        <v>864</v>
      </c>
      <c r="H11" s="23"/>
      <c r="I11" s="20" t="n">
        <v>906</v>
      </c>
      <c r="J11" s="23" t="n">
        <f>MAX(CopperIUDtable[[#This Row],[Stock on hand(opening balance)]]+CopperIUDtable[[#This Row],[Quantity ]]-CopperIUDtable[[#This Row],[Forecasted consumption]],0)</f>
        <v>4541</v>
      </c>
      <c r="K11" s="2" t="s">
        <v>2</v>
      </c>
      <c r="L11" s="2" t="s">
        <v>2</v>
      </c>
      <c r="M11" s="2" t="s">
        <v>4</v>
      </c>
      <c r="N11" s="23" t="n">
        <v>4583</v>
      </c>
      <c r="O11" s="2"/>
      <c r="P11" s="20" t="n">
        <v>2310</v>
      </c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CopperIUDtable[[#This Row],[Closing balance ]]/CopperIUDtable[[#This Row],[Forecasted consumption]]</f>
        <v>5.0121412803532008</v>
      </c>
      <c r="X11" s="25"/>
    </row>
    <row r="12">
      <c r="B12" s="6" t="s">
        <v>28</v>
      </c>
      <c r="C12" s="17" t="s">
        <v>46</v>
      </c>
      <c r="D12" s="17" t="s">
        <v>151</v>
      </c>
      <c r="E12" s="18" t="s">
        <v>31</v>
      </c>
      <c r="F12" s="19" t="n">
        <v>45992</v>
      </c>
      <c r="G12" s="23" t="n">
        <f t="shared" si="0"/>
        <v>4541</v>
      </c>
      <c r="H12" s="23"/>
      <c r="I12" s="20" t="n">
        <v>906</v>
      </c>
      <c r="J12" s="23" t="n">
        <f>MAX(CopperIUDtable[[#This Row],[Stock on hand(opening balance)]]+CopperIUDtable[[#This Row],[Quantity ]]-CopperIUDtable[[#This Row],[Forecasted consumption]],0)</f>
        <v>3635</v>
      </c>
      <c r="K12" s="2"/>
      <c r="L12" s="2"/>
      <c r="M12" s="2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CopperIUDtable[[#This Row],[Closing balance ]]/CopperIUDtable[[#This Row],[Forecasted consumption]]</f>
        <v>4.0121412803532008</v>
      </c>
      <c r="X12" s="25"/>
    </row>
    <row r="13">
      <c r="B13" s="6" t="s">
        <v>28</v>
      </c>
      <c r="C13" s="17" t="s">
        <v>46</v>
      </c>
      <c r="D13" s="17" t="s">
        <v>151</v>
      </c>
      <c r="E13" s="18" t="s">
        <v>31</v>
      </c>
      <c r="F13" s="19" t="n">
        <v>46023</v>
      </c>
      <c r="G13" s="23" t="n">
        <f t="shared" si="0"/>
        <v>3635</v>
      </c>
      <c r="H13" s="23"/>
      <c r="I13" s="20" t="n">
        <v>906</v>
      </c>
      <c r="J13" s="23" t="n">
        <f>MAX(CopperIUDtable[[#This Row],[Stock on hand(opening balance)]]+CopperIUDtable[[#This Row],[Quantity ]]-CopperIUDtable[[#This Row],[Forecasted consumption]],0)</f>
        <v>2729</v>
      </c>
      <c r="K13" s="2"/>
      <c r="L13" s="2"/>
      <c r="M13" s="2"/>
      <c r="N13" s="23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CopperIUDtable[[#This Row],[Closing balance ]]/CopperIUDtable[[#This Row],[Forecasted consumption]]</f>
        <v>3.0121412803532008</v>
      </c>
      <c r="X13" s="25"/>
    </row>
    <row r="14">
      <c r="B14" s="6" t="s">
        <v>28</v>
      </c>
      <c r="C14" s="17" t="s">
        <v>46</v>
      </c>
      <c r="D14" s="17" t="s">
        <v>151</v>
      </c>
      <c r="E14" s="18" t="s">
        <v>31</v>
      </c>
      <c r="F14" s="19" t="n">
        <v>46054</v>
      </c>
      <c r="G14" s="23" t="n">
        <f t="shared" si="0"/>
        <v>2729</v>
      </c>
      <c r="H14" s="23"/>
      <c r="I14" s="20" t="n">
        <v>906</v>
      </c>
      <c r="J14" s="23" t="n">
        <f>MAX(CopperIUDtable[[#This Row],[Stock on hand(opening balance)]]+CopperIUDtable[[#This Row],[Quantity ]]-CopperIUDtable[[#This Row],[Forecasted consumption]],0)</f>
        <v>1823</v>
      </c>
      <c r="K14" s="2"/>
      <c r="L14" s="2"/>
      <c r="M14" s="2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CopperIUDtable[[#This Row],[Closing balance ]]/CopperIUDtable[[#This Row],[Forecasted consumption]]</f>
        <v>2.0121412803532008</v>
      </c>
      <c r="X14" s="25"/>
    </row>
    <row r="15">
      <c r="B15" s="6" t="s">
        <v>28</v>
      </c>
      <c r="C15" s="17" t="s">
        <v>46</v>
      </c>
      <c r="D15" s="17" t="s">
        <v>151</v>
      </c>
      <c r="E15" s="18" t="s">
        <v>31</v>
      </c>
      <c r="F15" s="19" t="n">
        <v>46082</v>
      </c>
      <c r="G15" s="23" t="n">
        <f t="shared" si="0"/>
        <v>1823</v>
      </c>
      <c r="H15" s="23"/>
      <c r="I15" s="20" t="n">
        <v>906</v>
      </c>
      <c r="J15" s="23" t="n">
        <f>MAX(CopperIUDtable[[#This Row],[Stock on hand(opening balance)]]+CopperIUDtable[[#This Row],[Quantity ]]-CopperIUDtable[[#This Row],[Forecasted consumption]],0)</f>
        <v>917</v>
      </c>
      <c r="K15" s="2"/>
      <c r="L15" s="2"/>
      <c r="M15" s="2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CopperIUDtable[[#This Row],[Closing balance ]]/CopperIUDtable[[#This Row],[Forecasted consumption]]</f>
        <v>1.0121412803532008</v>
      </c>
      <c r="X15" s="25"/>
    </row>
    <row r="16">
      <c r="B16" s="6" t="s">
        <v>28</v>
      </c>
      <c r="C16" s="17" t="s">
        <v>46</v>
      </c>
      <c r="D16" s="17" t="s">
        <v>151</v>
      </c>
      <c r="E16" s="18" t="s">
        <v>31</v>
      </c>
      <c r="F16" s="19" t="n">
        <v>46113</v>
      </c>
      <c r="G16" s="23" t="n">
        <f t="shared" si="0"/>
        <v>917</v>
      </c>
      <c r="H16" s="23"/>
      <c r="I16" s="20" t="n">
        <v>906</v>
      </c>
      <c r="J16" s="23" t="n">
        <f>MAX(CopperIUDtable[[#This Row],[Stock on hand(opening balance)]]+CopperIUDtable[[#This Row],[Quantity ]]-CopperIUDtable[[#This Row],[Forecasted consumption]],0)</f>
        <v>4616</v>
      </c>
      <c r="K16" s="2" t="s">
        <v>2</v>
      </c>
      <c r="L16" s="2" t="s">
        <v>2</v>
      </c>
      <c r="M16" s="2" t="s">
        <v>4</v>
      </c>
      <c r="N16" s="23" t="n">
        <v>4605</v>
      </c>
      <c r="O16" s="2"/>
      <c r="P16" s="20" t="n">
        <v>2321</v>
      </c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CopperIUDtable[[#This Row],[Closing balance ]]/CopperIUDtable[[#This Row],[Forecasted consumption]]</f>
        <v>5.0949227373068435</v>
      </c>
      <c r="X16" s="25"/>
    </row>
    <row r="17">
      <c r="B17" s="6" t="s">
        <v>28</v>
      </c>
      <c r="C17" s="17" t="s">
        <v>46</v>
      </c>
      <c r="D17" s="17" t="s">
        <v>151</v>
      </c>
      <c r="E17" s="18" t="s">
        <v>31</v>
      </c>
      <c r="F17" s="19" t="n">
        <v>46143</v>
      </c>
      <c r="G17" s="23" t="n">
        <f t="shared" si="0"/>
        <v>4616</v>
      </c>
      <c r="H17" s="23"/>
      <c r="I17" s="20" t="n">
        <v>906</v>
      </c>
      <c r="J17" s="23" t="n">
        <f>MAX(CopperIUDtable[[#This Row],[Stock on hand(opening balance)]]+CopperIUDtable[[#This Row],[Quantity ]]-CopperIUDtable[[#This Row],[Forecasted consumption]],0)</f>
        <v>3710</v>
      </c>
      <c r="K17" s="2"/>
      <c r="L17" s="2"/>
      <c r="M17" s="2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CopperIUDtable[[#This Row],[Closing balance ]]/CopperIUDtable[[#This Row],[Forecasted consumption]]</f>
        <v>4.0949227373068435</v>
      </c>
      <c r="X17" s="25"/>
    </row>
    <row r="18">
      <c r="B18" s="6" t="s">
        <v>28</v>
      </c>
      <c r="C18" s="17" t="s">
        <v>46</v>
      </c>
      <c r="D18" s="17" t="s">
        <v>151</v>
      </c>
      <c r="E18" s="18" t="s">
        <v>31</v>
      </c>
      <c r="F18" s="19" t="n">
        <v>46174</v>
      </c>
      <c r="G18" s="23" t="n">
        <f t="shared" si="0"/>
        <v>3710</v>
      </c>
      <c r="H18" s="23"/>
      <c r="I18" s="20" t="n">
        <v>906</v>
      </c>
      <c r="J18" s="23" t="n">
        <f>MAX(CopperIUDtable[[#This Row],[Stock on hand(opening balance)]]+CopperIUDtable[[#This Row],[Quantity ]]-CopperIUDtable[[#This Row],[Forecasted consumption]],0)</f>
        <v>2804</v>
      </c>
      <c r="K18" s="2"/>
      <c r="L18" s="2"/>
      <c r="M18" s="2"/>
      <c r="N18" s="23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CopperIUDtable[[#This Row],[Closing balance ]]/CopperIUDtable[[#This Row],[Forecasted consumption]]</f>
        <v>3.0949227373068431</v>
      </c>
      <c r="X18" s="25"/>
    </row>
    <row r="19">
      <c r="B19" s="6" t="s">
        <v>75</v>
      </c>
      <c r="C19" s="18" t="s">
        <v>46</v>
      </c>
      <c r="D19" s="17" t="s">
        <v>151</v>
      </c>
      <c r="E19" s="18" t="s">
        <v>31</v>
      </c>
      <c r="F19" s="19" t="n">
        <v>45748</v>
      </c>
      <c r="G19" s="20" t="n">
        <v>17844</v>
      </c>
      <c r="H19" s="20"/>
      <c r="I19" s="20" t="n">
        <v>1662</v>
      </c>
      <c r="J19" s="20" t="n">
        <f>MAX(CopperIUDtable[[#This Row],[Stock on hand(opening balance)]]+CopperIUDtable[[#This Row],[Quantity ]]-CopperIUDtable[[#This Row],[Forecasted consumption]],0)</f>
        <v>16182</v>
      </c>
      <c r="K19" s="18"/>
      <c r="L19" s="18"/>
      <c r="M19" s="2"/>
      <c r="N19" s="20"/>
      <c r="O19" s="18"/>
      <c r="P19" s="20"/>
      <c r="Q19" s="19"/>
      <c r="R19" s="18"/>
      <c r="S19" s="18"/>
      <c r="T19" s="18"/>
      <c r="U19" s="18"/>
      <c r="V19" s="18"/>
      <c r="W19" s="21" t="n">
        <f>CopperIUDtable[[#This Row],[Closing balance ]]/CopperIUDtable[[#This Row],[Forecasted consumption]]</f>
        <v>9.7364620938628157</v>
      </c>
      <c r="X19" s="22"/>
    </row>
    <row r="20">
      <c r="B20" s="6" t="s">
        <v>75</v>
      </c>
      <c r="C20" s="18" t="s">
        <v>46</v>
      </c>
      <c r="D20" s="17" t="s">
        <v>151</v>
      </c>
      <c r="E20" s="18" t="s">
        <v>31</v>
      </c>
      <c r="F20" s="19" t="n">
        <v>45778</v>
      </c>
      <c r="G20" s="20" t="n">
        <f>J19</f>
        <v>16182</v>
      </c>
      <c r="H20" s="20"/>
      <c r="I20" s="20" t="n">
        <v>1665</v>
      </c>
      <c r="J20" s="20" t="n">
        <f>MAX(CopperIUDtable[[#This Row],[Stock on hand(opening balance)]]+CopperIUDtable[[#This Row],[Quantity ]]-CopperIUDtable[[#This Row],[Forecasted consumption]],0)</f>
        <v>14517</v>
      </c>
      <c r="K20" s="18"/>
      <c r="L20" s="18"/>
      <c r="M20" s="2"/>
      <c r="N20" s="20"/>
      <c r="O20" s="18"/>
      <c r="P20" s="20"/>
      <c r="Q20" s="19"/>
      <c r="R20" s="18"/>
      <c r="S20" s="18"/>
      <c r="T20" s="18"/>
      <c r="U20" s="18"/>
      <c r="V20" s="18"/>
      <c r="W20" s="21" t="n">
        <f>CopperIUDtable[[#This Row],[Closing balance ]]/CopperIUDtable[[#This Row],[Forecasted consumption]]</f>
        <v>8.7189189189189182</v>
      </c>
      <c r="X20" s="22"/>
    </row>
    <row r="21">
      <c r="B21" s="6" t="s">
        <v>75</v>
      </c>
      <c r="C21" s="18" t="s">
        <v>46</v>
      </c>
      <c r="D21" s="17" t="s">
        <v>151</v>
      </c>
      <c r="E21" s="18" t="s">
        <v>31</v>
      </c>
      <c r="F21" s="19" t="n">
        <v>45809</v>
      </c>
      <c r="G21" s="20" t="n">
        <f t="shared" ref="G21:G36" si="1">J20</f>
        <v>14517</v>
      </c>
      <c r="H21" s="20"/>
      <c r="I21" s="20" t="n">
        <v>1668</v>
      </c>
      <c r="J21" s="20" t="n">
        <f>MAX(CopperIUDtable[[#This Row],[Stock on hand(opening balance)]]+CopperIUDtable[[#This Row],[Quantity ]]-CopperIUDtable[[#This Row],[Forecasted consumption]],0)</f>
        <v>12849</v>
      </c>
      <c r="K21" s="18"/>
      <c r="L21" s="18"/>
      <c r="M21" s="2"/>
      <c r="N21" s="20"/>
      <c r="O21" s="18"/>
      <c r="P21" s="20"/>
      <c r="Q21" s="19"/>
      <c r="R21" s="18"/>
      <c r="S21" s="18"/>
      <c r="T21" s="18"/>
      <c r="U21" s="18"/>
      <c r="V21" s="18"/>
      <c r="W21" s="21" t="n">
        <f>CopperIUDtable[[#This Row],[Closing balance ]]/CopperIUDtable[[#This Row],[Forecasted consumption]]</f>
        <v>7.7032374100719423</v>
      </c>
      <c r="X21" s="22"/>
    </row>
    <row r="22">
      <c r="B22" s="6" t="s">
        <v>75</v>
      </c>
      <c r="C22" s="18" t="s">
        <v>46</v>
      </c>
      <c r="D22" s="17" t="s">
        <v>151</v>
      </c>
      <c r="E22" s="18" t="s">
        <v>31</v>
      </c>
      <c r="F22" s="19" t="n">
        <v>45839</v>
      </c>
      <c r="G22" s="20" t="n">
        <f t="shared" si="1"/>
        <v>12849</v>
      </c>
      <c r="H22" s="20"/>
      <c r="I22" s="20" t="n">
        <v>1671</v>
      </c>
      <c r="J22" s="20" t="n">
        <f>MAX(CopperIUDtable[[#This Row],[Stock on hand(opening balance)]]+CopperIUDtable[[#This Row],[Quantity ]]-CopperIUDtable[[#This Row],[Forecasted consumption]],0)</f>
        <v>11178</v>
      </c>
      <c r="K22" s="18"/>
      <c r="L22" s="18"/>
      <c r="M22" s="2"/>
      <c r="N22" s="20"/>
      <c r="O22" s="18"/>
      <c r="P22" s="20"/>
      <c r="Q22" s="19"/>
      <c r="R22" s="18"/>
      <c r="S22" s="18"/>
      <c r="T22" s="18" t="n">
        <v>7</v>
      </c>
      <c r="U22" s="18" t="n">
        <v>15</v>
      </c>
      <c r="V22" s="18" t="n">
        <v>15</v>
      </c>
      <c r="W22" s="21" t="n">
        <f>CopperIUDtable[[#This Row],[Closing balance ]]/CopperIUDtable[[#This Row],[Forecasted consumption]]</f>
        <v>6.6894075403949733</v>
      </c>
      <c r="X22" s="22"/>
    </row>
    <row r="23">
      <c r="B23" s="6" t="s">
        <v>75</v>
      </c>
      <c r="C23" s="18" t="s">
        <v>46</v>
      </c>
      <c r="D23" s="17" t="s">
        <v>151</v>
      </c>
      <c r="E23" s="18" t="s">
        <v>31</v>
      </c>
      <c r="F23" s="19" t="n">
        <v>45870</v>
      </c>
      <c r="G23" s="20" t="n">
        <f t="shared" si="1"/>
        <v>11178</v>
      </c>
      <c r="H23" s="20"/>
      <c r="I23" s="20" t="n">
        <v>1674</v>
      </c>
      <c r="J23" s="20" t="n">
        <f>MAX(CopperIUDtable[[#This Row],[Stock on hand(opening balance)]]+CopperIUDtable[[#This Row],[Quantity ]]-CopperIUDtable[[#This Row],[Forecasted consumption]],0)</f>
        <v>17504</v>
      </c>
      <c r="K23" s="18"/>
      <c r="L23" s="18"/>
      <c r="M23" s="2" t="s">
        <v>152</v>
      </c>
      <c r="N23" s="20" t="n">
        <v>8000</v>
      </c>
      <c r="O23" s="18"/>
      <c r="P23" s="20"/>
      <c r="Q23" s="19"/>
      <c r="R23" s="18"/>
      <c r="S23" s="18"/>
      <c r="T23" s="18" t="n">
        <v>7</v>
      </c>
      <c r="U23" s="18" t="n">
        <v>15</v>
      </c>
      <c r="V23" s="18" t="n">
        <v>15</v>
      </c>
      <c r="W23" s="21" t="n">
        <f>CopperIUDtable[[#This Row],[Closing balance ]]/CopperIUDtable[[#This Row],[Forecasted consumption]]</f>
        <v>10.456391875746714</v>
      </c>
      <c r="X23" s="22"/>
    </row>
    <row r="24">
      <c r="B24" s="6" t="s">
        <v>75</v>
      </c>
      <c r="C24" s="18" t="s">
        <v>46</v>
      </c>
      <c r="D24" s="17" t="s">
        <v>151</v>
      </c>
      <c r="E24" s="18" t="s">
        <v>31</v>
      </c>
      <c r="F24" s="19" t="n">
        <v>45901</v>
      </c>
      <c r="G24" s="20" t="n">
        <f t="shared" si="1"/>
        <v>17504</v>
      </c>
      <c r="H24" s="20"/>
      <c r="I24" s="20" t="n">
        <v>1677</v>
      </c>
      <c r="J24" s="20" t="n">
        <f>MAX(CopperIUDtable[[#This Row],[Stock on hand(opening balance)]]+CopperIUDtable[[#This Row],[Quantity ]]-CopperIUDtable[[#This Row],[Forecasted consumption]],0)</f>
        <v>15827</v>
      </c>
      <c r="K24" s="18"/>
      <c r="L24" s="18"/>
      <c r="M24" s="2"/>
      <c r="N24" s="20"/>
      <c r="O24" s="18"/>
      <c r="P24" s="20"/>
      <c r="Q24" s="19"/>
      <c r="R24" s="18"/>
      <c r="S24" s="18"/>
      <c r="T24" s="18" t="n">
        <v>7</v>
      </c>
      <c r="U24" s="18" t="n">
        <v>15</v>
      </c>
      <c r="V24" s="18" t="n">
        <v>15</v>
      </c>
      <c r="W24" s="21" t="n">
        <f>CopperIUDtable[[#This Row],[Closing balance ]]/CopperIUDtable[[#This Row],[Forecasted consumption]]</f>
        <v>9.4376863446630885</v>
      </c>
      <c r="X24" s="22"/>
    </row>
    <row r="25">
      <c r="B25" s="6" t="s">
        <v>75</v>
      </c>
      <c r="C25" s="18" t="s">
        <v>46</v>
      </c>
      <c r="D25" s="17" t="s">
        <v>151</v>
      </c>
      <c r="E25" s="18" t="s">
        <v>31</v>
      </c>
      <c r="F25" s="19" t="n">
        <v>45931</v>
      </c>
      <c r="G25" s="20" t="n">
        <f t="shared" si="1"/>
        <v>15827</v>
      </c>
      <c r="H25" s="20"/>
      <c r="I25" s="20" t="n">
        <v>1680</v>
      </c>
      <c r="J25" s="20" t="n">
        <f>MAX(CopperIUDtable[[#This Row],[Stock on hand(opening balance)]]+CopperIUDtable[[#This Row],[Quantity ]]-CopperIUDtable[[#This Row],[Forecasted consumption]],0)</f>
        <v>14147</v>
      </c>
      <c r="K25" s="18"/>
      <c r="L25" s="18"/>
      <c r="M25" s="2"/>
      <c r="N25" s="20"/>
      <c r="O25" s="18"/>
      <c r="P25" s="20"/>
      <c r="Q25" s="19"/>
      <c r="R25" s="18"/>
      <c r="S25" s="18"/>
      <c r="T25" s="18" t="n">
        <v>7</v>
      </c>
      <c r="U25" s="18" t="n">
        <v>15</v>
      </c>
      <c r="V25" s="18" t="n">
        <v>15</v>
      </c>
      <c r="W25" s="21" t="n">
        <f>CopperIUDtable[[#This Row],[Closing balance ]]/CopperIUDtable[[#This Row],[Forecasted consumption]]</f>
        <v>8.4208333333333325</v>
      </c>
      <c r="X25" s="22"/>
    </row>
    <row r="26">
      <c r="B26" s="6" t="s">
        <v>75</v>
      </c>
      <c r="C26" s="18" t="s">
        <v>46</v>
      </c>
      <c r="D26" s="17" t="s">
        <v>151</v>
      </c>
      <c r="E26" s="18" t="s">
        <v>31</v>
      </c>
      <c r="F26" s="19" t="n">
        <v>45962</v>
      </c>
      <c r="G26" s="20" t="n">
        <f t="shared" si="1"/>
        <v>14147</v>
      </c>
      <c r="H26" s="20"/>
      <c r="I26" s="20" t="n">
        <v>1682</v>
      </c>
      <c r="J26" s="20" t="n">
        <f>MAX(CopperIUDtable[[#This Row],[Stock on hand(opening balance)]]+CopperIUDtable[[#This Row],[Quantity ]]-CopperIUDtable[[#This Row],[Forecasted consumption]],0)</f>
        <v>12465</v>
      </c>
      <c r="K26" s="18"/>
      <c r="L26" s="18"/>
      <c r="M26" s="2"/>
      <c r="N26" s="20"/>
      <c r="O26" s="18"/>
      <c r="P26" s="20"/>
      <c r="Q26" s="19"/>
      <c r="R26" s="18"/>
      <c r="S26" s="18"/>
      <c r="T26" s="18" t="n">
        <v>7</v>
      </c>
      <c r="U26" s="18" t="n">
        <v>15</v>
      </c>
      <c r="V26" s="18" t="n">
        <v>15</v>
      </c>
      <c r="W26" s="21" t="n">
        <f>CopperIUDtable[[#This Row],[Closing balance ]]/CopperIUDtable[[#This Row],[Forecasted consumption]]</f>
        <v>7.4108204518430441</v>
      </c>
      <c r="X26" s="22"/>
    </row>
    <row r="27">
      <c r="B27" s="6" t="s">
        <v>75</v>
      </c>
      <c r="C27" s="18" t="s">
        <v>46</v>
      </c>
      <c r="D27" s="17" t="s">
        <v>151</v>
      </c>
      <c r="E27" s="18" t="s">
        <v>31</v>
      </c>
      <c r="F27" s="19" t="n">
        <v>45992</v>
      </c>
      <c r="G27" s="20" t="n">
        <f t="shared" si="1"/>
        <v>12465</v>
      </c>
      <c r="H27" s="20"/>
      <c r="I27" s="20" t="n">
        <v>1685</v>
      </c>
      <c r="J27" s="20" t="n">
        <f>MAX(CopperIUDtable[[#This Row],[Stock on hand(opening balance)]]+CopperIUDtable[[#This Row],[Quantity ]]-CopperIUDtable[[#This Row],[Forecasted consumption]],0)</f>
        <v>25130</v>
      </c>
      <c r="K27" s="18"/>
      <c r="L27" s="18"/>
      <c r="M27" s="2" t="s">
        <v>4</v>
      </c>
      <c r="N27" s="20" t="n">
        <v>14350</v>
      </c>
      <c r="O27" s="18"/>
      <c r="P27" s="20"/>
      <c r="Q27" s="19"/>
      <c r="R27" s="18"/>
      <c r="S27" s="18"/>
      <c r="T27" s="18" t="n">
        <v>7</v>
      </c>
      <c r="U27" s="18" t="n">
        <v>15</v>
      </c>
      <c r="V27" s="18" t="n">
        <v>15</v>
      </c>
      <c r="W27" s="21" t="n">
        <f>CopperIUDtable[[#This Row],[Closing balance ]]/CopperIUDtable[[#This Row],[Forecasted consumption]]</f>
        <v>14.913946587537092</v>
      </c>
      <c r="X27" s="22"/>
    </row>
    <row r="28">
      <c r="B28" s="6" t="s">
        <v>75</v>
      </c>
      <c r="C28" s="18" t="s">
        <v>46</v>
      </c>
      <c r="D28" s="17" t="s">
        <v>151</v>
      </c>
      <c r="E28" s="18" t="s">
        <v>31</v>
      </c>
      <c r="F28" s="19" t="n">
        <v>46023</v>
      </c>
      <c r="G28" s="20" t="n">
        <f t="shared" si="1"/>
        <v>25130</v>
      </c>
      <c r="H28" s="20"/>
      <c r="I28" s="20" t="n">
        <v>1685</v>
      </c>
      <c r="J28" s="20" t="n">
        <f>MAX(CopperIUDtable[[#This Row],[Stock on hand(opening balance)]]+CopperIUDtable[[#This Row],[Quantity ]]-CopperIUDtable[[#This Row],[Forecasted consumption]],0)</f>
        <v>23445</v>
      </c>
      <c r="K28" s="18"/>
      <c r="L28" s="18"/>
      <c r="M28" s="2"/>
      <c r="N28" s="20"/>
      <c r="O28" s="18"/>
      <c r="P28" s="20"/>
      <c r="Q28" s="19"/>
      <c r="R28" s="18"/>
      <c r="S28" s="18"/>
      <c r="T28" s="18" t="n">
        <v>7</v>
      </c>
      <c r="U28" s="18" t="n">
        <v>15</v>
      </c>
      <c r="V28" s="18" t="n">
        <v>15</v>
      </c>
      <c r="W28" s="21" t="n">
        <f>CopperIUDtable[[#This Row],[Closing balance ]]/CopperIUDtable[[#This Row],[Forecasted consumption]]</f>
        <v>13.913946587537092</v>
      </c>
      <c r="X28" s="22"/>
    </row>
    <row r="29">
      <c r="B29" s="6" t="s">
        <v>75</v>
      </c>
      <c r="C29" s="18" t="s">
        <v>46</v>
      </c>
      <c r="D29" s="17" t="s">
        <v>151</v>
      </c>
      <c r="E29" s="18" t="s">
        <v>31</v>
      </c>
      <c r="F29" s="19" t="n">
        <v>46054</v>
      </c>
      <c r="G29" s="20" t="n">
        <f t="shared" si="1"/>
        <v>23445</v>
      </c>
      <c r="H29" s="23"/>
      <c r="I29" s="20" t="n">
        <v>1685</v>
      </c>
      <c r="J29" s="23" t="n">
        <f>MAX(CopperIUDtable[[#This Row],[Stock on hand(opening balance)]]+CopperIUDtable[[#This Row],[Quantity ]]-CopperIUDtable[[#This Row],[Forecasted consumption]],0)</f>
        <v>21760</v>
      </c>
      <c r="K29" s="2"/>
      <c r="L29" s="2"/>
      <c r="M29" s="2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CopperIUDtable[[#This Row],[Closing balance ]]/CopperIUDtable[[#This Row],[Forecasted consumption]]</f>
        <v>12.913946587537092</v>
      </c>
      <c r="X29" s="25"/>
    </row>
    <row r="30">
      <c r="B30" s="6" t="s">
        <v>75</v>
      </c>
      <c r="C30" s="18" t="s">
        <v>46</v>
      </c>
      <c r="D30" s="17" t="s">
        <v>151</v>
      </c>
      <c r="E30" s="18" t="s">
        <v>31</v>
      </c>
      <c r="F30" s="19" t="n">
        <v>46082</v>
      </c>
      <c r="G30" s="20" t="n">
        <f t="shared" si="1"/>
        <v>21760</v>
      </c>
      <c r="H30" s="23"/>
      <c r="I30" s="20" t="n">
        <v>1685</v>
      </c>
      <c r="J30" s="23" t="n">
        <f>MAX(CopperIUDtable[[#This Row],[Stock on hand(opening balance)]]+CopperIUDtable[[#This Row],[Quantity ]]-CopperIUDtable[[#This Row],[Forecasted consumption]],0)</f>
        <v>20075</v>
      </c>
      <c r="K30" s="2"/>
      <c r="L30" s="2"/>
      <c r="M30" s="2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CopperIUDtable[[#This Row],[Closing balance ]]/CopperIUDtable[[#This Row],[Forecasted consumption]]</f>
        <v>11.913946587537092</v>
      </c>
      <c r="X30" s="25"/>
    </row>
    <row r="31">
      <c r="B31" s="6" t="s">
        <v>75</v>
      </c>
      <c r="C31" s="18" t="s">
        <v>46</v>
      </c>
      <c r="D31" s="17" t="s">
        <v>151</v>
      </c>
      <c r="E31" s="18" t="s">
        <v>31</v>
      </c>
      <c r="F31" s="19" t="n">
        <v>46113</v>
      </c>
      <c r="G31" s="20" t="n">
        <f t="shared" si="1"/>
        <v>20075</v>
      </c>
      <c r="H31" s="23"/>
      <c r="I31" s="20" t="n">
        <v>1685</v>
      </c>
      <c r="J31" s="23" t="n">
        <f>MAX(CopperIUDtable[[#This Row],[Stock on hand(opening balance)]]+CopperIUDtable[[#This Row],[Quantity ]]-CopperIUDtable[[#This Row],[Forecasted consumption]],0)</f>
        <v>18390</v>
      </c>
      <c r="K31" s="2"/>
      <c r="L31" s="2"/>
      <c r="M31" s="2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CopperIUDtable[[#This Row],[Closing balance ]]/CopperIUDtable[[#This Row],[Forecasted consumption]]</f>
        <v>10.913946587537092</v>
      </c>
      <c r="X31" s="25"/>
    </row>
    <row r="32">
      <c r="B32" s="6" t="s">
        <v>75</v>
      </c>
      <c r="C32" s="18" t="s">
        <v>46</v>
      </c>
      <c r="D32" s="17" t="s">
        <v>151</v>
      </c>
      <c r="E32" s="18" t="s">
        <v>31</v>
      </c>
      <c r="F32" s="19" t="n">
        <v>46143</v>
      </c>
      <c r="G32" s="20" t="n">
        <f t="shared" si="1"/>
        <v>18390</v>
      </c>
      <c r="H32" s="23"/>
      <c r="I32" s="20" t="n">
        <v>1685</v>
      </c>
      <c r="J32" s="23" t="n">
        <f>MAX(CopperIUDtable[[#This Row],[Stock on hand(opening balance)]]+CopperIUDtable[[#This Row],[Quantity ]]-CopperIUDtable[[#This Row],[Forecasted consumption]],0)</f>
        <v>16705</v>
      </c>
      <c r="K32" s="2"/>
      <c r="L32" s="2"/>
      <c r="M32" s="2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CopperIUDtable[[#This Row],[Closing balance ]]/CopperIUDtable[[#This Row],[Forecasted consumption]]</f>
        <v>9.913946587537092</v>
      </c>
      <c r="X32" s="25"/>
    </row>
    <row r="33">
      <c r="B33" s="6" t="s">
        <v>75</v>
      </c>
      <c r="C33" s="18" t="s">
        <v>46</v>
      </c>
      <c r="D33" s="17" t="s">
        <v>151</v>
      </c>
      <c r="E33" s="18" t="s">
        <v>31</v>
      </c>
      <c r="F33" s="19" t="n">
        <v>46174</v>
      </c>
      <c r="G33" s="20" t="n">
        <f t="shared" si="1"/>
        <v>16705</v>
      </c>
      <c r="H33" s="23"/>
      <c r="I33" s="20" t="n">
        <v>1685</v>
      </c>
      <c r="J33" s="23" t="n">
        <f>MAX(CopperIUDtable[[#This Row],[Stock on hand(opening balance)]]+CopperIUDtable[[#This Row],[Quantity ]]-CopperIUDtable[[#This Row],[Forecasted consumption]],0)</f>
        <v>15020</v>
      </c>
      <c r="K33" s="2"/>
      <c r="L33" s="2"/>
      <c r="M33" s="2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CopperIUDtable[[#This Row],[Closing balance ]]/CopperIUDtable[[#This Row],[Forecasted consumption]]</f>
        <v>8.913946587537092</v>
      </c>
      <c r="X33" s="25"/>
    </row>
    <row r="34">
      <c r="B34" s="6" t="s">
        <v>75</v>
      </c>
      <c r="C34" s="18" t="s">
        <v>46</v>
      </c>
      <c r="D34" s="17" t="s">
        <v>151</v>
      </c>
      <c r="E34" s="18" t="s">
        <v>31</v>
      </c>
      <c r="F34" s="19" t="n">
        <v>46204</v>
      </c>
      <c r="G34" s="20" t="n">
        <f t="shared" si="1"/>
        <v>15020</v>
      </c>
      <c r="H34" s="23"/>
      <c r="I34" s="20" t="n">
        <v>1685</v>
      </c>
      <c r="J34" s="23" t="n">
        <f>MAX(CopperIUDtable[[#This Row],[Stock on hand(opening balance)]]+CopperIUDtable[[#This Row],[Quantity ]]-CopperIUDtable[[#This Row],[Forecasted consumption]],0)</f>
        <v>13335</v>
      </c>
      <c r="K34" s="2"/>
      <c r="L34" s="2"/>
      <c r="M34" s="2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CopperIUDtable[[#This Row],[Closing balance ]]/CopperIUDtable[[#This Row],[Forecasted consumption]]</f>
        <v>7.913946587537092</v>
      </c>
      <c r="X34" s="25"/>
    </row>
    <row r="35">
      <c r="B35" s="6" t="s">
        <v>75</v>
      </c>
      <c r="C35" s="18" t="s">
        <v>46</v>
      </c>
      <c r="D35" s="17" t="s">
        <v>151</v>
      </c>
      <c r="E35" s="18" t="s">
        <v>31</v>
      </c>
      <c r="F35" s="19" t="n">
        <v>46235</v>
      </c>
      <c r="G35" s="20" t="n">
        <f t="shared" si="1"/>
        <v>13335</v>
      </c>
      <c r="H35" s="23"/>
      <c r="I35" s="20" t="n">
        <v>1685</v>
      </c>
      <c r="J35" s="23" t="n">
        <f>MAX(CopperIUDtable[[#This Row],[Stock on hand(opening balance)]]+CopperIUDtable[[#This Row],[Quantity ]]-CopperIUDtable[[#This Row],[Forecasted consumption]],0)</f>
        <v>25275</v>
      </c>
      <c r="K35" s="2"/>
      <c r="L35" s="2"/>
      <c r="M35" s="2" t="s">
        <v>4</v>
      </c>
      <c r="N35" s="23" t="n">
        <v>13625</v>
      </c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CopperIUDtable[[#This Row],[Closing balance ]]/CopperIUDtable[[#This Row],[Forecasted consumption]]</f>
        <v>15</v>
      </c>
      <c r="X35" s="25"/>
    </row>
    <row r="36">
      <c r="B36" s="6" t="s">
        <v>75</v>
      </c>
      <c r="C36" s="18" t="s">
        <v>46</v>
      </c>
      <c r="D36" s="17" t="s">
        <v>151</v>
      </c>
      <c r="E36" s="18" t="s">
        <v>31</v>
      </c>
      <c r="F36" s="19" t="n">
        <v>46266</v>
      </c>
      <c r="G36" s="20" t="n">
        <f t="shared" si="1"/>
        <v>25275</v>
      </c>
      <c r="H36" s="23"/>
      <c r="I36" s="20" t="n">
        <v>1685</v>
      </c>
      <c r="J36" s="23" t="n">
        <f>MAX(CopperIUDtable[[#This Row],[Stock on hand(opening balance)]]+CopperIUDtable[[#This Row],[Quantity ]]-CopperIUDtable[[#This Row],[Forecasted consumption]],0)</f>
        <v>23590</v>
      </c>
      <c r="K36" s="2"/>
      <c r="L36" s="2"/>
      <c r="M36" s="2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CopperIUDtable[[#This Row],[Closing balance ]]/CopperIUDtable[[#This Row],[Forecasted consumption]]</f>
        <v>14</v>
      </c>
      <c r="X36" s="25"/>
    </row>
    <row r="37">
      <c r="B37" s="6" t="s">
        <v>76</v>
      </c>
      <c r="C37" s="18" t="s">
        <v>46</v>
      </c>
      <c r="D37" s="17" t="s">
        <v>151</v>
      </c>
      <c r="E37" s="18" t="s">
        <v>31</v>
      </c>
      <c r="F37" s="19" t="n">
        <v>45748</v>
      </c>
      <c r="G37" s="20" t="n">
        <v>1193</v>
      </c>
      <c r="H37" s="20"/>
      <c r="I37" s="20" t="n">
        <v>5693</v>
      </c>
      <c r="J37" s="20" t="n">
        <f>MAX(CopperIUDtable[[#This Row],[Stock on hand(opening balance)]]+CopperIUDtable[[#This Row],[Quantity ]]-CopperIUDtable[[#This Row],[Forecasted consumption]],0)</f>
        <v>0</v>
      </c>
      <c r="K37" s="18"/>
      <c r="L37" s="18"/>
      <c r="M37" s="2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CopperIUDtable[[#This Row],[Closing balance ]]/CopperIUDtable[[#This Row],[Forecasted consumption]]</f>
        <v>0</v>
      </c>
      <c r="X37" s="22"/>
    </row>
    <row r="38">
      <c r="B38" s="6" t="s">
        <v>76</v>
      </c>
      <c r="C38" s="18" t="s">
        <v>46</v>
      </c>
      <c r="D38" s="17" t="s">
        <v>151</v>
      </c>
      <c r="E38" s="18" t="s">
        <v>31</v>
      </c>
      <c r="F38" s="19" t="n">
        <v>45778</v>
      </c>
      <c r="G38" s="23" t="n">
        <f>J36</f>
        <v>23590</v>
      </c>
      <c r="H38" s="23"/>
      <c r="I38" s="20" t="n">
        <v>5693</v>
      </c>
      <c r="J38" s="23" t="n">
        <f>MAX(CopperIUDtable[[#This Row],[Stock on hand(opening balance)]]+CopperIUDtable[[#This Row],[Quantity ]]-CopperIUDtable[[#This Row],[Forecasted consumption]],0)</f>
        <v>17897</v>
      </c>
      <c r="K38" s="2"/>
      <c r="L38" s="2"/>
      <c r="M38" s="2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CopperIUDtable[[#This Row],[Closing balance ]]/CopperIUDtable[[#This Row],[Forecasted consumption]]</f>
        <v>3.1436852274723344</v>
      </c>
      <c r="X38" s="25"/>
    </row>
    <row r="39">
      <c r="B39" s="6" t="s">
        <v>76</v>
      </c>
      <c r="C39" s="18" t="s">
        <v>46</v>
      </c>
      <c r="D39" s="17" t="s">
        <v>151</v>
      </c>
      <c r="E39" s="18" t="s">
        <v>31</v>
      </c>
      <c r="F39" s="19" t="n">
        <v>45809</v>
      </c>
      <c r="G39" s="23" t="n">
        <f t="shared" ref="G39:G57" si="2">J37</f>
        <v>0</v>
      </c>
      <c r="H39" s="23"/>
      <c r="I39" s="20" t="n">
        <v>5693</v>
      </c>
      <c r="J39" s="23" t="n">
        <f>MAX(CopperIUDtable[[#This Row],[Stock on hand(opening balance)]]+CopperIUDtable[[#This Row],[Quantity ]]-CopperIUDtable[[#This Row],[Forecasted consumption]],0)</f>
        <v>0</v>
      </c>
      <c r="K39" s="2"/>
      <c r="L39" s="2"/>
      <c r="M39" s="2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CopperIUDtable[[#This Row],[Closing balance ]]/CopperIUDtable[[#This Row],[Forecasted consumption]]</f>
        <v>0</v>
      </c>
      <c r="X39" s="25"/>
    </row>
    <row r="40">
      <c r="B40" s="6" t="s">
        <v>76</v>
      </c>
      <c r="C40" s="18" t="s">
        <v>46</v>
      </c>
      <c r="D40" s="17" t="s">
        <v>151</v>
      </c>
      <c r="E40" s="18" t="s">
        <v>31</v>
      </c>
      <c r="F40" s="19" t="n">
        <v>45839</v>
      </c>
      <c r="G40" s="23" t="n">
        <f t="shared" si="2"/>
        <v>17897</v>
      </c>
      <c r="H40" s="23"/>
      <c r="I40" s="20" t="n">
        <v>5693</v>
      </c>
      <c r="J40" s="23" t="n">
        <f>MAX(CopperIUDtable[[#This Row],[Stock on hand(opening balance)]]+CopperIUDtable[[#This Row],[Quantity ]]-CopperIUDtable[[#This Row],[Forecasted consumption]],0)</f>
        <v>12204</v>
      </c>
      <c r="K40" s="2"/>
      <c r="L40" s="2"/>
      <c r="M40" s="2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CopperIUDtable[[#This Row],[Closing balance ]]/CopperIUDtable[[#This Row],[Forecasted consumption]]</f>
        <v>2.1436852274723344</v>
      </c>
      <c r="X40" s="25"/>
    </row>
    <row r="41">
      <c r="B41" s="6" t="s">
        <v>76</v>
      </c>
      <c r="C41" s="18" t="s">
        <v>46</v>
      </c>
      <c r="D41" s="17" t="s">
        <v>151</v>
      </c>
      <c r="E41" s="18" t="s">
        <v>31</v>
      </c>
      <c r="F41" s="19" t="n">
        <v>45870</v>
      </c>
      <c r="G41" s="23" t="n">
        <f t="shared" si="2"/>
        <v>0</v>
      </c>
      <c r="H41" s="23"/>
      <c r="I41" s="20" t="n">
        <v>5693</v>
      </c>
      <c r="J41" s="23" t="n">
        <f>MAX(CopperIUDtable[[#This Row],[Stock on hand(opening balance)]]+CopperIUDtable[[#This Row],[Quantity ]]-CopperIUDtable[[#This Row],[Forecasted consumption]],0)</f>
        <v>0</v>
      </c>
      <c r="K41" s="2"/>
      <c r="L41" s="2"/>
      <c r="M41" s="2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CopperIUDtable[[#This Row],[Closing balance ]]/CopperIUDtable[[#This Row],[Forecasted consumption]]</f>
        <v>0</v>
      </c>
      <c r="X41" s="25"/>
    </row>
    <row r="42">
      <c r="B42" s="6" t="s">
        <v>76</v>
      </c>
      <c r="C42" s="18" t="s">
        <v>46</v>
      </c>
      <c r="D42" s="17" t="s">
        <v>151</v>
      </c>
      <c r="E42" s="18" t="s">
        <v>31</v>
      </c>
      <c r="F42" s="19" t="n">
        <v>45901</v>
      </c>
      <c r="G42" s="23" t="n">
        <f t="shared" si="2"/>
        <v>12204</v>
      </c>
      <c r="H42" s="23"/>
      <c r="I42" s="20" t="n">
        <v>5693</v>
      </c>
      <c r="J42" s="23" t="n">
        <f>MAX(CopperIUDtable[[#This Row],[Stock on hand(opening balance)]]+CopperIUDtable[[#This Row],[Quantity ]]-CopperIUDtable[[#This Row],[Forecasted consumption]],0)</f>
        <v>6511</v>
      </c>
      <c r="K42" s="2"/>
      <c r="L42" s="2"/>
      <c r="M42" s="2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CopperIUDtable[[#This Row],[Closing balance ]]/CopperIUDtable[[#This Row],[Forecasted consumption]]</f>
        <v>1.1436852274723344</v>
      </c>
      <c r="X42" s="25"/>
    </row>
    <row r="43">
      <c r="B43" s="6" t="s">
        <v>76</v>
      </c>
      <c r="C43" s="18" t="s">
        <v>46</v>
      </c>
      <c r="D43" s="17" t="s">
        <v>151</v>
      </c>
      <c r="E43" s="18" t="s">
        <v>31</v>
      </c>
      <c r="F43" s="19" t="n">
        <v>45931</v>
      </c>
      <c r="G43" s="23" t="n">
        <f t="shared" si="2"/>
        <v>0</v>
      </c>
      <c r="H43" s="23"/>
      <c r="I43" s="20" t="n">
        <v>5693</v>
      </c>
      <c r="J43" s="23" t="n">
        <f>MAX(CopperIUDtable[[#This Row],[Stock on hand(opening balance)]]+CopperIUDtable[[#This Row],[Quantity ]]-CopperIUDtable[[#This Row],[Forecasted consumption]],0)</f>
        <v>0</v>
      </c>
      <c r="K43" s="2"/>
      <c r="L43" s="2"/>
      <c r="M43" s="2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CopperIUDtable[[#This Row],[Closing balance ]]/CopperIUDtable[[#This Row],[Forecasted consumption]]</f>
        <v>0</v>
      </c>
      <c r="X43" s="25"/>
    </row>
    <row r="44">
      <c r="B44" s="6" t="s">
        <v>76</v>
      </c>
      <c r="C44" s="18" t="s">
        <v>46</v>
      </c>
      <c r="D44" s="17" t="s">
        <v>151</v>
      </c>
      <c r="E44" s="18" t="s">
        <v>31</v>
      </c>
      <c r="F44" s="19" t="n">
        <v>45962</v>
      </c>
      <c r="G44" s="23" t="n">
        <f t="shared" si="2"/>
        <v>6511</v>
      </c>
      <c r="H44" s="23"/>
      <c r="I44" s="20" t="n">
        <v>5693</v>
      </c>
      <c r="J44" s="23" t="n">
        <f>MAX(CopperIUDtable[[#This Row],[Stock on hand(opening balance)]]+CopperIUDtable[[#This Row],[Quantity ]]-CopperIUDtable[[#This Row],[Forecasted consumption]],0)</f>
        <v>818</v>
      </c>
      <c r="K44" s="2"/>
      <c r="L44" s="2"/>
      <c r="M44" s="2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CopperIUDtable[[#This Row],[Closing balance ]]/CopperIUDtable[[#This Row],[Forecasted consumption]]</f>
        <v>0.14368522747233445</v>
      </c>
      <c r="X44" s="25"/>
    </row>
    <row r="45">
      <c r="B45" s="6" t="s">
        <v>76</v>
      </c>
      <c r="C45" s="18" t="s">
        <v>46</v>
      </c>
      <c r="D45" s="17" t="s">
        <v>151</v>
      </c>
      <c r="E45" s="18" t="s">
        <v>31</v>
      </c>
      <c r="F45" s="19" t="n">
        <v>45992</v>
      </c>
      <c r="G45" s="23" t="n">
        <f t="shared" si="2"/>
        <v>0</v>
      </c>
      <c r="H45" s="23"/>
      <c r="I45" s="20" t="n">
        <v>5693</v>
      </c>
      <c r="J45" s="23" t="n">
        <f>MAX(CopperIUDtable[[#This Row],[Stock on hand(opening balance)]]+CopperIUDtable[[#This Row],[Quantity ]]-CopperIUDtable[[#This Row],[Forecasted consumption]],0)</f>
        <v>0</v>
      </c>
      <c r="K45" s="2"/>
      <c r="L45" s="2"/>
      <c r="M45" s="2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CopperIUDtable[[#This Row],[Closing balance ]]/CopperIUDtable[[#This Row],[Forecasted consumption]]</f>
        <v>0</v>
      </c>
      <c r="X45" s="25"/>
    </row>
    <row r="46">
      <c r="B46" s="6" t="s">
        <v>76</v>
      </c>
      <c r="C46" s="18" t="s">
        <v>46</v>
      </c>
      <c r="D46" s="17" t="s">
        <v>151</v>
      </c>
      <c r="E46" s="18" t="s">
        <v>31</v>
      </c>
      <c r="F46" s="19" t="n">
        <v>46023</v>
      </c>
      <c r="G46" s="23" t="n">
        <f t="shared" si="2"/>
        <v>818</v>
      </c>
      <c r="H46" s="23"/>
      <c r="I46" s="23" t="n">
        <v>14161</v>
      </c>
      <c r="J46" s="23" t="n">
        <f>MAX(CopperIUDtable[[#This Row],[Stock on hand(opening balance)]]+CopperIUDtable[[#This Row],[Quantity ]]-CopperIUDtable[[#This Row],[Forecasted consumption]],0)</f>
        <v>0</v>
      </c>
      <c r="K46" s="2"/>
      <c r="L46" s="2"/>
      <c r="M46" s="2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CopperIUDtable[[#This Row],[Closing balance ]]/CopperIUDtable[[#This Row],[Forecasted consumption]]</f>
        <v>0</v>
      </c>
      <c r="X46" s="25"/>
    </row>
    <row r="47">
      <c r="B47" s="6" t="s">
        <v>76</v>
      </c>
      <c r="C47" s="18" t="s">
        <v>46</v>
      </c>
      <c r="D47" s="17" t="s">
        <v>151</v>
      </c>
      <c r="E47" s="18" t="s">
        <v>31</v>
      </c>
      <c r="F47" s="19" t="n">
        <v>46054</v>
      </c>
      <c r="G47" s="23" t="n">
        <f t="shared" si="2"/>
        <v>0</v>
      </c>
      <c r="H47" s="23"/>
      <c r="I47" s="23" t="n">
        <v>14161</v>
      </c>
      <c r="J47" s="23" t="n">
        <f>MAX(CopperIUDtable[[#This Row],[Stock on hand(opening balance)]]+CopperIUDtable[[#This Row],[Quantity ]]-CopperIUDtable[[#This Row],[Forecasted consumption]],0)</f>
        <v>0</v>
      </c>
      <c r="K47" s="2"/>
      <c r="L47" s="2"/>
      <c r="M47" s="2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CopperIUDtable[[#This Row],[Closing balance ]]/CopperIUDtable[[#This Row],[Forecasted consumption]]</f>
        <v>0</v>
      </c>
      <c r="X47" s="25"/>
    </row>
    <row r="48">
      <c r="B48" s="6" t="s">
        <v>76</v>
      </c>
      <c r="C48" s="18" t="s">
        <v>46</v>
      </c>
      <c r="D48" s="17" t="s">
        <v>151</v>
      </c>
      <c r="E48" s="18" t="s">
        <v>31</v>
      </c>
      <c r="F48" s="19" t="n">
        <v>46082</v>
      </c>
      <c r="G48" s="23" t="n">
        <f t="shared" si="2"/>
        <v>0</v>
      </c>
      <c r="H48" s="23"/>
      <c r="I48" s="23" t="n">
        <v>14161</v>
      </c>
      <c r="J48" s="23" t="n">
        <f>MAX(CopperIUDtable[[#This Row],[Stock on hand(opening balance)]]+CopperIUDtable[[#This Row],[Quantity ]]-CopperIUDtable[[#This Row],[Forecasted consumption]],0)</f>
        <v>0</v>
      </c>
      <c r="K48" s="2"/>
      <c r="L48" s="2"/>
      <c r="M48" s="2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CopperIUDtable[[#This Row],[Closing balance ]]/CopperIUDtable[[#This Row],[Forecasted consumption]]</f>
        <v>0</v>
      </c>
      <c r="X48" s="25"/>
    </row>
    <row r="49">
      <c r="B49" s="6" t="s">
        <v>76</v>
      </c>
      <c r="C49" s="18" t="s">
        <v>46</v>
      </c>
      <c r="D49" s="17" t="s">
        <v>151</v>
      </c>
      <c r="E49" s="18" t="s">
        <v>31</v>
      </c>
      <c r="F49" s="19" t="n">
        <v>46113</v>
      </c>
      <c r="G49" s="23" t="n">
        <f t="shared" si="2"/>
        <v>0</v>
      </c>
      <c r="H49" s="23"/>
      <c r="I49" s="23" t="n">
        <v>14161</v>
      </c>
      <c r="J49" s="23" t="n">
        <f>MAX(CopperIUDtable[[#This Row],[Stock on hand(opening balance)]]+CopperIUDtable[[#This Row],[Quantity ]]-CopperIUDtable[[#This Row],[Forecasted consumption]],0)</f>
        <v>0</v>
      </c>
      <c r="K49" s="2"/>
      <c r="L49" s="2"/>
      <c r="M49" s="2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CopperIUDtable[[#This Row],[Closing balance ]]/CopperIUDtable[[#This Row],[Forecasted consumption]]</f>
        <v>0</v>
      </c>
      <c r="X49" s="25"/>
    </row>
    <row r="50">
      <c r="B50" s="6" t="s">
        <v>76</v>
      </c>
      <c r="C50" s="18" t="s">
        <v>46</v>
      </c>
      <c r="D50" s="17" t="s">
        <v>151</v>
      </c>
      <c r="E50" s="18" t="s">
        <v>31</v>
      </c>
      <c r="F50" s="19" t="n">
        <v>46143</v>
      </c>
      <c r="G50" s="23" t="n">
        <f t="shared" si="2"/>
        <v>0</v>
      </c>
      <c r="H50" s="23"/>
      <c r="I50" s="23" t="n">
        <v>14161</v>
      </c>
      <c r="J50" s="23" t="n">
        <f>MAX(CopperIUDtable[[#This Row],[Stock on hand(opening balance)]]+CopperIUDtable[[#This Row],[Quantity ]]-CopperIUDtable[[#This Row],[Forecasted consumption]],0)</f>
        <v>0</v>
      </c>
      <c r="K50" s="2"/>
      <c r="L50" s="2"/>
      <c r="M50" s="2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CopperIUDtable[[#This Row],[Closing balance ]]/CopperIUDtable[[#This Row],[Forecasted consumption]]</f>
        <v>0</v>
      </c>
      <c r="X50" s="25"/>
    </row>
    <row r="51">
      <c r="B51" s="6" t="s">
        <v>76</v>
      </c>
      <c r="C51" s="18" t="s">
        <v>46</v>
      </c>
      <c r="D51" s="17" t="s">
        <v>151</v>
      </c>
      <c r="E51" s="18" t="s">
        <v>31</v>
      </c>
      <c r="F51" s="19" t="n">
        <v>46174</v>
      </c>
      <c r="G51" s="23" t="n">
        <f t="shared" si="2"/>
        <v>0</v>
      </c>
      <c r="H51" s="23"/>
      <c r="I51" s="23" t="n">
        <v>14161</v>
      </c>
      <c r="J51" s="23" t="n">
        <f>MAX(CopperIUDtable[[#This Row],[Stock on hand(opening balance)]]+CopperIUDtable[[#This Row],[Quantity ]]-CopperIUDtable[[#This Row],[Forecasted consumption]],0)</f>
        <v>0</v>
      </c>
      <c r="K51" s="2"/>
      <c r="L51" s="2"/>
      <c r="M51" s="2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CopperIUDtable[[#This Row],[Closing balance ]]/CopperIUDtable[[#This Row],[Forecasted consumption]]</f>
        <v>0</v>
      </c>
      <c r="X51" s="25"/>
    </row>
    <row r="52">
      <c r="B52" s="6" t="s">
        <v>76</v>
      </c>
      <c r="C52" s="18" t="s">
        <v>46</v>
      </c>
      <c r="D52" s="17" t="s">
        <v>151</v>
      </c>
      <c r="E52" s="18" t="s">
        <v>31</v>
      </c>
      <c r="F52" s="19" t="n">
        <v>46204</v>
      </c>
      <c r="G52" s="23" t="n">
        <f t="shared" si="2"/>
        <v>0</v>
      </c>
      <c r="H52" s="23"/>
      <c r="I52" s="23" t="n">
        <v>14161</v>
      </c>
      <c r="J52" s="23" t="n">
        <f>MAX(CopperIUDtable[[#This Row],[Stock on hand(opening balance)]]+CopperIUDtable[[#This Row],[Quantity ]]-CopperIUDtable[[#This Row],[Forecasted consumption]],0)</f>
        <v>0</v>
      </c>
      <c r="K52" s="2"/>
      <c r="L52" s="2"/>
      <c r="M52" s="2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CopperIUDtable[[#This Row],[Closing balance ]]/CopperIUDtable[[#This Row],[Forecasted consumption]]</f>
        <v>0</v>
      </c>
      <c r="X52" s="25"/>
    </row>
    <row r="53">
      <c r="B53" s="6" t="s">
        <v>76</v>
      </c>
      <c r="C53" s="18" t="s">
        <v>46</v>
      </c>
      <c r="D53" s="17" t="s">
        <v>151</v>
      </c>
      <c r="E53" s="18" t="s">
        <v>31</v>
      </c>
      <c r="F53" s="19" t="n">
        <v>46235</v>
      </c>
      <c r="G53" s="23" t="n">
        <f t="shared" si="2"/>
        <v>0</v>
      </c>
      <c r="H53" s="23"/>
      <c r="I53" s="23" t="n">
        <v>14161</v>
      </c>
      <c r="J53" s="23" t="n">
        <f>MAX(CopperIUDtable[[#This Row],[Stock on hand(opening balance)]]+CopperIUDtable[[#This Row],[Quantity ]]-CopperIUDtable[[#This Row],[Forecasted consumption]],0)</f>
        <v>0</v>
      </c>
      <c r="K53" s="2"/>
      <c r="L53" s="2"/>
      <c r="M53" s="2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CopperIUDtable[[#This Row],[Closing balance ]]/CopperIUDtable[[#This Row],[Forecasted consumption]]</f>
        <v>0</v>
      </c>
      <c r="X53" s="25"/>
    </row>
    <row r="54">
      <c r="B54" s="6" t="s">
        <v>76</v>
      </c>
      <c r="C54" s="18" t="s">
        <v>46</v>
      </c>
      <c r="D54" s="17" t="s">
        <v>151</v>
      </c>
      <c r="E54" s="18" t="s">
        <v>31</v>
      </c>
      <c r="F54" s="19" t="n">
        <v>46266</v>
      </c>
      <c r="G54" s="23" t="n">
        <f t="shared" si="2"/>
        <v>0</v>
      </c>
      <c r="H54" s="23"/>
      <c r="I54" s="23" t="n">
        <v>14161</v>
      </c>
      <c r="J54" s="23" t="n">
        <f>MAX(CopperIUDtable[[#This Row],[Stock on hand(opening balance)]]+CopperIUDtable[[#This Row],[Quantity ]]-CopperIUDtable[[#This Row],[Forecasted consumption]],0)</f>
        <v>0</v>
      </c>
      <c r="K54" s="2"/>
      <c r="L54" s="2"/>
      <c r="M54" s="2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CopperIUDtable[[#This Row],[Closing balance ]]/CopperIUDtable[[#This Row],[Forecasted consumption]]</f>
        <v>0</v>
      </c>
      <c r="X54" s="25"/>
    </row>
    <row r="55">
      <c r="B55" s="6" t="s">
        <v>76</v>
      </c>
      <c r="C55" s="18" t="s">
        <v>46</v>
      </c>
      <c r="D55" s="17" t="s">
        <v>151</v>
      </c>
      <c r="E55" s="18" t="s">
        <v>31</v>
      </c>
      <c r="F55" s="19" t="n">
        <v>46296</v>
      </c>
      <c r="G55" s="23" t="n">
        <f t="shared" si="2"/>
        <v>0</v>
      </c>
      <c r="H55" s="23"/>
      <c r="I55" s="23" t="n">
        <v>14161</v>
      </c>
      <c r="J55" s="23" t="n">
        <f>MAX(CopperIUDtable[[#This Row],[Stock on hand(opening balance)]]+CopperIUDtable[[#This Row],[Quantity ]]-CopperIUDtable[[#This Row],[Forecasted consumption]],0)</f>
        <v>0</v>
      </c>
      <c r="K55" s="2"/>
      <c r="L55" s="2"/>
      <c r="M55" s="2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CopperIUDtable[[#This Row],[Closing balance ]]/CopperIUDtable[[#This Row],[Forecasted consumption]]</f>
        <v>0</v>
      </c>
      <c r="X55" s="25"/>
    </row>
    <row r="56">
      <c r="B56" s="6" t="s">
        <v>76</v>
      </c>
      <c r="C56" s="18" t="s">
        <v>46</v>
      </c>
      <c r="D56" s="17" t="s">
        <v>151</v>
      </c>
      <c r="E56" s="18" t="s">
        <v>31</v>
      </c>
      <c r="F56" s="19" t="n">
        <v>46327</v>
      </c>
      <c r="G56" s="23" t="n">
        <f t="shared" si="2"/>
        <v>0</v>
      </c>
      <c r="H56" s="23"/>
      <c r="I56" s="23" t="n">
        <v>14161</v>
      </c>
      <c r="J56" s="23" t="n">
        <f>MAX(CopperIUDtable[[#This Row],[Stock on hand(opening balance)]]+CopperIUDtable[[#This Row],[Quantity ]]-CopperIUDtable[[#This Row],[Forecasted consumption]],0)</f>
        <v>0</v>
      </c>
      <c r="K56" s="2"/>
      <c r="L56" s="2"/>
      <c r="M56" s="2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CopperIUDtable[[#This Row],[Closing balance ]]/CopperIUDtable[[#This Row],[Forecasted consumption]]</f>
        <v>0</v>
      </c>
      <c r="X56" s="25"/>
    </row>
    <row r="57">
      <c r="B57" s="6" t="s">
        <v>76</v>
      </c>
      <c r="C57" s="18" t="s">
        <v>46</v>
      </c>
      <c r="D57" s="17" t="s">
        <v>151</v>
      </c>
      <c r="E57" s="18" t="s">
        <v>31</v>
      </c>
      <c r="F57" s="19" t="n">
        <v>46357</v>
      </c>
      <c r="G57" s="23" t="n">
        <f t="shared" si="2"/>
        <v>0</v>
      </c>
      <c r="H57" s="23"/>
      <c r="I57" s="23" t="n">
        <v>14161</v>
      </c>
      <c r="J57" s="23" t="n">
        <f>MAX(CopperIUDtable[[#This Row],[Stock on hand(opening balance)]]+CopperIUDtable[[#This Row],[Quantity ]]-CopperIUDtable[[#This Row],[Forecasted consumption]],0)</f>
        <v>0</v>
      </c>
      <c r="K57" s="2"/>
      <c r="L57" s="2"/>
      <c r="M57" s="2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CopperIUDtable[[#This Row],[Closing balance ]]/CopperIUDtable[[#This Row],[Forecasted consumption]]</f>
        <v>0</v>
      </c>
      <c r="X57" s="25"/>
    </row>
    <row r="58" ht="14.5" customHeight="1">
      <c r="B58" s="6" t="s">
        <v>72</v>
      </c>
      <c r="C58" s="18" t="s">
        <v>46</v>
      </c>
      <c r="D58" s="17" t="s">
        <v>151</v>
      </c>
      <c r="E58" s="18" t="s">
        <v>31</v>
      </c>
      <c r="F58" s="19" t="n">
        <v>45689</v>
      </c>
      <c r="G58" s="23" t="n">
        <v>14632</v>
      </c>
      <c r="H58" s="30" t="n">
        <v>988</v>
      </c>
      <c r="I58" s="23" t="n">
        <v>1785</v>
      </c>
      <c r="J58" s="23" t="n">
        <f>MAX(CopperIUDtable[[#This Row],[Stock on hand(opening balance)]]+CopperIUDtable[[#This Row],[Quantity ]]-CopperIUDtable[[#This Row],[Forecasted consumption]],0)</f>
        <v>12847</v>
      </c>
      <c r="K58" s="2"/>
      <c r="L58" s="2"/>
      <c r="M58" s="2"/>
      <c r="N58" s="23"/>
      <c r="O58" s="2"/>
      <c r="P58" s="20"/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CopperIUDtable[[#This Row],[Closing balance ]]/CopperIUDtable[[#This Row],[Forecasted consumption]]</f>
        <v>7.1971988795518209</v>
      </c>
      <c r="X58" s="25"/>
    </row>
    <row r="59" ht="14.5" customHeight="1">
      <c r="B59" s="6" t="s">
        <v>72</v>
      </c>
      <c r="C59" s="18" t="s">
        <v>46</v>
      </c>
      <c r="D59" s="17" t="s">
        <v>151</v>
      </c>
      <c r="E59" s="18" t="s">
        <v>31</v>
      </c>
      <c r="F59" s="19" t="n">
        <v>45717</v>
      </c>
      <c r="G59" s="23" t="n">
        <f>J58</f>
        <v>12847</v>
      </c>
      <c r="H59" s="30" t="n">
        <v>670</v>
      </c>
      <c r="I59" s="23" t="n">
        <v>1785</v>
      </c>
      <c r="J59" s="23" t="n">
        <f>MAX(CopperIUDtable[[#This Row],[Stock on hand(opening balance)]]+CopperIUDtable[[#This Row],[Quantity ]]-CopperIUDtable[[#This Row],[Forecasted consumption]],0)</f>
        <v>11062</v>
      </c>
      <c r="K59" s="2"/>
      <c r="L59" s="2"/>
      <c r="M59" s="2"/>
      <c r="N59" s="23"/>
      <c r="O59" s="2"/>
      <c r="P59" s="20"/>
      <c r="Q59" s="24"/>
      <c r="R59" s="2"/>
      <c r="S59" s="2"/>
      <c r="T59" s="2" t="n">
        <v>6</v>
      </c>
      <c r="U59" s="2" t="n">
        <v>12</v>
      </c>
      <c r="V59" s="2" t="n">
        <v>12</v>
      </c>
      <c r="W59" s="3" t="n">
        <f>CopperIUDtable[[#This Row],[Closing balance ]]/CopperIUDtable[[#This Row],[Forecasted consumption]]</f>
        <v>6.1971988795518209</v>
      </c>
      <c r="X59" s="25"/>
    </row>
    <row r="60" ht="14.5" customHeight="1">
      <c r="B60" s="6" t="s">
        <v>72</v>
      </c>
      <c r="C60" s="18" t="s">
        <v>46</v>
      </c>
      <c r="D60" s="17" t="s">
        <v>151</v>
      </c>
      <c r="E60" s="18" t="s">
        <v>31</v>
      </c>
      <c r="F60" s="19" t="n">
        <v>45748</v>
      </c>
      <c r="G60" s="23" t="n">
        <f t="shared" ref="G60:G80" si="3">J59</f>
        <v>11062</v>
      </c>
      <c r="H60" s="30" t="n">
        <v>1396</v>
      </c>
      <c r="I60" s="23" t="n">
        <v>1785</v>
      </c>
      <c r="J60" s="23" t="n">
        <f>MAX(CopperIUDtable[[#This Row],[Stock on hand(opening balance)]]+CopperIUDtable[[#This Row],[Quantity ]]-CopperIUDtable[[#This Row],[Forecasted consumption]],0)</f>
        <v>9277</v>
      </c>
      <c r="K60" s="2"/>
      <c r="L60" s="2"/>
      <c r="M60" s="2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3" t="n">
        <f>CopperIUDtable[[#This Row],[Closing balance ]]/CopperIUDtable[[#This Row],[Forecasted consumption]]</f>
        <v>5.1971988795518209</v>
      </c>
      <c r="X60" s="25"/>
    </row>
    <row r="61" ht="14.5" customHeight="1">
      <c r="B61" s="6" t="s">
        <v>72</v>
      </c>
      <c r="C61" s="18" t="s">
        <v>46</v>
      </c>
      <c r="D61" s="17" t="s">
        <v>151</v>
      </c>
      <c r="E61" s="18" t="s">
        <v>31</v>
      </c>
      <c r="F61" s="19" t="n">
        <v>45778</v>
      </c>
      <c r="G61" s="23" t="n">
        <f t="shared" si="3"/>
        <v>9277</v>
      </c>
      <c r="H61" s="30" t="n">
        <v>830</v>
      </c>
      <c r="I61" s="23" t="n">
        <v>1785</v>
      </c>
      <c r="J61" s="23" t="n">
        <f>MAX(CopperIUDtable[[#This Row],[Stock on hand(opening balance)]]+CopperIUDtable[[#This Row],[Quantity ]]-CopperIUDtable[[#This Row],[Forecasted consumption]],0)</f>
        <v>7492</v>
      </c>
      <c r="K61" s="2"/>
      <c r="L61" s="2"/>
      <c r="M61" s="2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CopperIUDtable[[#This Row],[Closing balance ]]/CopperIUDtable[[#This Row],[Forecasted consumption]]</f>
        <v>4.1971988795518209</v>
      </c>
      <c r="X61" s="25"/>
    </row>
    <row r="62" ht="14.5" customHeight="1">
      <c r="B62" s="6" t="s">
        <v>72</v>
      </c>
      <c r="C62" s="18" t="s">
        <v>46</v>
      </c>
      <c r="D62" s="17" t="s">
        <v>151</v>
      </c>
      <c r="E62" s="18" t="s">
        <v>31</v>
      </c>
      <c r="F62" s="19" t="n">
        <v>45809</v>
      </c>
      <c r="G62" s="23" t="n">
        <f t="shared" si="3"/>
        <v>7492</v>
      </c>
      <c r="H62" s="30" t="n">
        <v>946</v>
      </c>
      <c r="I62" s="23" t="n">
        <v>1785</v>
      </c>
      <c r="J62" s="23" t="n">
        <f>MAX(CopperIUDtable[[#This Row],[Stock on hand(opening balance)]]+CopperIUDtable[[#This Row],[Quantity ]]-CopperIUDtable[[#This Row],[Forecasted consumption]],0)</f>
        <v>5707</v>
      </c>
      <c r="K62" s="2"/>
      <c r="L62" s="2"/>
      <c r="M62" s="2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CopperIUDtable[[#This Row],[Closing balance ]]/CopperIUDtable[[#This Row],[Forecasted consumption]]</f>
        <v>3.1971988795518209</v>
      </c>
      <c r="X62" s="25"/>
    </row>
    <row r="63" ht="14.5" customHeight="1">
      <c r="B63" s="6" t="s">
        <v>72</v>
      </c>
      <c r="C63" s="18" t="s">
        <v>46</v>
      </c>
      <c r="D63" s="17" t="s">
        <v>151</v>
      </c>
      <c r="E63" s="18" t="s">
        <v>31</v>
      </c>
      <c r="F63" s="19" t="n">
        <v>45839</v>
      </c>
      <c r="G63" s="23" t="n">
        <f t="shared" si="3"/>
        <v>5707</v>
      </c>
      <c r="H63" s="30" t="n">
        <v>1178</v>
      </c>
      <c r="I63" s="23" t="n">
        <v>1785</v>
      </c>
      <c r="J63" s="23" t="n">
        <f>MAX(CopperIUDtable[[#This Row],[Stock on hand(opening balance)]]+CopperIUDtable[[#This Row],[Quantity ]]-CopperIUDtable[[#This Row],[Forecasted consumption]],0)</f>
        <v>3922</v>
      </c>
      <c r="K63" s="2"/>
      <c r="L63" s="2"/>
      <c r="M63" s="2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CopperIUDtable[[#This Row],[Closing balance ]]/CopperIUDtable[[#This Row],[Forecasted consumption]]</f>
        <v>2.1971988795518209</v>
      </c>
      <c r="X63" s="25"/>
    </row>
    <row r="64">
      <c r="B64" s="6" t="s">
        <v>72</v>
      </c>
      <c r="C64" s="18" t="s">
        <v>46</v>
      </c>
      <c r="D64" s="17" t="s">
        <v>151</v>
      </c>
      <c r="E64" s="18" t="s">
        <v>31</v>
      </c>
      <c r="F64" s="19" t="n">
        <v>45870</v>
      </c>
      <c r="G64" s="23" t="n">
        <f t="shared" si="3"/>
        <v>3922</v>
      </c>
      <c r="H64" s="23"/>
      <c r="I64" s="23" t="n">
        <v>1785</v>
      </c>
      <c r="J64" s="23" t="n">
        <f>MAX(CopperIUDtable[[#This Row],[Stock on hand(opening balance)]]+CopperIUDtable[[#This Row],[Quantity ]]-CopperIUDtable[[#This Row],[Forecasted consumption]],0)</f>
        <v>24137</v>
      </c>
      <c r="K64" s="2" t="s">
        <v>51</v>
      </c>
      <c r="L64" s="2" t="s">
        <v>51</v>
      </c>
      <c r="M64" s="2" t="s">
        <v>147</v>
      </c>
      <c r="N64" s="23" t="n">
        <v>22000</v>
      </c>
      <c r="O64" s="2"/>
      <c r="P64" s="20" t="n">
        <v>14784</v>
      </c>
      <c r="Q64" s="24" t="n">
        <v>45870</v>
      </c>
      <c r="R64" s="2"/>
      <c r="S64" s="2"/>
      <c r="T64" s="2" t="n">
        <v>6</v>
      </c>
      <c r="U64" s="2" t="n">
        <v>12</v>
      </c>
      <c r="V64" s="2" t="n">
        <v>12</v>
      </c>
      <c r="W64" s="3" t="n">
        <f>CopperIUDtable[[#This Row],[Closing balance ]]/CopperIUDtable[[#This Row],[Forecasted consumption]]</f>
        <v>13.522128851540616</v>
      </c>
      <c r="X64" s="25"/>
    </row>
    <row r="65">
      <c r="B65" s="6" t="s">
        <v>72</v>
      </c>
      <c r="C65" s="18" t="s">
        <v>46</v>
      </c>
      <c r="D65" s="17" t="s">
        <v>151</v>
      </c>
      <c r="E65" s="18" t="s">
        <v>31</v>
      </c>
      <c r="F65" s="19" t="n">
        <v>45901</v>
      </c>
      <c r="G65" s="23" t="n">
        <f t="shared" si="3"/>
        <v>24137</v>
      </c>
      <c r="H65" s="23"/>
      <c r="I65" s="23" t="n">
        <v>1785</v>
      </c>
      <c r="J65" s="23" t="n">
        <f>MAX(CopperIUDtable[[#This Row],[Stock on hand(opening balance)]]+CopperIUDtable[[#This Row],[Quantity ]]-CopperIUDtable[[#This Row],[Forecasted consumption]],0)</f>
        <v>22352</v>
      </c>
      <c r="K65" s="2"/>
      <c r="L65" s="2"/>
      <c r="M65" s="2"/>
      <c r="N65" s="23"/>
      <c r="O65" s="2"/>
      <c r="P65" s="20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CopperIUDtable[[#This Row],[Closing balance ]]/CopperIUDtable[[#This Row],[Forecasted consumption]]</f>
        <v>12.522128851540616</v>
      </c>
      <c r="X65" s="25"/>
    </row>
    <row r="66">
      <c r="B66" s="6" t="s">
        <v>72</v>
      </c>
      <c r="C66" s="18" t="s">
        <v>46</v>
      </c>
      <c r="D66" s="17" t="s">
        <v>151</v>
      </c>
      <c r="E66" s="18" t="s">
        <v>31</v>
      </c>
      <c r="F66" s="19" t="n">
        <v>45931</v>
      </c>
      <c r="G66" s="23" t="n">
        <f t="shared" si="3"/>
        <v>22352</v>
      </c>
      <c r="H66" s="23"/>
      <c r="I66" s="23" t="n">
        <v>1785</v>
      </c>
      <c r="J66" s="23" t="n">
        <f>MAX(CopperIUDtable[[#This Row],[Stock on hand(opening balance)]]+CopperIUDtable[[#This Row],[Quantity ]]-CopperIUDtable[[#This Row],[Forecasted consumption]],0)</f>
        <v>20567</v>
      </c>
      <c r="K66" s="2"/>
      <c r="L66" s="2"/>
      <c r="M66" s="2"/>
      <c r="N66" s="23"/>
      <c r="O66" s="2"/>
      <c r="P66" s="20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CopperIUDtable[[#This Row],[Closing balance ]]/CopperIUDtable[[#This Row],[Forecasted consumption]]</f>
        <v>11.522128851540616</v>
      </c>
      <c r="X66" s="25"/>
    </row>
    <row r="67">
      <c r="B67" s="6" t="s">
        <v>72</v>
      </c>
      <c r="C67" s="18" t="s">
        <v>46</v>
      </c>
      <c r="D67" s="17" t="s">
        <v>151</v>
      </c>
      <c r="E67" s="18" t="s">
        <v>31</v>
      </c>
      <c r="F67" s="19" t="n">
        <v>45962</v>
      </c>
      <c r="G67" s="23" t="n">
        <f t="shared" si="3"/>
        <v>20567</v>
      </c>
      <c r="H67" s="23"/>
      <c r="I67" s="23" t="n">
        <v>1785</v>
      </c>
      <c r="J67" s="23" t="n">
        <f>MAX(CopperIUDtable[[#This Row],[Stock on hand(opening balance)]]+CopperIUDtable[[#This Row],[Quantity ]]-CopperIUDtable[[#This Row],[Forecasted consumption]],0)</f>
        <v>18782</v>
      </c>
      <c r="K67" s="2"/>
      <c r="L67" s="2"/>
      <c r="M67" s="2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CopperIUDtable[[#This Row],[Closing balance ]]/CopperIUDtable[[#This Row],[Forecasted consumption]]</f>
        <v>10.522128851540616</v>
      </c>
      <c r="X67" s="25"/>
    </row>
    <row r="68">
      <c r="B68" s="6" t="s">
        <v>72</v>
      </c>
      <c r="C68" s="18" t="s">
        <v>46</v>
      </c>
      <c r="D68" s="17" t="s">
        <v>151</v>
      </c>
      <c r="E68" s="18" t="s">
        <v>31</v>
      </c>
      <c r="F68" s="19" t="n">
        <v>45992</v>
      </c>
      <c r="G68" s="23" t="n">
        <f t="shared" si="3"/>
        <v>18782</v>
      </c>
      <c r="H68" s="23"/>
      <c r="I68" s="23" t="n">
        <v>1785</v>
      </c>
      <c r="J68" s="23" t="n">
        <f>MAX(CopperIUDtable[[#This Row],[Stock on hand(opening balance)]]+CopperIUDtable[[#This Row],[Quantity ]]-CopperIUDtable[[#This Row],[Forecasted consumption]],0)</f>
        <v>16997</v>
      </c>
      <c r="K68" s="2"/>
      <c r="L68" s="2"/>
      <c r="M68" s="2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CopperIUDtable[[#This Row],[Closing balance ]]/CopperIUDtable[[#This Row],[Forecasted consumption]]</f>
        <v>9.5221288515406162</v>
      </c>
      <c r="X68" s="25"/>
    </row>
    <row r="69">
      <c r="B69" s="6" t="s">
        <v>72</v>
      </c>
      <c r="C69" s="18" t="s">
        <v>46</v>
      </c>
      <c r="D69" s="17" t="s">
        <v>151</v>
      </c>
      <c r="E69" s="18" t="s">
        <v>31</v>
      </c>
      <c r="F69" s="19" t="n">
        <v>46023</v>
      </c>
      <c r="G69" s="23" t="n">
        <f t="shared" si="3"/>
        <v>16997</v>
      </c>
      <c r="H69" s="23"/>
      <c r="I69" s="23" t="n">
        <v>1785</v>
      </c>
      <c r="J69" s="23" t="n">
        <f>MAX(CopperIUDtable[[#This Row],[Stock on hand(opening balance)]]+CopperIUDtable[[#This Row],[Quantity ]]-CopperIUDtable[[#This Row],[Forecasted consumption]],0)</f>
        <v>15212</v>
      </c>
      <c r="K69" s="2"/>
      <c r="L69" s="2"/>
      <c r="M69" s="2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3" t="n">
        <f>CopperIUDtable[[#This Row],[Closing balance ]]/CopperIUDtable[[#This Row],[Forecasted consumption]]</f>
        <v>8.5221288515406162</v>
      </c>
      <c r="X69" s="25"/>
    </row>
    <row r="70">
      <c r="B70" s="6" t="s">
        <v>72</v>
      </c>
      <c r="C70" s="18" t="s">
        <v>46</v>
      </c>
      <c r="D70" s="17" t="s">
        <v>151</v>
      </c>
      <c r="E70" s="18" t="s">
        <v>31</v>
      </c>
      <c r="F70" s="19" t="n">
        <v>46054</v>
      </c>
      <c r="G70" s="23" t="n">
        <f t="shared" si="3"/>
        <v>15212</v>
      </c>
      <c r="H70" s="23"/>
      <c r="I70" s="23" t="n">
        <v>1785</v>
      </c>
      <c r="J70" s="23" t="n">
        <f>MAX(CopperIUDtable[[#This Row],[Stock on hand(opening balance)]]+CopperIUDtable[[#This Row],[Quantity ]]-CopperIUDtable[[#This Row],[Forecasted consumption]],0)</f>
        <v>13427</v>
      </c>
      <c r="K70" s="2"/>
      <c r="L70" s="2"/>
      <c r="M70" s="2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CopperIUDtable[[#This Row],[Closing balance ]]/CopperIUDtable[[#This Row],[Forecasted consumption]]</f>
        <v>7.5221288515406162</v>
      </c>
      <c r="X70" s="25"/>
    </row>
    <row r="71">
      <c r="B71" s="6" t="s">
        <v>72</v>
      </c>
      <c r="C71" s="18" t="s">
        <v>46</v>
      </c>
      <c r="D71" s="17" t="s">
        <v>151</v>
      </c>
      <c r="E71" s="18" t="s">
        <v>31</v>
      </c>
      <c r="F71" s="19" t="n">
        <v>46082</v>
      </c>
      <c r="G71" s="23" t="n">
        <f t="shared" si="3"/>
        <v>13427</v>
      </c>
      <c r="H71" s="23"/>
      <c r="I71" s="23" t="n">
        <v>1785</v>
      </c>
      <c r="J71" s="23" t="n">
        <f>MAX(CopperIUDtable[[#This Row],[Stock on hand(opening balance)]]+CopperIUDtable[[#This Row],[Quantity ]]-CopperIUDtable[[#This Row],[Forecasted consumption]],0)</f>
        <v>11642</v>
      </c>
      <c r="K71" s="2"/>
      <c r="L71" s="2"/>
      <c r="M71" s="2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CopperIUDtable[[#This Row],[Closing balance ]]/CopperIUDtable[[#This Row],[Forecasted consumption]]</f>
        <v>6.5221288515406162</v>
      </c>
      <c r="X71" s="25"/>
    </row>
    <row r="72">
      <c r="B72" s="6" t="s">
        <v>72</v>
      </c>
      <c r="C72" s="18" t="s">
        <v>46</v>
      </c>
      <c r="D72" s="17" t="s">
        <v>151</v>
      </c>
      <c r="E72" s="18" t="s">
        <v>31</v>
      </c>
      <c r="F72" s="19" t="n">
        <v>46113</v>
      </c>
      <c r="G72" s="23" t="n">
        <f t="shared" si="3"/>
        <v>11642</v>
      </c>
      <c r="H72" s="23"/>
      <c r="I72" s="23" t="n">
        <v>1785</v>
      </c>
      <c r="J72" s="23" t="n">
        <f>MAX(CopperIUDtable[[#This Row],[Stock on hand(opening balance)]]+CopperIUDtable[[#This Row],[Quantity ]]-CopperIUDtable[[#This Row],[Forecasted consumption]],0)</f>
        <v>9857</v>
      </c>
      <c r="K72" s="2"/>
      <c r="L72" s="2"/>
      <c r="M72" s="2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CopperIUDtable[[#This Row],[Closing balance ]]/CopperIUDtable[[#This Row],[Forecasted consumption]]</f>
        <v>5.5221288515406162</v>
      </c>
      <c r="X72" s="25"/>
    </row>
    <row r="73">
      <c r="B73" s="6" t="s">
        <v>72</v>
      </c>
      <c r="C73" s="18" t="s">
        <v>46</v>
      </c>
      <c r="D73" s="17" t="s">
        <v>151</v>
      </c>
      <c r="E73" s="18" t="s">
        <v>31</v>
      </c>
      <c r="F73" s="19" t="n">
        <v>46143</v>
      </c>
      <c r="G73" s="23" t="n">
        <f t="shared" si="3"/>
        <v>9857</v>
      </c>
      <c r="H73" s="23"/>
      <c r="I73" s="23" t="n">
        <v>1785</v>
      </c>
      <c r="J73" s="23" t="n">
        <f>MAX(CopperIUDtable[[#This Row],[Stock on hand(opening balance)]]+CopperIUDtable[[#This Row],[Quantity ]]-CopperIUDtable[[#This Row],[Forecasted consumption]],0)</f>
        <v>20420</v>
      </c>
      <c r="K73" s="2" t="s">
        <v>2</v>
      </c>
      <c r="L73" s="2" t="s">
        <v>2</v>
      </c>
      <c r="M73" s="2" t="s">
        <v>4</v>
      </c>
      <c r="N73" s="23" t="n">
        <v>12348</v>
      </c>
      <c r="O73" s="2"/>
      <c r="P73" s="20" t="n">
        <v>8297.86</v>
      </c>
      <c r="Q73" s="24" t="n">
        <v>46143</v>
      </c>
      <c r="R73" s="2"/>
      <c r="S73" s="2"/>
      <c r="T73" s="2" t="n">
        <v>6</v>
      </c>
      <c r="U73" s="2" t="n">
        <v>12</v>
      </c>
      <c r="V73" s="2" t="n">
        <v>12</v>
      </c>
      <c r="W73" s="3" t="n">
        <f>CopperIUDtable[[#This Row],[Closing balance ]]/CopperIUDtable[[#This Row],[Forecasted consumption]]</f>
        <v>11.439775910364146</v>
      </c>
      <c r="X73" s="25"/>
    </row>
    <row r="74">
      <c r="B74" s="6" t="s">
        <v>72</v>
      </c>
      <c r="C74" s="18" t="s">
        <v>46</v>
      </c>
      <c r="D74" s="17" t="s">
        <v>151</v>
      </c>
      <c r="E74" s="18" t="s">
        <v>31</v>
      </c>
      <c r="F74" s="19" t="n">
        <v>46174</v>
      </c>
      <c r="G74" s="23" t="n">
        <f t="shared" si="3"/>
        <v>20420</v>
      </c>
      <c r="H74" s="23"/>
      <c r="I74" s="23" t="n">
        <v>1785</v>
      </c>
      <c r="J74" s="23" t="n">
        <f>MAX(CopperIUDtable[[#This Row],[Stock on hand(opening balance)]]+CopperIUDtable[[#This Row],[Quantity ]]-CopperIUDtable[[#This Row],[Forecasted consumption]],0)</f>
        <v>18635</v>
      </c>
      <c r="K74" s="2"/>
      <c r="L74" s="2"/>
      <c r="M74" s="2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CopperIUDtable[[#This Row],[Closing balance ]]/CopperIUDtable[[#This Row],[Forecasted consumption]]</f>
        <v>10.439775910364146</v>
      </c>
      <c r="X74" s="25"/>
    </row>
    <row r="75">
      <c r="B75" s="6" t="s">
        <v>72</v>
      </c>
      <c r="C75" s="18" t="s">
        <v>46</v>
      </c>
      <c r="D75" s="17" t="s">
        <v>151</v>
      </c>
      <c r="E75" s="18" t="s">
        <v>31</v>
      </c>
      <c r="F75" s="19" t="n">
        <v>46204</v>
      </c>
      <c r="G75" s="23" t="n">
        <f t="shared" si="3"/>
        <v>18635</v>
      </c>
      <c r="H75" s="23"/>
      <c r="I75" s="23" t="n">
        <v>1785</v>
      </c>
      <c r="J75" s="23" t="n">
        <f>MAX(CopperIUDtable[[#This Row],[Stock on hand(opening balance)]]+CopperIUDtable[[#This Row],[Quantity ]]-CopperIUDtable[[#This Row],[Forecasted consumption]],0)</f>
        <v>16850</v>
      </c>
      <c r="K75" s="2"/>
      <c r="L75" s="2"/>
      <c r="M75" s="2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CopperIUDtable[[#This Row],[Closing balance ]]/CopperIUDtable[[#This Row],[Forecasted consumption]]</f>
        <v>9.4397759103641459</v>
      </c>
      <c r="X75" s="25"/>
    </row>
    <row r="76">
      <c r="B76" s="6" t="s">
        <v>72</v>
      </c>
      <c r="C76" s="18" t="s">
        <v>46</v>
      </c>
      <c r="D76" s="17" t="s">
        <v>151</v>
      </c>
      <c r="E76" s="18" t="s">
        <v>31</v>
      </c>
      <c r="F76" s="19" t="n">
        <v>46235</v>
      </c>
      <c r="G76" s="23" t="n">
        <f t="shared" si="3"/>
        <v>16850</v>
      </c>
      <c r="H76" s="23"/>
      <c r="I76" s="23" t="n">
        <v>1785</v>
      </c>
      <c r="J76" s="23" t="n">
        <f>MAX(CopperIUDtable[[#This Row],[Stock on hand(opening balance)]]+CopperIUDtable[[#This Row],[Quantity ]]-CopperIUDtable[[#This Row],[Forecasted consumption]],0)</f>
        <v>15065</v>
      </c>
      <c r="K76" s="2"/>
      <c r="L76" s="2"/>
      <c r="M76" s="2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CopperIUDtable[[#This Row],[Closing balance ]]/CopperIUDtable[[#This Row],[Forecasted consumption]]</f>
        <v>8.4397759103641459</v>
      </c>
      <c r="X76" s="25"/>
    </row>
    <row r="77">
      <c r="B77" s="6" t="s">
        <v>72</v>
      </c>
      <c r="C77" s="18" t="s">
        <v>46</v>
      </c>
      <c r="D77" s="17" t="s">
        <v>151</v>
      </c>
      <c r="E77" s="18" t="s">
        <v>31</v>
      </c>
      <c r="F77" s="19" t="n">
        <v>46266</v>
      </c>
      <c r="G77" s="23" t="n">
        <f t="shared" si="3"/>
        <v>15065</v>
      </c>
      <c r="H77" s="23"/>
      <c r="I77" s="23" t="n">
        <v>1785</v>
      </c>
      <c r="J77" s="23" t="n">
        <f>MAX(CopperIUDtable[[#This Row],[Stock on hand(opening balance)]]+CopperIUDtable[[#This Row],[Quantity ]]-CopperIUDtable[[#This Row],[Forecasted consumption]],0)</f>
        <v>13280</v>
      </c>
      <c r="K77" s="2"/>
      <c r="L77" s="2"/>
      <c r="M77" s="2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CopperIUDtable[[#This Row],[Closing balance ]]/CopperIUDtable[[#This Row],[Forecasted consumption]]</f>
        <v>7.4397759103641459</v>
      </c>
      <c r="X77" s="25"/>
    </row>
    <row r="78">
      <c r="B78" s="6" t="s">
        <v>72</v>
      </c>
      <c r="C78" s="18" t="s">
        <v>46</v>
      </c>
      <c r="D78" s="17" t="s">
        <v>151</v>
      </c>
      <c r="E78" s="18" t="s">
        <v>31</v>
      </c>
      <c r="F78" s="19" t="n">
        <v>46296</v>
      </c>
      <c r="G78" s="23" t="n">
        <f t="shared" si="3"/>
        <v>13280</v>
      </c>
      <c r="H78" s="23"/>
      <c r="I78" s="23" t="n">
        <v>1785</v>
      </c>
      <c r="J78" s="23" t="n">
        <f>MAX(CopperIUDtable[[#This Row],[Stock on hand(opening balance)]]+CopperIUDtable[[#This Row],[Quantity ]]-CopperIUDtable[[#This Row],[Forecasted consumption]],0)</f>
        <v>11495</v>
      </c>
      <c r="K78" s="2"/>
      <c r="L78" s="2"/>
      <c r="M78" s="2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CopperIUDtable[[#This Row],[Closing balance ]]/CopperIUDtable[[#This Row],[Forecasted consumption]]</f>
        <v>6.4397759103641459</v>
      </c>
      <c r="X78" s="25"/>
    </row>
    <row r="79">
      <c r="B79" s="6" t="s">
        <v>72</v>
      </c>
      <c r="C79" s="18" t="s">
        <v>46</v>
      </c>
      <c r="D79" s="17" t="s">
        <v>151</v>
      </c>
      <c r="E79" s="18" t="s">
        <v>31</v>
      </c>
      <c r="F79" s="19" t="n">
        <v>46327</v>
      </c>
      <c r="G79" s="23" t="n">
        <f t="shared" si="3"/>
        <v>11495</v>
      </c>
      <c r="H79" s="23"/>
      <c r="I79" s="23" t="n">
        <v>1785</v>
      </c>
      <c r="J79" s="23" t="n">
        <f>MAX(CopperIUDtable[[#This Row],[Stock on hand(opening balance)]]+CopperIUDtable[[#This Row],[Quantity ]]-CopperIUDtable[[#This Row],[Forecasted consumption]],0)</f>
        <v>21840</v>
      </c>
      <c r="K79" s="2" t="s">
        <v>2</v>
      </c>
      <c r="L79" s="2" t="s">
        <v>2</v>
      </c>
      <c r="M79" s="2" t="s">
        <v>4</v>
      </c>
      <c r="N79" s="23" t="n">
        <v>12130</v>
      </c>
      <c r="O79" s="2"/>
      <c r="P79" s="20" t="n">
        <v>8151.36</v>
      </c>
      <c r="Q79" s="24" t="n">
        <v>46327</v>
      </c>
      <c r="R79" s="2"/>
      <c r="S79" s="2"/>
      <c r="T79" s="2" t="n">
        <v>6</v>
      </c>
      <c r="U79" s="2" t="n">
        <v>12</v>
      </c>
      <c r="V79" s="2" t="n">
        <v>12</v>
      </c>
      <c r="W79" s="3" t="n">
        <f>CopperIUDtable[[#This Row],[Closing balance ]]/CopperIUDtable[[#This Row],[Forecasted consumption]]</f>
        <v>12.235294117647058</v>
      </c>
      <c r="X79" s="25"/>
    </row>
    <row r="80">
      <c r="B80" s="6" t="s">
        <v>72</v>
      </c>
      <c r="C80" s="18" t="s">
        <v>46</v>
      </c>
      <c r="D80" s="17" t="s">
        <v>151</v>
      </c>
      <c r="E80" s="18" t="s">
        <v>31</v>
      </c>
      <c r="F80" s="19" t="n">
        <v>46357</v>
      </c>
      <c r="G80" s="23" t="n">
        <f t="shared" si="3"/>
        <v>21840</v>
      </c>
      <c r="H80" s="23"/>
      <c r="I80" s="23" t="n">
        <v>1785</v>
      </c>
      <c r="J80" s="23" t="n">
        <f>MAX(CopperIUDtable[[#This Row],[Stock on hand(opening balance)]]+CopperIUDtable[[#This Row],[Quantity ]]-CopperIUDtable[[#This Row],[Forecasted consumption]],0)</f>
        <v>20055</v>
      </c>
      <c r="K80" s="2"/>
      <c r="L80" s="2"/>
      <c r="M80" s="2"/>
      <c r="N80" s="23"/>
      <c r="O80" s="2"/>
      <c r="P80" s="20"/>
      <c r="Q80" s="24"/>
      <c r="R80" s="2"/>
      <c r="S80" s="2"/>
      <c r="T80" s="2" t="n">
        <v>6</v>
      </c>
      <c r="U80" s="2" t="n">
        <v>12</v>
      </c>
      <c r="V80" s="2" t="n">
        <v>12</v>
      </c>
      <c r="W80" s="3" t="n">
        <f>CopperIUDtable[[#This Row],[Closing balance ]]/CopperIUDtable[[#This Row],[Forecasted consumption]]</f>
        <v>11.235294117647058</v>
      </c>
      <c r="X80" s="25"/>
    </row>
    <row r="81">
      <c r="B81" s="6" t="s">
        <v>77</v>
      </c>
      <c r="C81" s="18" t="s">
        <v>46</v>
      </c>
      <c r="D81" s="17" t="s">
        <v>151</v>
      </c>
      <c r="E81" s="18" t="s">
        <v>31</v>
      </c>
      <c r="F81" s="19" t="n">
        <v>45839</v>
      </c>
      <c r="G81" s="23" t="n">
        <v>0</v>
      </c>
      <c r="H81" s="23"/>
      <c r="I81" s="23" t="n">
        <v>41941</v>
      </c>
      <c r="J81" s="23" t="n">
        <f>MAX(CopperIUDtable[[#This Row],[Stock on hand(opening balance)]]+CopperIUDtable[[#This Row],[Quantity ]]-CopperIUDtable[[#This Row],[Forecasted consumption]],0)</f>
        <v>0</v>
      </c>
      <c r="K81" s="2"/>
      <c r="L81" s="2"/>
      <c r="M81" s="2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CopperIUDtable[[#This Row],[Closing balance ]]/CopperIUDtable[[#This Row],[Forecasted consumption]]</f>
        <v>0</v>
      </c>
      <c r="X81" s="25"/>
    </row>
    <row r="82">
      <c r="B82" s="6" t="s">
        <v>77</v>
      </c>
      <c r="C82" s="18" t="s">
        <v>46</v>
      </c>
      <c r="D82" s="17" t="s">
        <v>151</v>
      </c>
      <c r="E82" s="18" t="s">
        <v>31</v>
      </c>
      <c r="F82" s="19" t="n">
        <v>45870</v>
      </c>
      <c r="G82" s="23" t="n">
        <f>J81</f>
        <v>0</v>
      </c>
      <c r="H82" s="23"/>
      <c r="I82" s="23" t="n">
        <v>41941</v>
      </c>
      <c r="J82" s="23" t="n">
        <f>MAX(CopperIUDtable[[#This Row],[Stock on hand(opening balance)]]+CopperIUDtable[[#This Row],[Quantity ]]-CopperIUDtable[[#This Row],[Forecasted consumption]],0)</f>
        <v>0</v>
      </c>
      <c r="K82" s="2"/>
      <c r="L82" s="2"/>
      <c r="M82" s="2"/>
      <c r="N82" s="23"/>
      <c r="O82" s="2"/>
      <c r="P82" s="20"/>
      <c r="Q82" s="24"/>
      <c r="R82" s="2"/>
      <c r="S82" s="2"/>
      <c r="T82" s="2" t="n">
        <v>6</v>
      </c>
      <c r="U82" s="2" t="n">
        <v>12</v>
      </c>
      <c r="V82" s="2" t="n">
        <v>12</v>
      </c>
      <c r="W82" s="3" t="n">
        <f>CopperIUDtable[[#This Row],[Closing balance ]]/CopperIUDtable[[#This Row],[Forecasted consumption]]</f>
        <v>0</v>
      </c>
      <c r="X82" s="25"/>
    </row>
    <row r="83">
      <c r="B83" s="6" t="s">
        <v>77</v>
      </c>
      <c r="C83" s="18" t="s">
        <v>46</v>
      </c>
      <c r="D83" s="17" t="s">
        <v>151</v>
      </c>
      <c r="E83" s="18" t="s">
        <v>31</v>
      </c>
      <c r="F83" s="19" t="n">
        <v>45901</v>
      </c>
      <c r="G83" s="23" t="n">
        <f t="shared" ref="G83:G92" si="4">J82</f>
        <v>0</v>
      </c>
      <c r="H83" s="23"/>
      <c r="I83" s="23" t="n">
        <v>41941</v>
      </c>
      <c r="J83" s="23" t="n">
        <f>MAX(CopperIUDtable[[#This Row],[Stock on hand(opening balance)]]+CopperIUDtable[[#This Row],[Quantity ]]-CopperIUDtable[[#This Row],[Forecasted consumption]],0)</f>
        <v>0</v>
      </c>
      <c r="K83" s="2"/>
      <c r="L83" s="2"/>
      <c r="M83" s="2"/>
      <c r="N83" s="23"/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CopperIUDtable[[#This Row],[Closing balance ]]/CopperIUDtable[[#This Row],[Forecasted consumption]]</f>
        <v>0</v>
      </c>
      <c r="X83" s="25"/>
    </row>
    <row r="84">
      <c r="B84" s="6" t="s">
        <v>77</v>
      </c>
      <c r="C84" s="18" t="s">
        <v>46</v>
      </c>
      <c r="D84" s="17" t="s">
        <v>151</v>
      </c>
      <c r="E84" s="18" t="s">
        <v>31</v>
      </c>
      <c r="F84" s="19" t="n">
        <v>45931</v>
      </c>
      <c r="G84" s="23" t="n">
        <f t="shared" si="4"/>
        <v>0</v>
      </c>
      <c r="H84" s="23"/>
      <c r="I84" s="23" t="n">
        <v>41941</v>
      </c>
      <c r="J84" s="23" t="n">
        <f>MAX(CopperIUDtable[[#This Row],[Stock on hand(opening balance)]]+CopperIUDtable[[#This Row],[Quantity ]]-CopperIUDtable[[#This Row],[Forecasted consumption]],0)</f>
        <v>0</v>
      </c>
      <c r="K84" s="2"/>
      <c r="L84" s="2"/>
      <c r="M84" s="2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3" t="n">
        <f>CopperIUDtable[[#This Row],[Closing balance ]]/CopperIUDtable[[#This Row],[Forecasted consumption]]</f>
        <v>0</v>
      </c>
      <c r="X84" s="25"/>
    </row>
    <row r="85">
      <c r="B85" s="6" t="s">
        <v>77</v>
      </c>
      <c r="C85" s="18" t="s">
        <v>46</v>
      </c>
      <c r="D85" s="17" t="s">
        <v>151</v>
      </c>
      <c r="E85" s="18" t="s">
        <v>31</v>
      </c>
      <c r="F85" s="19" t="n">
        <v>45962</v>
      </c>
      <c r="G85" s="23" t="n">
        <f t="shared" si="4"/>
        <v>0</v>
      </c>
      <c r="H85" s="23"/>
      <c r="I85" s="23" t="n">
        <v>41941</v>
      </c>
      <c r="J85" s="23" t="n">
        <f>MAX(CopperIUDtable[[#This Row],[Stock on hand(opening balance)]]+CopperIUDtable[[#This Row],[Quantity ]]-CopperIUDtable[[#This Row],[Forecasted consumption]],0)</f>
        <v>297935</v>
      </c>
      <c r="K85" s="2" t="s">
        <v>168</v>
      </c>
      <c r="L85" s="2" t="s">
        <v>155</v>
      </c>
      <c r="M85" s="2" t="s">
        <v>147</v>
      </c>
      <c r="N85" s="23" t="n">
        <v>339876</v>
      </c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3" t="n">
        <f>CopperIUDtable[[#This Row],[Closing balance ]]/CopperIUDtable[[#This Row],[Forecasted consumption]]</f>
        <v>7.1036694404043779</v>
      </c>
      <c r="X85" s="25"/>
    </row>
    <row r="86">
      <c r="B86" s="6" t="s">
        <v>77</v>
      </c>
      <c r="C86" s="18" t="s">
        <v>46</v>
      </c>
      <c r="D86" s="17" t="s">
        <v>151</v>
      </c>
      <c r="E86" s="18" t="s">
        <v>31</v>
      </c>
      <c r="F86" s="19" t="n">
        <v>45992</v>
      </c>
      <c r="G86" s="23" t="n">
        <f t="shared" si="4"/>
        <v>297935</v>
      </c>
      <c r="H86" s="23"/>
      <c r="I86" s="23" t="n">
        <v>41941</v>
      </c>
      <c r="J86" s="23" t="n">
        <f>MAX(CopperIUDtable[[#This Row],[Stock on hand(opening balance)]]+CopperIUDtable[[#This Row],[Quantity ]]-CopperIUDtable[[#This Row],[Forecasted consumption]],0)</f>
        <v>255994</v>
      </c>
      <c r="K86" s="2"/>
      <c r="L86" s="2"/>
      <c r="M86" s="2"/>
      <c r="N86" s="23"/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3" t="n">
        <f>CopperIUDtable[[#This Row],[Closing balance ]]/CopperIUDtable[[#This Row],[Forecasted consumption]]</f>
        <v>6.1036694404043779</v>
      </c>
      <c r="X86" s="25"/>
    </row>
    <row r="87">
      <c r="B87" s="6" t="s">
        <v>77</v>
      </c>
      <c r="C87" s="18" t="s">
        <v>46</v>
      </c>
      <c r="D87" s="17" t="s">
        <v>151</v>
      </c>
      <c r="E87" s="18" t="s">
        <v>31</v>
      </c>
      <c r="F87" s="19" t="n">
        <v>46023</v>
      </c>
      <c r="G87" s="23" t="n">
        <f t="shared" si="4"/>
        <v>255994</v>
      </c>
      <c r="H87" s="23"/>
      <c r="I87" s="23" t="n">
        <v>41941</v>
      </c>
      <c r="J87" s="23" t="n">
        <f>MAX(CopperIUDtable[[#This Row],[Stock on hand(opening balance)]]+CopperIUDtable[[#This Row],[Quantity ]]-CopperIUDtable[[#This Row],[Forecasted consumption]],0)</f>
        <v>214053</v>
      </c>
      <c r="K87" s="2"/>
      <c r="L87" s="2"/>
      <c r="M87" s="2"/>
      <c r="N87" s="23"/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3" t="n">
        <f>CopperIUDtable[[#This Row],[Closing balance ]]/CopperIUDtable[[#This Row],[Forecasted consumption]]</f>
        <v>5.1036694404043779</v>
      </c>
      <c r="X87" s="25"/>
    </row>
    <row r="88">
      <c r="B88" s="6" t="s">
        <v>77</v>
      </c>
      <c r="C88" s="18" t="s">
        <v>46</v>
      </c>
      <c r="D88" s="17" t="s">
        <v>151</v>
      </c>
      <c r="E88" s="18" t="s">
        <v>31</v>
      </c>
      <c r="F88" s="19" t="n">
        <v>46054</v>
      </c>
      <c r="G88" s="23" t="n">
        <f t="shared" si="4"/>
        <v>214053</v>
      </c>
      <c r="H88" s="23"/>
      <c r="I88" s="23" t="n">
        <v>41941</v>
      </c>
      <c r="J88" s="23" t="n">
        <f>MAX(CopperIUDtable[[#This Row],[Stock on hand(opening balance)]]+CopperIUDtable[[#This Row],[Quantity ]]-CopperIUDtable[[#This Row],[Forecasted consumption]],0)</f>
        <v>172112</v>
      </c>
      <c r="K88" s="2"/>
      <c r="L88" s="2"/>
      <c r="M88" s="2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3" t="n">
        <f>CopperIUDtable[[#This Row],[Closing balance ]]/CopperIUDtable[[#This Row],[Forecasted consumption]]</f>
        <v>4.1036694404043779</v>
      </c>
      <c r="X88" s="25"/>
    </row>
    <row r="89">
      <c r="B89" s="6" t="s">
        <v>77</v>
      </c>
      <c r="C89" s="18" t="s">
        <v>46</v>
      </c>
      <c r="D89" s="17" t="s">
        <v>151</v>
      </c>
      <c r="E89" s="18" t="s">
        <v>31</v>
      </c>
      <c r="F89" s="19" t="n">
        <v>46082</v>
      </c>
      <c r="G89" s="23" t="n">
        <f t="shared" si="4"/>
        <v>172112</v>
      </c>
      <c r="H89" s="23"/>
      <c r="I89" s="23" t="n">
        <v>41941</v>
      </c>
      <c r="J89" s="23" t="n">
        <f>MAX(CopperIUDtable[[#This Row],[Stock on hand(opening balance)]]+CopperIUDtable[[#This Row],[Quantity ]]-CopperIUDtable[[#This Row],[Forecasted consumption]],0)</f>
        <v>130171</v>
      </c>
      <c r="K89" s="2"/>
      <c r="L89" s="2"/>
      <c r="M89" s="2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3" t="n">
        <f>CopperIUDtable[[#This Row],[Closing balance ]]/CopperIUDtable[[#This Row],[Forecasted consumption]]</f>
        <v>3.1036694404043774</v>
      </c>
      <c r="X89" s="25"/>
    </row>
    <row r="90">
      <c r="B90" s="6" t="s">
        <v>77</v>
      </c>
      <c r="C90" s="18" t="s">
        <v>46</v>
      </c>
      <c r="D90" s="17" t="s">
        <v>151</v>
      </c>
      <c r="E90" s="18" t="s">
        <v>31</v>
      </c>
      <c r="F90" s="19" t="n">
        <v>46113</v>
      </c>
      <c r="G90" s="23" t="n">
        <f t="shared" si="4"/>
        <v>130171</v>
      </c>
      <c r="H90" s="23"/>
      <c r="I90" s="23" t="n">
        <v>41941</v>
      </c>
      <c r="J90" s="23" t="n">
        <f>MAX(CopperIUDtable[[#This Row],[Stock on hand(opening balance)]]+CopperIUDtable[[#This Row],[Quantity ]]-CopperIUDtable[[#This Row],[Forecasted consumption]],0)</f>
        <v>88230</v>
      </c>
      <c r="K90" s="2"/>
      <c r="L90" s="2"/>
      <c r="M90" s="2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3" t="n">
        <f>CopperIUDtable[[#This Row],[Closing balance ]]/CopperIUDtable[[#This Row],[Forecasted consumption]]</f>
        <v>2.1036694404043774</v>
      </c>
      <c r="X90" s="25"/>
    </row>
    <row r="91">
      <c r="B91" s="6" t="s">
        <v>77</v>
      </c>
      <c r="C91" s="18" t="s">
        <v>46</v>
      </c>
      <c r="D91" s="17" t="s">
        <v>151</v>
      </c>
      <c r="E91" s="18" t="s">
        <v>31</v>
      </c>
      <c r="F91" s="19" t="n">
        <v>46143</v>
      </c>
      <c r="G91" s="23" t="n">
        <f t="shared" si="4"/>
        <v>88230</v>
      </c>
      <c r="H91" s="23"/>
      <c r="I91" s="23" t="n">
        <v>41941</v>
      </c>
      <c r="J91" s="23" t="n">
        <f>MAX(CopperIUDtable[[#This Row],[Stock on hand(opening balance)]]+CopperIUDtable[[#This Row],[Quantity ]]-CopperIUDtable[[#This Row],[Forecasted consumption]],0)</f>
        <v>46289</v>
      </c>
      <c r="K91" s="2"/>
      <c r="L91" s="2"/>
      <c r="M91" s="2"/>
      <c r="N91" s="23"/>
      <c r="O91" s="2"/>
      <c r="P91" s="20"/>
      <c r="Q91" s="24"/>
      <c r="R91" s="2"/>
      <c r="S91" s="2"/>
      <c r="T91" s="2" t="n">
        <v>6</v>
      </c>
      <c r="U91" s="2" t="n">
        <v>12</v>
      </c>
      <c r="V91" s="2" t="n">
        <v>12</v>
      </c>
      <c r="W91" s="3" t="n">
        <f>CopperIUDtable[[#This Row],[Closing balance ]]/CopperIUDtable[[#This Row],[Forecasted consumption]]</f>
        <v>1.1036694404043776</v>
      </c>
      <c r="X91" s="25"/>
    </row>
    <row r="92">
      <c r="B92" s="6" t="s">
        <v>77</v>
      </c>
      <c r="C92" s="18" t="s">
        <v>46</v>
      </c>
      <c r="D92" s="17" t="s">
        <v>151</v>
      </c>
      <c r="E92" s="18" t="s">
        <v>31</v>
      </c>
      <c r="F92" s="19" t="n">
        <v>46174</v>
      </c>
      <c r="G92" s="23" t="n">
        <f t="shared" si="4"/>
        <v>46289</v>
      </c>
      <c r="H92" s="23"/>
      <c r="I92" s="23" t="n">
        <v>41941</v>
      </c>
      <c r="J92" s="23" t="n">
        <f>MAX(CopperIUDtable[[#This Row],[Stock on hand(opening balance)]]+CopperIUDtable[[#This Row],[Quantity ]]-CopperIUDtable[[#This Row],[Forecasted consumption]],0)</f>
        <v>4348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3" t="n">
        <f>CopperIUDtable[[#This Row],[Closing balance ]]/CopperIUDtable[[#This Row],[Forecasted consumption]]</f>
        <v>0.10366944040437757</v>
      </c>
      <c r="X92" s="25"/>
    </row>
    <row r="93">
      <c r="B93" s="6" t="s">
        <v>77</v>
      </c>
      <c r="C93" s="18" t="s">
        <v>163</v>
      </c>
      <c r="D93" s="17" t="s">
        <v>164</v>
      </c>
      <c r="E93" s="18" t="s">
        <v>31</v>
      </c>
      <c r="F93" s="19" t="n">
        <v>45839</v>
      </c>
      <c r="G93" s="23" t="n">
        <v>68632</v>
      </c>
      <c r="H93" s="23"/>
      <c r="I93" s="23" t="n">
        <v>5230</v>
      </c>
      <c r="J93" s="23" t="n">
        <f>MAX(CopperIUDtable[[#This Row],[Stock on hand(opening balance)]]+CopperIUDtable[[#This Row],[Quantity ]]-CopperIUDtable[[#This Row],[Forecasted consumption]],0)</f>
        <v>63402</v>
      </c>
      <c r="K93" s="2"/>
      <c r="L93" s="2"/>
      <c r="M93" s="2"/>
      <c r="N93" s="23"/>
      <c r="O93" s="2"/>
      <c r="P93" s="20"/>
      <c r="Q93" s="24"/>
      <c r="R93" s="2"/>
      <c r="S93" s="2"/>
      <c r="T93" s="2" t="n">
        <v>6</v>
      </c>
      <c r="U93" s="2" t="n">
        <v>12</v>
      </c>
      <c r="V93" s="2" t="n">
        <v>12</v>
      </c>
      <c r="W93" s="3" t="n">
        <f>CopperIUDtable[[#This Row],[Closing balance ]]/CopperIUDtable[[#This Row],[Forecasted consumption]]</f>
        <v>12.122753346080305</v>
      </c>
      <c r="X93" s="25"/>
    </row>
    <row r="94">
      <c r="B94" s="6" t="s">
        <v>77</v>
      </c>
      <c r="C94" s="18" t="s">
        <v>163</v>
      </c>
      <c r="D94" s="17" t="s">
        <v>164</v>
      </c>
      <c r="E94" s="18" t="s">
        <v>31</v>
      </c>
      <c r="F94" s="19" t="n">
        <v>45870</v>
      </c>
      <c r="G94" s="23" t="n">
        <f>J93</f>
        <v>63402</v>
      </c>
      <c r="H94" s="23"/>
      <c r="I94" s="23" t="n">
        <v>5230</v>
      </c>
      <c r="J94" s="23" t="n">
        <f>MAX(CopperIUDtable[[#This Row],[Stock on hand(opening balance)]]+CopperIUDtable[[#This Row],[Quantity ]]-CopperIUDtable[[#This Row],[Forecasted consumption]],0)</f>
        <v>58172</v>
      </c>
      <c r="K94" s="2"/>
      <c r="L94" s="2"/>
      <c r="M94" s="2"/>
      <c r="N94" s="23"/>
      <c r="O94" s="2"/>
      <c r="P94" s="20"/>
      <c r="Q94" s="24"/>
      <c r="R94" s="2"/>
      <c r="S94" s="2"/>
      <c r="T94" s="2" t="n">
        <v>6</v>
      </c>
      <c r="U94" s="2" t="n">
        <v>12</v>
      </c>
      <c r="V94" s="2" t="n">
        <v>12</v>
      </c>
      <c r="W94" s="3" t="n">
        <f>CopperIUDtable[[#This Row],[Closing balance ]]/CopperIUDtable[[#This Row],[Forecasted consumption]]</f>
        <v>11.122753346080305</v>
      </c>
      <c r="X94" s="25"/>
    </row>
    <row r="95">
      <c r="B95" s="6" t="s">
        <v>77</v>
      </c>
      <c r="C95" s="18" t="s">
        <v>163</v>
      </c>
      <c r="D95" s="17" t="s">
        <v>164</v>
      </c>
      <c r="E95" s="18" t="s">
        <v>31</v>
      </c>
      <c r="F95" s="19" t="n">
        <v>45901</v>
      </c>
      <c r="G95" s="23" t="n">
        <f t="shared" ref="G95:G104" si="5">J94</f>
        <v>58172</v>
      </c>
      <c r="H95" s="23"/>
      <c r="I95" s="23" t="n">
        <v>5230</v>
      </c>
      <c r="J95" s="23" t="n">
        <f>MAX(CopperIUDtable[[#This Row],[Stock on hand(opening balance)]]+CopperIUDtable[[#This Row],[Quantity ]]-CopperIUDtable[[#This Row],[Forecasted consumption]],0)</f>
        <v>52942</v>
      </c>
      <c r="K95" s="2"/>
      <c r="L95" s="2"/>
      <c r="M95" s="2"/>
      <c r="N95" s="23"/>
      <c r="O95" s="2"/>
      <c r="P95" s="20"/>
      <c r="Q95" s="24"/>
      <c r="R95" s="2"/>
      <c r="S95" s="2"/>
      <c r="T95" s="2" t="n">
        <v>6</v>
      </c>
      <c r="U95" s="2" t="n">
        <v>12</v>
      </c>
      <c r="V95" s="2" t="n">
        <v>12</v>
      </c>
      <c r="W95" s="3" t="n">
        <f>CopperIUDtable[[#This Row],[Closing balance ]]/CopperIUDtable[[#This Row],[Forecasted consumption]]</f>
        <v>10.122753346080305</v>
      </c>
      <c r="X95" s="25"/>
    </row>
    <row r="96">
      <c r="B96" s="6" t="s">
        <v>77</v>
      </c>
      <c r="C96" s="18" t="s">
        <v>163</v>
      </c>
      <c r="D96" s="17" t="s">
        <v>164</v>
      </c>
      <c r="E96" s="18" t="s">
        <v>31</v>
      </c>
      <c r="F96" s="19" t="n">
        <v>45931</v>
      </c>
      <c r="G96" s="23" t="n">
        <f t="shared" si="5"/>
        <v>52942</v>
      </c>
      <c r="H96" s="23"/>
      <c r="I96" s="23" t="n">
        <v>5230</v>
      </c>
      <c r="J96" s="23" t="n">
        <f>MAX(CopperIUDtable[[#This Row],[Stock on hand(opening balance)]]+CopperIUDtable[[#This Row],[Quantity ]]-CopperIUDtable[[#This Row],[Forecasted consumption]],0)</f>
        <v>47712</v>
      </c>
      <c r="K96" s="2"/>
      <c r="L96" s="2"/>
      <c r="M96" s="2"/>
      <c r="N96" s="23"/>
      <c r="O96" s="2"/>
      <c r="P96" s="20"/>
      <c r="Q96" s="24"/>
      <c r="R96" s="2"/>
      <c r="S96" s="2"/>
      <c r="T96" s="2" t="n">
        <v>6</v>
      </c>
      <c r="U96" s="2" t="n">
        <v>12</v>
      </c>
      <c r="V96" s="2" t="n">
        <v>12</v>
      </c>
      <c r="W96" s="3" t="n">
        <f>CopperIUDtable[[#This Row],[Closing balance ]]/CopperIUDtable[[#This Row],[Forecasted consumption]]</f>
        <v>9.1227533460803052</v>
      </c>
      <c r="X96" s="25"/>
    </row>
    <row r="97">
      <c r="B97" s="6" t="s">
        <v>77</v>
      </c>
      <c r="C97" s="18" t="s">
        <v>163</v>
      </c>
      <c r="D97" s="17" t="s">
        <v>164</v>
      </c>
      <c r="E97" s="18" t="s">
        <v>31</v>
      </c>
      <c r="F97" s="19" t="n">
        <v>45962</v>
      </c>
      <c r="G97" s="23" t="n">
        <f t="shared" si="5"/>
        <v>47712</v>
      </c>
      <c r="H97" s="23"/>
      <c r="I97" s="23" t="n">
        <v>5230</v>
      </c>
      <c r="J97" s="23" t="n">
        <f>MAX(CopperIUDtable[[#This Row],[Stock on hand(opening balance)]]+CopperIUDtable[[#This Row],[Quantity ]]-CopperIUDtable[[#This Row],[Forecasted consumption]],0)</f>
        <v>42482</v>
      </c>
      <c r="K97" s="2"/>
      <c r="L97" s="2"/>
      <c r="M97" s="2"/>
      <c r="N97" s="23"/>
      <c r="O97" s="2"/>
      <c r="P97" s="20"/>
      <c r="Q97" s="24"/>
      <c r="R97" s="2"/>
      <c r="S97" s="2"/>
      <c r="T97" s="2" t="n">
        <v>6</v>
      </c>
      <c r="U97" s="2" t="n">
        <v>12</v>
      </c>
      <c r="V97" s="2" t="n">
        <v>12</v>
      </c>
      <c r="W97" s="3" t="n">
        <f>CopperIUDtable[[#This Row],[Closing balance ]]/CopperIUDtable[[#This Row],[Forecasted consumption]]</f>
        <v>8.1227533460803052</v>
      </c>
      <c r="X97" s="25"/>
    </row>
    <row r="98">
      <c r="B98" s="6" t="s">
        <v>77</v>
      </c>
      <c r="C98" s="18" t="s">
        <v>163</v>
      </c>
      <c r="D98" s="17" t="s">
        <v>164</v>
      </c>
      <c r="E98" s="18" t="s">
        <v>31</v>
      </c>
      <c r="F98" s="19" t="n">
        <v>45992</v>
      </c>
      <c r="G98" s="23" t="n">
        <f t="shared" si="5"/>
        <v>42482</v>
      </c>
      <c r="H98" s="23"/>
      <c r="I98" s="23" t="n">
        <v>5230</v>
      </c>
      <c r="J98" s="23" t="n">
        <f>MAX(CopperIUDtable[[#This Row],[Stock on hand(opening balance)]]+CopperIUDtable[[#This Row],[Quantity ]]-CopperIUDtable[[#This Row],[Forecasted consumption]],0)</f>
        <v>37252</v>
      </c>
      <c r="K98" s="2"/>
      <c r="L98" s="2"/>
      <c r="M98" s="2"/>
      <c r="N98" s="23"/>
      <c r="O98" s="2"/>
      <c r="P98" s="20"/>
      <c r="Q98" s="24"/>
      <c r="R98" s="2"/>
      <c r="S98" s="2"/>
      <c r="T98" s="2" t="n">
        <v>6</v>
      </c>
      <c r="U98" s="2" t="n">
        <v>12</v>
      </c>
      <c r="V98" s="2" t="n">
        <v>12</v>
      </c>
      <c r="W98" s="3" t="n">
        <f>CopperIUDtable[[#This Row],[Closing balance ]]/CopperIUDtable[[#This Row],[Forecasted consumption]]</f>
        <v>7.1227533460803061</v>
      </c>
      <c r="X98" s="25"/>
    </row>
    <row r="99">
      <c r="B99" s="6" t="s">
        <v>77</v>
      </c>
      <c r="C99" s="18" t="s">
        <v>163</v>
      </c>
      <c r="D99" s="17" t="s">
        <v>164</v>
      </c>
      <c r="E99" s="18" t="s">
        <v>31</v>
      </c>
      <c r="F99" s="19" t="n">
        <v>46023</v>
      </c>
      <c r="G99" s="23" t="n">
        <f t="shared" si="5"/>
        <v>37252</v>
      </c>
      <c r="H99" s="23"/>
      <c r="I99" s="23" t="n">
        <v>5230</v>
      </c>
      <c r="J99" s="23" t="n">
        <f>MAX(CopperIUDtable[[#This Row],[Stock on hand(opening balance)]]+CopperIUDtable[[#This Row],[Quantity ]]-CopperIUDtable[[#This Row],[Forecasted consumption]],0)</f>
        <v>32022</v>
      </c>
      <c r="K99" s="2"/>
      <c r="L99" s="2"/>
      <c r="M99" s="2"/>
      <c r="N99" s="23"/>
      <c r="O99" s="2"/>
      <c r="P99" s="20"/>
      <c r="Q99" s="24"/>
      <c r="R99" s="2"/>
      <c r="S99" s="2"/>
      <c r="T99" s="2" t="n">
        <v>6</v>
      </c>
      <c r="U99" s="2" t="n">
        <v>12</v>
      </c>
      <c r="V99" s="2" t="n">
        <v>12</v>
      </c>
      <c r="W99" s="3" t="n">
        <f>CopperIUDtable[[#This Row],[Closing balance ]]/CopperIUDtable[[#This Row],[Forecasted consumption]]</f>
        <v>6.1227533460803061</v>
      </c>
      <c r="X99" s="25"/>
    </row>
    <row r="100">
      <c r="B100" s="6" t="s">
        <v>77</v>
      </c>
      <c r="C100" s="18" t="s">
        <v>163</v>
      </c>
      <c r="D100" s="17" t="s">
        <v>164</v>
      </c>
      <c r="E100" s="18" t="s">
        <v>31</v>
      </c>
      <c r="F100" s="19" t="n">
        <v>46054</v>
      </c>
      <c r="G100" s="23" t="n">
        <f t="shared" si="5"/>
        <v>32022</v>
      </c>
      <c r="H100" s="23"/>
      <c r="I100" s="23" t="n">
        <v>5230</v>
      </c>
      <c r="J100" s="23" t="n">
        <f>MAX(CopperIUDtable[[#This Row],[Stock on hand(opening balance)]]+CopperIUDtable[[#This Row],[Quantity ]]-CopperIUDtable[[#This Row],[Forecasted consumption]],0)</f>
        <v>26792</v>
      </c>
      <c r="K100" s="2"/>
      <c r="L100" s="2"/>
      <c r="M100" s="2"/>
      <c r="N100" s="23"/>
      <c r="O100" s="2"/>
      <c r="P100" s="20"/>
      <c r="Q100" s="24"/>
      <c r="R100" s="2"/>
      <c r="S100" s="2"/>
      <c r="T100" s="2" t="n">
        <v>6</v>
      </c>
      <c r="U100" s="2" t="n">
        <v>12</v>
      </c>
      <c r="V100" s="2" t="n">
        <v>12</v>
      </c>
      <c r="W100" s="3" t="n">
        <f>CopperIUDtable[[#This Row],[Closing balance ]]/CopperIUDtable[[#This Row],[Forecasted consumption]]</f>
        <v>5.1227533460803061</v>
      </c>
      <c r="X100" s="25"/>
    </row>
    <row r="101">
      <c r="B101" s="6" t="s">
        <v>77</v>
      </c>
      <c r="C101" s="18" t="s">
        <v>163</v>
      </c>
      <c r="D101" s="17" t="s">
        <v>164</v>
      </c>
      <c r="E101" s="18" t="s">
        <v>31</v>
      </c>
      <c r="F101" s="19" t="n">
        <v>46082</v>
      </c>
      <c r="G101" s="23" t="n">
        <f t="shared" si="5"/>
        <v>26792</v>
      </c>
      <c r="H101" s="23"/>
      <c r="I101" s="23" t="n">
        <v>5230</v>
      </c>
      <c r="J101" s="23" t="n">
        <f>MAX(CopperIUDtable[[#This Row],[Stock on hand(opening balance)]]+CopperIUDtable[[#This Row],[Quantity ]]-CopperIUDtable[[#This Row],[Forecasted consumption]],0)</f>
        <v>21562</v>
      </c>
      <c r="K101" s="2"/>
      <c r="L101" s="2"/>
      <c r="M101" s="2"/>
      <c r="N101" s="23"/>
      <c r="O101" s="2"/>
      <c r="P101" s="20"/>
      <c r="Q101" s="24"/>
      <c r="R101" s="2"/>
      <c r="S101" s="2"/>
      <c r="T101" s="2" t="n">
        <v>6</v>
      </c>
      <c r="U101" s="2" t="n">
        <v>12</v>
      </c>
      <c r="V101" s="2" t="n">
        <v>12</v>
      </c>
      <c r="W101" s="3" t="n">
        <f>CopperIUDtable[[#This Row],[Closing balance ]]/CopperIUDtable[[#This Row],[Forecasted consumption]]</f>
        <v>4.1227533460803061</v>
      </c>
      <c r="X101" s="25"/>
    </row>
    <row r="102">
      <c r="B102" s="6" t="s">
        <v>77</v>
      </c>
      <c r="C102" s="18" t="s">
        <v>163</v>
      </c>
      <c r="D102" s="17" t="s">
        <v>164</v>
      </c>
      <c r="E102" s="18" t="s">
        <v>31</v>
      </c>
      <c r="F102" s="19" t="n">
        <v>46113</v>
      </c>
      <c r="G102" s="23" t="n">
        <f t="shared" si="5"/>
        <v>21562</v>
      </c>
      <c r="H102" s="23"/>
      <c r="I102" s="23" t="n">
        <v>5230</v>
      </c>
      <c r="J102" s="23" t="n">
        <f>MAX(CopperIUDtable[[#This Row],[Stock on hand(opening balance)]]+CopperIUDtable[[#This Row],[Quantity ]]-CopperIUDtable[[#This Row],[Forecasted consumption]],0)</f>
        <v>16332</v>
      </c>
      <c r="K102" s="2"/>
      <c r="L102" s="2"/>
      <c r="M102" s="2"/>
      <c r="N102" s="23"/>
      <c r="O102" s="2"/>
      <c r="P102" s="20"/>
      <c r="Q102" s="24"/>
      <c r="R102" s="2"/>
      <c r="S102" s="2"/>
      <c r="T102" s="2" t="n">
        <v>6</v>
      </c>
      <c r="U102" s="2" t="n">
        <v>12</v>
      </c>
      <c r="V102" s="2" t="n">
        <v>12</v>
      </c>
      <c r="W102" s="3" t="n">
        <f>CopperIUDtable[[#This Row],[Closing balance ]]/CopperIUDtable[[#This Row],[Forecasted consumption]]</f>
        <v>3.1227533460803061</v>
      </c>
      <c r="X102" s="25"/>
    </row>
    <row r="103">
      <c r="B103" s="6" t="s">
        <v>77</v>
      </c>
      <c r="C103" s="18" t="s">
        <v>163</v>
      </c>
      <c r="D103" s="17" t="s">
        <v>164</v>
      </c>
      <c r="E103" s="18" t="s">
        <v>31</v>
      </c>
      <c r="F103" s="19" t="n">
        <v>46143</v>
      </c>
      <c r="G103" s="23" t="n">
        <f t="shared" si="5"/>
        <v>16332</v>
      </c>
      <c r="H103" s="23"/>
      <c r="I103" s="23" t="n">
        <v>5230</v>
      </c>
      <c r="J103" s="23" t="n">
        <f>MAX(CopperIUDtable[[#This Row],[Stock on hand(opening balance)]]+CopperIUDtable[[#This Row],[Quantity ]]-CopperIUDtable[[#This Row],[Forecasted consumption]],0)</f>
        <v>11102</v>
      </c>
      <c r="K103" s="2"/>
      <c r="L103" s="2"/>
      <c r="M103" s="2"/>
      <c r="N103" s="23"/>
      <c r="O103" s="2"/>
      <c r="P103" s="20"/>
      <c r="Q103" s="24"/>
      <c r="R103" s="2"/>
      <c r="S103" s="2"/>
      <c r="T103" s="2" t="n">
        <v>6</v>
      </c>
      <c r="U103" s="2" t="n">
        <v>12</v>
      </c>
      <c r="V103" s="2" t="n">
        <v>12</v>
      </c>
      <c r="W103" s="3" t="n">
        <f>CopperIUDtable[[#This Row],[Closing balance ]]/CopperIUDtable[[#This Row],[Forecasted consumption]]</f>
        <v>2.1227533460803061</v>
      </c>
      <c r="X103" s="25"/>
    </row>
    <row r="104">
      <c r="B104" s="6" t="s">
        <v>77</v>
      </c>
      <c r="C104" s="18" t="s">
        <v>163</v>
      </c>
      <c r="D104" s="17" t="s">
        <v>164</v>
      </c>
      <c r="E104" s="18" t="s">
        <v>31</v>
      </c>
      <c r="F104" s="19" t="n">
        <v>46174</v>
      </c>
      <c r="G104" s="23" t="n">
        <f t="shared" si="5"/>
        <v>11102</v>
      </c>
      <c r="H104" s="20"/>
      <c r="I104" s="23" t="n">
        <v>5230</v>
      </c>
      <c r="J104" s="23" t="n">
        <f>MAX(CopperIUDtable[[#This Row],[Stock on hand(opening balance)]]+CopperIUDtable[[#This Row],[Quantity ]]-CopperIUDtable[[#This Row],[Forecasted consumption]],0)</f>
        <v>5872</v>
      </c>
      <c r="K104" s="2"/>
      <c r="L104" s="2"/>
      <c r="M104" s="2"/>
      <c r="N104" s="23"/>
      <c r="O104" s="2"/>
      <c r="P104" s="20"/>
      <c r="Q104" s="24"/>
      <c r="R104" s="2"/>
      <c r="S104" s="2"/>
      <c r="T104" s="2" t="n">
        <v>6</v>
      </c>
      <c r="U104" s="2" t="n">
        <v>12</v>
      </c>
      <c r="V104" s="2" t="n">
        <v>12</v>
      </c>
      <c r="W104" s="3" t="n">
        <f>CopperIUDtable[[#This Row],[Closing balance ]]/CopperIUDtable[[#This Row],[Forecasted consumption]]</f>
        <v>1.1227533460803059</v>
      </c>
      <c r="X104" s="25"/>
    </row>
    <row r="105">
      <c r="B105" s="6" t="s">
        <v>166</v>
      </c>
      <c r="C105" s="18" t="s">
        <v>46</v>
      </c>
      <c r="D105" s="17" t="s">
        <v>164</v>
      </c>
      <c r="E105" s="18" t="s">
        <v>31</v>
      </c>
      <c r="F105" s="19" t="n">
        <v>45748</v>
      </c>
      <c r="G105" s="20" t="n">
        <v>7000</v>
      </c>
      <c r="H105" s="20"/>
      <c r="I105" s="20" t="n">
        <v>2253</v>
      </c>
      <c r="J105" s="20" t="n">
        <f>MAX(CopperIUDtable[[#This Row],[Stock on hand(opening balance)]]+CopperIUDtable[[#This Row],[Quantity ]]-CopperIUDtable[[#This Row],[Forecasted consumption]],0)</f>
        <v>4747</v>
      </c>
      <c r="K105" s="18"/>
      <c r="L105" s="18"/>
      <c r="M105" s="2"/>
      <c r="N105" s="20"/>
      <c r="O105" s="18"/>
      <c r="P105" s="20"/>
      <c r="Q105" s="19"/>
      <c r="R105" s="18"/>
      <c r="S105" s="18"/>
      <c r="T105" s="18"/>
      <c r="U105" s="18"/>
      <c r="V105" s="18"/>
      <c r="W105" s="21" t="n">
        <f>CopperIUDtable[[#This Row],[Closing balance ]]/CopperIUDtable[[#This Row],[Forecasted consumption]]</f>
        <v>2.1069684864624945</v>
      </c>
      <c r="X105" s="22"/>
    </row>
    <row r="106">
      <c r="B106" s="6" t="s">
        <v>166</v>
      </c>
      <c r="C106" s="18" t="s">
        <v>46</v>
      </c>
      <c r="D106" s="17" t="s">
        <v>164</v>
      </c>
      <c r="E106" s="18" t="s">
        <v>31</v>
      </c>
      <c r="F106" s="19" t="n">
        <v>45778</v>
      </c>
      <c r="G106" s="23" t="n">
        <f>J105</f>
        <v>4747</v>
      </c>
      <c r="H106" s="23"/>
      <c r="I106" s="20" t="n">
        <v>2253</v>
      </c>
      <c r="J106" s="23" t="n">
        <f>MAX(CopperIUDtable[[#This Row],[Stock on hand(opening balance)]]+CopperIUDtable[[#This Row],[Quantity ]]-CopperIUDtable[[#This Row],[Forecasted consumption]],0)</f>
        <v>2494</v>
      </c>
      <c r="K106" s="2"/>
      <c r="L106" s="2"/>
      <c r="M106" s="2"/>
      <c r="N106" s="23"/>
      <c r="O106" s="2"/>
      <c r="P106" s="20"/>
      <c r="Q106" s="24"/>
      <c r="R106" s="2"/>
      <c r="S106" s="2"/>
      <c r="T106" s="2"/>
      <c r="U106" s="2"/>
      <c r="V106" s="2"/>
      <c r="W106" s="3" t="n">
        <f>CopperIUDtable[[#This Row],[Closing balance ]]/CopperIUDtable[[#This Row],[Forecasted consumption]]</f>
        <v>1.1069684864624945</v>
      </c>
      <c r="X106" s="25"/>
    </row>
    <row r="107">
      <c r="B107" s="6" t="s">
        <v>166</v>
      </c>
      <c r="C107" s="18" t="s">
        <v>46</v>
      </c>
      <c r="D107" s="17" t="s">
        <v>164</v>
      </c>
      <c r="E107" s="18" t="s">
        <v>31</v>
      </c>
      <c r="F107" s="19" t="n">
        <v>45809</v>
      </c>
      <c r="G107" s="23" t="n">
        <f t="shared" ref="G107:G112" si="6">J106</f>
        <v>2494</v>
      </c>
      <c r="H107" s="23"/>
      <c r="I107" s="20" t="n">
        <v>2253</v>
      </c>
      <c r="J107" s="23" t="n">
        <f>MAX(CopperIUDtable[[#This Row],[Stock on hand(opening balance)]]+CopperIUDtable[[#This Row],[Quantity ]]-CopperIUDtable[[#This Row],[Forecasted consumption]],0)</f>
        <v>33691</v>
      </c>
      <c r="K107" s="2"/>
      <c r="L107" s="2"/>
      <c r="M107" s="2"/>
      <c r="N107" s="23" t="n">
        <v>33450</v>
      </c>
      <c r="O107" s="24" t="n">
        <v>45809</v>
      </c>
      <c r="P107" s="20"/>
      <c r="Q107" s="24"/>
      <c r="R107" s="2"/>
      <c r="S107" s="2"/>
      <c r="T107" s="2"/>
      <c r="U107" s="2"/>
      <c r="V107" s="2"/>
      <c r="W107" s="3" t="n">
        <f>CopperIUDtable[[#This Row],[Closing balance ]]/CopperIUDtable[[#This Row],[Forecasted consumption]]</f>
        <v>14.953839325343985</v>
      </c>
      <c r="X107" s="25"/>
    </row>
    <row r="108">
      <c r="B108" s="6" t="s">
        <v>166</v>
      </c>
      <c r="C108" s="18" t="s">
        <v>46</v>
      </c>
      <c r="D108" s="17" t="s">
        <v>164</v>
      </c>
      <c r="E108" s="18" t="s">
        <v>31</v>
      </c>
      <c r="F108" s="19" t="n">
        <v>45839</v>
      </c>
      <c r="G108" s="23" t="n">
        <f t="shared" si="6"/>
        <v>33691</v>
      </c>
      <c r="H108" s="23"/>
      <c r="I108" s="20" t="n">
        <v>2253</v>
      </c>
      <c r="J108" s="23" t="n">
        <f>MAX(CopperIUDtable[[#This Row],[Stock on hand(opening balance)]]+CopperIUDtable[[#This Row],[Quantity ]]-CopperIUDtable[[#This Row],[Forecasted consumption]],0)</f>
        <v>31438</v>
      </c>
      <c r="K108" s="2"/>
      <c r="L108" s="2"/>
      <c r="M108" s="2"/>
      <c r="N108" s="23"/>
      <c r="O108" s="2"/>
      <c r="P108" s="20"/>
      <c r="Q108" s="24"/>
      <c r="R108" s="2"/>
      <c r="S108" s="2"/>
      <c r="T108" s="2"/>
      <c r="U108" s="2"/>
      <c r="V108" s="2"/>
      <c r="W108" s="3" t="n">
        <f>CopperIUDtable[[#This Row],[Closing balance ]]/CopperIUDtable[[#This Row],[Forecasted consumption]]</f>
        <v>13.953839325343985</v>
      </c>
      <c r="X108" s="25"/>
    </row>
    <row r="109">
      <c r="B109" s="6" t="s">
        <v>166</v>
      </c>
      <c r="C109" s="18" t="s">
        <v>46</v>
      </c>
      <c r="D109" s="17" t="s">
        <v>164</v>
      </c>
      <c r="E109" s="18" t="s">
        <v>31</v>
      </c>
      <c r="F109" s="19" t="n">
        <v>45870</v>
      </c>
      <c r="G109" s="23" t="n">
        <f t="shared" si="6"/>
        <v>31438</v>
      </c>
      <c r="H109" s="23"/>
      <c r="I109" s="20" t="n">
        <v>2253</v>
      </c>
      <c r="J109" s="23" t="n">
        <f>MAX(CopperIUDtable[[#This Row],[Stock on hand(opening balance)]]+CopperIUDtable[[#This Row],[Quantity ]]-CopperIUDtable[[#This Row],[Forecasted consumption]],0)</f>
        <v>29185</v>
      </c>
      <c r="K109" s="2"/>
      <c r="L109" s="2"/>
      <c r="M109" s="2"/>
      <c r="N109" s="23"/>
      <c r="O109" s="2"/>
      <c r="P109" s="20"/>
      <c r="Q109" s="24"/>
      <c r="R109" s="2"/>
      <c r="S109" s="2"/>
      <c r="T109" s="2"/>
      <c r="U109" s="2"/>
      <c r="V109" s="2"/>
      <c r="W109" s="3" t="n">
        <f>CopperIUDtable[[#This Row],[Closing balance ]]/CopperIUDtable[[#This Row],[Forecasted consumption]]</f>
        <v>12.953839325343985</v>
      </c>
      <c r="X109" s="25"/>
    </row>
    <row r="110">
      <c r="B110" s="6" t="s">
        <v>166</v>
      </c>
      <c r="C110" s="18" t="s">
        <v>46</v>
      </c>
      <c r="D110" s="17" t="s">
        <v>164</v>
      </c>
      <c r="E110" s="18" t="s">
        <v>31</v>
      </c>
      <c r="F110" s="19" t="n">
        <v>45901</v>
      </c>
      <c r="G110" s="23" t="n">
        <f t="shared" si="6"/>
        <v>29185</v>
      </c>
      <c r="H110" s="23"/>
      <c r="I110" s="20" t="n">
        <v>2253</v>
      </c>
      <c r="J110" s="23" t="n">
        <f>MAX(CopperIUDtable[[#This Row],[Stock on hand(opening balance)]]+CopperIUDtable[[#This Row],[Quantity ]]-CopperIUDtable[[#This Row],[Forecasted consumption]],0)</f>
        <v>26932</v>
      </c>
      <c r="K110" s="2"/>
      <c r="L110" s="2"/>
      <c r="M110" s="2"/>
      <c r="N110" s="23"/>
      <c r="O110" s="2"/>
      <c r="P110" s="20"/>
      <c r="Q110" s="24"/>
      <c r="R110" s="2"/>
      <c r="S110" s="2"/>
      <c r="T110" s="2"/>
      <c r="U110" s="2"/>
      <c r="V110" s="2"/>
      <c r="W110" s="3" t="n">
        <f>CopperIUDtable[[#This Row],[Closing balance ]]/CopperIUDtable[[#This Row],[Forecasted consumption]]</f>
        <v>11.953839325343985</v>
      </c>
      <c r="X110" s="25"/>
    </row>
    <row r="111">
      <c r="B111" s="6" t="s">
        <v>166</v>
      </c>
      <c r="C111" s="18" t="s">
        <v>46</v>
      </c>
      <c r="D111" s="17" t="s">
        <v>164</v>
      </c>
      <c r="E111" s="18" t="s">
        <v>31</v>
      </c>
      <c r="F111" s="19" t="n">
        <v>45931</v>
      </c>
      <c r="G111" s="23" t="n">
        <f t="shared" si="6"/>
        <v>26932</v>
      </c>
      <c r="H111" s="23"/>
      <c r="I111" s="20" t="n">
        <v>2253</v>
      </c>
      <c r="J111" s="23" t="n">
        <f>MAX(CopperIUDtable[[#This Row],[Stock on hand(opening balance)]]+CopperIUDtable[[#This Row],[Quantity ]]-CopperIUDtable[[#This Row],[Forecasted consumption]],0)</f>
        <v>24679</v>
      </c>
      <c r="K111" s="2"/>
      <c r="L111" s="2"/>
      <c r="M111" s="2"/>
      <c r="N111" s="23"/>
      <c r="O111" s="2"/>
      <c r="P111" s="20"/>
      <c r="Q111" s="24"/>
      <c r="R111" s="2"/>
      <c r="S111" s="2"/>
      <c r="T111" s="2"/>
      <c r="U111" s="2"/>
      <c r="V111" s="2"/>
      <c r="W111" s="3" t="n">
        <f>CopperIUDtable[[#This Row],[Closing balance ]]/CopperIUDtable[[#This Row],[Forecasted consumption]]</f>
        <v>10.953839325343985</v>
      </c>
      <c r="X111" s="25"/>
    </row>
    <row r="112">
      <c r="B112" s="6" t="s">
        <v>166</v>
      </c>
      <c r="C112" s="18" t="s">
        <v>46</v>
      </c>
      <c r="D112" s="17" t="s">
        <v>164</v>
      </c>
      <c r="E112" s="18" t="s">
        <v>31</v>
      </c>
      <c r="F112" s="19" t="n">
        <v>45962</v>
      </c>
      <c r="G112" s="23" t="n">
        <f t="shared" si="6"/>
        <v>24679</v>
      </c>
      <c r="H112" s="23"/>
      <c r="I112" s="20" t="n">
        <v>2253</v>
      </c>
      <c r="J112" s="23" t="n">
        <f>MAX(CopperIUDtable[[#This Row],[Stock on hand(opening balance)]]+CopperIUDtable[[#This Row],[Quantity ]]-CopperIUDtable[[#This Row],[Forecasted consumption]],0)</f>
        <v>22426</v>
      </c>
      <c r="K112" s="2"/>
      <c r="L112" s="2"/>
      <c r="M112" s="2"/>
      <c r="N112" s="23"/>
      <c r="O112" s="2"/>
      <c r="P112" s="20"/>
      <c r="Q112" s="24"/>
      <c r="R112" s="2"/>
      <c r="S112" s="2"/>
      <c r="T112" s="2"/>
      <c r="U112" s="2"/>
      <c r="V112" s="2"/>
      <c r="W112" s="3" t="n">
        <f>CopperIUDtable[[#This Row],[Closing balance ]]/CopperIUDtable[[#This Row],[Forecasted consumption]]</f>
        <v>9.953839325343985</v>
      </c>
      <c r="X112" s="25"/>
    </row>
  </sheetData>
  <dataValidations count="3">
    <dataValidation type="list" allowBlank="1" showInputMessage="1" showErrorMessage="1" sqref="M113:M188" xr:uid="{4F39CD15-98DD-45B6-95BA-729D9385A418}">
      <formula1>"Committed,  Placed, Expected Deliveries, Received, cancelled"</formula1>
    </dataValidation>
    <dataValidation type="list" allowBlank="1" showInputMessage="1" showErrorMessage="1" sqref="M7:M112" xr:uid="{F49ADA6C-A602-4C14-9CA9-3CF13A3B96C7}">
      <formula1>"Committed, Planned, Placed, Expected Deliveries, Received, cancelled"</formula1>
    </dataValidation>
    <dataValidation type="list" allowBlank="1" showInputMessage="1" showErrorMessage="1" sqref="E7:E112" xr:uid="{C6EDF644-1448-4E1A-9539-80D814000889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A4BDAEA-CEDF-434B-A05A-72B44BC63AE9}">
          <x14:formula1>
            <xm:f>'choices countries '!$B$3:$B$12</xm:f>
          </x14:formula1>
          <xm:sqref>B113:B489 B7:B104</xm:sqref>
        </x14:dataValidation>
        <x14:dataValidation type="list" allowBlank="1" showInputMessage="1" showErrorMessage="1" xr:uid="{34EF60C6-F742-4054-AF60-3F5E906B32B0}">
          <x14:formula1>
            <xm:f>'choices countries '!$B$3:$B$15</xm:f>
          </x14:formula1>
          <xm:sqref>B105:B112</xm:sqref>
        </x14:dataValidation>
        <x14:dataValidation type="list" allowBlank="1" showInputMessage="1" showErrorMessage="1" xr:uid="{1E9EDD8A-AF22-42EF-9546-35229CFC1816}">
          <x14:formula1>
            <xm:f>'product list '!$A$37:$A$40</xm:f>
          </x14:formula1>
          <xm:sqref>C92:C112</xm:sqref>
        </x14:dataValidation>
        <x14:dataValidation type="list" allowBlank="1" showInputMessage="1" showErrorMessage="1" xr:uid="{5FEFACE5-02A4-4587-ADCE-6F85CD850C68}">
          <x14:formula1>
            <xm:f>'product list '!$A$37:$A$39</xm:f>
          </x14:formula1>
          <xm:sqref>C7:C91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90" zoomScaleNormal="90" workbookViewId="0">
      <selection activeCell="E6" sqref="E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47</v>
      </c>
      <c r="D7" s="17" t="s">
        <v>48</v>
      </c>
      <c r="E7" s="18" t="s">
        <v>31</v>
      </c>
      <c r="F7" s="19" t="n">
        <v>45839</v>
      </c>
      <c r="G7" s="20" t="n">
        <v>18025</v>
      </c>
      <c r="H7" s="20"/>
      <c r="I7" s="20" t="n">
        <v>902</v>
      </c>
      <c r="J7" s="20" t="n">
        <f>MAX(HormonalIUDtable[[#This Row],[Stock on hand(opening balance)]]+HormonalIUDtable[[#This Row],[Quantity ]]-HormonalIUDtable[[#This Row],[Forecasted consumption]],0)</f>
        <v>17123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HormonalIUDtable[[#This Row],[Closing balance ]]/HormonalIUDtable[[#This Row],[Forecasted consumption]]</f>
        <v>18.983370288248338</v>
      </c>
      <c r="X7" s="22"/>
    </row>
    <row r="8">
      <c r="B8" s="6" t="s">
        <v>28</v>
      </c>
      <c r="C8" s="17" t="s">
        <v>47</v>
      </c>
      <c r="D8" s="17" t="s">
        <v>48</v>
      </c>
      <c r="E8" s="18" t="s">
        <v>31</v>
      </c>
      <c r="F8" s="19" t="n">
        <v>45870</v>
      </c>
      <c r="G8" s="23" t="n">
        <f>J7</f>
        <v>17123</v>
      </c>
      <c r="H8" s="23"/>
      <c r="I8" s="20" t="n">
        <v>902</v>
      </c>
      <c r="J8" s="23" t="n">
        <f>MAX(HormonalIUDtable[[#This Row],[Stock on hand(opening balance)]]+HormonalIUDtable[[#This Row],[Quantity ]]-HormonalIUDtable[[#This Row],[Forecasted consumption]],0)</f>
        <v>16221</v>
      </c>
      <c r="K8" s="2"/>
      <c r="L8" s="2"/>
      <c r="M8" s="18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HormonalIUDtable[[#This Row],[Closing balance ]]/HormonalIUDtable[[#This Row],[Forecasted consumption]]</f>
        <v>17.983370288248338</v>
      </c>
      <c r="X8" s="25"/>
    </row>
    <row r="9">
      <c r="B9" s="6" t="s">
        <v>28</v>
      </c>
      <c r="C9" s="17" t="s">
        <v>47</v>
      </c>
      <c r="D9" s="17" t="s">
        <v>48</v>
      </c>
      <c r="E9" s="18" t="s">
        <v>31</v>
      </c>
      <c r="F9" s="19" t="n">
        <v>45901</v>
      </c>
      <c r="G9" s="23" t="n">
        <f t="shared" ref="G9:G18" si="0">J8</f>
        <v>16221</v>
      </c>
      <c r="H9" s="23"/>
      <c r="I9" s="20" t="n">
        <v>902</v>
      </c>
      <c r="J9" s="23" t="n">
        <f>MAX(HormonalIUDtable[[#This Row],[Stock on hand(opening balance)]]+HormonalIUDtable[[#This Row],[Quantity ]]-HormonalIUDtable[[#This Row],[Forecasted consumption]],0)</f>
        <v>15319</v>
      </c>
      <c r="K9" s="2"/>
      <c r="L9" s="2"/>
      <c r="M9" s="18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HormonalIUDtable[[#This Row],[Closing balance ]]/HormonalIUDtable[[#This Row],[Forecasted consumption]]</f>
        <v>16.983370288248338</v>
      </c>
      <c r="X9" s="25"/>
    </row>
    <row r="10">
      <c r="B10" s="6" t="s">
        <v>28</v>
      </c>
      <c r="C10" s="17" t="s">
        <v>47</v>
      </c>
      <c r="D10" s="17" t="s">
        <v>48</v>
      </c>
      <c r="E10" s="18" t="s">
        <v>31</v>
      </c>
      <c r="F10" s="19" t="n">
        <v>45931</v>
      </c>
      <c r="G10" s="23" t="n">
        <f t="shared" si="0"/>
        <v>15319</v>
      </c>
      <c r="H10" s="23"/>
      <c r="I10" s="20" t="n">
        <v>902</v>
      </c>
      <c r="J10" s="23" t="n">
        <f>MAX(HormonalIUDtable[[#This Row],[Stock on hand(opening balance)]]+HormonalIUDtable[[#This Row],[Quantity ]]-HormonalIUDtable[[#This Row],[Forecasted consumption]],0)</f>
        <v>14417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HormonalIUDtable[[#This Row],[Closing balance ]]/HormonalIUDtable[[#This Row],[Forecasted consumption]]</f>
        <v>15.983370288248336</v>
      </c>
      <c r="X10" s="25"/>
    </row>
    <row r="11">
      <c r="B11" s="6" t="s">
        <v>28</v>
      </c>
      <c r="C11" s="17" t="s">
        <v>47</v>
      </c>
      <c r="D11" s="17" t="s">
        <v>48</v>
      </c>
      <c r="E11" s="18" t="s">
        <v>31</v>
      </c>
      <c r="F11" s="19" t="n">
        <v>45962</v>
      </c>
      <c r="G11" s="23" t="n">
        <f t="shared" si="0"/>
        <v>14417</v>
      </c>
      <c r="H11" s="23"/>
      <c r="I11" s="20" t="n">
        <v>902</v>
      </c>
      <c r="J11" s="23" t="n">
        <f>MAX(HormonalIUDtable[[#This Row],[Stock on hand(opening balance)]]+HormonalIUDtable[[#This Row],[Quantity ]]-HormonalIUDtable[[#This Row],[Forecasted consumption]],0)</f>
        <v>13515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HormonalIUDtable[[#This Row],[Closing balance ]]/HormonalIUDtable[[#This Row],[Forecasted consumption]]</f>
        <v>14.983370288248336</v>
      </c>
      <c r="X11" s="25"/>
    </row>
    <row r="12">
      <c r="B12" s="6" t="s">
        <v>28</v>
      </c>
      <c r="C12" s="17" t="s">
        <v>47</v>
      </c>
      <c r="D12" s="17" t="s">
        <v>48</v>
      </c>
      <c r="E12" s="18" t="s">
        <v>31</v>
      </c>
      <c r="F12" s="19" t="n">
        <v>45992</v>
      </c>
      <c r="G12" s="23" t="n">
        <f t="shared" si="0"/>
        <v>13515</v>
      </c>
      <c r="H12" s="23"/>
      <c r="I12" s="20" t="n">
        <v>902</v>
      </c>
      <c r="J12" s="23" t="n">
        <f>MAX(HormonalIUDtable[[#This Row],[Stock on hand(opening balance)]]+HormonalIUDtable[[#This Row],[Quantity ]]-HormonalIUDtable[[#This Row],[Forecasted consumption]],0)</f>
        <v>12613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HormonalIUDtable[[#This Row],[Closing balance ]]/HormonalIUDtable[[#This Row],[Forecasted consumption]]</f>
        <v>13.983370288248336</v>
      </c>
      <c r="X12" s="25"/>
    </row>
    <row r="13">
      <c r="B13" s="6" t="s">
        <v>28</v>
      </c>
      <c r="C13" s="17" t="s">
        <v>47</v>
      </c>
      <c r="D13" s="17" t="s">
        <v>48</v>
      </c>
      <c r="E13" s="18" t="s">
        <v>31</v>
      </c>
      <c r="F13" s="19" t="n">
        <v>46023</v>
      </c>
      <c r="G13" s="23" t="n">
        <f t="shared" si="0"/>
        <v>12613</v>
      </c>
      <c r="H13" s="23"/>
      <c r="I13" s="20" t="n">
        <v>902</v>
      </c>
      <c r="J13" s="23" t="n">
        <f>MAX(HormonalIUDtable[[#This Row],[Stock on hand(opening balance)]]+HormonalIUDtable[[#This Row],[Quantity ]]-HormonalIUDtable[[#This Row],[Forecasted consumption]],0)</f>
        <v>11711</v>
      </c>
      <c r="K13" s="2"/>
      <c r="L13" s="2"/>
      <c r="M13" s="18"/>
      <c r="N13" s="23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HormonalIUDtable[[#This Row],[Closing balance ]]/HormonalIUDtable[[#This Row],[Forecasted consumption]]</f>
        <v>12.983370288248336</v>
      </c>
      <c r="X13" s="25"/>
    </row>
    <row r="14">
      <c r="B14" s="6" t="s">
        <v>28</v>
      </c>
      <c r="C14" s="17" t="s">
        <v>47</v>
      </c>
      <c r="D14" s="17" t="s">
        <v>48</v>
      </c>
      <c r="E14" s="18" t="s">
        <v>31</v>
      </c>
      <c r="F14" s="19" t="n">
        <v>46054</v>
      </c>
      <c r="G14" s="23" t="n">
        <f t="shared" si="0"/>
        <v>11711</v>
      </c>
      <c r="H14" s="23"/>
      <c r="I14" s="20" t="n">
        <v>902</v>
      </c>
      <c r="J14" s="23" t="n">
        <f>MAX(HormonalIUDtable[[#This Row],[Stock on hand(opening balance)]]+HormonalIUDtable[[#This Row],[Quantity ]]-HormonalIUDtable[[#This Row],[Forecasted consumption]],0)</f>
        <v>10809</v>
      </c>
      <c r="K14" s="2"/>
      <c r="L14" s="2"/>
      <c r="M14" s="18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HormonalIUDtable[[#This Row],[Closing balance ]]/HormonalIUDtable[[#This Row],[Forecasted consumption]]</f>
        <v>11.983370288248336</v>
      </c>
      <c r="X14" s="25"/>
    </row>
    <row r="15">
      <c r="B15" s="6" t="s">
        <v>28</v>
      </c>
      <c r="C15" s="17" t="s">
        <v>47</v>
      </c>
      <c r="D15" s="17" t="s">
        <v>48</v>
      </c>
      <c r="E15" s="18" t="s">
        <v>31</v>
      </c>
      <c r="F15" s="19" t="n">
        <v>46082</v>
      </c>
      <c r="G15" s="23" t="n">
        <f t="shared" si="0"/>
        <v>10809</v>
      </c>
      <c r="H15" s="23"/>
      <c r="I15" s="20" t="n">
        <v>902</v>
      </c>
      <c r="J15" s="23" t="n">
        <f>MAX(HormonalIUDtable[[#This Row],[Stock on hand(opening balance)]]+HormonalIUDtable[[#This Row],[Quantity ]]-HormonalIUDtable[[#This Row],[Forecasted consumption]],0)</f>
        <v>15259</v>
      </c>
      <c r="K15" s="2" t="s">
        <v>2</v>
      </c>
      <c r="L15" s="2" t="s">
        <v>2</v>
      </c>
      <c r="M15" s="18" t="s">
        <v>4</v>
      </c>
      <c r="N15" s="23" t="n">
        <v>5352</v>
      </c>
      <c r="O15" s="2"/>
      <c r="P15" s="20" t="n">
        <v>70004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" t="n">
        <f>HormonalIUDtable[[#This Row],[Closing balance ]]/HormonalIUDtable[[#This Row],[Forecasted consumption]]</f>
        <v>16.916851441241686</v>
      </c>
      <c r="X15" s="25"/>
    </row>
    <row r="16">
      <c r="B16" s="6" t="s">
        <v>28</v>
      </c>
      <c r="C16" s="17" t="s">
        <v>47</v>
      </c>
      <c r="D16" s="17" t="s">
        <v>48</v>
      </c>
      <c r="E16" s="18" t="s">
        <v>31</v>
      </c>
      <c r="F16" s="19" t="n">
        <v>46113</v>
      </c>
      <c r="G16" s="23" t="n">
        <f t="shared" si="0"/>
        <v>15259</v>
      </c>
      <c r="H16" s="23"/>
      <c r="I16" s="20" t="n">
        <v>902</v>
      </c>
      <c r="J16" s="23" t="n">
        <f>MAX(HormonalIUDtable[[#This Row],[Stock on hand(opening balance)]]+HormonalIUDtable[[#This Row],[Quantity ]]-HormonalIUDtable[[#This Row],[Forecasted consumption]],0)</f>
        <v>14357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HormonalIUDtable[[#This Row],[Closing balance ]]/HormonalIUDtable[[#This Row],[Forecasted consumption]]</f>
        <v>15.916851441241684</v>
      </c>
      <c r="X16" s="25"/>
    </row>
    <row r="17">
      <c r="B17" s="6" t="s">
        <v>28</v>
      </c>
      <c r="C17" s="17" t="s">
        <v>47</v>
      </c>
      <c r="D17" s="17" t="s">
        <v>48</v>
      </c>
      <c r="E17" s="18" t="s">
        <v>31</v>
      </c>
      <c r="F17" s="19" t="n">
        <v>46143</v>
      </c>
      <c r="G17" s="23" t="n">
        <f t="shared" si="0"/>
        <v>14357</v>
      </c>
      <c r="H17" s="23"/>
      <c r="I17" s="20" t="n">
        <v>902</v>
      </c>
      <c r="J17" s="23" t="n">
        <f>MAX(HormonalIUDtable[[#This Row],[Stock on hand(opening balance)]]+HormonalIUDtable[[#This Row],[Quantity ]]-HormonalIUDtable[[#This Row],[Forecasted consumption]],0)</f>
        <v>13455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HormonalIUDtable[[#This Row],[Closing balance ]]/HormonalIUDtable[[#This Row],[Forecasted consumption]]</f>
        <v>14.916851441241684</v>
      </c>
      <c r="X17" s="25"/>
    </row>
    <row r="18">
      <c r="B18" s="6" t="s">
        <v>28</v>
      </c>
      <c r="C18" s="17" t="s">
        <v>47</v>
      </c>
      <c r="D18" s="17" t="s">
        <v>48</v>
      </c>
      <c r="E18" s="18" t="s">
        <v>31</v>
      </c>
      <c r="F18" s="19" t="n">
        <v>46174</v>
      </c>
      <c r="G18" s="23" t="n">
        <f t="shared" si="0"/>
        <v>13455</v>
      </c>
      <c r="H18" s="23"/>
      <c r="I18" s="20" t="n">
        <v>902</v>
      </c>
      <c r="J18" s="23" t="n">
        <f>MAX(HormonalIUDtable[[#This Row],[Stock on hand(opening balance)]]+HormonalIUDtable[[#This Row],[Quantity ]]-HormonalIUDtable[[#This Row],[Forecasted consumption]],0)</f>
        <v>12553</v>
      </c>
      <c r="K18" s="2"/>
      <c r="L18" s="2"/>
      <c r="M18" s="18"/>
      <c r="N18" s="23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HormonalIUDtable[[#This Row],[Closing balance ]]/HormonalIUDtable[[#This Row],[Forecasted consumption]]</f>
        <v>13.916851441241684</v>
      </c>
      <c r="X18" s="25"/>
    </row>
    <row r="19">
      <c r="B19" s="6" t="s">
        <v>75</v>
      </c>
      <c r="C19" s="17" t="s">
        <v>47</v>
      </c>
      <c r="D19" s="17" t="s">
        <v>48</v>
      </c>
      <c r="E19" s="18" t="s">
        <v>31</v>
      </c>
      <c r="F19" s="19" t="n">
        <v>45748</v>
      </c>
      <c r="G19" s="20" t="n">
        <v>2436</v>
      </c>
      <c r="H19" s="20"/>
      <c r="I19" s="20" t="n">
        <v>201</v>
      </c>
      <c r="J19" s="20" t="n">
        <f>MAX(HormonalIUDtable[[#This Row],[Stock on hand(opening balance)]]+HormonalIUDtable[[#This Row],[Quantity ]]-HormonalIUDtable[[#This Row],[Forecasted consumption]],0)</f>
        <v>2235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HormonalIUDtable[[#This Row],[Closing balance ]]/HormonalIUDtable[[#This Row],[Forecasted consumption]]</f>
        <v>11.119402985074627</v>
      </c>
      <c r="X19" s="22"/>
    </row>
    <row r="20">
      <c r="B20" s="6" t="s">
        <v>75</v>
      </c>
      <c r="C20" s="17" t="s">
        <v>47</v>
      </c>
      <c r="D20" s="17" t="s">
        <v>48</v>
      </c>
      <c r="E20" s="18" t="s">
        <v>31</v>
      </c>
      <c r="F20" s="19" t="n">
        <v>45778</v>
      </c>
      <c r="G20" s="23" t="n">
        <f>J19</f>
        <v>2235</v>
      </c>
      <c r="H20" s="23"/>
      <c r="I20" s="23" t="n">
        <v>204</v>
      </c>
      <c r="J20" s="23" t="n">
        <f>MAX(HormonalIUDtable[[#This Row],[Stock on hand(opening balance)]]+HormonalIUDtable[[#This Row],[Quantity ]]-HormonalIUDtable[[#This Row],[Forecasted consumption]],0)</f>
        <v>13071</v>
      </c>
      <c r="K20" s="2"/>
      <c r="L20" s="2"/>
      <c r="M20" s="2" t="s">
        <v>153</v>
      </c>
      <c r="N20" s="23" t="n">
        <v>11040</v>
      </c>
      <c r="O20" s="2"/>
      <c r="P20" s="20"/>
      <c r="Q20" s="24" t="n">
        <v>45778</v>
      </c>
      <c r="R20" s="2"/>
      <c r="S20" s="2"/>
      <c r="T20" s="18" t="n">
        <v>7</v>
      </c>
      <c r="U20" s="18" t="n">
        <v>15</v>
      </c>
      <c r="V20" s="18" t="n">
        <v>15</v>
      </c>
      <c r="W20" s="3" t="n">
        <f>HormonalIUDtable[[#This Row],[Closing balance ]]/HormonalIUDtable[[#This Row],[Forecasted consumption]]</f>
        <v>64.07352941176471</v>
      </c>
      <c r="X20" s="25"/>
    </row>
    <row r="21">
      <c r="B21" s="6" t="s">
        <v>75</v>
      </c>
      <c r="C21" s="17" t="s">
        <v>47</v>
      </c>
      <c r="D21" s="17" t="s">
        <v>48</v>
      </c>
      <c r="E21" s="18" t="s">
        <v>31</v>
      </c>
      <c r="F21" s="19" t="n">
        <v>45809</v>
      </c>
      <c r="G21" s="23" t="n">
        <f t="shared" ref="G21:G36" si="1">J20</f>
        <v>13071</v>
      </c>
      <c r="H21" s="23"/>
      <c r="I21" s="23" t="n">
        <v>206</v>
      </c>
      <c r="J21" s="23" t="n">
        <f>MAX(HormonalIUDtable[[#This Row],[Stock on hand(opening balance)]]+HormonalIUDtable[[#This Row],[Quantity ]]-HormonalIUDtable[[#This Row],[Forecasted consumption]],0)</f>
        <v>12865</v>
      </c>
      <c r="K21" s="2"/>
      <c r="L21" s="2"/>
      <c r="M21" s="2"/>
      <c r="N21" s="23"/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HormonalIUDtable[[#This Row],[Closing balance ]]/HormonalIUDtable[[#This Row],[Forecasted consumption]]</f>
        <v>62.45145631067961</v>
      </c>
      <c r="X21" s="25"/>
    </row>
    <row r="22">
      <c r="B22" s="6" t="s">
        <v>75</v>
      </c>
      <c r="C22" s="17" t="s">
        <v>47</v>
      </c>
      <c r="D22" s="17" t="s">
        <v>48</v>
      </c>
      <c r="E22" s="18" t="s">
        <v>31</v>
      </c>
      <c r="F22" s="19" t="n">
        <v>45839</v>
      </c>
      <c r="G22" s="23" t="n">
        <f t="shared" si="1"/>
        <v>12865</v>
      </c>
      <c r="H22" s="23"/>
      <c r="I22" s="23" t="n">
        <v>207</v>
      </c>
      <c r="J22" s="23" t="n">
        <f>MAX(HormonalIUDtable[[#This Row],[Stock on hand(opening balance)]]+HormonalIUDtable[[#This Row],[Quantity ]]-HormonalIUDtable[[#This Row],[Forecasted consumption]],0)</f>
        <v>12658</v>
      </c>
      <c r="K22" s="2"/>
      <c r="L22" s="2"/>
      <c r="M22" s="2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HormonalIUDtable[[#This Row],[Closing balance ]]/HormonalIUDtable[[#This Row],[Forecasted consumption]]</f>
        <v>61.149758454106284</v>
      </c>
      <c r="X22" s="25"/>
    </row>
    <row r="23">
      <c r="B23" s="6" t="s">
        <v>75</v>
      </c>
      <c r="C23" s="17" t="s">
        <v>47</v>
      </c>
      <c r="D23" s="17" t="s">
        <v>48</v>
      </c>
      <c r="E23" s="18" t="s">
        <v>31</v>
      </c>
      <c r="F23" s="19" t="n">
        <v>45870</v>
      </c>
      <c r="G23" s="23" t="n">
        <f t="shared" si="1"/>
        <v>12658</v>
      </c>
      <c r="H23" s="23"/>
      <c r="I23" s="23" t="n">
        <v>205</v>
      </c>
      <c r="J23" s="23" t="n">
        <f>MAX(HormonalIUDtable[[#This Row],[Stock on hand(opening balance)]]+HormonalIUDtable[[#This Row],[Quantity ]]-HormonalIUDtable[[#This Row],[Forecasted consumption]],0)</f>
        <v>12453</v>
      </c>
      <c r="K23" s="2"/>
      <c r="L23" s="2"/>
      <c r="M23" s="2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HormonalIUDtable[[#This Row],[Closing balance ]]/HormonalIUDtable[[#This Row],[Forecasted consumption]]</f>
        <v>60.746341463414637</v>
      </c>
      <c r="X23" s="25"/>
    </row>
    <row r="24">
      <c r="B24" s="6" t="s">
        <v>75</v>
      </c>
      <c r="C24" s="17" t="s">
        <v>47</v>
      </c>
      <c r="D24" s="17" t="s">
        <v>48</v>
      </c>
      <c r="E24" s="18" t="s">
        <v>31</v>
      </c>
      <c r="F24" s="19" t="n">
        <v>45901</v>
      </c>
      <c r="G24" s="23" t="n">
        <f t="shared" si="1"/>
        <v>12453</v>
      </c>
      <c r="H24" s="23"/>
      <c r="I24" s="23" t="n">
        <v>204</v>
      </c>
      <c r="J24" s="23" t="n">
        <f>MAX(HormonalIUDtable[[#This Row],[Stock on hand(opening balance)]]+HormonalIUDtable[[#This Row],[Quantity ]]-HormonalIUDtable[[#This Row],[Forecasted consumption]],0)</f>
        <v>12249</v>
      </c>
      <c r="K24" s="2"/>
      <c r="L24" s="2"/>
      <c r="M24" s="2"/>
      <c r="N24" s="23"/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HormonalIUDtable[[#This Row],[Closing balance ]]/HormonalIUDtable[[#This Row],[Forecasted consumption]]</f>
        <v>60.044117647058826</v>
      </c>
      <c r="X24" s="25"/>
    </row>
    <row r="25">
      <c r="B25" s="6" t="s">
        <v>75</v>
      </c>
      <c r="C25" s="17" t="s">
        <v>47</v>
      </c>
      <c r="D25" s="17" t="s">
        <v>48</v>
      </c>
      <c r="E25" s="18" t="s">
        <v>31</v>
      </c>
      <c r="F25" s="19" t="n">
        <v>45931</v>
      </c>
      <c r="G25" s="23" t="n">
        <f t="shared" si="1"/>
        <v>12249</v>
      </c>
      <c r="H25" s="23"/>
      <c r="I25" s="23" t="n">
        <v>204</v>
      </c>
      <c r="J25" s="23" t="n">
        <f>MAX(HormonalIUDtable[[#This Row],[Stock on hand(opening balance)]]+HormonalIUDtable[[#This Row],[Quantity ]]-HormonalIUDtable[[#This Row],[Forecasted consumption]],0)</f>
        <v>12045</v>
      </c>
      <c r="K25" s="2"/>
      <c r="L25" s="2"/>
      <c r="M25" s="2"/>
      <c r="N25" s="23"/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HormonalIUDtable[[#This Row],[Closing balance ]]/HormonalIUDtable[[#This Row],[Forecasted consumption]]</f>
        <v>59.044117647058826</v>
      </c>
      <c r="X25" s="25"/>
    </row>
    <row r="26">
      <c r="B26" s="6" t="s">
        <v>75</v>
      </c>
      <c r="C26" s="17" t="s">
        <v>47</v>
      </c>
      <c r="D26" s="17" t="s">
        <v>48</v>
      </c>
      <c r="E26" s="18" t="s">
        <v>31</v>
      </c>
      <c r="F26" s="19" t="n">
        <v>45962</v>
      </c>
      <c r="G26" s="23" t="n">
        <f t="shared" si="1"/>
        <v>12045</v>
      </c>
      <c r="H26" s="23"/>
      <c r="I26" s="23" t="n">
        <v>205</v>
      </c>
      <c r="J26" s="23" t="n">
        <f>MAX(HormonalIUDtable[[#This Row],[Stock on hand(opening balance)]]+HormonalIUDtable[[#This Row],[Quantity ]]-HormonalIUDtable[[#This Row],[Forecasted consumption]],0)</f>
        <v>20870</v>
      </c>
      <c r="K26" s="2"/>
      <c r="L26" s="2"/>
      <c r="M26" s="2" t="s">
        <v>147</v>
      </c>
      <c r="N26" s="23" t="n">
        <v>9030</v>
      </c>
      <c r="O26" s="2"/>
      <c r="P26" s="20"/>
      <c r="Q26" s="24" t="n">
        <v>45962</v>
      </c>
      <c r="R26" s="2"/>
      <c r="S26" s="2"/>
      <c r="T26" s="18" t="n">
        <v>7</v>
      </c>
      <c r="U26" s="18" t="n">
        <v>15</v>
      </c>
      <c r="V26" s="18" t="n">
        <v>15</v>
      </c>
      <c r="W26" s="3" t="n">
        <f>HormonalIUDtable[[#This Row],[Closing balance ]]/HormonalIUDtable[[#This Row],[Forecasted consumption]]</f>
        <v>101.80487804878049</v>
      </c>
      <c r="X26" s="25"/>
    </row>
    <row r="27">
      <c r="B27" s="6" t="s">
        <v>75</v>
      </c>
      <c r="C27" s="17" t="s">
        <v>47</v>
      </c>
      <c r="D27" s="17" t="s">
        <v>48</v>
      </c>
      <c r="E27" s="18" t="s">
        <v>31</v>
      </c>
      <c r="F27" s="19" t="n">
        <v>45992</v>
      </c>
      <c r="G27" s="23" t="n">
        <f t="shared" si="1"/>
        <v>20870</v>
      </c>
      <c r="H27" s="23"/>
      <c r="I27" s="23" t="n">
        <v>205</v>
      </c>
      <c r="J27" s="23" t="n">
        <f>MAX(HormonalIUDtable[[#This Row],[Stock on hand(opening balance)]]+HormonalIUDtable[[#This Row],[Quantity ]]-HormonalIUDtable[[#This Row],[Forecasted consumption]],0)</f>
        <v>20665</v>
      </c>
      <c r="K27" s="2"/>
      <c r="L27" s="2"/>
      <c r="M27" s="2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HormonalIUDtable[[#This Row],[Closing balance ]]/HormonalIUDtable[[#This Row],[Forecasted consumption]]</f>
        <v>100.80487804878049</v>
      </c>
      <c r="X27" s="25"/>
    </row>
    <row r="28">
      <c r="B28" s="6" t="s">
        <v>75</v>
      </c>
      <c r="C28" s="17" t="s">
        <v>47</v>
      </c>
      <c r="D28" s="17" t="s">
        <v>48</v>
      </c>
      <c r="E28" s="18" t="s">
        <v>31</v>
      </c>
      <c r="F28" s="19" t="n">
        <v>46023</v>
      </c>
      <c r="G28" s="23" t="n">
        <f t="shared" si="1"/>
        <v>20665</v>
      </c>
      <c r="H28" s="23"/>
      <c r="I28" s="23" t="n">
        <v>205</v>
      </c>
      <c r="J28" s="23" t="n">
        <f>MAX(HormonalIUDtable[[#This Row],[Stock on hand(opening balance)]]+HormonalIUDtable[[#This Row],[Quantity ]]-HormonalIUDtable[[#This Row],[Forecasted consumption]],0)</f>
        <v>20460</v>
      </c>
      <c r="K28" s="2"/>
      <c r="L28" s="2"/>
      <c r="M28" s="2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HormonalIUDtable[[#This Row],[Closing balance ]]/HormonalIUDtable[[#This Row],[Forecasted consumption]]</f>
        <v>99.804878048780495</v>
      </c>
      <c r="X28" s="25"/>
    </row>
    <row r="29">
      <c r="B29" s="6" t="s">
        <v>75</v>
      </c>
      <c r="C29" s="17" t="s">
        <v>47</v>
      </c>
      <c r="D29" s="17" t="s">
        <v>48</v>
      </c>
      <c r="E29" s="18" t="s">
        <v>31</v>
      </c>
      <c r="F29" s="19" t="n">
        <v>46054</v>
      </c>
      <c r="G29" s="23" t="n">
        <f t="shared" si="1"/>
        <v>20460</v>
      </c>
      <c r="H29" s="23"/>
      <c r="I29" s="23" t="n">
        <v>205</v>
      </c>
      <c r="J29" s="23" t="n">
        <f>MAX(HormonalIUDtable[[#This Row],[Stock on hand(opening balance)]]+HormonalIUDtable[[#This Row],[Quantity ]]-HormonalIUDtable[[#This Row],[Forecasted consumption]],0)</f>
        <v>20255</v>
      </c>
      <c r="K29" s="2"/>
      <c r="L29" s="2"/>
      <c r="M29" s="2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HormonalIUDtable[[#This Row],[Closing balance ]]/HormonalIUDtable[[#This Row],[Forecasted consumption]]</f>
        <v>98.804878048780495</v>
      </c>
      <c r="X29" s="25"/>
    </row>
    <row r="30">
      <c r="B30" s="6" t="s">
        <v>75</v>
      </c>
      <c r="C30" s="17" t="s">
        <v>47</v>
      </c>
      <c r="D30" s="17" t="s">
        <v>48</v>
      </c>
      <c r="E30" s="18" t="s">
        <v>31</v>
      </c>
      <c r="F30" s="19" t="n">
        <v>46082</v>
      </c>
      <c r="G30" s="23" t="n">
        <f t="shared" si="1"/>
        <v>20255</v>
      </c>
      <c r="H30" s="23"/>
      <c r="I30" s="23" t="n">
        <v>205</v>
      </c>
      <c r="J30" s="23" t="n">
        <f>MAX(HormonalIUDtable[[#This Row],[Stock on hand(opening balance)]]+HormonalIUDtable[[#This Row],[Quantity ]]-HormonalIUDtable[[#This Row],[Forecasted consumption]],0)</f>
        <v>20050</v>
      </c>
      <c r="K30" s="2"/>
      <c r="L30" s="2"/>
      <c r="M30" s="2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HormonalIUDtable[[#This Row],[Closing balance ]]/HormonalIUDtable[[#This Row],[Forecasted consumption]]</f>
        <v>97.804878048780495</v>
      </c>
      <c r="X30" s="25"/>
    </row>
    <row r="31">
      <c r="B31" s="6" t="s">
        <v>75</v>
      </c>
      <c r="C31" s="17" t="s">
        <v>47</v>
      </c>
      <c r="D31" s="17" t="s">
        <v>48</v>
      </c>
      <c r="E31" s="18" t="s">
        <v>31</v>
      </c>
      <c r="F31" s="19" t="n">
        <v>46113</v>
      </c>
      <c r="G31" s="23" t="n">
        <f t="shared" si="1"/>
        <v>20050</v>
      </c>
      <c r="H31" s="23"/>
      <c r="I31" s="23" t="n">
        <v>205</v>
      </c>
      <c r="J31" s="23" t="n">
        <f>MAX(HormonalIUDtable[[#This Row],[Stock on hand(opening balance)]]+HormonalIUDtable[[#This Row],[Quantity ]]-HormonalIUDtable[[#This Row],[Forecasted consumption]],0)</f>
        <v>19845</v>
      </c>
      <c r="K31" s="2"/>
      <c r="L31" s="2"/>
      <c r="M31" s="2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HormonalIUDtable[[#This Row],[Closing balance ]]/HormonalIUDtable[[#This Row],[Forecasted consumption]]</f>
        <v>96.804878048780495</v>
      </c>
      <c r="X31" s="25"/>
    </row>
    <row r="32">
      <c r="B32" s="6" t="s">
        <v>75</v>
      </c>
      <c r="C32" s="17" t="s">
        <v>47</v>
      </c>
      <c r="D32" s="17" t="s">
        <v>48</v>
      </c>
      <c r="E32" s="18" t="s">
        <v>31</v>
      </c>
      <c r="F32" s="19" t="n">
        <v>46143</v>
      </c>
      <c r="G32" s="23" t="n">
        <f t="shared" si="1"/>
        <v>19845</v>
      </c>
      <c r="H32" s="23"/>
      <c r="I32" s="23" t="n">
        <v>205</v>
      </c>
      <c r="J32" s="23" t="n">
        <f>MAX(HormonalIUDtable[[#This Row],[Stock on hand(opening balance)]]+HormonalIUDtable[[#This Row],[Quantity ]]-HormonalIUDtable[[#This Row],[Forecasted consumption]],0)</f>
        <v>19640</v>
      </c>
      <c r="K32" s="2"/>
      <c r="L32" s="2"/>
      <c r="M32" s="2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HormonalIUDtable[[#This Row],[Closing balance ]]/HormonalIUDtable[[#This Row],[Forecasted consumption]]</f>
        <v>95.804878048780495</v>
      </c>
      <c r="X32" s="25"/>
    </row>
    <row r="33">
      <c r="B33" s="6" t="s">
        <v>75</v>
      </c>
      <c r="C33" s="17" t="s">
        <v>47</v>
      </c>
      <c r="D33" s="17" t="s">
        <v>48</v>
      </c>
      <c r="E33" s="18" t="s">
        <v>31</v>
      </c>
      <c r="F33" s="19" t="n">
        <v>46174</v>
      </c>
      <c r="G33" s="23" t="n">
        <f t="shared" si="1"/>
        <v>19640</v>
      </c>
      <c r="H33" s="23"/>
      <c r="I33" s="23" t="n">
        <v>205</v>
      </c>
      <c r="J33" s="23" t="n">
        <f>MAX(HormonalIUDtable[[#This Row],[Stock on hand(opening balance)]]+HormonalIUDtable[[#This Row],[Quantity ]]-HormonalIUDtable[[#This Row],[Forecasted consumption]],0)</f>
        <v>19435</v>
      </c>
      <c r="K33" s="2"/>
      <c r="L33" s="2"/>
      <c r="M33" s="2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HormonalIUDtable[[#This Row],[Closing balance ]]/HormonalIUDtable[[#This Row],[Forecasted consumption]]</f>
        <v>94.804878048780495</v>
      </c>
      <c r="X33" s="25"/>
    </row>
    <row r="34">
      <c r="B34" s="6" t="s">
        <v>75</v>
      </c>
      <c r="C34" s="17" t="s">
        <v>47</v>
      </c>
      <c r="D34" s="17" t="s">
        <v>48</v>
      </c>
      <c r="E34" s="18" t="s">
        <v>31</v>
      </c>
      <c r="F34" s="19" t="n">
        <v>46204</v>
      </c>
      <c r="G34" s="23" t="n">
        <f t="shared" si="1"/>
        <v>19435</v>
      </c>
      <c r="H34" s="23"/>
      <c r="I34" s="23" t="n">
        <v>205</v>
      </c>
      <c r="J34" s="23" t="n">
        <f>MAX(HormonalIUDtable[[#This Row],[Stock on hand(opening balance)]]+HormonalIUDtable[[#This Row],[Quantity ]]-HormonalIUDtable[[#This Row],[Forecasted consumption]],0)</f>
        <v>19230</v>
      </c>
      <c r="K34" s="2"/>
      <c r="L34" s="2"/>
      <c r="M34" s="2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HormonalIUDtable[[#This Row],[Closing balance ]]/HormonalIUDtable[[#This Row],[Forecasted consumption]]</f>
        <v>93.804878048780495</v>
      </c>
      <c r="X34" s="25"/>
    </row>
    <row r="35">
      <c r="B35" s="6" t="s">
        <v>75</v>
      </c>
      <c r="C35" s="17" t="s">
        <v>47</v>
      </c>
      <c r="D35" s="17" t="s">
        <v>48</v>
      </c>
      <c r="E35" s="18" t="s">
        <v>31</v>
      </c>
      <c r="F35" s="19" t="n">
        <v>46235</v>
      </c>
      <c r="G35" s="23" t="n">
        <f t="shared" si="1"/>
        <v>19230</v>
      </c>
      <c r="H35" s="23"/>
      <c r="I35" s="23" t="n">
        <v>205</v>
      </c>
      <c r="J35" s="23" t="n">
        <f>MAX(HormonalIUDtable[[#This Row],[Stock on hand(opening balance)]]+HormonalIUDtable[[#This Row],[Quantity ]]-HormonalIUDtable[[#This Row],[Forecasted consumption]],0)</f>
        <v>19025</v>
      </c>
      <c r="K35" s="2"/>
      <c r="L35" s="2"/>
      <c r="M35" s="2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HormonalIUDtable[[#This Row],[Closing balance ]]/HormonalIUDtable[[#This Row],[Forecasted consumption]]</f>
        <v>92.804878048780495</v>
      </c>
      <c r="X35" s="25"/>
    </row>
    <row r="36">
      <c r="B36" s="6" t="s">
        <v>75</v>
      </c>
      <c r="C36" s="17" t="s">
        <v>47</v>
      </c>
      <c r="D36" s="17" t="s">
        <v>48</v>
      </c>
      <c r="E36" s="18" t="s">
        <v>31</v>
      </c>
      <c r="F36" s="19" t="n">
        <v>46266</v>
      </c>
      <c r="G36" s="23" t="n">
        <f t="shared" si="1"/>
        <v>19025</v>
      </c>
      <c r="H36" s="23"/>
      <c r="I36" s="23" t="n">
        <v>205</v>
      </c>
      <c r="J36" s="23" t="n">
        <f>MAX(HormonalIUDtable[[#This Row],[Stock on hand(opening balance)]]+HormonalIUDtable[[#This Row],[Quantity ]]-HormonalIUDtable[[#This Row],[Forecasted consumption]],0)</f>
        <v>18820</v>
      </c>
      <c r="K36" s="2"/>
      <c r="L36" s="2"/>
      <c r="M36" s="2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HormonalIUDtable[[#This Row],[Closing balance ]]/HormonalIUDtable[[#This Row],[Forecasted consumption]]</f>
        <v>91.804878048780495</v>
      </c>
      <c r="X36" s="25"/>
    </row>
    <row r="37">
      <c r="B37" s="6" t="s">
        <v>76</v>
      </c>
      <c r="C37" s="17" t="s">
        <v>47</v>
      </c>
      <c r="D37" s="17" t="s">
        <v>48</v>
      </c>
      <c r="E37" s="18" t="s">
        <v>31</v>
      </c>
      <c r="F37" s="19" t="n">
        <v>45748</v>
      </c>
      <c r="G37" s="20" t="n">
        <v>6330</v>
      </c>
      <c r="H37" s="20"/>
      <c r="I37" s="20" t="n">
        <v>1576</v>
      </c>
      <c r="J37" s="20" t="n">
        <f>MAX(HormonalIUDtable[[#This Row],[Stock on hand(opening balance)]]+HormonalIUDtable[[#This Row],[Quantity ]]-HormonalIUDtable[[#This Row],[Forecasted consumption]],0)</f>
        <v>4754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HormonalIUDtable[[#This Row],[Closing balance ]]/HormonalIUDtable[[#This Row],[Forecasted consumption]]</f>
        <v>3.016497461928934</v>
      </c>
      <c r="X37" s="22"/>
    </row>
    <row r="38">
      <c r="B38" s="6" t="s">
        <v>76</v>
      </c>
      <c r="C38" s="17" t="s">
        <v>47</v>
      </c>
      <c r="D38" s="17" t="s">
        <v>48</v>
      </c>
      <c r="E38" s="18" t="s">
        <v>31</v>
      </c>
      <c r="F38" s="19" t="n">
        <v>45778</v>
      </c>
      <c r="G38" s="23" t="n">
        <f>J37</f>
        <v>4754</v>
      </c>
      <c r="H38" s="23"/>
      <c r="I38" s="20" t="n">
        <v>1576</v>
      </c>
      <c r="J38" s="23" t="n">
        <f>MAX(HormonalIUDtable[[#This Row],[Stock on hand(opening balance)]]+HormonalIUDtable[[#This Row],[Quantity ]]-HormonalIUDtable[[#This Row],[Forecasted consumption]],0)</f>
        <v>3178</v>
      </c>
      <c r="K38" s="2"/>
      <c r="L38" s="2"/>
      <c r="M38" s="2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HormonalIUDtable[[#This Row],[Closing balance ]]/HormonalIUDtable[[#This Row],[Forecasted consumption]]</f>
        <v>2.016497461928934</v>
      </c>
      <c r="X38" s="25"/>
    </row>
    <row r="39">
      <c r="B39" s="6" t="s">
        <v>76</v>
      </c>
      <c r="C39" s="17" t="s">
        <v>47</v>
      </c>
      <c r="D39" s="17" t="s">
        <v>48</v>
      </c>
      <c r="E39" s="18" t="s">
        <v>31</v>
      </c>
      <c r="F39" s="19" t="n">
        <v>45809</v>
      </c>
      <c r="G39" s="23" t="n">
        <f t="shared" ref="G39:G57" si="2">J38</f>
        <v>3178</v>
      </c>
      <c r="H39" s="23"/>
      <c r="I39" s="20" t="n">
        <v>1576</v>
      </c>
      <c r="J39" s="23" t="n">
        <f>MAX(HormonalIUDtable[[#This Row],[Stock on hand(opening balance)]]+HormonalIUDtable[[#This Row],[Quantity ]]-HormonalIUDtable[[#This Row],[Forecasted consumption]],0)</f>
        <v>1602</v>
      </c>
      <c r="K39" s="2"/>
      <c r="L39" s="2"/>
      <c r="M39" s="2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HormonalIUDtable[[#This Row],[Closing balance ]]/HormonalIUDtable[[#This Row],[Forecasted consumption]]</f>
        <v>1.016497461928934</v>
      </c>
      <c r="X39" s="25"/>
    </row>
    <row r="40">
      <c r="B40" s="6" t="s">
        <v>76</v>
      </c>
      <c r="C40" s="17" t="s">
        <v>47</v>
      </c>
      <c r="D40" s="17" t="s">
        <v>48</v>
      </c>
      <c r="E40" s="18" t="s">
        <v>31</v>
      </c>
      <c r="F40" s="19" t="n">
        <v>45839</v>
      </c>
      <c r="G40" s="23" t="n">
        <f t="shared" si="2"/>
        <v>1602</v>
      </c>
      <c r="H40" s="23"/>
      <c r="I40" s="20" t="n">
        <v>1576</v>
      </c>
      <c r="J40" s="23" t="n">
        <f>MAX(HormonalIUDtable[[#This Row],[Stock on hand(opening balance)]]+HormonalIUDtable[[#This Row],[Quantity ]]-HormonalIUDtable[[#This Row],[Forecasted consumption]],0)</f>
        <v>26</v>
      </c>
      <c r="K40" s="2"/>
      <c r="L40" s="2"/>
      <c r="M40" s="2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HormonalIUDtable[[#This Row],[Closing balance ]]/HormonalIUDtable[[#This Row],[Forecasted consumption]]</f>
        <v>1.6497461928934011E-2</v>
      </c>
      <c r="X40" s="25"/>
    </row>
    <row r="41">
      <c r="B41" s="6" t="s">
        <v>76</v>
      </c>
      <c r="C41" s="17" t="s">
        <v>47</v>
      </c>
      <c r="D41" s="17" t="s">
        <v>48</v>
      </c>
      <c r="E41" s="18" t="s">
        <v>31</v>
      </c>
      <c r="F41" s="19" t="n">
        <v>45870</v>
      </c>
      <c r="G41" s="23" t="n">
        <f t="shared" si="2"/>
        <v>26</v>
      </c>
      <c r="H41" s="23"/>
      <c r="I41" s="20" t="n">
        <v>1576</v>
      </c>
      <c r="J41" s="23" t="n">
        <f>MAX(HormonalIUDtable[[#This Row],[Stock on hand(opening balance)]]+HormonalIUDtable[[#This Row],[Quantity ]]-HormonalIUDtable[[#This Row],[Forecasted consumption]],0)</f>
        <v>0</v>
      </c>
      <c r="K41" s="2"/>
      <c r="L41" s="2"/>
      <c r="M41" s="2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HormonalIUDtable[[#This Row],[Closing balance ]]/HormonalIUDtable[[#This Row],[Forecasted consumption]]</f>
        <v>0</v>
      </c>
      <c r="X41" s="25"/>
    </row>
    <row r="42">
      <c r="B42" s="6" t="s">
        <v>76</v>
      </c>
      <c r="C42" s="17" t="s">
        <v>47</v>
      </c>
      <c r="D42" s="17" t="s">
        <v>48</v>
      </c>
      <c r="E42" s="18" t="s">
        <v>31</v>
      </c>
      <c r="F42" s="19" t="n">
        <v>45901</v>
      </c>
      <c r="G42" s="23" t="n">
        <f t="shared" si="2"/>
        <v>0</v>
      </c>
      <c r="H42" s="23"/>
      <c r="I42" s="20" t="n">
        <v>1576</v>
      </c>
      <c r="J42" s="23" t="n">
        <f>MAX(HormonalIUDtable[[#This Row],[Stock on hand(opening balance)]]+HormonalIUDtable[[#This Row],[Quantity ]]-HormonalIUDtable[[#This Row],[Forecasted consumption]],0)</f>
        <v>0</v>
      </c>
      <c r="K42" s="2"/>
      <c r="L42" s="2"/>
      <c r="M42" s="2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HormonalIUDtable[[#This Row],[Closing balance ]]/HormonalIUDtable[[#This Row],[Forecasted consumption]]</f>
        <v>0</v>
      </c>
      <c r="X42" s="25"/>
    </row>
    <row r="43">
      <c r="B43" s="6" t="s">
        <v>76</v>
      </c>
      <c r="C43" s="17" t="s">
        <v>47</v>
      </c>
      <c r="D43" s="17" t="s">
        <v>48</v>
      </c>
      <c r="E43" s="18" t="s">
        <v>31</v>
      </c>
      <c r="F43" s="19" t="n">
        <v>45931</v>
      </c>
      <c r="G43" s="23" t="n">
        <f t="shared" si="2"/>
        <v>0</v>
      </c>
      <c r="H43" s="23"/>
      <c r="I43" s="20" t="n">
        <v>1576</v>
      </c>
      <c r="J43" s="23" t="n">
        <f>MAX(HormonalIUDtable[[#This Row],[Stock on hand(opening balance)]]+HormonalIUDtable[[#This Row],[Quantity ]]-HormonalIUDtable[[#This Row],[Forecasted consumption]],0)</f>
        <v>0</v>
      </c>
      <c r="K43" s="2"/>
      <c r="L43" s="2"/>
      <c r="M43" s="2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HormonalIUDtable[[#This Row],[Closing balance ]]/HormonalIUDtable[[#This Row],[Forecasted consumption]]</f>
        <v>0</v>
      </c>
      <c r="X43" s="25"/>
    </row>
    <row r="44">
      <c r="B44" s="6" t="s">
        <v>76</v>
      </c>
      <c r="C44" s="17" t="s">
        <v>47</v>
      </c>
      <c r="D44" s="17" t="s">
        <v>48</v>
      </c>
      <c r="E44" s="18" t="s">
        <v>31</v>
      </c>
      <c r="F44" s="19" t="n">
        <v>45962</v>
      </c>
      <c r="G44" s="23" t="n">
        <f t="shared" si="2"/>
        <v>0</v>
      </c>
      <c r="H44" s="23"/>
      <c r="I44" s="20" t="n">
        <v>1576</v>
      </c>
      <c r="J44" s="23" t="n">
        <f>MAX(HormonalIUDtable[[#This Row],[Stock on hand(opening balance)]]+HormonalIUDtable[[#This Row],[Quantity ]]-HormonalIUDtable[[#This Row],[Forecasted consumption]],0)</f>
        <v>0</v>
      </c>
      <c r="K44" s="2"/>
      <c r="L44" s="2"/>
      <c r="M44" s="2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HormonalIUDtable[[#This Row],[Closing balance ]]/HormonalIUDtable[[#This Row],[Forecasted consumption]]</f>
        <v>0</v>
      </c>
      <c r="X44" s="25"/>
    </row>
    <row r="45">
      <c r="B45" s="6" t="s">
        <v>76</v>
      </c>
      <c r="C45" s="17" t="s">
        <v>47</v>
      </c>
      <c r="D45" s="17" t="s">
        <v>48</v>
      </c>
      <c r="E45" s="18" t="s">
        <v>31</v>
      </c>
      <c r="F45" s="19" t="n">
        <v>45992</v>
      </c>
      <c r="G45" s="23" t="n">
        <f t="shared" si="2"/>
        <v>0</v>
      </c>
      <c r="H45" s="23"/>
      <c r="I45" s="20" t="n">
        <v>1576</v>
      </c>
      <c r="J45" s="23" t="n">
        <f>MAX(HormonalIUDtable[[#This Row],[Stock on hand(opening balance)]]+HormonalIUDtable[[#This Row],[Quantity ]]-HormonalIUDtable[[#This Row],[Forecasted consumption]],0)</f>
        <v>0</v>
      </c>
      <c r="K45" s="2"/>
      <c r="L45" s="2"/>
      <c r="M45" s="2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HormonalIUDtable[[#This Row],[Closing balance ]]/HormonalIUDtable[[#This Row],[Forecasted consumption]]</f>
        <v>0</v>
      </c>
      <c r="X45" s="25"/>
    </row>
    <row r="46">
      <c r="B46" s="6" t="s">
        <v>76</v>
      </c>
      <c r="C46" s="17" t="s">
        <v>47</v>
      </c>
      <c r="D46" s="17" t="s">
        <v>48</v>
      </c>
      <c r="E46" s="18" t="s">
        <v>31</v>
      </c>
      <c r="F46" s="19" t="n">
        <v>46023</v>
      </c>
      <c r="G46" s="23" t="n">
        <f t="shared" si="2"/>
        <v>0</v>
      </c>
      <c r="H46" s="23"/>
      <c r="I46" s="23" t="n">
        <v>1576</v>
      </c>
      <c r="J46" s="23" t="n">
        <f>MAX(HormonalIUDtable[[#This Row],[Stock on hand(opening balance)]]+HormonalIUDtable[[#This Row],[Quantity ]]-HormonalIUDtable[[#This Row],[Forecasted consumption]],0)</f>
        <v>0</v>
      </c>
      <c r="K46" s="2"/>
      <c r="L46" s="2"/>
      <c r="M46" s="2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HormonalIUDtable[[#This Row],[Closing balance ]]/HormonalIUDtable[[#This Row],[Forecasted consumption]]</f>
        <v>0</v>
      </c>
      <c r="X46" s="25"/>
    </row>
    <row r="47">
      <c r="B47" s="6" t="s">
        <v>76</v>
      </c>
      <c r="C47" s="17" t="s">
        <v>47</v>
      </c>
      <c r="D47" s="17" t="s">
        <v>48</v>
      </c>
      <c r="E47" s="18" t="s">
        <v>31</v>
      </c>
      <c r="F47" s="19" t="n">
        <v>46054</v>
      </c>
      <c r="G47" s="23" t="n">
        <f t="shared" si="2"/>
        <v>0</v>
      </c>
      <c r="H47" s="23"/>
      <c r="I47" s="23" t="n">
        <v>1576</v>
      </c>
      <c r="J47" s="23" t="n">
        <f>MAX(HormonalIUDtable[[#This Row],[Stock on hand(opening balance)]]+HormonalIUDtable[[#This Row],[Quantity ]]-HormonalIUDtable[[#This Row],[Forecasted consumption]],0)</f>
        <v>0</v>
      </c>
      <c r="K47" s="2"/>
      <c r="L47" s="2"/>
      <c r="M47" s="2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HormonalIUDtable[[#This Row],[Closing balance ]]/HormonalIUDtable[[#This Row],[Forecasted consumption]]</f>
        <v>0</v>
      </c>
      <c r="X47" s="25"/>
    </row>
    <row r="48">
      <c r="B48" s="6" t="s">
        <v>76</v>
      </c>
      <c r="C48" s="17" t="s">
        <v>47</v>
      </c>
      <c r="D48" s="17" t="s">
        <v>48</v>
      </c>
      <c r="E48" s="18" t="s">
        <v>31</v>
      </c>
      <c r="F48" s="19" t="n">
        <v>46082</v>
      </c>
      <c r="G48" s="23" t="n">
        <f t="shared" si="2"/>
        <v>0</v>
      </c>
      <c r="H48" s="23"/>
      <c r="I48" s="23" t="n">
        <v>1576</v>
      </c>
      <c r="J48" s="23" t="n">
        <f>MAX(HormonalIUDtable[[#This Row],[Stock on hand(opening balance)]]+HormonalIUDtable[[#This Row],[Quantity ]]-HormonalIUDtable[[#This Row],[Forecasted consumption]],0)</f>
        <v>0</v>
      </c>
      <c r="K48" s="2"/>
      <c r="L48" s="2"/>
      <c r="M48" s="2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HormonalIUDtable[[#This Row],[Closing balance ]]/HormonalIUDtable[[#This Row],[Forecasted consumption]]</f>
        <v>0</v>
      </c>
      <c r="X48" s="25"/>
    </row>
    <row r="49">
      <c r="B49" s="6" t="s">
        <v>76</v>
      </c>
      <c r="C49" s="17" t="s">
        <v>47</v>
      </c>
      <c r="D49" s="17" t="s">
        <v>48</v>
      </c>
      <c r="E49" s="18" t="s">
        <v>31</v>
      </c>
      <c r="F49" s="19" t="n">
        <v>46113</v>
      </c>
      <c r="G49" s="23" t="n">
        <f t="shared" si="2"/>
        <v>0</v>
      </c>
      <c r="H49" s="23"/>
      <c r="I49" s="23" t="n">
        <v>1576</v>
      </c>
      <c r="J49" s="23" t="n">
        <f>MAX(HormonalIUDtable[[#This Row],[Stock on hand(opening balance)]]+HormonalIUDtable[[#This Row],[Quantity ]]-HormonalIUDtable[[#This Row],[Forecasted consumption]],0)</f>
        <v>0</v>
      </c>
      <c r="K49" s="2"/>
      <c r="L49" s="2"/>
      <c r="M49" s="2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HormonalIUDtable[[#This Row],[Closing balance ]]/HormonalIUDtable[[#This Row],[Forecasted consumption]]</f>
        <v>0</v>
      </c>
      <c r="X49" s="25"/>
    </row>
    <row r="50">
      <c r="B50" s="6" t="s">
        <v>76</v>
      </c>
      <c r="C50" s="17" t="s">
        <v>47</v>
      </c>
      <c r="D50" s="17" t="s">
        <v>48</v>
      </c>
      <c r="E50" s="18" t="s">
        <v>31</v>
      </c>
      <c r="F50" s="19" t="n">
        <v>46143</v>
      </c>
      <c r="G50" s="23" t="n">
        <f t="shared" si="2"/>
        <v>0</v>
      </c>
      <c r="H50" s="23"/>
      <c r="I50" s="23" t="n">
        <v>1576</v>
      </c>
      <c r="J50" s="23" t="n">
        <f>MAX(HormonalIUDtable[[#This Row],[Stock on hand(opening balance)]]+HormonalIUDtable[[#This Row],[Quantity ]]-HormonalIUDtable[[#This Row],[Forecasted consumption]],0)</f>
        <v>0</v>
      </c>
      <c r="K50" s="2"/>
      <c r="L50" s="2"/>
      <c r="M50" s="2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HormonalIUDtable[[#This Row],[Closing balance ]]/HormonalIUDtable[[#This Row],[Forecasted consumption]]</f>
        <v>0</v>
      </c>
      <c r="X50" s="25"/>
    </row>
    <row r="51">
      <c r="B51" s="6" t="s">
        <v>76</v>
      </c>
      <c r="C51" s="17" t="s">
        <v>47</v>
      </c>
      <c r="D51" s="17" t="s">
        <v>48</v>
      </c>
      <c r="E51" s="18" t="s">
        <v>31</v>
      </c>
      <c r="F51" s="19" t="n">
        <v>46174</v>
      </c>
      <c r="G51" s="23" t="n">
        <f t="shared" si="2"/>
        <v>0</v>
      </c>
      <c r="H51" s="23"/>
      <c r="I51" s="23" t="n">
        <v>1576</v>
      </c>
      <c r="J51" s="23" t="n">
        <f>MAX(HormonalIUDtable[[#This Row],[Stock on hand(opening balance)]]+HormonalIUDtable[[#This Row],[Quantity ]]-HormonalIUDtable[[#This Row],[Forecasted consumption]],0)</f>
        <v>0</v>
      </c>
      <c r="K51" s="2"/>
      <c r="L51" s="2"/>
      <c r="M51" s="2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HormonalIUDtable[[#This Row],[Closing balance ]]/HormonalIUDtable[[#This Row],[Forecasted consumption]]</f>
        <v>0</v>
      </c>
      <c r="X51" s="25"/>
    </row>
    <row r="52">
      <c r="B52" s="6" t="s">
        <v>76</v>
      </c>
      <c r="C52" s="17" t="s">
        <v>47</v>
      </c>
      <c r="D52" s="17" t="s">
        <v>48</v>
      </c>
      <c r="E52" s="18" t="s">
        <v>31</v>
      </c>
      <c r="F52" s="19" t="n">
        <v>46204</v>
      </c>
      <c r="G52" s="23" t="n">
        <f t="shared" si="2"/>
        <v>0</v>
      </c>
      <c r="H52" s="23"/>
      <c r="I52" s="23" t="n">
        <v>1576</v>
      </c>
      <c r="J52" s="23" t="n">
        <f>MAX(HormonalIUDtable[[#This Row],[Stock on hand(opening balance)]]+HormonalIUDtable[[#This Row],[Quantity ]]-HormonalIUDtable[[#This Row],[Forecasted consumption]],0)</f>
        <v>0</v>
      </c>
      <c r="K52" s="2"/>
      <c r="L52" s="2"/>
      <c r="M52" s="2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HormonalIUDtable[[#This Row],[Closing balance ]]/HormonalIUDtable[[#This Row],[Forecasted consumption]]</f>
        <v>0</v>
      </c>
      <c r="X52" s="25"/>
    </row>
    <row r="53">
      <c r="B53" s="6" t="s">
        <v>76</v>
      </c>
      <c r="C53" s="17" t="s">
        <v>47</v>
      </c>
      <c r="D53" s="17" t="s">
        <v>48</v>
      </c>
      <c r="E53" s="18" t="s">
        <v>31</v>
      </c>
      <c r="F53" s="19" t="n">
        <v>46235</v>
      </c>
      <c r="G53" s="23" t="n">
        <f t="shared" si="2"/>
        <v>0</v>
      </c>
      <c r="H53" s="23"/>
      <c r="I53" s="23" t="n">
        <v>1576</v>
      </c>
      <c r="J53" s="23" t="n">
        <f>MAX(HormonalIUDtable[[#This Row],[Stock on hand(opening balance)]]+HormonalIUDtable[[#This Row],[Quantity ]]-HormonalIUDtable[[#This Row],[Forecasted consumption]],0)</f>
        <v>0</v>
      </c>
      <c r="K53" s="2"/>
      <c r="L53" s="2"/>
      <c r="M53" s="2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HormonalIUDtable[[#This Row],[Closing balance ]]/HormonalIUDtable[[#This Row],[Forecasted consumption]]</f>
        <v>0</v>
      </c>
      <c r="X53" s="25"/>
    </row>
    <row r="54">
      <c r="B54" s="6" t="s">
        <v>76</v>
      </c>
      <c r="C54" s="17" t="s">
        <v>47</v>
      </c>
      <c r="D54" s="17" t="s">
        <v>48</v>
      </c>
      <c r="E54" s="18" t="s">
        <v>31</v>
      </c>
      <c r="F54" s="19" t="n">
        <v>46266</v>
      </c>
      <c r="G54" s="23" t="n">
        <f t="shared" si="2"/>
        <v>0</v>
      </c>
      <c r="H54" s="23"/>
      <c r="I54" s="23" t="n">
        <v>1576</v>
      </c>
      <c r="J54" s="23" t="n">
        <f>MAX(HormonalIUDtable[[#This Row],[Stock on hand(opening balance)]]+HormonalIUDtable[[#This Row],[Quantity ]]-HormonalIUDtable[[#This Row],[Forecasted consumption]],0)</f>
        <v>0</v>
      </c>
      <c r="K54" s="2"/>
      <c r="L54" s="2"/>
      <c r="M54" s="2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HormonalIUDtable[[#This Row],[Closing balance ]]/HormonalIUDtable[[#This Row],[Forecasted consumption]]</f>
        <v>0</v>
      </c>
      <c r="X54" s="25"/>
    </row>
    <row r="55">
      <c r="B55" s="6" t="s">
        <v>76</v>
      </c>
      <c r="C55" s="17" t="s">
        <v>47</v>
      </c>
      <c r="D55" s="17" t="s">
        <v>48</v>
      </c>
      <c r="E55" s="18" t="s">
        <v>31</v>
      </c>
      <c r="F55" s="19" t="n">
        <v>46296</v>
      </c>
      <c r="G55" s="23" t="n">
        <f t="shared" si="2"/>
        <v>0</v>
      </c>
      <c r="H55" s="23"/>
      <c r="I55" s="23" t="n">
        <v>1576</v>
      </c>
      <c r="J55" s="23" t="n">
        <f>MAX(HormonalIUDtable[[#This Row],[Stock on hand(opening balance)]]+HormonalIUDtable[[#This Row],[Quantity ]]-HormonalIUDtable[[#This Row],[Forecasted consumption]],0)</f>
        <v>0</v>
      </c>
      <c r="K55" s="2"/>
      <c r="L55" s="2"/>
      <c r="M55" s="2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HormonalIUDtable[[#This Row],[Closing balance ]]/HormonalIUDtable[[#This Row],[Forecasted consumption]]</f>
        <v>0</v>
      </c>
      <c r="X55" s="25"/>
    </row>
    <row r="56">
      <c r="B56" s="6" t="s">
        <v>76</v>
      </c>
      <c r="C56" s="17" t="s">
        <v>47</v>
      </c>
      <c r="D56" s="17" t="s">
        <v>48</v>
      </c>
      <c r="E56" s="18" t="s">
        <v>31</v>
      </c>
      <c r="F56" s="19" t="n">
        <v>46327</v>
      </c>
      <c r="G56" s="23" t="n">
        <f t="shared" si="2"/>
        <v>0</v>
      </c>
      <c r="H56" s="23"/>
      <c r="I56" s="23" t="n">
        <v>1576</v>
      </c>
      <c r="J56" s="23" t="n">
        <f>MAX(HormonalIUDtable[[#This Row],[Stock on hand(opening balance)]]+HormonalIUDtable[[#This Row],[Quantity ]]-HormonalIUDtable[[#This Row],[Forecasted consumption]],0)</f>
        <v>0</v>
      </c>
      <c r="K56" s="2"/>
      <c r="L56" s="2"/>
      <c r="M56" s="2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HormonalIUDtable[[#This Row],[Closing balance ]]/HormonalIUDtable[[#This Row],[Forecasted consumption]]</f>
        <v>0</v>
      </c>
      <c r="X56" s="25"/>
    </row>
    <row r="57">
      <c r="B57" s="6" t="s">
        <v>76</v>
      </c>
      <c r="C57" s="17" t="s">
        <v>47</v>
      </c>
      <c r="D57" s="17" t="s">
        <v>48</v>
      </c>
      <c r="E57" s="18" t="s">
        <v>31</v>
      </c>
      <c r="F57" s="19" t="n">
        <v>46357</v>
      </c>
      <c r="G57" s="23" t="n">
        <f t="shared" si="2"/>
        <v>0</v>
      </c>
      <c r="H57" s="23"/>
      <c r="I57" s="23" t="n">
        <v>1576</v>
      </c>
      <c r="J57" s="23" t="n">
        <f>MAX(HormonalIUDtable[[#This Row],[Stock on hand(opening balance)]]+HormonalIUDtable[[#This Row],[Quantity ]]-HormonalIUDtable[[#This Row],[Forecasted consumption]],0)</f>
        <v>0</v>
      </c>
      <c r="K57" s="2"/>
      <c r="L57" s="2"/>
      <c r="M57" s="2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HormonalIUDtable[[#This Row],[Closing balance ]]/HormonalIUDtable[[#This Row],[Forecasted consumption]]</f>
        <v>0</v>
      </c>
      <c r="X57" s="25"/>
    </row>
    <row r="58">
      <c r="B58" s="6" t="s">
        <v>166</v>
      </c>
      <c r="C58" s="17" t="s">
        <v>47</v>
      </c>
      <c r="D58" s="17" t="s">
        <v>48</v>
      </c>
      <c r="E58" s="18" t="s">
        <v>31</v>
      </c>
      <c r="F58" s="19" t="n">
        <v>45748</v>
      </c>
      <c r="G58" s="20" t="n">
        <v>0</v>
      </c>
      <c r="H58" s="20"/>
      <c r="I58" s="20" t="n">
        <v>61</v>
      </c>
      <c r="J58" s="20" t="n">
        <f>MAX(HormonalIUDtable[[#This Row],[Stock on hand(opening balance)]]+HormonalIUDtable[[#This Row],[Quantity ]]-HormonalIUDtable[[#This Row],[Forecasted consumption]],0)</f>
        <v>0</v>
      </c>
      <c r="K58" s="18"/>
      <c r="L58" s="18"/>
      <c r="M58" s="18"/>
      <c r="N58" s="20"/>
      <c r="O58" s="18"/>
      <c r="P58" s="20"/>
      <c r="Q58" s="19"/>
      <c r="R58" s="18"/>
      <c r="S58" s="18"/>
      <c r="T58" s="18" t="n">
        <v>9</v>
      </c>
      <c r="U58" s="18" t="n">
        <v>15</v>
      </c>
      <c r="V58" s="18" t="n">
        <v>15</v>
      </c>
      <c r="W58" s="21" t="n">
        <f>HormonalIUDtable[[#This Row],[Closing balance ]]/HormonalIUDtable[[#This Row],[Forecasted consumption]]</f>
        <v>0</v>
      </c>
      <c r="X58" s="22"/>
    </row>
    <row r="59">
      <c r="B59" s="6" t="s">
        <v>166</v>
      </c>
      <c r="C59" s="17" t="s">
        <v>47</v>
      </c>
      <c r="D59" s="17" t="s">
        <v>48</v>
      </c>
      <c r="E59" s="18" t="s">
        <v>31</v>
      </c>
      <c r="F59" s="19" t="n">
        <v>45778</v>
      </c>
      <c r="G59" s="23" t="n">
        <f>J58</f>
        <v>0</v>
      </c>
      <c r="H59" s="23"/>
      <c r="I59" s="20" t="n">
        <v>61</v>
      </c>
      <c r="J59" s="23" t="n">
        <f>MAX(HormonalIUDtable[[#This Row],[Stock on hand(opening balance)]]+HormonalIUDtable[[#This Row],[Quantity ]]-HormonalIUDtable[[#This Row],[Forecasted consumption]],0)</f>
        <v>0</v>
      </c>
      <c r="K59" s="2"/>
      <c r="L59" s="2"/>
      <c r="M59" s="2"/>
      <c r="N59" s="23"/>
      <c r="O59" s="2"/>
      <c r="P59" s="20"/>
      <c r="Q59" s="24"/>
      <c r="R59" s="2"/>
      <c r="S59" s="2"/>
      <c r="T59" s="18" t="n">
        <v>9</v>
      </c>
      <c r="U59" s="18" t="n">
        <v>15</v>
      </c>
      <c r="V59" s="18" t="n">
        <v>15</v>
      </c>
      <c r="W59" s="3" t="n">
        <f>HormonalIUDtable[[#This Row],[Closing balance ]]/HormonalIUDtable[[#This Row],[Forecasted consumption]]</f>
        <v>0</v>
      </c>
      <c r="X59" s="25"/>
    </row>
    <row r="60">
      <c r="B60" s="6" t="s">
        <v>166</v>
      </c>
      <c r="C60" s="17" t="s">
        <v>47</v>
      </c>
      <c r="D60" s="17" t="s">
        <v>48</v>
      </c>
      <c r="E60" s="18" t="s">
        <v>31</v>
      </c>
      <c r="F60" s="19" t="n">
        <v>45809</v>
      </c>
      <c r="G60" s="23" t="n">
        <f t="shared" ref="G60:G66" si="3">J59</f>
        <v>0</v>
      </c>
      <c r="H60" s="23"/>
      <c r="I60" s="20" t="n">
        <v>61</v>
      </c>
      <c r="J60" s="23" t="n">
        <f>MAX(HormonalIUDtable[[#This Row],[Stock on hand(opening balance)]]+HormonalIUDtable[[#This Row],[Quantity ]]-HormonalIUDtable[[#This Row],[Forecasted consumption]],0)</f>
        <v>0</v>
      </c>
      <c r="K60" s="2"/>
      <c r="L60" s="2"/>
      <c r="M60" s="2"/>
      <c r="N60" s="23"/>
      <c r="O60" s="2"/>
      <c r="P60" s="20"/>
      <c r="Q60" s="24"/>
      <c r="R60" s="2"/>
      <c r="S60" s="2"/>
      <c r="T60" s="18" t="n">
        <v>9</v>
      </c>
      <c r="U60" s="18" t="n">
        <v>15</v>
      </c>
      <c r="V60" s="18" t="n">
        <v>15</v>
      </c>
      <c r="W60" s="3" t="n">
        <f>HormonalIUDtable[[#This Row],[Closing balance ]]/HormonalIUDtable[[#This Row],[Forecasted consumption]]</f>
        <v>0</v>
      </c>
      <c r="X60" s="25"/>
    </row>
    <row r="61">
      <c r="B61" s="6" t="s">
        <v>166</v>
      </c>
      <c r="C61" s="17" t="s">
        <v>47</v>
      </c>
      <c r="D61" s="17" t="s">
        <v>48</v>
      </c>
      <c r="E61" s="18" t="s">
        <v>31</v>
      </c>
      <c r="F61" s="19" t="n">
        <v>45839</v>
      </c>
      <c r="G61" s="23" t="n">
        <f t="shared" si="3"/>
        <v>0</v>
      </c>
      <c r="H61" s="23"/>
      <c r="I61" s="20" t="n">
        <v>61</v>
      </c>
      <c r="J61" s="23" t="n">
        <f>MAX(HormonalIUDtable[[#This Row],[Stock on hand(opening balance)]]+HormonalIUDtable[[#This Row],[Quantity ]]-HormonalIUDtable[[#This Row],[Forecasted consumption]],0)</f>
        <v>0</v>
      </c>
      <c r="K61" s="2"/>
      <c r="L61" s="2"/>
      <c r="M61" s="2"/>
      <c r="N61" s="23"/>
      <c r="O61" s="2"/>
      <c r="P61" s="20"/>
      <c r="Q61" s="24"/>
      <c r="R61" s="2"/>
      <c r="S61" s="2"/>
      <c r="T61" s="18" t="n">
        <v>9</v>
      </c>
      <c r="U61" s="18" t="n">
        <v>15</v>
      </c>
      <c r="V61" s="18" t="n">
        <v>15</v>
      </c>
      <c r="W61" s="3" t="n">
        <f>HormonalIUDtable[[#This Row],[Closing balance ]]/HormonalIUDtable[[#This Row],[Forecasted consumption]]</f>
        <v>0</v>
      </c>
      <c r="X61" s="25"/>
    </row>
    <row r="62">
      <c r="B62" s="6" t="s">
        <v>166</v>
      </c>
      <c r="C62" s="17" t="s">
        <v>47</v>
      </c>
      <c r="D62" s="17" t="s">
        <v>48</v>
      </c>
      <c r="E62" s="18" t="s">
        <v>31</v>
      </c>
      <c r="F62" s="19" t="n">
        <v>45870</v>
      </c>
      <c r="G62" s="23" t="n">
        <f t="shared" si="3"/>
        <v>0</v>
      </c>
      <c r="H62" s="23"/>
      <c r="I62" s="20" t="n">
        <v>61</v>
      </c>
      <c r="J62" s="23" t="n">
        <f>MAX(HormonalIUDtable[[#This Row],[Stock on hand(opening balance)]]+HormonalIUDtable[[#This Row],[Quantity ]]-HormonalIUDtable[[#This Row],[Forecasted consumption]],0)</f>
        <v>0</v>
      </c>
      <c r="K62" s="2"/>
      <c r="L62" s="2"/>
      <c r="M62" s="2"/>
      <c r="N62" s="23"/>
      <c r="O62" s="2"/>
      <c r="P62" s="20"/>
      <c r="Q62" s="24"/>
      <c r="R62" s="2"/>
      <c r="S62" s="2"/>
      <c r="T62" s="18" t="n">
        <v>9</v>
      </c>
      <c r="U62" s="18" t="n">
        <v>15</v>
      </c>
      <c r="V62" s="18" t="n">
        <v>15</v>
      </c>
      <c r="W62" s="3" t="n">
        <f>HormonalIUDtable[[#This Row],[Closing balance ]]/HormonalIUDtable[[#This Row],[Forecasted consumption]]</f>
        <v>0</v>
      </c>
      <c r="X62" s="25"/>
    </row>
    <row r="63">
      <c r="B63" s="6" t="s">
        <v>166</v>
      </c>
      <c r="C63" s="17" t="s">
        <v>47</v>
      </c>
      <c r="D63" s="17" t="s">
        <v>48</v>
      </c>
      <c r="E63" s="18" t="s">
        <v>31</v>
      </c>
      <c r="F63" s="19" t="n">
        <v>45901</v>
      </c>
      <c r="G63" s="23" t="n">
        <f t="shared" si="3"/>
        <v>0</v>
      </c>
      <c r="H63" s="23"/>
      <c r="I63" s="20" t="n">
        <v>61</v>
      </c>
      <c r="J63" s="23" t="n">
        <f>MAX(HormonalIUDtable[[#This Row],[Stock on hand(opening balance)]]+HormonalIUDtable[[#This Row],[Quantity ]]-HormonalIUDtable[[#This Row],[Forecasted consumption]],0)</f>
        <v>0</v>
      </c>
      <c r="K63" s="2"/>
      <c r="L63" s="2"/>
      <c r="M63" s="2"/>
      <c r="N63" s="23"/>
      <c r="O63" s="2"/>
      <c r="P63" s="20"/>
      <c r="Q63" s="24"/>
      <c r="R63" s="2"/>
      <c r="S63" s="2"/>
      <c r="T63" s="18" t="n">
        <v>9</v>
      </c>
      <c r="U63" s="18" t="n">
        <v>15</v>
      </c>
      <c r="V63" s="18" t="n">
        <v>15</v>
      </c>
      <c r="W63" s="3" t="n">
        <f>HormonalIUDtable[[#This Row],[Closing balance ]]/HormonalIUDtable[[#This Row],[Forecasted consumption]]</f>
        <v>0</v>
      </c>
      <c r="X63" s="25"/>
    </row>
    <row r="64">
      <c r="B64" s="6" t="s">
        <v>166</v>
      </c>
      <c r="C64" s="17" t="s">
        <v>47</v>
      </c>
      <c r="D64" s="17" t="s">
        <v>48</v>
      </c>
      <c r="E64" s="18" t="s">
        <v>31</v>
      </c>
      <c r="F64" s="19" t="n">
        <v>45931</v>
      </c>
      <c r="G64" s="23" t="n">
        <f t="shared" si="3"/>
        <v>0</v>
      </c>
      <c r="H64" s="23"/>
      <c r="I64" s="20" t="n">
        <v>61</v>
      </c>
      <c r="J64" s="23" t="n">
        <f>MAX(HormonalIUDtable[[#This Row],[Stock on hand(opening balance)]]+HormonalIUDtable[[#This Row],[Quantity ]]-HormonalIUDtable[[#This Row],[Forecasted consumption]],0)</f>
        <v>0</v>
      </c>
      <c r="K64" s="2"/>
      <c r="L64" s="2"/>
      <c r="M64" s="2"/>
      <c r="N64" s="23"/>
      <c r="O64" s="2"/>
      <c r="P64" s="20"/>
      <c r="Q64" s="24"/>
      <c r="R64" s="2"/>
      <c r="S64" s="2"/>
      <c r="T64" s="18" t="n">
        <v>9</v>
      </c>
      <c r="U64" s="18" t="n">
        <v>15</v>
      </c>
      <c r="V64" s="18" t="n">
        <v>15</v>
      </c>
      <c r="W64" s="3" t="n">
        <f>HormonalIUDtable[[#This Row],[Closing balance ]]/HormonalIUDtable[[#This Row],[Forecasted consumption]]</f>
        <v>0</v>
      </c>
      <c r="X64" s="25"/>
    </row>
    <row r="65">
      <c r="B65" s="6" t="s">
        <v>166</v>
      </c>
      <c r="C65" s="17" t="s">
        <v>47</v>
      </c>
      <c r="D65" s="17" t="s">
        <v>48</v>
      </c>
      <c r="E65" s="18" t="s">
        <v>31</v>
      </c>
      <c r="F65" s="19" t="n">
        <v>45962</v>
      </c>
      <c r="G65" s="23" t="n">
        <f t="shared" si="3"/>
        <v>0</v>
      </c>
      <c r="H65" s="23"/>
      <c r="I65" s="20" t="n">
        <v>61</v>
      </c>
      <c r="J65" s="23" t="n">
        <f>MAX(HormonalIUDtable[[#This Row],[Stock on hand(opening balance)]]+HormonalIUDtable[[#This Row],[Quantity ]]-HormonalIUDtable[[#This Row],[Forecasted consumption]],0)</f>
        <v>0</v>
      </c>
      <c r="K65" s="2"/>
      <c r="L65" s="2"/>
      <c r="M65" s="2"/>
      <c r="N65" s="23"/>
      <c r="O65" s="2"/>
      <c r="P65" s="20"/>
      <c r="Q65" s="24"/>
      <c r="R65" s="2"/>
      <c r="S65" s="2"/>
      <c r="T65" s="18" t="n">
        <v>9</v>
      </c>
      <c r="U65" s="18" t="n">
        <v>15</v>
      </c>
      <c r="V65" s="18" t="n">
        <v>15</v>
      </c>
      <c r="W65" s="3" t="n">
        <f>HormonalIUDtable[[#This Row],[Closing balance ]]/HormonalIUDtable[[#This Row],[Forecasted consumption]]</f>
        <v>0</v>
      </c>
      <c r="X65" s="25"/>
    </row>
    <row r="66">
      <c r="B66" s="6" t="s">
        <v>166</v>
      </c>
      <c r="C66" s="17" t="s">
        <v>47</v>
      </c>
      <c r="D66" s="17" t="s">
        <v>48</v>
      </c>
      <c r="E66" s="18" t="s">
        <v>31</v>
      </c>
      <c r="F66" s="19" t="n">
        <v>45992</v>
      </c>
      <c r="G66" s="23" t="n">
        <f t="shared" si="3"/>
        <v>0</v>
      </c>
      <c r="H66" s="23"/>
      <c r="I66" s="20" t="n">
        <v>61</v>
      </c>
      <c r="J66" s="23" t="n">
        <f>MAX(HormonalIUDtable[[#This Row],[Stock on hand(opening balance)]]+HormonalIUDtable[[#This Row],[Quantity ]]-HormonalIUDtable[[#This Row],[Forecasted consumption]],0)</f>
        <v>0</v>
      </c>
      <c r="K66" s="2"/>
      <c r="L66" s="2"/>
      <c r="M66" s="2"/>
      <c r="N66" s="23"/>
      <c r="O66" s="2"/>
      <c r="P66" s="20"/>
      <c r="Q66" s="24"/>
      <c r="R66" s="2"/>
      <c r="S66" s="2"/>
      <c r="T66" s="18" t="n">
        <v>9</v>
      </c>
      <c r="U66" s="18" t="n">
        <v>15</v>
      </c>
      <c r="V66" s="18" t="n">
        <v>15</v>
      </c>
      <c r="W66" s="3" t="n">
        <f>HormonalIUDtable[[#This Row],[Closing balance ]]/HormonalIUDtable[[#This Row],[Forecasted consumption]]</f>
        <v>0</v>
      </c>
      <c r="X66" s="25"/>
    </row>
  </sheetData>
  <dataValidations count="3">
    <dataValidation type="list" allowBlank="1" showInputMessage="1" showErrorMessage="1" sqref="E7:E66" xr:uid="{26F020C1-FD35-4AAB-8C94-5DE11BE02350}">
      <formula1>"All levels, Central, Central and Regional, Facilities "</formula1>
    </dataValidation>
    <dataValidation type="list" allowBlank="1" showInputMessage="1" showErrorMessage="1" sqref="M7:M18" xr:uid="{B9C7B527-94A5-43F4-B6F7-BB5C5758E657}">
      <formula1>"Committed,  Planned, Placed, Expected Deliveries, Received, cancelled"</formula1>
    </dataValidation>
    <dataValidation type="list" allowBlank="1" showInputMessage="1" showErrorMessage="1" sqref="M19:M154" xr:uid="{45508F6D-A76B-4E18-92AC-3450644B9087}">
      <formula1>"Committed, 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6913F76-00C4-45F8-98D0-CB26C9F12A42}">
          <x14:formula1>
            <xm:f>'product list '!$A$41</xm:f>
          </x14:formula1>
          <xm:sqref>C7:C66</xm:sqref>
        </x14:dataValidation>
        <x14:dataValidation type="list" allowBlank="1" showInputMessage="1" showErrorMessage="1" xr:uid="{902F29C4-8364-4999-B6E5-CB5EF9915B5D}">
          <x14:formula1>
            <xm:f>'choices countries '!$B$3:$B$12</xm:f>
          </x14:formula1>
          <xm:sqref>B7:B57 B67:B455</xm:sqref>
        </x14:dataValidation>
        <x14:dataValidation type="list" allowBlank="1" showInputMessage="1" showErrorMessage="1" xr:uid="{E76B2D70-7042-481A-81A3-A742046AEF8A}">
          <x14:formula1>
            <xm:f>'choices countries '!$B$3:$B$15</xm:f>
          </x14:formula1>
          <xm:sqref>B58:B66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49</v>
      </c>
      <c r="D7" s="17" t="s">
        <v>50</v>
      </c>
      <c r="E7" s="18" t="s">
        <v>31</v>
      </c>
      <c r="F7" s="19" t="n">
        <v>45839</v>
      </c>
      <c r="G7" s="20" t="n">
        <v>369278</v>
      </c>
      <c r="H7" s="20"/>
      <c r="I7" s="20" t="n">
        <v>94644</v>
      </c>
      <c r="J7" s="20" t="n">
        <f>MAX(COCtable[[#This Row],[Stock on hand(opening balance)]]+COCtable[[#This Row],[Quantity ]]-COCtable[[#This Row],[Forecasted consumption]],0)</f>
        <v>274634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COCtable[[#This Row],[Closing balance ]]/COCtable[[#This Row],[Forecasted consumption]]</f>
        <v>2.901758167448544</v>
      </c>
      <c r="X7" s="22"/>
    </row>
    <row r="8">
      <c r="B8" s="6" t="s">
        <v>28</v>
      </c>
      <c r="C8" s="17" t="s">
        <v>49</v>
      </c>
      <c r="D8" s="17" t="s">
        <v>50</v>
      </c>
      <c r="E8" s="18" t="s">
        <v>31</v>
      </c>
      <c r="F8" s="19" t="n">
        <v>45870</v>
      </c>
      <c r="G8" s="23" t="n">
        <f>J7</f>
        <v>274634</v>
      </c>
      <c r="H8" s="23"/>
      <c r="I8" s="20" t="n">
        <v>94644</v>
      </c>
      <c r="J8" s="23" t="n">
        <f>MAX(COCtable[[#This Row],[Stock on hand(opening balance)]]+COCtable[[#This Row],[Quantity ]]-COCtable[[#This Row],[Forecasted consumption]],0)</f>
        <v>698529</v>
      </c>
      <c r="K8" s="2" t="s">
        <v>51</v>
      </c>
      <c r="L8" s="2" t="s">
        <v>51</v>
      </c>
      <c r="M8" s="18" t="s">
        <v>4</v>
      </c>
      <c r="N8" s="23" t="n">
        <v>518539</v>
      </c>
      <c r="O8" s="2"/>
      <c r="P8" s="20" t="n">
        <v>136894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COCtable[[#This Row],[Closing balance ]]/COCtable[[#This Row],[Forecasted consumption]]</f>
        <v>7.3805946494231014</v>
      </c>
      <c r="X8" s="25"/>
    </row>
    <row r="9">
      <c r="B9" s="6" t="s">
        <v>28</v>
      </c>
      <c r="C9" s="17" t="s">
        <v>49</v>
      </c>
      <c r="D9" s="17" t="s">
        <v>50</v>
      </c>
      <c r="E9" s="18" t="s">
        <v>31</v>
      </c>
      <c r="F9" s="19" t="n">
        <v>45901</v>
      </c>
      <c r="G9" s="23" t="n">
        <f t="shared" ref="G9:G18" si="0">J8</f>
        <v>698529</v>
      </c>
      <c r="H9" s="23"/>
      <c r="I9" s="20" t="n">
        <v>94644</v>
      </c>
      <c r="J9" s="23" t="n">
        <f>MAX(COCtable[[#This Row],[Stock on hand(opening balance)]]+COCtable[[#This Row],[Quantity ]]-COCtable[[#This Row],[Forecasted consumption]],0)</f>
        <v>603885</v>
      </c>
      <c r="K9" s="2"/>
      <c r="L9" s="2"/>
      <c r="M9" s="18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COCtable[[#This Row],[Closing balance ]]/COCtable[[#This Row],[Forecasted consumption]]</f>
        <v>6.3805946494231014</v>
      </c>
      <c r="X9" s="25"/>
    </row>
    <row r="10">
      <c r="B10" s="6" t="s">
        <v>28</v>
      </c>
      <c r="C10" s="17" t="s">
        <v>49</v>
      </c>
      <c r="D10" s="17" t="s">
        <v>50</v>
      </c>
      <c r="E10" s="18" t="s">
        <v>31</v>
      </c>
      <c r="F10" s="19" t="n">
        <v>45931</v>
      </c>
      <c r="G10" s="23" t="n">
        <f t="shared" si="0"/>
        <v>603885</v>
      </c>
      <c r="H10" s="23"/>
      <c r="I10" s="20" t="n">
        <v>94644</v>
      </c>
      <c r="J10" s="23" t="n">
        <f>MAX(COCtable[[#This Row],[Stock on hand(opening balance)]]+COCtable[[#This Row],[Quantity ]]-COCtable[[#This Row],[Forecasted consumption]],0)</f>
        <v>509241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COCtable[[#This Row],[Closing balance ]]/COCtable[[#This Row],[Forecasted consumption]]</f>
        <v>5.3805946494231014</v>
      </c>
      <c r="X10" s="25"/>
    </row>
    <row r="11">
      <c r="B11" s="6" t="s">
        <v>28</v>
      </c>
      <c r="C11" s="17" t="s">
        <v>49</v>
      </c>
      <c r="D11" s="17" t="s">
        <v>50</v>
      </c>
      <c r="E11" s="18" t="s">
        <v>31</v>
      </c>
      <c r="F11" s="19" t="n">
        <v>45962</v>
      </c>
      <c r="G11" s="23" t="n">
        <f t="shared" si="0"/>
        <v>509241</v>
      </c>
      <c r="H11" s="23"/>
      <c r="I11" s="20" t="n">
        <v>94644</v>
      </c>
      <c r="J11" s="23" t="n">
        <f>MAX(COCtable[[#This Row],[Stock on hand(opening balance)]]+COCtable[[#This Row],[Quantity ]]-COCtable[[#This Row],[Forecasted consumption]],0)</f>
        <v>414597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COCtable[[#This Row],[Closing balance ]]/COCtable[[#This Row],[Forecasted consumption]]</f>
        <v>4.3805946494231014</v>
      </c>
      <c r="X11" s="25"/>
    </row>
    <row r="12">
      <c r="B12" s="6" t="s">
        <v>28</v>
      </c>
      <c r="C12" s="17" t="s">
        <v>49</v>
      </c>
      <c r="D12" s="17" t="s">
        <v>50</v>
      </c>
      <c r="E12" s="18" t="s">
        <v>31</v>
      </c>
      <c r="F12" s="19" t="n">
        <v>45992</v>
      </c>
      <c r="G12" s="23" t="n">
        <f t="shared" si="0"/>
        <v>414597</v>
      </c>
      <c r="H12" s="23"/>
      <c r="I12" s="20" t="n">
        <v>94644</v>
      </c>
      <c r="J12" s="23" t="n">
        <f>MAX(COCtable[[#This Row],[Stock on hand(opening balance)]]+COCtable[[#This Row],[Quantity ]]-COCtable[[#This Row],[Forecasted consumption]],0)</f>
        <v>319953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COCtable[[#This Row],[Closing balance ]]/COCtable[[#This Row],[Forecasted consumption]]</f>
        <v>3.3805946494231014</v>
      </c>
      <c r="X12" s="25"/>
    </row>
    <row r="13">
      <c r="B13" s="6" t="s">
        <v>28</v>
      </c>
      <c r="C13" s="17" t="s">
        <v>49</v>
      </c>
      <c r="D13" s="17" t="s">
        <v>50</v>
      </c>
      <c r="E13" s="18" t="s">
        <v>31</v>
      </c>
      <c r="F13" s="19" t="n">
        <v>46023</v>
      </c>
      <c r="G13" s="23" t="n">
        <f t="shared" si="0"/>
        <v>319953</v>
      </c>
      <c r="H13" s="23"/>
      <c r="I13" s="20" t="n">
        <v>94644</v>
      </c>
      <c r="J13" s="23" t="n">
        <f>MAX(COCtable[[#This Row],[Stock on hand(opening balance)]]+COCtable[[#This Row],[Quantity ]]-COCtable[[#This Row],[Forecasted consumption]],0)</f>
        <v>733789</v>
      </c>
      <c r="K13" s="2" t="s">
        <v>2</v>
      </c>
      <c r="L13" s="2" t="s">
        <v>2</v>
      </c>
      <c r="M13" s="18" t="s">
        <v>4</v>
      </c>
      <c r="N13" s="23" t="n">
        <v>508480</v>
      </c>
      <c r="O13" s="2"/>
      <c r="P13" s="20" t="n">
        <v>134239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COCtable[[#This Row],[Closing balance ]]/COCtable[[#This Row],[Forecasted consumption]]</f>
        <v>7.7531486412239552</v>
      </c>
      <c r="X13" s="25"/>
    </row>
    <row r="14">
      <c r="B14" s="6" t="s">
        <v>28</v>
      </c>
      <c r="C14" s="17" t="s">
        <v>49</v>
      </c>
      <c r="D14" s="17" t="s">
        <v>50</v>
      </c>
      <c r="E14" s="18" t="s">
        <v>31</v>
      </c>
      <c r="F14" s="19" t="n">
        <v>46054</v>
      </c>
      <c r="G14" s="23" t="n">
        <f t="shared" si="0"/>
        <v>733789</v>
      </c>
      <c r="H14" s="23"/>
      <c r="I14" s="20" t="n">
        <v>94644</v>
      </c>
      <c r="J14" s="23" t="n">
        <f>MAX(COCtable[[#This Row],[Stock on hand(opening balance)]]+COCtable[[#This Row],[Quantity ]]-COCtable[[#This Row],[Forecasted consumption]],0)</f>
        <v>639145</v>
      </c>
      <c r="K14" s="2"/>
      <c r="L14" s="2"/>
      <c r="M14" s="18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COCtable[[#This Row],[Closing balance ]]/COCtable[[#This Row],[Forecasted consumption]]</f>
        <v>6.7531486412239552</v>
      </c>
      <c r="X14" s="25"/>
    </row>
    <row r="15">
      <c r="B15" s="6" t="s">
        <v>28</v>
      </c>
      <c r="C15" s="17" t="s">
        <v>49</v>
      </c>
      <c r="D15" s="17" t="s">
        <v>50</v>
      </c>
      <c r="E15" s="18" t="s">
        <v>31</v>
      </c>
      <c r="F15" s="19" t="n">
        <v>46082</v>
      </c>
      <c r="G15" s="23" t="n">
        <f t="shared" si="0"/>
        <v>639145</v>
      </c>
      <c r="H15" s="23"/>
      <c r="I15" s="20" t="n">
        <v>94644</v>
      </c>
      <c r="J15" s="23" t="n">
        <f>MAX(COCtable[[#This Row],[Stock on hand(opening balance)]]+COCtable[[#This Row],[Quantity ]]-COCtable[[#This Row],[Forecasted consumption]],0)</f>
        <v>544501</v>
      </c>
      <c r="K15" s="2"/>
      <c r="L15" s="2"/>
      <c r="M15" s="18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COCtable[[#This Row],[Closing balance ]]/COCtable[[#This Row],[Forecasted consumption]]</f>
        <v>5.7531486412239552</v>
      </c>
      <c r="X15" s="25"/>
    </row>
    <row r="16">
      <c r="B16" s="6" t="s">
        <v>28</v>
      </c>
      <c r="C16" s="17" t="s">
        <v>49</v>
      </c>
      <c r="D16" s="17" t="s">
        <v>50</v>
      </c>
      <c r="E16" s="18" t="s">
        <v>31</v>
      </c>
      <c r="F16" s="19" t="n">
        <v>46113</v>
      </c>
      <c r="G16" s="23" t="n">
        <f t="shared" si="0"/>
        <v>544501</v>
      </c>
      <c r="H16" s="23"/>
      <c r="I16" s="20" t="n">
        <v>94644</v>
      </c>
      <c r="J16" s="23" t="n">
        <f>MAX(COCtable[[#This Row],[Stock on hand(opening balance)]]+COCtable[[#This Row],[Quantity ]]-COCtable[[#This Row],[Forecasted consumption]],0)</f>
        <v>449857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COCtable[[#This Row],[Closing balance ]]/COCtable[[#This Row],[Forecasted consumption]]</f>
        <v>4.7531486412239552</v>
      </c>
      <c r="X16" s="25"/>
    </row>
    <row r="17">
      <c r="B17" s="6" t="s">
        <v>28</v>
      </c>
      <c r="C17" s="17" t="s">
        <v>49</v>
      </c>
      <c r="D17" s="17" t="s">
        <v>50</v>
      </c>
      <c r="E17" s="18" t="s">
        <v>31</v>
      </c>
      <c r="F17" s="19" t="n">
        <v>46143</v>
      </c>
      <c r="G17" s="23" t="n">
        <f t="shared" si="0"/>
        <v>449857</v>
      </c>
      <c r="H17" s="23"/>
      <c r="I17" s="20" t="n">
        <v>94644</v>
      </c>
      <c r="J17" s="23" t="n">
        <f>MAX(COCtable[[#This Row],[Stock on hand(opening balance)]]+COCtable[[#This Row],[Quantity ]]-COCtable[[#This Row],[Forecasted consumption]],0)</f>
        <v>355213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COCtable[[#This Row],[Closing balance ]]/COCtable[[#This Row],[Forecasted consumption]]</f>
        <v>3.7531486412239552</v>
      </c>
      <c r="X17" s="25"/>
    </row>
    <row r="18">
      <c r="B18" s="6" t="s">
        <v>28</v>
      </c>
      <c r="C18" s="17" t="s">
        <v>49</v>
      </c>
      <c r="D18" s="17" t="s">
        <v>50</v>
      </c>
      <c r="E18" s="18" t="s">
        <v>31</v>
      </c>
      <c r="F18" s="19" t="n">
        <v>46174</v>
      </c>
      <c r="G18" s="23" t="n">
        <f t="shared" si="0"/>
        <v>355213</v>
      </c>
      <c r="H18" s="23"/>
      <c r="I18" s="20" t="n">
        <v>94644</v>
      </c>
      <c r="J18" s="23" t="n">
        <f>MAX(COCtable[[#This Row],[Stock on hand(opening balance)]]+COCtable[[#This Row],[Quantity ]]-COCtable[[#This Row],[Forecasted consumption]],0)</f>
        <v>783151</v>
      </c>
      <c r="K18" s="2" t="s">
        <v>2</v>
      </c>
      <c r="L18" s="2" t="s">
        <v>2</v>
      </c>
      <c r="M18" s="18" t="s">
        <v>4</v>
      </c>
      <c r="N18" s="23" t="n">
        <v>522582</v>
      </c>
      <c r="O18" s="2"/>
      <c r="P18" s="20" t="n">
        <v>137962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COCtable[[#This Row],[Closing balance ]]/COCtable[[#This Row],[Forecasted consumption]]</f>
        <v>8.2747030979248546</v>
      </c>
      <c r="X18" s="25"/>
    </row>
    <row r="19">
      <c r="B19" s="6" t="s">
        <v>75</v>
      </c>
      <c r="C19" s="18" t="s">
        <v>125</v>
      </c>
      <c r="D19" s="17" t="s">
        <v>50</v>
      </c>
      <c r="E19" s="18" t="s">
        <v>31</v>
      </c>
      <c r="F19" s="19" t="n">
        <v>45748</v>
      </c>
      <c r="G19" s="20" t="n">
        <v>1382615</v>
      </c>
      <c r="H19" s="20"/>
      <c r="I19" s="20" t="n">
        <v>150366</v>
      </c>
      <c r="J19" s="20" t="n">
        <f>MAX(COCtable[[#This Row],[Stock on hand(opening balance)]]+COCtable[[#This Row],[Quantity ]]-COCtable[[#This Row],[Forecasted consumption]],0)</f>
        <v>1232249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COCtable[[#This Row],[Closing balance ]]/COCtable[[#This Row],[Forecasted consumption]]</f>
        <v>8.1949975393373506</v>
      </c>
      <c r="X19" s="22"/>
    </row>
    <row r="20">
      <c r="B20" s="6" t="s">
        <v>75</v>
      </c>
      <c r="C20" s="18" t="s">
        <v>125</v>
      </c>
      <c r="D20" s="17" t="s">
        <v>50</v>
      </c>
      <c r="E20" s="18" t="s">
        <v>31</v>
      </c>
      <c r="F20" s="19" t="n">
        <v>45778</v>
      </c>
      <c r="G20" s="23" t="n">
        <f>J19</f>
        <v>1232249</v>
      </c>
      <c r="H20" s="23"/>
      <c r="I20" s="23" t="n">
        <v>150778</v>
      </c>
      <c r="J20" s="23" t="n">
        <f>MAX(COCtable[[#This Row],[Stock on hand(opening balance)]]+COCtable[[#This Row],[Quantity ]]-COCtable[[#This Row],[Forecasted consumption]],0)</f>
        <v>1081471</v>
      </c>
      <c r="K20" s="2"/>
      <c r="L20" s="2"/>
      <c r="M20" s="18"/>
      <c r="N20" s="23"/>
      <c r="O20" s="2"/>
      <c r="P20" s="20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COCtable[[#This Row],[Closing balance ]]/COCtable[[#This Row],[Forecasted consumption]]</f>
        <v>7.1726047566621123</v>
      </c>
      <c r="X20" s="25"/>
    </row>
    <row r="21">
      <c r="B21" s="6" t="s">
        <v>75</v>
      </c>
      <c r="C21" s="18" t="s">
        <v>125</v>
      </c>
      <c r="D21" s="17" t="s">
        <v>50</v>
      </c>
      <c r="E21" s="18" t="s">
        <v>31</v>
      </c>
      <c r="F21" s="19" t="n">
        <v>45809</v>
      </c>
      <c r="G21" s="23" t="n">
        <f t="shared" ref="G21:G36" si="1">J20</f>
        <v>1081471</v>
      </c>
      <c r="H21" s="23"/>
      <c r="I21" s="23" t="n">
        <v>151190</v>
      </c>
      <c r="J21" s="23" t="n">
        <f>MAX(COCtable[[#This Row],[Stock on hand(opening balance)]]+COCtable[[#This Row],[Quantity ]]-COCtable[[#This Row],[Forecasted consumption]],0)</f>
        <v>930281</v>
      </c>
      <c r="K21" s="2"/>
      <c r="L21" s="2"/>
      <c r="M21" s="18"/>
      <c r="N21" s="23"/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COCtable[[#This Row],[Closing balance ]]/COCtable[[#This Row],[Forecasted consumption]]</f>
        <v>6.1530590647529602</v>
      </c>
      <c r="X21" s="25"/>
    </row>
    <row r="22">
      <c r="B22" s="6" t="s">
        <v>75</v>
      </c>
      <c r="C22" s="18" t="s">
        <v>125</v>
      </c>
      <c r="D22" s="17" t="s">
        <v>50</v>
      </c>
      <c r="E22" s="18" t="s">
        <v>31</v>
      </c>
      <c r="F22" s="19" t="n">
        <v>45839</v>
      </c>
      <c r="G22" s="23" t="n">
        <f t="shared" si="1"/>
        <v>930281</v>
      </c>
      <c r="H22" s="23"/>
      <c r="I22" s="23" t="n">
        <v>151602</v>
      </c>
      <c r="J22" s="23" t="n">
        <f>MAX(COCtable[[#This Row],[Stock on hand(opening balance)]]+COCtable[[#This Row],[Quantity ]]-COCtable[[#This Row],[Forecasted consumption]],0)</f>
        <v>778679</v>
      </c>
      <c r="K22" s="2"/>
      <c r="L22" s="2"/>
      <c r="M22" s="18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COCtable[[#This Row],[Closing balance ]]/COCtable[[#This Row],[Forecasted consumption]]</f>
        <v>5.136337251487447</v>
      </c>
      <c r="X22" s="25"/>
    </row>
    <row r="23">
      <c r="B23" s="6" t="s">
        <v>75</v>
      </c>
      <c r="C23" s="18" t="s">
        <v>125</v>
      </c>
      <c r="D23" s="17" t="s">
        <v>50</v>
      </c>
      <c r="E23" s="18" t="s">
        <v>31</v>
      </c>
      <c r="F23" s="19" t="n">
        <v>45870</v>
      </c>
      <c r="G23" s="23" t="n">
        <f t="shared" si="1"/>
        <v>778679</v>
      </c>
      <c r="H23" s="23"/>
      <c r="I23" s="23" t="n">
        <v>152014</v>
      </c>
      <c r="J23" s="23" t="n">
        <f>MAX(COCtable[[#This Row],[Stock on hand(opening balance)]]+COCtable[[#This Row],[Quantity ]]-COCtable[[#This Row],[Forecasted consumption]],0)</f>
        <v>626665</v>
      </c>
      <c r="K23" s="2"/>
      <c r="L23" s="2"/>
      <c r="M23" s="18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COCtable[[#This Row],[Closing balance ]]/COCtable[[#This Row],[Forecasted consumption]]</f>
        <v>4.1224163563882277</v>
      </c>
      <c r="X23" s="25"/>
    </row>
    <row r="24">
      <c r="B24" s="6" t="s">
        <v>75</v>
      </c>
      <c r="C24" s="18" t="s">
        <v>125</v>
      </c>
      <c r="D24" s="17" t="s">
        <v>50</v>
      </c>
      <c r="E24" s="18" t="s">
        <v>31</v>
      </c>
      <c r="F24" s="19" t="n">
        <v>45901</v>
      </c>
      <c r="G24" s="23" t="n">
        <f t="shared" si="1"/>
        <v>626665</v>
      </c>
      <c r="H24" s="23"/>
      <c r="I24" s="23" t="n">
        <v>152426</v>
      </c>
      <c r="J24" s="23" t="n">
        <f>MAX(COCtable[[#This Row],[Stock on hand(opening balance)]]+COCtable[[#This Row],[Quantity ]]-COCtable[[#This Row],[Forecasted consumption]],0)</f>
        <v>474239</v>
      </c>
      <c r="K24" s="2"/>
      <c r="L24" s="2"/>
      <c r="M24" s="18"/>
      <c r="N24" s="23"/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COCtable[[#This Row],[Closing balance ]]/COCtable[[#This Row],[Forecasted consumption]]</f>
        <v>3.1112736672221275</v>
      </c>
      <c r="X24" s="25"/>
    </row>
    <row r="25">
      <c r="B25" s="6" t="s">
        <v>75</v>
      </c>
      <c r="C25" s="18" t="s">
        <v>125</v>
      </c>
      <c r="D25" s="17" t="s">
        <v>50</v>
      </c>
      <c r="E25" s="18" t="s">
        <v>31</v>
      </c>
      <c r="F25" s="19" t="n">
        <v>45931</v>
      </c>
      <c r="G25" s="23" t="n">
        <f t="shared" si="1"/>
        <v>474239</v>
      </c>
      <c r="H25" s="23"/>
      <c r="I25" s="23" t="n">
        <v>152838</v>
      </c>
      <c r="J25" s="23" t="n">
        <f>MAX(COCtable[[#This Row],[Stock on hand(opening balance)]]+COCtable[[#This Row],[Quantity ]]-COCtable[[#This Row],[Forecasted consumption]],0)</f>
        <v>2283300</v>
      </c>
      <c r="K25" s="2"/>
      <c r="L25" s="2"/>
      <c r="M25" s="18" t="s">
        <v>4</v>
      </c>
      <c r="N25" s="23" t="n">
        <v>1961899</v>
      </c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COCtable[[#This Row],[Closing balance ]]/COCtable[[#This Row],[Forecasted consumption]]</f>
        <v>14.939347544458839</v>
      </c>
      <c r="X25" s="25"/>
    </row>
    <row r="26">
      <c r="B26" s="6" t="s">
        <v>75</v>
      </c>
      <c r="C26" s="18" t="s">
        <v>125</v>
      </c>
      <c r="D26" s="17" t="s">
        <v>50</v>
      </c>
      <c r="E26" s="18" t="s">
        <v>31</v>
      </c>
      <c r="F26" s="19" t="n">
        <v>45962</v>
      </c>
      <c r="G26" s="23" t="n">
        <f t="shared" si="1"/>
        <v>2283300</v>
      </c>
      <c r="H26" s="23"/>
      <c r="I26" s="23" t="n">
        <v>153250</v>
      </c>
      <c r="J26" s="23" t="n">
        <f>MAX(COCtable[[#This Row],[Stock on hand(opening balance)]]+COCtable[[#This Row],[Quantity ]]-COCtable[[#This Row],[Forecasted consumption]],0)</f>
        <v>2130050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COCtable[[#This Row],[Closing balance ]]/COCtable[[#This Row],[Forecasted consumption]]</f>
        <v>13.899184339314845</v>
      </c>
      <c r="X26" s="25"/>
    </row>
    <row r="27">
      <c r="B27" s="6" t="s">
        <v>75</v>
      </c>
      <c r="C27" s="18" t="s">
        <v>125</v>
      </c>
      <c r="D27" s="17" t="s">
        <v>50</v>
      </c>
      <c r="E27" s="18" t="s">
        <v>31</v>
      </c>
      <c r="F27" s="19" t="n">
        <v>45992</v>
      </c>
      <c r="G27" s="23" t="n">
        <f t="shared" si="1"/>
        <v>2130050</v>
      </c>
      <c r="H27" s="23"/>
      <c r="I27" s="23" t="n">
        <v>153662</v>
      </c>
      <c r="J27" s="23" t="n">
        <f>MAX(COCtable[[#This Row],[Stock on hand(opening balance)]]+COCtable[[#This Row],[Quantity ]]-COCtable[[#This Row],[Forecasted consumption]],0)</f>
        <v>1976388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COCtable[[#This Row],[Closing balance ]]/COCtable[[#This Row],[Forecasted consumption]]</f>
        <v>12.861917715505459</v>
      </c>
      <c r="X27" s="25"/>
    </row>
    <row r="28">
      <c r="B28" s="6" t="s">
        <v>75</v>
      </c>
      <c r="C28" s="18" t="s">
        <v>125</v>
      </c>
      <c r="D28" s="17" t="s">
        <v>50</v>
      </c>
      <c r="E28" s="18" t="s">
        <v>31</v>
      </c>
      <c r="F28" s="19" t="n">
        <v>46023</v>
      </c>
      <c r="G28" s="23" t="n">
        <f t="shared" si="1"/>
        <v>1976388</v>
      </c>
      <c r="H28" s="23"/>
      <c r="I28" s="23" t="n">
        <v>154074</v>
      </c>
      <c r="J28" s="23" t="n">
        <f>MAX(COCtable[[#This Row],[Stock on hand(opening balance)]]+COCtable[[#This Row],[Quantity ]]-COCtable[[#This Row],[Forecasted consumption]],0)</f>
        <v>1822314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COCtable[[#This Row],[Closing balance ]]/COCtable[[#This Row],[Forecasted consumption]]</f>
        <v>11.827524436309826</v>
      </c>
      <c r="X28" s="25"/>
    </row>
    <row r="29">
      <c r="B29" s="6" t="s">
        <v>75</v>
      </c>
      <c r="C29" s="18" t="s">
        <v>125</v>
      </c>
      <c r="D29" s="17" t="s">
        <v>50</v>
      </c>
      <c r="E29" s="18" t="s">
        <v>31</v>
      </c>
      <c r="F29" s="19" t="n">
        <v>46054</v>
      </c>
      <c r="G29" s="23" t="n">
        <f t="shared" si="1"/>
        <v>1822314</v>
      </c>
      <c r="H29" s="23"/>
      <c r="I29" s="23" t="n">
        <v>154486</v>
      </c>
      <c r="J29" s="23" t="n">
        <f>MAX(COCtable[[#This Row],[Stock on hand(opening balance)]]+COCtable[[#This Row],[Quantity ]]-COCtable[[#This Row],[Forecasted consumption]],0)</f>
        <v>1667828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COCtable[[#This Row],[Closing balance ]]/COCtable[[#This Row],[Forecasted consumption]]</f>
        <v>10.795981512887899</v>
      </c>
      <c r="X29" s="25"/>
    </row>
    <row r="30">
      <c r="B30" s="6" t="s">
        <v>75</v>
      </c>
      <c r="C30" s="18" t="s">
        <v>125</v>
      </c>
      <c r="D30" s="17" t="s">
        <v>50</v>
      </c>
      <c r="E30" s="18" t="s">
        <v>31</v>
      </c>
      <c r="F30" s="19" t="n">
        <v>46082</v>
      </c>
      <c r="G30" s="23" t="n">
        <f t="shared" si="1"/>
        <v>1667828</v>
      </c>
      <c r="H30" s="23"/>
      <c r="I30" s="23" t="n">
        <v>154898</v>
      </c>
      <c r="J30" s="23" t="n">
        <f>MAX(COCtable[[#This Row],[Stock on hand(opening balance)]]+COCtable[[#This Row],[Quantity ]]-COCtable[[#This Row],[Forecasted consumption]],0)</f>
        <v>1512930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COCtable[[#This Row],[Closing balance ]]/COCtable[[#This Row],[Forecasted consumption]]</f>
        <v>9.7672662009838724</v>
      </c>
      <c r="X30" s="25"/>
    </row>
    <row r="31">
      <c r="B31" s="6" t="s">
        <v>75</v>
      </c>
      <c r="C31" s="18" t="s">
        <v>125</v>
      </c>
      <c r="D31" s="17" t="s">
        <v>50</v>
      </c>
      <c r="E31" s="18" t="s">
        <v>31</v>
      </c>
      <c r="F31" s="19" t="n">
        <v>46113</v>
      </c>
      <c r="G31" s="23" t="n">
        <f t="shared" si="1"/>
        <v>1512930</v>
      </c>
      <c r="H31" s="23"/>
      <c r="I31" s="23" t="n">
        <v>155310</v>
      </c>
      <c r="J31" s="23" t="n">
        <f>MAX(COCtable[[#This Row],[Stock on hand(opening balance)]]+COCtable[[#This Row],[Quantity ]]-COCtable[[#This Row],[Forecasted consumption]],0)</f>
        <v>1357620</v>
      </c>
      <c r="K31" s="2"/>
      <c r="L31" s="2"/>
      <c r="M31" s="18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COCtable[[#This Row],[Closing balance ]]/COCtable[[#This Row],[Forecasted consumption]]</f>
        <v>8.7413559976820547</v>
      </c>
      <c r="X31" s="25"/>
    </row>
    <row r="32">
      <c r="B32" s="6" t="s">
        <v>75</v>
      </c>
      <c r="C32" s="18" t="s">
        <v>125</v>
      </c>
      <c r="D32" s="17" t="s">
        <v>50</v>
      </c>
      <c r="E32" s="18" t="s">
        <v>31</v>
      </c>
      <c r="F32" s="19" t="n">
        <v>46143</v>
      </c>
      <c r="G32" s="23" t="n">
        <f t="shared" si="1"/>
        <v>1357620</v>
      </c>
      <c r="H32" s="23"/>
      <c r="I32" s="23" t="n">
        <v>155722</v>
      </c>
      <c r="J32" s="23" t="n">
        <f>MAX(COCtable[[#This Row],[Stock on hand(opening balance)]]+COCtable[[#This Row],[Quantity ]]-COCtable[[#This Row],[Forecasted consumption]],0)</f>
        <v>1201898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COCtable[[#This Row],[Closing balance ]]/COCtable[[#This Row],[Forecasted consumption]]</f>
        <v>7.7182286382142538</v>
      </c>
      <c r="X32" s="25"/>
    </row>
    <row r="33">
      <c r="B33" s="6" t="s">
        <v>75</v>
      </c>
      <c r="C33" s="18" t="s">
        <v>125</v>
      </c>
      <c r="D33" s="17" t="s">
        <v>50</v>
      </c>
      <c r="E33" s="18" t="s">
        <v>31</v>
      </c>
      <c r="F33" s="19" t="n">
        <v>46174</v>
      </c>
      <c r="G33" s="23" t="n">
        <f t="shared" si="1"/>
        <v>1201898</v>
      </c>
      <c r="H33" s="23"/>
      <c r="I33" s="23" t="n">
        <v>156134</v>
      </c>
      <c r="J33" s="23" t="n">
        <f>MAX(COCtable[[#This Row],[Stock on hand(opening balance)]]+COCtable[[#This Row],[Quantity ]]-COCtable[[#This Row],[Forecasted consumption]],0)</f>
        <v>2332740</v>
      </c>
      <c r="K33" s="2"/>
      <c r="L33" s="2"/>
      <c r="M33" s="18" t="s">
        <v>4</v>
      </c>
      <c r="N33" s="23" t="n">
        <v>1286976</v>
      </c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COCtable[[#This Row],[Closing balance ]]/COCtable[[#This Row],[Forecasted consumption]]</f>
        <v>14.940627922169419</v>
      </c>
      <c r="X33" s="25"/>
    </row>
    <row r="34">
      <c r="B34" s="6" t="s">
        <v>75</v>
      </c>
      <c r="C34" s="18" t="s">
        <v>125</v>
      </c>
      <c r="D34" s="17" t="s">
        <v>50</v>
      </c>
      <c r="E34" s="18" t="s">
        <v>31</v>
      </c>
      <c r="F34" s="19" t="n">
        <v>46204</v>
      </c>
      <c r="G34" s="23" t="n">
        <f t="shared" si="1"/>
        <v>2332740</v>
      </c>
      <c r="H34" s="23"/>
      <c r="I34" s="23" t="n">
        <v>156546</v>
      </c>
      <c r="J34" s="23" t="n">
        <f>MAX(COCtable[[#This Row],[Stock on hand(opening balance)]]+COCtable[[#This Row],[Quantity ]]-COCtable[[#This Row],[Forecasted consumption]],0)</f>
        <v>2176194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COCtable[[#This Row],[Closing balance ]]/COCtable[[#This Row],[Forecasted consumption]]</f>
        <v>13.901306964087233</v>
      </c>
      <c r="X34" s="25"/>
    </row>
    <row r="35">
      <c r="B35" s="6" t="s">
        <v>75</v>
      </c>
      <c r="C35" s="18" t="s">
        <v>125</v>
      </c>
      <c r="D35" s="17" t="s">
        <v>50</v>
      </c>
      <c r="E35" s="18" t="s">
        <v>31</v>
      </c>
      <c r="F35" s="19" t="n">
        <v>46235</v>
      </c>
      <c r="G35" s="23" t="n">
        <f t="shared" si="1"/>
        <v>2176194</v>
      </c>
      <c r="H35" s="23"/>
      <c r="I35" s="23" t="n">
        <v>156958</v>
      </c>
      <c r="J35" s="23" t="n">
        <f>MAX(COCtable[[#This Row],[Stock on hand(opening balance)]]+COCtable[[#This Row],[Quantity ]]-COCtable[[#This Row],[Forecasted consumption]],0)</f>
        <v>2019236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COCtable[[#This Row],[Closing balance ]]/COCtable[[#This Row],[Forecasted consumption]]</f>
        <v>12.864817339670486</v>
      </c>
      <c r="X35" s="25"/>
    </row>
    <row r="36">
      <c r="B36" s="6" t="s">
        <v>75</v>
      </c>
      <c r="C36" s="18" t="s">
        <v>125</v>
      </c>
      <c r="D36" s="17" t="s">
        <v>50</v>
      </c>
      <c r="E36" s="18" t="s">
        <v>31</v>
      </c>
      <c r="F36" s="19" t="n">
        <v>46266</v>
      </c>
      <c r="G36" s="23" t="n">
        <f t="shared" si="1"/>
        <v>2019236</v>
      </c>
      <c r="H36" s="23"/>
      <c r="I36" s="23" t="n">
        <v>157370</v>
      </c>
      <c r="J36" s="23" t="n">
        <f>MAX(COCtable[[#This Row],[Stock on hand(opening balance)]]+COCtable[[#This Row],[Quantity ]]-COCtable[[#This Row],[Forecasted consumption]],0)</f>
        <v>1861866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COCtable[[#This Row],[Closing balance ]]/COCtable[[#This Row],[Forecasted consumption]]</f>
        <v>11.831136811336341</v>
      </c>
      <c r="X36" s="25"/>
    </row>
    <row r="37">
      <c r="B37" s="6" t="s">
        <v>76</v>
      </c>
      <c r="C37" s="18" t="s">
        <v>125</v>
      </c>
      <c r="D37" s="17" t="s">
        <v>50</v>
      </c>
      <c r="E37" s="18" t="s">
        <v>31</v>
      </c>
      <c r="F37" s="19" t="n">
        <v>45748</v>
      </c>
      <c r="G37" s="20" t="n">
        <v>2715813</v>
      </c>
      <c r="H37" s="20"/>
      <c r="I37" s="20" t="n">
        <v>161418</v>
      </c>
      <c r="J37" s="20" t="n">
        <f>MAX(COCtable[[#This Row],[Stock on hand(opening balance)]]+COCtable[[#This Row],[Quantity ]]-COCtable[[#This Row],[Forecasted consumption]],0)</f>
        <v>2554395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COCtable[[#This Row],[Closing balance ]]/COCtable[[#This Row],[Forecasted consumption]]</f>
        <v>15.824722149946103</v>
      </c>
      <c r="X37" s="22"/>
    </row>
    <row r="38">
      <c r="B38" s="6" t="s">
        <v>76</v>
      </c>
      <c r="C38" s="18" t="s">
        <v>125</v>
      </c>
      <c r="D38" s="17" t="s">
        <v>50</v>
      </c>
      <c r="E38" s="18" t="s">
        <v>31</v>
      </c>
      <c r="F38" s="19" t="n">
        <v>45778</v>
      </c>
      <c r="G38" s="23" t="n">
        <f>J37</f>
        <v>2554395</v>
      </c>
      <c r="H38" s="23"/>
      <c r="I38" s="20" t="n">
        <v>161418</v>
      </c>
      <c r="J38" s="23" t="n">
        <f>MAX(COCtable[[#This Row],[Stock on hand(opening balance)]]+COCtable[[#This Row],[Quantity ]]-COCtable[[#This Row],[Forecasted consumption]],0)</f>
        <v>2392977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COCtable[[#This Row],[Closing balance ]]/COCtable[[#This Row],[Forecasted consumption]]</f>
        <v>14.824722149946103</v>
      </c>
      <c r="X38" s="25"/>
    </row>
    <row r="39">
      <c r="B39" s="6" t="s">
        <v>76</v>
      </c>
      <c r="C39" s="18" t="s">
        <v>125</v>
      </c>
      <c r="D39" s="17" t="s">
        <v>50</v>
      </c>
      <c r="E39" s="18" t="s">
        <v>31</v>
      </c>
      <c r="F39" s="19" t="n">
        <v>45809</v>
      </c>
      <c r="G39" s="23" t="n">
        <f t="shared" ref="G39:G57" si="2">J38</f>
        <v>2392977</v>
      </c>
      <c r="H39" s="23"/>
      <c r="I39" s="20" t="n">
        <v>161418</v>
      </c>
      <c r="J39" s="23" t="n">
        <f>MAX(COCtable[[#This Row],[Stock on hand(opening balance)]]+COCtable[[#This Row],[Quantity ]]-COCtable[[#This Row],[Forecasted consumption]],0)</f>
        <v>2231559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COCtable[[#This Row],[Closing balance ]]/COCtable[[#This Row],[Forecasted consumption]]</f>
        <v>13.824722149946103</v>
      </c>
      <c r="X39" s="25"/>
    </row>
    <row r="40">
      <c r="B40" s="6" t="s">
        <v>76</v>
      </c>
      <c r="C40" s="18" t="s">
        <v>125</v>
      </c>
      <c r="D40" s="17" t="s">
        <v>50</v>
      </c>
      <c r="E40" s="18" t="s">
        <v>31</v>
      </c>
      <c r="F40" s="19" t="n">
        <v>45839</v>
      </c>
      <c r="G40" s="23" t="n">
        <f t="shared" si="2"/>
        <v>2231559</v>
      </c>
      <c r="H40" s="23"/>
      <c r="I40" s="20" t="n">
        <v>161418</v>
      </c>
      <c r="J40" s="23" t="n">
        <f>MAX(COCtable[[#This Row],[Stock on hand(opening balance)]]+COCtable[[#This Row],[Quantity ]]-COCtable[[#This Row],[Forecasted consumption]],0)</f>
        <v>2070141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COCtable[[#This Row],[Closing balance ]]/COCtable[[#This Row],[Forecasted consumption]]</f>
        <v>12.824722149946103</v>
      </c>
      <c r="X40" s="25"/>
    </row>
    <row r="41">
      <c r="B41" s="6" t="s">
        <v>76</v>
      </c>
      <c r="C41" s="18" t="s">
        <v>125</v>
      </c>
      <c r="D41" s="17" t="s">
        <v>50</v>
      </c>
      <c r="E41" s="18" t="s">
        <v>31</v>
      </c>
      <c r="F41" s="19" t="n">
        <v>45870</v>
      </c>
      <c r="G41" s="23" t="n">
        <f t="shared" si="2"/>
        <v>2070141</v>
      </c>
      <c r="H41" s="23"/>
      <c r="I41" s="20" t="n">
        <v>161418</v>
      </c>
      <c r="J41" s="23" t="n">
        <f>MAX(COCtable[[#This Row],[Stock on hand(opening balance)]]+COCtable[[#This Row],[Quantity ]]-COCtable[[#This Row],[Forecasted consumption]],0)</f>
        <v>1908723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COCtable[[#This Row],[Closing balance ]]/COCtable[[#This Row],[Forecasted consumption]]</f>
        <v>11.824722149946103</v>
      </c>
      <c r="X41" s="25"/>
    </row>
    <row r="42">
      <c r="B42" s="6" t="s">
        <v>76</v>
      </c>
      <c r="C42" s="18" t="s">
        <v>125</v>
      </c>
      <c r="D42" s="17" t="s">
        <v>50</v>
      </c>
      <c r="E42" s="18" t="s">
        <v>31</v>
      </c>
      <c r="F42" s="19" t="n">
        <v>45901</v>
      </c>
      <c r="G42" s="23" t="n">
        <f t="shared" si="2"/>
        <v>1908723</v>
      </c>
      <c r="H42" s="23"/>
      <c r="I42" s="20" t="n">
        <v>161418</v>
      </c>
      <c r="J42" s="23" t="n">
        <f>MAX(COCtable[[#This Row],[Stock on hand(opening balance)]]+COCtable[[#This Row],[Quantity ]]-COCtable[[#This Row],[Forecasted consumption]],0)</f>
        <v>1747305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COCtable[[#This Row],[Closing balance ]]/COCtable[[#This Row],[Forecasted consumption]]</f>
        <v>10.824722149946103</v>
      </c>
      <c r="X42" s="25"/>
    </row>
    <row r="43">
      <c r="B43" s="6" t="s">
        <v>76</v>
      </c>
      <c r="C43" s="18" t="s">
        <v>125</v>
      </c>
      <c r="D43" s="17" t="s">
        <v>50</v>
      </c>
      <c r="E43" s="18" t="s">
        <v>31</v>
      </c>
      <c r="F43" s="19" t="n">
        <v>45931</v>
      </c>
      <c r="G43" s="23" t="n">
        <f t="shared" si="2"/>
        <v>1747305</v>
      </c>
      <c r="H43" s="23"/>
      <c r="I43" s="20" t="n">
        <v>161418</v>
      </c>
      <c r="J43" s="23" t="n">
        <f>MAX(COCtable[[#This Row],[Stock on hand(opening balance)]]+COCtable[[#This Row],[Quantity ]]-COCtable[[#This Row],[Forecasted consumption]],0)</f>
        <v>1585887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COCtable[[#This Row],[Closing balance ]]/COCtable[[#This Row],[Forecasted consumption]]</f>
        <v>9.824722149946103</v>
      </c>
      <c r="X43" s="25"/>
    </row>
    <row r="44">
      <c r="B44" s="6" t="s">
        <v>76</v>
      </c>
      <c r="C44" s="18" t="s">
        <v>125</v>
      </c>
      <c r="D44" s="17" t="s">
        <v>50</v>
      </c>
      <c r="E44" s="18" t="s">
        <v>31</v>
      </c>
      <c r="F44" s="19" t="n">
        <v>45962</v>
      </c>
      <c r="G44" s="23" t="n">
        <f t="shared" si="2"/>
        <v>1585887</v>
      </c>
      <c r="H44" s="23"/>
      <c r="I44" s="20" t="n">
        <v>161418</v>
      </c>
      <c r="J44" s="23" t="n">
        <f>MAX(COCtable[[#This Row],[Stock on hand(opening balance)]]+COCtable[[#This Row],[Quantity ]]-COCtable[[#This Row],[Forecasted consumption]],0)</f>
        <v>1424469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COCtable[[#This Row],[Closing balance ]]/COCtable[[#This Row],[Forecasted consumption]]</f>
        <v>8.824722149946103</v>
      </c>
      <c r="X44" s="25"/>
    </row>
    <row r="45">
      <c r="B45" s="6" t="s">
        <v>76</v>
      </c>
      <c r="C45" s="18" t="s">
        <v>125</v>
      </c>
      <c r="D45" s="17" t="s">
        <v>50</v>
      </c>
      <c r="E45" s="18" t="s">
        <v>31</v>
      </c>
      <c r="F45" s="19" t="n">
        <v>45992</v>
      </c>
      <c r="G45" s="23" t="n">
        <f t="shared" si="2"/>
        <v>1424469</v>
      </c>
      <c r="H45" s="23"/>
      <c r="I45" s="20" t="n">
        <v>161418</v>
      </c>
      <c r="J45" s="23" t="n">
        <f>MAX(COCtable[[#This Row],[Stock on hand(opening balance)]]+COCtable[[#This Row],[Quantity ]]-COCtable[[#This Row],[Forecasted consumption]],0)</f>
        <v>1263051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COCtable[[#This Row],[Closing balance ]]/COCtable[[#This Row],[Forecasted consumption]]</f>
        <v>7.824722149946103</v>
      </c>
      <c r="X45" s="25"/>
    </row>
    <row r="46">
      <c r="B46" s="6" t="s">
        <v>76</v>
      </c>
      <c r="C46" s="18" t="s">
        <v>125</v>
      </c>
      <c r="D46" s="17" t="s">
        <v>50</v>
      </c>
      <c r="E46" s="18" t="s">
        <v>31</v>
      </c>
      <c r="F46" s="19" t="n">
        <v>46023</v>
      </c>
      <c r="G46" s="23" t="n">
        <f t="shared" si="2"/>
        <v>1263051</v>
      </c>
      <c r="H46" s="23"/>
      <c r="I46" s="20" t="n">
        <v>104925</v>
      </c>
      <c r="J46" s="23" t="n">
        <f>MAX(COCtable[[#This Row],[Stock on hand(opening balance)]]+COCtable[[#This Row],[Quantity ]]-COCtable[[#This Row],[Forecasted consumption]],0)</f>
        <v>1158126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COCtable[[#This Row],[Closing balance ]]/COCtable[[#This Row],[Forecasted consumption]]</f>
        <v>11.037655468191565</v>
      </c>
      <c r="X46" s="25"/>
    </row>
    <row r="47">
      <c r="B47" s="6" t="s">
        <v>76</v>
      </c>
      <c r="C47" s="18" t="s">
        <v>125</v>
      </c>
      <c r="D47" s="17" t="s">
        <v>50</v>
      </c>
      <c r="E47" s="18" t="s">
        <v>31</v>
      </c>
      <c r="F47" s="19" t="n">
        <v>46054</v>
      </c>
      <c r="G47" s="23" t="n">
        <f t="shared" si="2"/>
        <v>1158126</v>
      </c>
      <c r="H47" s="23"/>
      <c r="I47" s="20" t="n">
        <v>104925</v>
      </c>
      <c r="J47" s="23" t="n">
        <f>MAX(COCtable[[#This Row],[Stock on hand(opening balance)]]+COCtable[[#This Row],[Quantity ]]-COCtable[[#This Row],[Forecasted consumption]],0)</f>
        <v>1053201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COCtable[[#This Row],[Closing balance ]]/COCtable[[#This Row],[Forecasted consumption]]</f>
        <v>10.037655468191565</v>
      </c>
      <c r="X47" s="25"/>
    </row>
    <row r="48">
      <c r="B48" s="6" t="s">
        <v>76</v>
      </c>
      <c r="C48" s="18" t="s">
        <v>125</v>
      </c>
      <c r="D48" s="17" t="s">
        <v>50</v>
      </c>
      <c r="E48" s="18" t="s">
        <v>31</v>
      </c>
      <c r="F48" s="19" t="n">
        <v>46082</v>
      </c>
      <c r="G48" s="23" t="n">
        <f t="shared" si="2"/>
        <v>1053201</v>
      </c>
      <c r="H48" s="23"/>
      <c r="I48" s="20" t="n">
        <v>104925</v>
      </c>
      <c r="J48" s="23" t="n">
        <f>MAX(COCtable[[#This Row],[Stock on hand(opening balance)]]+COCtable[[#This Row],[Quantity ]]-COCtable[[#This Row],[Forecasted consumption]],0)</f>
        <v>948276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COCtable[[#This Row],[Closing balance ]]/COCtable[[#This Row],[Forecasted consumption]]</f>
        <v>9.0376554681915646</v>
      </c>
      <c r="X48" s="25"/>
    </row>
    <row r="49">
      <c r="B49" s="6" t="s">
        <v>76</v>
      </c>
      <c r="C49" s="18" t="s">
        <v>125</v>
      </c>
      <c r="D49" s="17" t="s">
        <v>50</v>
      </c>
      <c r="E49" s="18" t="s">
        <v>31</v>
      </c>
      <c r="F49" s="19" t="n">
        <v>46113</v>
      </c>
      <c r="G49" s="23" t="n">
        <f t="shared" si="2"/>
        <v>948276</v>
      </c>
      <c r="H49" s="23"/>
      <c r="I49" s="20" t="n">
        <v>104925</v>
      </c>
      <c r="J49" s="23" t="n">
        <f>MAX(COCtable[[#This Row],[Stock on hand(opening balance)]]+COCtable[[#This Row],[Quantity ]]-COCtable[[#This Row],[Forecasted consumption]],0)</f>
        <v>843351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COCtable[[#This Row],[Closing balance ]]/COCtable[[#This Row],[Forecasted consumption]]</f>
        <v>8.0376554681915646</v>
      </c>
      <c r="X49" s="25"/>
    </row>
    <row r="50">
      <c r="B50" s="6" t="s">
        <v>76</v>
      </c>
      <c r="C50" s="18" t="s">
        <v>125</v>
      </c>
      <c r="D50" s="17" t="s">
        <v>50</v>
      </c>
      <c r="E50" s="18" t="s">
        <v>31</v>
      </c>
      <c r="F50" s="19" t="n">
        <v>46143</v>
      </c>
      <c r="G50" s="23" t="n">
        <f t="shared" si="2"/>
        <v>843351</v>
      </c>
      <c r="H50" s="23"/>
      <c r="I50" s="20" t="n">
        <v>104925</v>
      </c>
      <c r="J50" s="23" t="n">
        <f>MAX(COCtable[[#This Row],[Stock on hand(opening balance)]]+COCtable[[#This Row],[Quantity ]]-COCtable[[#This Row],[Forecasted consumption]],0)</f>
        <v>738426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COCtable[[#This Row],[Closing balance ]]/COCtable[[#This Row],[Forecasted consumption]]</f>
        <v>7.0376554681915655</v>
      </c>
      <c r="X50" s="25"/>
    </row>
    <row r="51">
      <c r="B51" s="6" t="s">
        <v>76</v>
      </c>
      <c r="C51" s="18" t="s">
        <v>125</v>
      </c>
      <c r="D51" s="17" t="s">
        <v>50</v>
      </c>
      <c r="E51" s="18" t="s">
        <v>31</v>
      </c>
      <c r="F51" s="19" t="n">
        <v>46174</v>
      </c>
      <c r="G51" s="23" t="n">
        <f t="shared" si="2"/>
        <v>738426</v>
      </c>
      <c r="H51" s="23"/>
      <c r="I51" s="20" t="n">
        <v>104925</v>
      </c>
      <c r="J51" s="23" t="n">
        <f>MAX(COCtable[[#This Row],[Stock on hand(opening balance)]]+COCtable[[#This Row],[Quantity ]]-COCtable[[#This Row],[Forecasted consumption]],0)</f>
        <v>633501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COCtable[[#This Row],[Closing balance ]]/COCtable[[#This Row],[Forecasted consumption]]</f>
        <v>6.0376554681915655</v>
      </c>
      <c r="X51" s="25"/>
    </row>
    <row r="52">
      <c r="B52" s="6" t="s">
        <v>76</v>
      </c>
      <c r="C52" s="18" t="s">
        <v>125</v>
      </c>
      <c r="D52" s="17" t="s">
        <v>50</v>
      </c>
      <c r="E52" s="18" t="s">
        <v>31</v>
      </c>
      <c r="F52" s="19" t="n">
        <v>46204</v>
      </c>
      <c r="G52" s="23" t="n">
        <f t="shared" si="2"/>
        <v>633501</v>
      </c>
      <c r="H52" s="23"/>
      <c r="I52" s="20" t="n">
        <v>104925</v>
      </c>
      <c r="J52" s="23" t="n">
        <f>MAX(COCtable[[#This Row],[Stock on hand(opening balance)]]+COCtable[[#This Row],[Quantity ]]-COCtable[[#This Row],[Forecasted consumption]],0)</f>
        <v>528576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COCtable[[#This Row],[Closing balance ]]/COCtable[[#This Row],[Forecasted consumption]]</f>
        <v>5.0376554681915655</v>
      </c>
      <c r="X52" s="25"/>
    </row>
    <row r="53">
      <c r="B53" s="6" t="s">
        <v>76</v>
      </c>
      <c r="C53" s="18" t="s">
        <v>125</v>
      </c>
      <c r="D53" s="17" t="s">
        <v>50</v>
      </c>
      <c r="E53" s="18" t="s">
        <v>31</v>
      </c>
      <c r="F53" s="19" t="n">
        <v>46235</v>
      </c>
      <c r="G53" s="23" t="n">
        <f t="shared" si="2"/>
        <v>528576</v>
      </c>
      <c r="H53" s="23"/>
      <c r="I53" s="20" t="n">
        <v>104925</v>
      </c>
      <c r="J53" s="23" t="n">
        <f>MAX(COCtable[[#This Row],[Stock on hand(opening balance)]]+COCtable[[#This Row],[Quantity ]]-COCtable[[#This Row],[Forecasted consumption]],0)</f>
        <v>423651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COCtable[[#This Row],[Closing balance ]]/COCtable[[#This Row],[Forecasted consumption]]</f>
        <v>4.0376554681915655</v>
      </c>
      <c r="X53" s="25"/>
    </row>
    <row r="54">
      <c r="B54" s="6" t="s">
        <v>76</v>
      </c>
      <c r="C54" s="18" t="s">
        <v>125</v>
      </c>
      <c r="D54" s="17" t="s">
        <v>50</v>
      </c>
      <c r="E54" s="18" t="s">
        <v>31</v>
      </c>
      <c r="F54" s="19" t="n">
        <v>46266</v>
      </c>
      <c r="G54" s="23" t="n">
        <f t="shared" si="2"/>
        <v>423651</v>
      </c>
      <c r="H54" s="23"/>
      <c r="I54" s="20" t="n">
        <v>104925</v>
      </c>
      <c r="J54" s="23" t="n">
        <f>MAX(COCtable[[#This Row],[Stock on hand(opening balance)]]+COCtable[[#This Row],[Quantity ]]-COCtable[[#This Row],[Forecasted consumption]],0)</f>
        <v>318726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COCtable[[#This Row],[Closing balance ]]/COCtable[[#This Row],[Forecasted consumption]]</f>
        <v>3.0376554681915655</v>
      </c>
      <c r="X54" s="25"/>
    </row>
    <row r="55">
      <c r="B55" s="6" t="s">
        <v>76</v>
      </c>
      <c r="C55" s="18" t="s">
        <v>125</v>
      </c>
      <c r="D55" s="17" t="s">
        <v>50</v>
      </c>
      <c r="E55" s="18" t="s">
        <v>31</v>
      </c>
      <c r="F55" s="19" t="n">
        <v>46296</v>
      </c>
      <c r="G55" s="23" t="n">
        <f t="shared" si="2"/>
        <v>318726</v>
      </c>
      <c r="H55" s="23"/>
      <c r="I55" s="20" t="n">
        <v>104925</v>
      </c>
      <c r="J55" s="23" t="n">
        <f>MAX(COCtable[[#This Row],[Stock on hand(opening balance)]]+COCtable[[#This Row],[Quantity ]]-COCtable[[#This Row],[Forecasted consumption]],0)</f>
        <v>213801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COCtable[[#This Row],[Closing balance ]]/COCtable[[#This Row],[Forecasted consumption]]</f>
        <v>2.0376554681915655</v>
      </c>
      <c r="X55" s="25"/>
    </row>
    <row r="56">
      <c r="B56" s="6" t="s">
        <v>76</v>
      </c>
      <c r="C56" s="18" t="s">
        <v>125</v>
      </c>
      <c r="D56" s="17" t="s">
        <v>50</v>
      </c>
      <c r="E56" s="18" t="s">
        <v>31</v>
      </c>
      <c r="F56" s="19" t="n">
        <v>46327</v>
      </c>
      <c r="G56" s="23" t="n">
        <f t="shared" si="2"/>
        <v>213801</v>
      </c>
      <c r="H56" s="23"/>
      <c r="I56" s="20" t="n">
        <v>104925</v>
      </c>
      <c r="J56" s="23" t="n">
        <f>MAX(COCtable[[#This Row],[Stock on hand(opening balance)]]+COCtable[[#This Row],[Quantity ]]-COCtable[[#This Row],[Forecasted consumption]],0)</f>
        <v>108876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COCtable[[#This Row],[Closing balance ]]/COCtable[[#This Row],[Forecasted consumption]]</f>
        <v>1.0376554681915655</v>
      </c>
      <c r="X56" s="25"/>
    </row>
    <row r="57">
      <c r="B57" s="6" t="s">
        <v>76</v>
      </c>
      <c r="C57" s="18" t="s">
        <v>125</v>
      </c>
      <c r="D57" s="17" t="s">
        <v>50</v>
      </c>
      <c r="E57" s="18" t="s">
        <v>31</v>
      </c>
      <c r="F57" s="19" t="n">
        <v>46357</v>
      </c>
      <c r="G57" s="23" t="n">
        <f t="shared" si="2"/>
        <v>108876</v>
      </c>
      <c r="H57" s="23"/>
      <c r="I57" s="20" t="n">
        <v>104925</v>
      </c>
      <c r="J57" s="23" t="n">
        <f>MAX(COCtable[[#This Row],[Stock on hand(opening balance)]]+COCtable[[#This Row],[Quantity ]]-COCtable[[#This Row],[Forecasted consumption]],0)</f>
        <v>3951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COCtable[[#This Row],[Closing balance ]]/COCtable[[#This Row],[Forecasted consumption]]</f>
        <v>3.7655468191565407E-2</v>
      </c>
      <c r="X57" s="25"/>
    </row>
    <row r="58">
      <c r="B58" s="6" t="s">
        <v>72</v>
      </c>
      <c r="C58" s="18" t="s">
        <v>125</v>
      </c>
      <c r="D58" s="17" t="s">
        <v>50</v>
      </c>
      <c r="E58" s="18" t="s">
        <v>31</v>
      </c>
      <c r="F58" s="19" t="n">
        <v>45689</v>
      </c>
      <c r="G58" s="23" t="n">
        <v>446096</v>
      </c>
      <c r="H58" s="23"/>
      <c r="I58" s="23" t="n">
        <v>43147</v>
      </c>
      <c r="J58" s="23" t="n">
        <f>MAX(COCtable[[#This Row],[Stock on hand(opening balance)]]+COCtable[[#This Row],[Quantity ]]-COCtable[[#This Row],[Forecasted consumption]],0)</f>
        <v>477685</v>
      </c>
      <c r="K58" s="2" t="s">
        <v>51</v>
      </c>
      <c r="L58" s="2" t="s">
        <v>51</v>
      </c>
      <c r="M58" s="18" t="s">
        <v>153</v>
      </c>
      <c r="N58" s="23" t="n">
        <v>74736</v>
      </c>
      <c r="O58" s="2"/>
      <c r="P58" s="20" t="n">
        <v>21763</v>
      </c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COCtable[[#This Row],[Closing balance ]]/COCtable[[#This Row],[Forecasted consumption]]</f>
        <v>11.071105754745405</v>
      </c>
      <c r="X58" s="25"/>
    </row>
    <row r="59">
      <c r="B59" s="6" t="s">
        <v>72</v>
      </c>
      <c r="C59" s="18" t="s">
        <v>125</v>
      </c>
      <c r="D59" s="17" t="s">
        <v>50</v>
      </c>
      <c r="E59" s="18" t="s">
        <v>31</v>
      </c>
      <c r="F59" s="19" t="n">
        <v>45717</v>
      </c>
      <c r="G59" s="23" t="n">
        <f>J58</f>
        <v>477685</v>
      </c>
      <c r="H59" s="23"/>
      <c r="I59" s="23" t="n">
        <v>43147</v>
      </c>
      <c r="J59" s="23" t="n">
        <f>MAX(COCtable[[#This Row],[Stock on hand(opening balance)]]+COCtable[[#This Row],[Quantity ]]-COCtable[[#This Row],[Forecasted consumption]],0)</f>
        <v>434538</v>
      </c>
      <c r="K59" s="2"/>
      <c r="L59" s="2"/>
      <c r="M59" s="18"/>
      <c r="N59" s="23"/>
      <c r="O59" s="2"/>
      <c r="P59" s="20"/>
      <c r="Q59" s="24"/>
      <c r="R59" s="2"/>
      <c r="S59" s="2"/>
      <c r="T59" s="2" t="n">
        <v>6</v>
      </c>
      <c r="U59" s="2" t="n">
        <v>12</v>
      </c>
      <c r="V59" s="2" t="n">
        <v>12</v>
      </c>
      <c r="W59" s="3" t="n">
        <f>COCtable[[#This Row],[Closing balance ]]/COCtable[[#This Row],[Forecasted consumption]]</f>
        <v>10.071105754745405</v>
      </c>
      <c r="X59" s="25"/>
    </row>
    <row r="60">
      <c r="B60" s="6" t="s">
        <v>72</v>
      </c>
      <c r="C60" s="18" t="s">
        <v>125</v>
      </c>
      <c r="D60" s="17" t="s">
        <v>50</v>
      </c>
      <c r="E60" s="18" t="s">
        <v>31</v>
      </c>
      <c r="F60" s="19" t="n">
        <v>45748</v>
      </c>
      <c r="G60" s="23" t="n">
        <f t="shared" ref="G60:G86" si="3">J59</f>
        <v>434538</v>
      </c>
      <c r="H60" s="23"/>
      <c r="I60" s="23" t="n">
        <v>43147</v>
      </c>
      <c r="J60" s="23" t="n">
        <f>MAX(COCtable[[#This Row],[Stock on hand(opening balance)]]+COCtable[[#This Row],[Quantity ]]-COCtable[[#This Row],[Forecasted consumption]],0)</f>
        <v>391391</v>
      </c>
      <c r="K60" s="2"/>
      <c r="L60" s="2"/>
      <c r="M60" s="18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3" t="n">
        <f>COCtable[[#This Row],[Closing balance ]]/COCtable[[#This Row],[Forecasted consumption]]</f>
        <v>9.071105754745405</v>
      </c>
      <c r="X60" s="25"/>
    </row>
    <row r="61">
      <c r="B61" s="6" t="s">
        <v>72</v>
      </c>
      <c r="C61" s="18" t="s">
        <v>125</v>
      </c>
      <c r="D61" s="17" t="s">
        <v>50</v>
      </c>
      <c r="E61" s="18" t="s">
        <v>31</v>
      </c>
      <c r="F61" s="19" t="n">
        <v>45778</v>
      </c>
      <c r="G61" s="23" t="n">
        <f t="shared" si="3"/>
        <v>391391</v>
      </c>
      <c r="H61" s="23"/>
      <c r="I61" s="23" t="n">
        <v>43147</v>
      </c>
      <c r="J61" s="23" t="n">
        <f>MAX(COCtable[[#This Row],[Stock on hand(opening balance)]]+COCtable[[#This Row],[Quantity ]]-COCtable[[#This Row],[Forecasted consumption]],0)</f>
        <v>348244</v>
      </c>
      <c r="K61" s="2"/>
      <c r="L61" s="2"/>
      <c r="M61" s="18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COCtable[[#This Row],[Closing balance ]]/COCtable[[#This Row],[Forecasted consumption]]</f>
        <v>8.071105754745405</v>
      </c>
      <c r="X61" s="25"/>
    </row>
    <row r="62">
      <c r="B62" s="6" t="s">
        <v>72</v>
      </c>
      <c r="C62" s="18" t="s">
        <v>125</v>
      </c>
      <c r="D62" s="17" t="s">
        <v>50</v>
      </c>
      <c r="E62" s="18" t="s">
        <v>31</v>
      </c>
      <c r="F62" s="19" t="n">
        <v>45809</v>
      </c>
      <c r="G62" s="23" t="n">
        <f t="shared" si="3"/>
        <v>348244</v>
      </c>
      <c r="H62" s="23"/>
      <c r="I62" s="23" t="n">
        <v>43147</v>
      </c>
      <c r="J62" s="23" t="n">
        <f>MAX(COCtable[[#This Row],[Stock on hand(opening balance)]]+COCtable[[#This Row],[Quantity ]]-COCtable[[#This Row],[Forecasted consumption]],0)</f>
        <v>305097</v>
      </c>
      <c r="K62" s="2"/>
      <c r="L62" s="2"/>
      <c r="M62" s="18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COCtable[[#This Row],[Closing balance ]]/COCtable[[#This Row],[Forecasted consumption]]</f>
        <v>7.071105754745405</v>
      </c>
      <c r="X62" s="25"/>
    </row>
    <row r="63">
      <c r="B63" s="6" t="s">
        <v>72</v>
      </c>
      <c r="C63" s="18" t="s">
        <v>125</v>
      </c>
      <c r="D63" s="17" t="s">
        <v>50</v>
      </c>
      <c r="E63" s="18" t="s">
        <v>31</v>
      </c>
      <c r="F63" s="19" t="n">
        <v>45839</v>
      </c>
      <c r="G63" s="23" t="n">
        <f t="shared" si="3"/>
        <v>305097</v>
      </c>
      <c r="H63" s="23"/>
      <c r="I63" s="23" t="n">
        <v>43147</v>
      </c>
      <c r="J63" s="23" t="n">
        <f>MAX(COCtable[[#This Row],[Stock on hand(opening balance)]]+COCtable[[#This Row],[Quantity ]]-COCtable[[#This Row],[Forecasted consumption]],0)</f>
        <v>261950</v>
      </c>
      <c r="K63" s="2"/>
      <c r="L63" s="2"/>
      <c r="M63" s="18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COCtable[[#This Row],[Closing balance ]]/COCtable[[#This Row],[Forecasted consumption]]</f>
        <v>6.071105754745405</v>
      </c>
      <c r="X63" s="25"/>
    </row>
    <row r="64">
      <c r="B64" s="6" t="s">
        <v>72</v>
      </c>
      <c r="C64" s="18" t="s">
        <v>125</v>
      </c>
      <c r="D64" s="17" t="s">
        <v>50</v>
      </c>
      <c r="E64" s="18" t="s">
        <v>31</v>
      </c>
      <c r="F64" s="19" t="n">
        <v>45870</v>
      </c>
      <c r="G64" s="23" t="n">
        <f t="shared" si="3"/>
        <v>261950</v>
      </c>
      <c r="H64" s="23"/>
      <c r="I64" s="23" t="n">
        <v>43147</v>
      </c>
      <c r="J64" s="23" t="n">
        <f>MAX(COCtable[[#This Row],[Stock on hand(opening balance)]]+COCtable[[#This Row],[Quantity ]]-COCtable[[#This Row],[Forecasted consumption]],0)</f>
        <v>519187</v>
      </c>
      <c r="K64" s="2" t="s">
        <v>51</v>
      </c>
      <c r="L64" s="2" t="s">
        <v>51</v>
      </c>
      <c r="M64" s="18" t="s">
        <v>154</v>
      </c>
      <c r="N64" s="23" t="n">
        <v>300384</v>
      </c>
      <c r="O64" s="2"/>
      <c r="P64" s="20" t="n">
        <v>87472</v>
      </c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COCtable[[#This Row],[Closing balance ]]/COCtable[[#This Row],[Forecasted consumption]]</f>
        <v>12.032980276728393</v>
      </c>
      <c r="X64" s="25"/>
    </row>
    <row r="65">
      <c r="B65" s="6" t="s">
        <v>72</v>
      </c>
      <c r="C65" s="18" t="s">
        <v>125</v>
      </c>
      <c r="D65" s="17" t="s">
        <v>50</v>
      </c>
      <c r="E65" s="18" t="s">
        <v>31</v>
      </c>
      <c r="F65" s="19" t="n">
        <v>45901</v>
      </c>
      <c r="G65" s="23" t="n">
        <f t="shared" si="3"/>
        <v>519187</v>
      </c>
      <c r="H65" s="23"/>
      <c r="I65" s="23" t="n">
        <v>43147</v>
      </c>
      <c r="J65" s="23" t="n">
        <f>MAX(COCtable[[#This Row],[Stock on hand(opening balance)]]+COCtable[[#This Row],[Quantity ]]-COCtable[[#This Row],[Forecasted consumption]],0)</f>
        <v>676632</v>
      </c>
      <c r="K65" s="2" t="s">
        <v>51</v>
      </c>
      <c r="L65" s="2" t="s">
        <v>51</v>
      </c>
      <c r="M65" s="18" t="s">
        <v>154</v>
      </c>
      <c r="N65" s="23" t="n">
        <v>200592</v>
      </c>
      <c r="O65" s="2"/>
      <c r="P65" s="20" t="n">
        <v>58412</v>
      </c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COCtable[[#This Row],[Closing balance ]]/COCtable[[#This Row],[Forecasted consumption]]</f>
        <v>15.682017289730457</v>
      </c>
      <c r="X65" s="25"/>
    </row>
    <row r="66">
      <c r="B66" s="6" t="s">
        <v>72</v>
      </c>
      <c r="C66" s="18" t="s">
        <v>125</v>
      </c>
      <c r="D66" s="17" t="s">
        <v>50</v>
      </c>
      <c r="E66" s="18" t="s">
        <v>31</v>
      </c>
      <c r="F66" s="19" t="n">
        <v>45931</v>
      </c>
      <c r="G66" s="23" t="n">
        <f t="shared" si="3"/>
        <v>676632</v>
      </c>
      <c r="H66" s="23"/>
      <c r="I66" s="23" t="n">
        <v>43147</v>
      </c>
      <c r="J66" s="23" t="n">
        <f>MAX(COCtable[[#This Row],[Stock on hand(opening balance)]]+COCtable[[#This Row],[Quantity ]]-COCtable[[#This Row],[Forecasted consumption]],0)</f>
        <v>633485</v>
      </c>
      <c r="K66" s="2"/>
      <c r="L66" s="2"/>
      <c r="M66" s="18"/>
      <c r="N66" s="23"/>
      <c r="O66" s="2"/>
      <c r="P66" s="20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COCtable[[#This Row],[Closing balance ]]/COCtable[[#This Row],[Forecasted consumption]]</f>
        <v>14.682017289730457</v>
      </c>
      <c r="X66" s="25"/>
    </row>
    <row r="67">
      <c r="B67" s="6" t="s">
        <v>72</v>
      </c>
      <c r="C67" s="18" t="s">
        <v>125</v>
      </c>
      <c r="D67" s="17" t="s">
        <v>50</v>
      </c>
      <c r="E67" s="18" t="s">
        <v>31</v>
      </c>
      <c r="F67" s="19" t="n">
        <v>45962</v>
      </c>
      <c r="G67" s="23" t="n">
        <f t="shared" si="3"/>
        <v>633485</v>
      </c>
      <c r="H67" s="23"/>
      <c r="I67" s="23" t="n">
        <v>43147</v>
      </c>
      <c r="J67" s="23" t="n">
        <f>MAX(COCtable[[#This Row],[Stock on hand(opening balance)]]+COCtable[[#This Row],[Quantity ]]-COCtable[[#This Row],[Forecasted consumption]],0)</f>
        <v>590338</v>
      </c>
      <c r="K67" s="2"/>
      <c r="L67" s="2"/>
      <c r="M67" s="18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COCtable[[#This Row],[Closing balance ]]/COCtable[[#This Row],[Forecasted consumption]]</f>
        <v>13.682017289730457</v>
      </c>
      <c r="X67" s="25"/>
    </row>
    <row r="68">
      <c r="B68" s="6" t="s">
        <v>72</v>
      </c>
      <c r="C68" s="18" t="s">
        <v>125</v>
      </c>
      <c r="D68" s="17" t="s">
        <v>50</v>
      </c>
      <c r="E68" s="18" t="s">
        <v>31</v>
      </c>
      <c r="F68" s="19" t="n">
        <v>45992</v>
      </c>
      <c r="G68" s="23" t="n">
        <f t="shared" si="3"/>
        <v>590338</v>
      </c>
      <c r="H68" s="23"/>
      <c r="I68" s="23" t="n">
        <v>43147</v>
      </c>
      <c r="J68" s="23" t="n">
        <f>MAX(COCtable[[#This Row],[Stock on hand(opening balance)]]+COCtable[[#This Row],[Quantity ]]-COCtable[[#This Row],[Forecasted consumption]],0)</f>
        <v>547191</v>
      </c>
      <c r="K68" s="2"/>
      <c r="L68" s="2"/>
      <c r="M68" s="18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COCtable[[#This Row],[Closing balance ]]/COCtable[[#This Row],[Forecasted consumption]]</f>
        <v>12.682017289730457</v>
      </c>
      <c r="X68" s="25"/>
    </row>
    <row r="69">
      <c r="B69" s="6" t="s">
        <v>72</v>
      </c>
      <c r="C69" s="18" t="s">
        <v>125</v>
      </c>
      <c r="D69" s="17" t="s">
        <v>50</v>
      </c>
      <c r="E69" s="18" t="s">
        <v>31</v>
      </c>
      <c r="F69" s="19" t="n">
        <v>46023</v>
      </c>
      <c r="G69" s="23" t="n">
        <f t="shared" si="3"/>
        <v>547191</v>
      </c>
      <c r="H69" s="23"/>
      <c r="I69" s="23" t="n">
        <v>43147</v>
      </c>
      <c r="J69" s="23" t="n">
        <f>MAX(COCtable[[#This Row],[Stock on hand(opening balance)]]+COCtable[[#This Row],[Quantity ]]-COCtable[[#This Row],[Forecasted consumption]],0)</f>
        <v>809715</v>
      </c>
      <c r="K69" s="2" t="s">
        <v>2</v>
      </c>
      <c r="L69" s="2" t="s">
        <v>2</v>
      </c>
      <c r="M69" s="18" t="s">
        <v>4</v>
      </c>
      <c r="N69" s="23" t="n">
        <v>305671</v>
      </c>
      <c r="O69" s="2"/>
      <c r="P69" s="20" t="n">
        <v>89011</v>
      </c>
      <c r="Q69" s="24" t="n">
        <v>46023</v>
      </c>
      <c r="R69" s="2"/>
      <c r="S69" s="2"/>
      <c r="T69" s="2" t="n">
        <v>6</v>
      </c>
      <c r="U69" s="2" t="n">
        <v>12</v>
      </c>
      <c r="V69" s="2" t="n">
        <v>12</v>
      </c>
      <c r="W69" s="3" t="n">
        <f>COCtable[[#This Row],[Closing balance ]]/COCtable[[#This Row],[Forecasted consumption]]</f>
        <v>18.766426402762647</v>
      </c>
      <c r="X69" s="25"/>
    </row>
    <row r="70">
      <c r="B70" s="6" t="s">
        <v>72</v>
      </c>
      <c r="C70" s="18" t="s">
        <v>125</v>
      </c>
      <c r="D70" s="17" t="s">
        <v>50</v>
      </c>
      <c r="E70" s="18" t="s">
        <v>31</v>
      </c>
      <c r="F70" s="19" t="n">
        <v>46054</v>
      </c>
      <c r="G70" s="23" t="n">
        <f t="shared" si="3"/>
        <v>809715</v>
      </c>
      <c r="H70" s="23"/>
      <c r="I70" s="23" t="n">
        <v>43147</v>
      </c>
      <c r="J70" s="23" t="n">
        <f>MAX(COCtable[[#This Row],[Stock on hand(opening balance)]]+COCtable[[#This Row],[Quantity ]]-COCtable[[#This Row],[Forecasted consumption]],0)</f>
        <v>766568</v>
      </c>
      <c r="K70" s="2"/>
      <c r="L70" s="2"/>
      <c r="M70" s="18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COCtable[[#This Row],[Closing balance ]]/COCtable[[#This Row],[Forecasted consumption]]</f>
        <v>17.766426402762647</v>
      </c>
      <c r="X70" s="25"/>
    </row>
    <row r="71">
      <c r="B71" s="6" t="s">
        <v>72</v>
      </c>
      <c r="C71" s="18" t="s">
        <v>125</v>
      </c>
      <c r="D71" s="17" t="s">
        <v>50</v>
      </c>
      <c r="E71" s="18" t="s">
        <v>31</v>
      </c>
      <c r="F71" s="19" t="n">
        <v>46082</v>
      </c>
      <c r="G71" s="23" t="n">
        <f t="shared" si="3"/>
        <v>766568</v>
      </c>
      <c r="H71" s="23"/>
      <c r="I71" s="23" t="n">
        <v>43147</v>
      </c>
      <c r="J71" s="23" t="n">
        <f>MAX(COCtable[[#This Row],[Stock on hand(opening balance)]]+COCtable[[#This Row],[Quantity ]]-COCtable[[#This Row],[Forecasted consumption]],0)</f>
        <v>723421</v>
      </c>
      <c r="K71" s="2"/>
      <c r="L71" s="2"/>
      <c r="M71" s="18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COCtable[[#This Row],[Closing balance ]]/COCtable[[#This Row],[Forecasted consumption]]</f>
        <v>16.766426402762647</v>
      </c>
      <c r="X71" s="25"/>
    </row>
    <row r="72">
      <c r="B72" s="6" t="s">
        <v>72</v>
      </c>
      <c r="C72" s="18" t="s">
        <v>125</v>
      </c>
      <c r="D72" s="17" t="s">
        <v>50</v>
      </c>
      <c r="E72" s="18" t="s">
        <v>31</v>
      </c>
      <c r="F72" s="19" t="n">
        <v>46113</v>
      </c>
      <c r="G72" s="23" t="n">
        <f t="shared" si="3"/>
        <v>723421</v>
      </c>
      <c r="H72" s="23"/>
      <c r="I72" s="23" t="n">
        <v>43147</v>
      </c>
      <c r="J72" s="23" t="n">
        <f>MAX(COCtable[[#This Row],[Stock on hand(opening balance)]]+COCtable[[#This Row],[Quantity ]]-COCtable[[#This Row],[Forecasted consumption]],0)</f>
        <v>680274</v>
      </c>
      <c r="K72" s="2"/>
      <c r="L72" s="2"/>
      <c r="M72" s="18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COCtable[[#This Row],[Closing balance ]]/COCtable[[#This Row],[Forecasted consumption]]</f>
        <v>15.766426402762649</v>
      </c>
      <c r="X72" s="25"/>
    </row>
    <row r="73">
      <c r="B73" s="6" t="s">
        <v>72</v>
      </c>
      <c r="C73" s="18" t="s">
        <v>125</v>
      </c>
      <c r="D73" s="17" t="s">
        <v>50</v>
      </c>
      <c r="E73" s="18" t="s">
        <v>31</v>
      </c>
      <c r="F73" s="19" t="n">
        <v>46143</v>
      </c>
      <c r="G73" s="23" t="n">
        <f t="shared" si="3"/>
        <v>680274</v>
      </c>
      <c r="H73" s="23"/>
      <c r="I73" s="23" t="n">
        <v>43147</v>
      </c>
      <c r="J73" s="23" t="n">
        <f>MAX(COCtable[[#This Row],[Stock on hand(opening balance)]]+COCtable[[#This Row],[Quantity ]]-COCtable[[#This Row],[Forecasted consumption]],0)</f>
        <v>637127</v>
      </c>
      <c r="K73" s="2"/>
      <c r="L73" s="2"/>
      <c r="M73" s="18"/>
      <c r="N73" s="23"/>
      <c r="O73" s="2"/>
      <c r="P73" s="20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COCtable[[#This Row],[Closing balance ]]/COCtable[[#This Row],[Forecasted consumption]]</f>
        <v>14.766426402762649</v>
      </c>
      <c r="X73" s="25"/>
    </row>
    <row r="74">
      <c r="B74" s="6" t="s">
        <v>72</v>
      </c>
      <c r="C74" s="18" t="s">
        <v>125</v>
      </c>
      <c r="D74" s="17" t="s">
        <v>50</v>
      </c>
      <c r="E74" s="18" t="s">
        <v>31</v>
      </c>
      <c r="F74" s="19" t="n">
        <v>46174</v>
      </c>
      <c r="G74" s="23" t="n">
        <f t="shared" si="3"/>
        <v>637127</v>
      </c>
      <c r="H74" s="23"/>
      <c r="I74" s="23" t="n">
        <v>43147</v>
      </c>
      <c r="J74" s="23" t="n">
        <f>MAX(COCtable[[#This Row],[Stock on hand(opening balance)]]+COCtable[[#This Row],[Quantity ]]-COCtable[[#This Row],[Forecasted consumption]],0)</f>
        <v>593980</v>
      </c>
      <c r="K74" s="2"/>
      <c r="L74" s="2"/>
      <c r="M74" s="18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COCtable[[#This Row],[Closing balance ]]/COCtable[[#This Row],[Forecasted consumption]]</f>
        <v>13.766426402762649</v>
      </c>
      <c r="X74" s="25"/>
    </row>
    <row r="75">
      <c r="B75" s="6" t="s">
        <v>72</v>
      </c>
      <c r="C75" s="18" t="s">
        <v>125</v>
      </c>
      <c r="D75" s="17" t="s">
        <v>50</v>
      </c>
      <c r="E75" s="18" t="s">
        <v>31</v>
      </c>
      <c r="F75" s="19" t="n">
        <v>46204</v>
      </c>
      <c r="G75" s="23" t="n">
        <f t="shared" si="3"/>
        <v>593980</v>
      </c>
      <c r="H75" s="23"/>
      <c r="I75" s="23" t="n">
        <v>43147</v>
      </c>
      <c r="J75" s="23" t="n">
        <f>MAX(COCtable[[#This Row],[Stock on hand(opening balance)]]+COCtable[[#This Row],[Quantity ]]-COCtable[[#This Row],[Forecasted consumption]],0)</f>
        <v>550833</v>
      </c>
      <c r="K75" s="2"/>
      <c r="L75" s="2"/>
      <c r="M75" s="18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COCtable[[#This Row],[Closing balance ]]/COCtable[[#This Row],[Forecasted consumption]]</f>
        <v>12.766426402762649</v>
      </c>
      <c r="X75" s="25"/>
    </row>
    <row r="76">
      <c r="B76" s="6" t="s">
        <v>72</v>
      </c>
      <c r="C76" s="18" t="s">
        <v>125</v>
      </c>
      <c r="D76" s="17" t="s">
        <v>50</v>
      </c>
      <c r="E76" s="18" t="s">
        <v>31</v>
      </c>
      <c r="F76" s="19" t="n">
        <v>46235</v>
      </c>
      <c r="G76" s="23" t="n">
        <f t="shared" si="3"/>
        <v>550833</v>
      </c>
      <c r="H76" s="23"/>
      <c r="I76" s="23" t="n">
        <v>43147</v>
      </c>
      <c r="J76" s="23" t="n">
        <f>MAX(COCtable[[#This Row],[Stock on hand(opening balance)]]+COCtable[[#This Row],[Quantity ]]-COCtable[[#This Row],[Forecasted consumption]],0)</f>
        <v>507686</v>
      </c>
      <c r="K76" s="2"/>
      <c r="L76" s="2"/>
      <c r="M76" s="18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COCtable[[#This Row],[Closing balance ]]/COCtable[[#This Row],[Forecasted consumption]]</f>
        <v>11.766426402762649</v>
      </c>
      <c r="X76" s="25"/>
    </row>
    <row r="77">
      <c r="B77" s="6" t="s">
        <v>72</v>
      </c>
      <c r="C77" s="18" t="s">
        <v>125</v>
      </c>
      <c r="D77" s="17" t="s">
        <v>50</v>
      </c>
      <c r="E77" s="18" t="s">
        <v>31</v>
      </c>
      <c r="F77" s="19" t="n">
        <v>46266</v>
      </c>
      <c r="G77" s="23" t="n">
        <f t="shared" si="3"/>
        <v>507686</v>
      </c>
      <c r="H77" s="23"/>
      <c r="I77" s="23" t="n">
        <v>43147</v>
      </c>
      <c r="J77" s="23" t="n">
        <f>MAX(COCtable[[#This Row],[Stock on hand(opening balance)]]+COCtable[[#This Row],[Quantity ]]-COCtable[[#This Row],[Forecasted consumption]],0)</f>
        <v>464539</v>
      </c>
      <c r="K77" s="2"/>
      <c r="L77" s="2"/>
      <c r="M77" s="18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COCtable[[#This Row],[Closing balance ]]/COCtable[[#This Row],[Forecasted consumption]]</f>
        <v>10.766426402762649</v>
      </c>
      <c r="X77" s="25"/>
    </row>
    <row r="78">
      <c r="B78" s="6" t="s">
        <v>72</v>
      </c>
      <c r="C78" s="18" t="s">
        <v>125</v>
      </c>
      <c r="D78" s="17" t="s">
        <v>50</v>
      </c>
      <c r="E78" s="18" t="s">
        <v>31</v>
      </c>
      <c r="F78" s="19" t="n">
        <v>46296</v>
      </c>
      <c r="G78" s="23" t="n">
        <f t="shared" si="3"/>
        <v>464539</v>
      </c>
      <c r="H78" s="23"/>
      <c r="I78" s="23" t="n">
        <v>43147</v>
      </c>
      <c r="J78" s="23" t="n">
        <f>MAX(COCtable[[#This Row],[Stock on hand(opening balance)]]+COCtable[[#This Row],[Quantity ]]-COCtable[[#This Row],[Forecasted consumption]],0)</f>
        <v>421392</v>
      </c>
      <c r="K78" s="2"/>
      <c r="L78" s="2"/>
      <c r="M78" s="18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COCtable[[#This Row],[Closing balance ]]/COCtable[[#This Row],[Forecasted consumption]]</f>
        <v>9.7664264027626491</v>
      </c>
      <c r="X78" s="25"/>
    </row>
    <row r="79">
      <c r="B79" s="6" t="s">
        <v>72</v>
      </c>
      <c r="C79" s="18" t="s">
        <v>125</v>
      </c>
      <c r="D79" s="17" t="s">
        <v>50</v>
      </c>
      <c r="E79" s="18" t="s">
        <v>31</v>
      </c>
      <c r="F79" s="19" t="n">
        <v>46327</v>
      </c>
      <c r="G79" s="23" t="n">
        <f t="shared" si="3"/>
        <v>421392</v>
      </c>
      <c r="H79" s="23"/>
      <c r="I79" s="23" t="n">
        <v>43147</v>
      </c>
      <c r="J79" s="23" t="n">
        <f>MAX(COCtable[[#This Row],[Stock on hand(opening balance)]]+COCtable[[#This Row],[Quantity ]]-COCtable[[#This Row],[Forecasted consumption]],0)</f>
        <v>378245</v>
      </c>
      <c r="K79" s="2"/>
      <c r="L79" s="2"/>
      <c r="M79" s="18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COCtable[[#This Row],[Closing balance ]]/COCtable[[#This Row],[Forecasted consumption]]</f>
        <v>8.7664264027626491</v>
      </c>
      <c r="X79" s="25"/>
    </row>
    <row r="80">
      <c r="B80" s="6" t="s">
        <v>72</v>
      </c>
      <c r="C80" s="18" t="s">
        <v>125</v>
      </c>
      <c r="D80" s="17" t="s">
        <v>50</v>
      </c>
      <c r="E80" s="18" t="s">
        <v>31</v>
      </c>
      <c r="F80" s="19" t="n">
        <v>46357</v>
      </c>
      <c r="G80" s="23" t="n">
        <f t="shared" si="3"/>
        <v>378245</v>
      </c>
      <c r="H80" s="23"/>
      <c r="I80" s="23" t="n">
        <v>43147</v>
      </c>
      <c r="J80" s="23" t="n">
        <f>MAX(COCtable[[#This Row],[Stock on hand(opening balance)]]+COCtable[[#This Row],[Quantity ]]-COCtable[[#This Row],[Forecasted consumption]],0)</f>
        <v>603989</v>
      </c>
      <c r="K80" s="2" t="s">
        <v>2</v>
      </c>
      <c r="L80" s="2" t="s">
        <v>2</v>
      </c>
      <c r="M80" s="18" t="s">
        <v>4</v>
      </c>
      <c r="N80" s="23" t="n">
        <v>268891</v>
      </c>
      <c r="O80" s="2"/>
      <c r="P80" s="20" t="n">
        <v>78302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3" t="n">
        <f>COCtable[[#This Row],[Closing balance ]]/COCtable[[#This Row],[Forecasted consumption]]</f>
        <v>13.9984008158157</v>
      </c>
      <c r="X80" s="25"/>
    </row>
    <row r="81">
      <c r="B81" s="6" t="s">
        <v>77</v>
      </c>
      <c r="C81" s="18" t="s">
        <v>125</v>
      </c>
      <c r="D81" s="17" t="s">
        <v>50</v>
      </c>
      <c r="E81" s="18" t="s">
        <v>31</v>
      </c>
      <c r="F81" s="19" t="n">
        <v>45658</v>
      </c>
      <c r="G81" s="23" t="n">
        <f t="shared" si="3"/>
        <v>603989</v>
      </c>
      <c r="H81" s="20"/>
      <c r="I81" s="23" t="n">
        <v>43147</v>
      </c>
      <c r="J81" s="20" t="n">
        <f>MAX(COCtable[[#This Row],[Stock on hand(opening balance)]]+COCtable[[#This Row],[Quantity ]]-COCtable[[#This Row],[Forecasted consumption]],0)</f>
        <v>560842</v>
      </c>
      <c r="K81" s="18"/>
      <c r="L81" s="18"/>
      <c r="M81" s="18"/>
      <c r="N81" s="20"/>
      <c r="O81" s="18"/>
      <c r="P81" s="20"/>
      <c r="Q81" s="19"/>
      <c r="R81" s="18"/>
      <c r="S81" s="18"/>
      <c r="T81" s="18" t="n">
        <v>6</v>
      </c>
      <c r="U81" s="18" t="n">
        <v>12</v>
      </c>
      <c r="V81" s="18" t="n">
        <v>12</v>
      </c>
      <c r="W81" s="21" t="n">
        <f>COCtable[[#This Row],[Closing balance ]]/COCtable[[#This Row],[Forecasted consumption]]</f>
        <v>12.9984008158157</v>
      </c>
      <c r="X81" s="22"/>
    </row>
    <row r="82">
      <c r="B82" s="6" t="s">
        <v>77</v>
      </c>
      <c r="C82" s="18" t="s">
        <v>125</v>
      </c>
      <c r="D82" s="17" t="s">
        <v>50</v>
      </c>
      <c r="E82" s="18" t="s">
        <v>31</v>
      </c>
      <c r="F82" s="19" t="n">
        <v>45689</v>
      </c>
      <c r="G82" s="23" t="n">
        <f t="shared" si="3"/>
        <v>560842</v>
      </c>
      <c r="H82" s="23"/>
      <c r="I82" s="23" t="n">
        <v>43147</v>
      </c>
      <c r="J82" s="23" t="n">
        <f>MAX(COCtable[[#This Row],[Stock on hand(opening balance)]]+COCtable[[#This Row],[Quantity ]]-COCtable[[#This Row],[Forecasted consumption]],0)</f>
        <v>517695</v>
      </c>
      <c r="K82" s="2"/>
      <c r="L82" s="2"/>
      <c r="M82" s="18"/>
      <c r="N82" s="23"/>
      <c r="O82" s="2"/>
      <c r="P82" s="20"/>
      <c r="Q82" s="24"/>
      <c r="R82" s="2"/>
      <c r="S82" s="2"/>
      <c r="T82" s="18" t="n">
        <v>6</v>
      </c>
      <c r="U82" s="18" t="n">
        <v>12</v>
      </c>
      <c r="V82" s="18" t="n">
        <v>12</v>
      </c>
      <c r="W82" s="3" t="n">
        <f>COCtable[[#This Row],[Closing balance ]]/COCtable[[#This Row],[Forecasted consumption]]</f>
        <v>11.9984008158157</v>
      </c>
      <c r="X82" s="25"/>
    </row>
    <row r="83">
      <c r="B83" s="6" t="s">
        <v>77</v>
      </c>
      <c r="C83" s="18" t="s">
        <v>125</v>
      </c>
      <c r="D83" s="17" t="s">
        <v>50</v>
      </c>
      <c r="E83" s="18" t="s">
        <v>31</v>
      </c>
      <c r="F83" s="19" t="n">
        <v>45717</v>
      </c>
      <c r="G83" s="23" t="n">
        <f t="shared" si="3"/>
        <v>517695</v>
      </c>
      <c r="H83" s="23"/>
      <c r="I83" s="23" t="n">
        <v>43147</v>
      </c>
      <c r="J83" s="23" t="n">
        <f>MAX(COCtable[[#This Row],[Stock on hand(opening balance)]]+COCtable[[#This Row],[Quantity ]]-COCtable[[#This Row],[Forecasted consumption]],0)</f>
        <v>474548</v>
      </c>
      <c r="K83" s="2"/>
      <c r="L83" s="2"/>
      <c r="M83" s="18"/>
      <c r="N83" s="23"/>
      <c r="O83" s="2"/>
      <c r="P83" s="20"/>
      <c r="Q83" s="24"/>
      <c r="R83" s="2"/>
      <c r="S83" s="2"/>
      <c r="T83" s="18" t="n">
        <v>6</v>
      </c>
      <c r="U83" s="18" t="n">
        <v>12</v>
      </c>
      <c r="V83" s="18" t="n">
        <v>12</v>
      </c>
      <c r="W83" s="3" t="n">
        <f>COCtable[[#This Row],[Closing balance ]]/COCtable[[#This Row],[Forecasted consumption]]</f>
        <v>10.9984008158157</v>
      </c>
      <c r="X83" s="25"/>
    </row>
    <row r="84">
      <c r="B84" s="6" t="s">
        <v>77</v>
      </c>
      <c r="C84" s="18" t="s">
        <v>125</v>
      </c>
      <c r="D84" s="17" t="s">
        <v>50</v>
      </c>
      <c r="E84" s="18" t="s">
        <v>31</v>
      </c>
      <c r="F84" s="19" t="n">
        <v>45748</v>
      </c>
      <c r="G84" s="23" t="n">
        <f t="shared" si="3"/>
        <v>474548</v>
      </c>
      <c r="H84" s="23"/>
      <c r="I84" s="23" t="n">
        <v>43147</v>
      </c>
      <c r="J84" s="23" t="n">
        <f>MAX(COCtable[[#This Row],[Stock on hand(opening balance)]]+COCtable[[#This Row],[Quantity ]]-COCtable[[#This Row],[Forecasted consumption]],0)</f>
        <v>431401</v>
      </c>
      <c r="K84" s="2"/>
      <c r="L84" s="2"/>
      <c r="M84" s="18"/>
      <c r="N84" s="23"/>
      <c r="O84" s="2"/>
      <c r="P84" s="20"/>
      <c r="Q84" s="24"/>
      <c r="R84" s="2"/>
      <c r="S84" s="2"/>
      <c r="T84" s="18" t="n">
        <v>6</v>
      </c>
      <c r="U84" s="18" t="n">
        <v>12</v>
      </c>
      <c r="V84" s="18" t="n">
        <v>12</v>
      </c>
      <c r="W84" s="3" t="n">
        <f>COCtable[[#This Row],[Closing balance ]]/COCtable[[#This Row],[Forecasted consumption]]</f>
        <v>9.9984008158156996</v>
      </c>
      <c r="X84" s="25"/>
    </row>
    <row r="85">
      <c r="B85" s="6" t="s">
        <v>77</v>
      </c>
      <c r="C85" s="18" t="s">
        <v>125</v>
      </c>
      <c r="D85" s="17" t="s">
        <v>50</v>
      </c>
      <c r="E85" s="18" t="s">
        <v>31</v>
      </c>
      <c r="F85" s="19" t="n">
        <v>45778</v>
      </c>
      <c r="G85" s="23" t="n">
        <f t="shared" si="3"/>
        <v>431401</v>
      </c>
      <c r="H85" s="23"/>
      <c r="I85" s="23" t="n">
        <v>43147</v>
      </c>
      <c r="J85" s="23" t="n">
        <f>MAX(COCtable[[#This Row],[Stock on hand(opening balance)]]+COCtable[[#This Row],[Quantity ]]-COCtable[[#This Row],[Forecasted consumption]],0)</f>
        <v>388254</v>
      </c>
      <c r="K85" s="2"/>
      <c r="L85" s="2"/>
      <c r="M85" s="18"/>
      <c r="N85" s="23"/>
      <c r="O85" s="2"/>
      <c r="P85" s="20"/>
      <c r="Q85" s="24"/>
      <c r="R85" s="2"/>
      <c r="S85" s="2"/>
      <c r="T85" s="18" t="n">
        <v>6</v>
      </c>
      <c r="U85" s="18" t="n">
        <v>12</v>
      </c>
      <c r="V85" s="18" t="n">
        <v>12</v>
      </c>
      <c r="W85" s="3" t="n">
        <f>COCtable[[#This Row],[Closing balance ]]/COCtable[[#This Row],[Forecasted consumption]]</f>
        <v>8.9984008158156996</v>
      </c>
      <c r="X85" s="25"/>
    </row>
    <row r="86">
      <c r="B86" s="6" t="s">
        <v>77</v>
      </c>
      <c r="C86" s="18" t="s">
        <v>125</v>
      </c>
      <c r="D86" s="17" t="s">
        <v>50</v>
      </c>
      <c r="E86" s="18" t="s">
        <v>31</v>
      </c>
      <c r="F86" s="19" t="n">
        <v>45809</v>
      </c>
      <c r="G86" s="23" t="n">
        <f t="shared" si="3"/>
        <v>388254</v>
      </c>
      <c r="H86" s="23"/>
      <c r="I86" s="23" t="n">
        <v>43147</v>
      </c>
      <c r="J86" s="23" t="n">
        <f>MAX(COCtable[[#This Row],[Stock on hand(opening balance)]]+COCtable[[#This Row],[Quantity ]]-COCtable[[#This Row],[Forecasted consumption]],0)</f>
        <v>345107</v>
      </c>
      <c r="K86" s="2"/>
      <c r="L86" s="2"/>
      <c r="M86" s="18"/>
      <c r="N86" s="23"/>
      <c r="O86" s="2"/>
      <c r="P86" s="20"/>
      <c r="Q86" s="24"/>
      <c r="R86" s="2"/>
      <c r="S86" s="2"/>
      <c r="T86" s="18" t="n">
        <v>6</v>
      </c>
      <c r="U86" s="18" t="n">
        <v>12</v>
      </c>
      <c r="V86" s="18" t="n">
        <v>12</v>
      </c>
      <c r="W86" s="3" t="n">
        <f>COCtable[[#This Row],[Closing balance ]]/COCtable[[#This Row],[Forecasted consumption]]</f>
        <v>7.9984008158156996</v>
      </c>
      <c r="X86" s="25"/>
    </row>
    <row r="87">
      <c r="B87" s="6" t="s">
        <v>77</v>
      </c>
      <c r="C87" s="18" t="s">
        <v>125</v>
      </c>
      <c r="D87" s="17" t="s">
        <v>50</v>
      </c>
      <c r="E87" s="18" t="s">
        <v>31</v>
      </c>
      <c r="F87" s="19" t="n">
        <v>45839</v>
      </c>
      <c r="G87" s="23" t="n">
        <v>1493412</v>
      </c>
      <c r="H87" s="23"/>
      <c r="I87" s="23" t="n">
        <v>283568</v>
      </c>
      <c r="J87" s="23" t="n">
        <f>MAX(COCtable[[#This Row],[Stock on hand(opening balance)]]+COCtable[[#This Row],[Quantity ]]-COCtable[[#This Row],[Forecasted consumption]],0)</f>
        <v>1209844</v>
      </c>
      <c r="K87" s="2"/>
      <c r="L87" s="2"/>
      <c r="M87" s="18"/>
      <c r="N87" s="23"/>
      <c r="O87" s="2"/>
      <c r="P87" s="20"/>
      <c r="Q87" s="24"/>
      <c r="R87" s="2"/>
      <c r="S87" s="2"/>
      <c r="T87" s="18" t="n">
        <v>6</v>
      </c>
      <c r="U87" s="18" t="n">
        <v>12</v>
      </c>
      <c r="V87" s="18" t="n">
        <v>12</v>
      </c>
      <c r="W87" s="3" t="n">
        <f>COCtable[[#This Row],[Closing balance ]]/COCtable[[#This Row],[Forecasted consumption]]</f>
        <v>4.2665039778818485</v>
      </c>
      <c r="X87" s="25"/>
    </row>
    <row r="88">
      <c r="B88" s="6" t="s">
        <v>77</v>
      </c>
      <c r="C88" s="18" t="s">
        <v>125</v>
      </c>
      <c r="D88" s="17" t="s">
        <v>50</v>
      </c>
      <c r="E88" s="18" t="s">
        <v>31</v>
      </c>
      <c r="F88" s="19" t="n">
        <v>45870</v>
      </c>
      <c r="G88" s="23" t="n">
        <f>J87</f>
        <v>1209844</v>
      </c>
      <c r="H88" s="23"/>
      <c r="I88" s="23" t="n">
        <v>283568</v>
      </c>
      <c r="J88" s="23" t="n">
        <f>MAX(COCtable[[#This Row],[Stock on hand(opening balance)]]+COCtable[[#This Row],[Quantity ]]-COCtable[[#This Row],[Forecasted consumption]],0)</f>
        <v>926276</v>
      </c>
      <c r="K88" s="2"/>
      <c r="L88" s="2"/>
      <c r="M88" s="18"/>
      <c r="N88" s="23"/>
      <c r="O88" s="2"/>
      <c r="P88" s="20"/>
      <c r="Q88" s="24"/>
      <c r="R88" s="2"/>
      <c r="S88" s="2"/>
      <c r="T88" s="18" t="n">
        <v>6</v>
      </c>
      <c r="U88" s="18" t="n">
        <v>12</v>
      </c>
      <c r="V88" s="18" t="n">
        <v>12</v>
      </c>
      <c r="W88" s="3" t="n">
        <f>COCtable[[#This Row],[Closing balance ]]/COCtable[[#This Row],[Forecasted consumption]]</f>
        <v>3.2665039778818485</v>
      </c>
      <c r="X88" s="25"/>
    </row>
    <row r="89">
      <c r="B89" s="6" t="s">
        <v>77</v>
      </c>
      <c r="C89" s="18" t="s">
        <v>125</v>
      </c>
      <c r="D89" s="17" t="s">
        <v>50</v>
      </c>
      <c r="E89" s="18" t="s">
        <v>31</v>
      </c>
      <c r="F89" s="19" t="n">
        <v>45901</v>
      </c>
      <c r="G89" s="23" t="n">
        <f t="shared" ref="G89:G98" si="4">J88</f>
        <v>926276</v>
      </c>
      <c r="H89" s="23"/>
      <c r="I89" s="23" t="n">
        <v>283568</v>
      </c>
      <c r="J89" s="23" t="n">
        <f>MAX(COCtable[[#This Row],[Stock on hand(opening balance)]]+COCtable[[#This Row],[Quantity ]]-COCtable[[#This Row],[Forecasted consumption]],0)</f>
        <v>1643652</v>
      </c>
      <c r="K89" s="2" t="s">
        <v>51</v>
      </c>
      <c r="L89" s="2" t="s">
        <v>51</v>
      </c>
      <c r="M89" s="18" t="s">
        <v>154</v>
      </c>
      <c r="N89" s="23" t="n">
        <v>1000944</v>
      </c>
      <c r="O89" s="2"/>
      <c r="P89" s="20"/>
      <c r="Q89" s="24"/>
      <c r="R89" s="2"/>
      <c r="S89" s="2"/>
      <c r="T89" s="18" t="n">
        <v>6</v>
      </c>
      <c r="U89" s="18" t="n">
        <v>12</v>
      </c>
      <c r="V89" s="18" t="n">
        <v>12</v>
      </c>
      <c r="W89" s="3" t="n">
        <f>COCtable[[#This Row],[Closing balance ]]/COCtable[[#This Row],[Forecasted consumption]]</f>
        <v>5.7963239857811883</v>
      </c>
      <c r="X89" s="25"/>
    </row>
    <row r="90">
      <c r="B90" s="6" t="s">
        <v>77</v>
      </c>
      <c r="C90" s="18" t="s">
        <v>125</v>
      </c>
      <c r="D90" s="17" t="s">
        <v>50</v>
      </c>
      <c r="E90" s="18" t="s">
        <v>31</v>
      </c>
      <c r="F90" s="19" t="n">
        <v>45931</v>
      </c>
      <c r="G90" s="23" t="n">
        <f t="shared" si="4"/>
        <v>1643652</v>
      </c>
      <c r="H90" s="23"/>
      <c r="I90" s="23" t="n">
        <v>283568</v>
      </c>
      <c r="J90" s="23" t="n">
        <f>MAX(COCtable[[#This Row],[Stock on hand(opening balance)]]+COCtable[[#This Row],[Quantity ]]-COCtable[[#This Row],[Forecasted consumption]],0)</f>
        <v>3157204</v>
      </c>
      <c r="K90" s="2" t="s">
        <v>168</v>
      </c>
      <c r="L90" s="2" t="s">
        <v>168</v>
      </c>
      <c r="M90" s="18" t="s">
        <v>147</v>
      </c>
      <c r="N90" s="23" t="n">
        <v>1797120</v>
      </c>
      <c r="O90" s="2"/>
      <c r="P90" s="20"/>
      <c r="Q90" s="24"/>
      <c r="R90" s="2"/>
      <c r="S90" s="2"/>
      <c r="T90" s="18" t="n">
        <v>6</v>
      </c>
      <c r="U90" s="18" t="n">
        <v>12</v>
      </c>
      <c r="V90" s="18" t="n">
        <v>12</v>
      </c>
      <c r="W90" s="3" t="n">
        <f>COCtable[[#This Row],[Closing balance ]]/COCtable[[#This Row],[Forecasted consumption]]</f>
        <v>11.133851492410992</v>
      </c>
      <c r="X90" s="25"/>
    </row>
    <row r="91">
      <c r="B91" s="6" t="s">
        <v>77</v>
      </c>
      <c r="C91" s="18" t="s">
        <v>125</v>
      </c>
      <c r="D91" s="17" t="s">
        <v>50</v>
      </c>
      <c r="E91" s="18" t="s">
        <v>31</v>
      </c>
      <c r="F91" s="19" t="n">
        <v>45962</v>
      </c>
      <c r="G91" s="23" t="n">
        <f t="shared" si="4"/>
        <v>3157204</v>
      </c>
      <c r="H91" s="23"/>
      <c r="I91" s="23" t="n">
        <v>283568</v>
      </c>
      <c r="J91" s="23" t="n">
        <f>MAX(COCtable[[#This Row],[Stock on hand(opening balance)]]+COCtable[[#This Row],[Quantity ]]-COCtable[[#This Row],[Forecasted consumption]],0)</f>
        <v>2873636</v>
      </c>
      <c r="K91" s="2"/>
      <c r="L91" s="2"/>
      <c r="M91" s="18"/>
      <c r="N91" s="23"/>
      <c r="O91" s="2"/>
      <c r="P91" s="20"/>
      <c r="Q91" s="24"/>
      <c r="R91" s="2"/>
      <c r="S91" s="2"/>
      <c r="T91" s="18" t="n">
        <v>6</v>
      </c>
      <c r="U91" s="18" t="n">
        <v>12</v>
      </c>
      <c r="V91" s="18" t="n">
        <v>12</v>
      </c>
      <c r="W91" s="3" t="n">
        <f>COCtable[[#This Row],[Closing balance ]]/COCtable[[#This Row],[Forecasted consumption]]</f>
        <v>10.133851492410992</v>
      </c>
      <c r="X91" s="25"/>
    </row>
    <row r="92">
      <c r="B92" s="6" t="s">
        <v>77</v>
      </c>
      <c r="C92" s="18" t="s">
        <v>125</v>
      </c>
      <c r="D92" s="17" t="s">
        <v>50</v>
      </c>
      <c r="E92" s="18" t="s">
        <v>31</v>
      </c>
      <c r="F92" s="19" t="n">
        <v>45992</v>
      </c>
      <c r="G92" s="23" t="n">
        <f t="shared" si="4"/>
        <v>2873636</v>
      </c>
      <c r="H92" s="23"/>
      <c r="I92" s="23" t="n">
        <v>283568</v>
      </c>
      <c r="J92" s="23" t="n">
        <f>MAX(COCtable[[#This Row],[Stock on hand(opening balance)]]+COCtable[[#This Row],[Quantity ]]-COCtable[[#This Row],[Forecasted consumption]],0)</f>
        <v>2590068</v>
      </c>
      <c r="K92" s="2"/>
      <c r="L92" s="2"/>
      <c r="M92" s="18"/>
      <c r="N92" s="23"/>
      <c r="O92" s="2"/>
      <c r="P92" s="20"/>
      <c r="Q92" s="24"/>
      <c r="R92" s="2"/>
      <c r="S92" s="2"/>
      <c r="T92" s="18" t="n">
        <v>6</v>
      </c>
      <c r="U92" s="18" t="n">
        <v>12</v>
      </c>
      <c r="V92" s="18" t="n">
        <v>12</v>
      </c>
      <c r="W92" s="3" t="n">
        <f>COCtable[[#This Row],[Closing balance ]]/COCtable[[#This Row],[Forecasted consumption]]</f>
        <v>9.1338514924109919</v>
      </c>
      <c r="X92" s="25"/>
    </row>
    <row r="93">
      <c r="B93" s="6" t="s">
        <v>77</v>
      </c>
      <c r="C93" s="18" t="s">
        <v>125</v>
      </c>
      <c r="D93" s="17" t="s">
        <v>50</v>
      </c>
      <c r="E93" s="18" t="s">
        <v>31</v>
      </c>
      <c r="F93" s="19" t="n">
        <v>46023</v>
      </c>
      <c r="G93" s="23" t="n">
        <f t="shared" si="4"/>
        <v>2590068</v>
      </c>
      <c r="H93" s="23"/>
      <c r="I93" s="23" t="n">
        <v>283568</v>
      </c>
      <c r="J93" s="23" t="n">
        <f>MAX(COCtable[[#This Row],[Stock on hand(opening balance)]]+COCtable[[#This Row],[Quantity ]]-COCtable[[#This Row],[Forecasted consumption]],0)</f>
        <v>2306500</v>
      </c>
      <c r="K93" s="2"/>
      <c r="L93" s="2"/>
      <c r="M93" s="18"/>
      <c r="N93" s="23"/>
      <c r="O93" s="2"/>
      <c r="P93" s="20"/>
      <c r="Q93" s="24"/>
      <c r="R93" s="2"/>
      <c r="S93" s="2"/>
      <c r="T93" s="18" t="n">
        <v>6</v>
      </c>
      <c r="U93" s="18" t="n">
        <v>12</v>
      </c>
      <c r="V93" s="18" t="n">
        <v>12</v>
      </c>
      <c r="W93" s="3" t="n">
        <f>COCtable[[#This Row],[Closing balance ]]/COCtable[[#This Row],[Forecasted consumption]]</f>
        <v>8.1338514924109919</v>
      </c>
      <c r="X93" s="25"/>
    </row>
    <row r="94">
      <c r="B94" s="6" t="s">
        <v>77</v>
      </c>
      <c r="C94" s="18" t="s">
        <v>125</v>
      </c>
      <c r="D94" s="17" t="s">
        <v>50</v>
      </c>
      <c r="E94" s="18" t="s">
        <v>31</v>
      </c>
      <c r="F94" s="19" t="n">
        <v>46054</v>
      </c>
      <c r="G94" s="23" t="n">
        <f t="shared" si="4"/>
        <v>2306500</v>
      </c>
      <c r="H94" s="23"/>
      <c r="I94" s="23" t="n">
        <v>283568</v>
      </c>
      <c r="J94" s="23" t="n">
        <f>MAX(COCtable[[#This Row],[Stock on hand(opening balance)]]+COCtable[[#This Row],[Quantity ]]-COCtable[[#This Row],[Forecasted consumption]],0)</f>
        <v>2022932</v>
      </c>
      <c r="K94" s="2"/>
      <c r="L94" s="2"/>
      <c r="M94" s="18"/>
      <c r="N94" s="23"/>
      <c r="O94" s="2"/>
      <c r="P94" s="20"/>
      <c r="Q94" s="24"/>
      <c r="R94" s="2"/>
      <c r="S94" s="2"/>
      <c r="T94" s="18" t="n">
        <v>6</v>
      </c>
      <c r="U94" s="18" t="n">
        <v>12</v>
      </c>
      <c r="V94" s="18" t="n">
        <v>12</v>
      </c>
      <c r="W94" s="3" t="n">
        <f>COCtable[[#This Row],[Closing balance ]]/COCtable[[#This Row],[Forecasted consumption]]</f>
        <v>7.133851492410991</v>
      </c>
      <c r="X94" s="25"/>
    </row>
    <row r="95">
      <c r="B95" s="6" t="s">
        <v>77</v>
      </c>
      <c r="C95" s="18" t="s">
        <v>125</v>
      </c>
      <c r="D95" s="17" t="s">
        <v>50</v>
      </c>
      <c r="E95" s="18" t="s">
        <v>31</v>
      </c>
      <c r="F95" s="19" t="n">
        <v>46082</v>
      </c>
      <c r="G95" s="23" t="n">
        <f t="shared" si="4"/>
        <v>2022932</v>
      </c>
      <c r="H95" s="23"/>
      <c r="I95" s="23" t="n">
        <v>283568</v>
      </c>
      <c r="J95" s="23" t="n">
        <f>MAX(COCtable[[#This Row],[Stock on hand(opening balance)]]+COCtable[[#This Row],[Quantity ]]-COCtable[[#This Row],[Forecasted consumption]],0)</f>
        <v>1739364</v>
      </c>
      <c r="K95" s="2"/>
      <c r="L95" s="2"/>
      <c r="M95" s="18"/>
      <c r="N95" s="23"/>
      <c r="O95" s="2"/>
      <c r="P95" s="20"/>
      <c r="Q95" s="24"/>
      <c r="R95" s="2"/>
      <c r="S95" s="2"/>
      <c r="T95" s="18" t="n">
        <v>6</v>
      </c>
      <c r="U95" s="18" t="n">
        <v>12</v>
      </c>
      <c r="V95" s="18" t="n">
        <v>12</v>
      </c>
      <c r="W95" s="3" t="n">
        <f>COCtable[[#This Row],[Closing balance ]]/COCtable[[#This Row],[Forecasted consumption]]</f>
        <v>6.133851492410991</v>
      </c>
      <c r="X95" s="25"/>
    </row>
    <row r="96">
      <c r="B96" s="6" t="s">
        <v>77</v>
      </c>
      <c r="C96" s="18" t="s">
        <v>125</v>
      </c>
      <c r="D96" s="17" t="s">
        <v>50</v>
      </c>
      <c r="E96" s="18" t="s">
        <v>31</v>
      </c>
      <c r="F96" s="19" t="n">
        <v>46113</v>
      </c>
      <c r="G96" s="23" t="n">
        <f t="shared" si="4"/>
        <v>1739364</v>
      </c>
      <c r="H96" s="23"/>
      <c r="I96" s="23" t="n">
        <v>283568</v>
      </c>
      <c r="J96" s="23" t="n">
        <f>MAX(COCtable[[#This Row],[Stock on hand(opening balance)]]+COCtable[[#This Row],[Quantity ]]-COCtable[[#This Row],[Forecasted consumption]],0)</f>
        <v>1455796</v>
      </c>
      <c r="K96" s="2"/>
      <c r="L96" s="2"/>
      <c r="M96" s="18"/>
      <c r="N96" s="23"/>
      <c r="O96" s="2"/>
      <c r="P96" s="20"/>
      <c r="Q96" s="24"/>
      <c r="R96" s="2"/>
      <c r="S96" s="2"/>
      <c r="T96" s="18" t="n">
        <v>6</v>
      </c>
      <c r="U96" s="18" t="n">
        <v>12</v>
      </c>
      <c r="V96" s="18" t="n">
        <v>12</v>
      </c>
      <c r="W96" s="3" t="n">
        <f>COCtable[[#This Row],[Closing balance ]]/COCtable[[#This Row],[Forecasted consumption]]</f>
        <v>5.133851492410991</v>
      </c>
      <c r="X96" s="25"/>
    </row>
    <row r="97">
      <c r="B97" s="6" t="s">
        <v>77</v>
      </c>
      <c r="C97" s="18" t="s">
        <v>125</v>
      </c>
      <c r="D97" s="17" t="s">
        <v>50</v>
      </c>
      <c r="E97" s="18" t="s">
        <v>31</v>
      </c>
      <c r="F97" s="19" t="n">
        <v>46143</v>
      </c>
      <c r="G97" s="23" t="n">
        <f t="shared" si="4"/>
        <v>1455796</v>
      </c>
      <c r="H97" s="23"/>
      <c r="I97" s="23" t="n">
        <v>283568</v>
      </c>
      <c r="J97" s="23" t="n">
        <f>MAX(COCtable[[#This Row],[Stock on hand(opening balance)]]+COCtable[[#This Row],[Quantity ]]-COCtable[[#This Row],[Forecasted consumption]],0)</f>
        <v>1172228</v>
      </c>
      <c r="K97" s="2"/>
      <c r="L97" s="2"/>
      <c r="M97" s="18"/>
      <c r="N97" s="23"/>
      <c r="O97" s="2"/>
      <c r="P97" s="20"/>
      <c r="Q97" s="24"/>
      <c r="R97" s="2"/>
      <c r="S97" s="2"/>
      <c r="T97" s="18" t="n">
        <v>6</v>
      </c>
      <c r="U97" s="18" t="n">
        <v>12</v>
      </c>
      <c r="V97" s="18" t="n">
        <v>12</v>
      </c>
      <c r="W97" s="3" t="n">
        <f>COCtable[[#This Row],[Closing balance ]]/COCtable[[#This Row],[Forecasted consumption]]</f>
        <v>4.133851492410991</v>
      </c>
      <c r="X97" s="25"/>
    </row>
    <row r="98">
      <c r="B98" s="6" t="s">
        <v>77</v>
      </c>
      <c r="C98" s="18" t="s">
        <v>125</v>
      </c>
      <c r="D98" s="17" t="s">
        <v>50</v>
      </c>
      <c r="E98" s="18" t="s">
        <v>31</v>
      </c>
      <c r="F98" s="19" t="n">
        <v>46174</v>
      </c>
      <c r="G98" s="23" t="n">
        <f t="shared" si="4"/>
        <v>1172228</v>
      </c>
      <c r="H98" s="23"/>
      <c r="I98" s="23" t="n">
        <v>283568</v>
      </c>
      <c r="J98" s="23" t="n">
        <f>MAX(COCtable[[#This Row],[Stock on hand(opening balance)]]+COCtable[[#This Row],[Quantity ]]-COCtable[[#This Row],[Forecasted consumption]],0)</f>
        <v>888660</v>
      </c>
      <c r="K98" s="2"/>
      <c r="L98" s="2"/>
      <c r="M98" s="18"/>
      <c r="N98" s="23"/>
      <c r="O98" s="2"/>
      <c r="P98" s="20"/>
      <c r="Q98" s="24"/>
      <c r="R98" s="2"/>
      <c r="S98" s="2"/>
      <c r="T98" s="18" t="n">
        <v>6</v>
      </c>
      <c r="U98" s="18" t="n">
        <v>12</v>
      </c>
      <c r="V98" s="18" t="n">
        <v>12</v>
      </c>
      <c r="W98" s="3" t="n">
        <f>COCtable[[#This Row],[Closing balance ]]/COCtable[[#This Row],[Forecasted consumption]]</f>
        <v>3.1338514924109915</v>
      </c>
      <c r="X98" s="25"/>
    </row>
    <row r="99">
      <c r="B99" s="6" t="s">
        <v>74</v>
      </c>
      <c r="C99" s="18" t="s">
        <v>125</v>
      </c>
      <c r="D99" s="17" t="s">
        <v>50</v>
      </c>
      <c r="E99" s="18" t="s">
        <v>31</v>
      </c>
      <c r="F99" s="19" t="n">
        <v>45870</v>
      </c>
      <c r="G99" s="23" t="n">
        <v>133925</v>
      </c>
      <c r="H99" s="23"/>
      <c r="I99" s="23" t="n">
        <v>78000</v>
      </c>
      <c r="J99" s="23" t="n">
        <f>MAX(COCtable[[#This Row],[Stock on hand(opening balance)]]+COCtable[[#This Row],[Quantity ]]-COCtable[[#This Row],[Forecasted consumption]],0)</f>
        <v>85925</v>
      </c>
      <c r="K99" s="2" t="s">
        <v>51</v>
      </c>
      <c r="L99" s="2" t="s">
        <v>51</v>
      </c>
      <c r="M99" s="18" t="s">
        <v>154</v>
      </c>
      <c r="N99" s="23" t="n">
        <v>30000</v>
      </c>
      <c r="O99" s="2"/>
      <c r="P99" s="20"/>
      <c r="Q99" s="24"/>
      <c r="R99" s="2"/>
      <c r="S99" s="2"/>
      <c r="T99" s="18" t="n">
        <v>3</v>
      </c>
      <c r="U99" s="18" t="n">
        <v>6</v>
      </c>
      <c r="V99" s="18" t="n">
        <v>6</v>
      </c>
      <c r="W99" s="3" t="n">
        <f>COCtable[[#This Row],[Closing balance ]]/COCtable[[#This Row],[Forecasted consumption]]</f>
        <v>1.1016025641025642</v>
      </c>
      <c r="X99" s="25"/>
    </row>
    <row r="100">
      <c r="B100" s="6" t="s">
        <v>74</v>
      </c>
      <c r="C100" s="18" t="s">
        <v>125</v>
      </c>
      <c r="D100" s="17" t="s">
        <v>50</v>
      </c>
      <c r="E100" s="18" t="s">
        <v>31</v>
      </c>
      <c r="F100" s="19" t="n">
        <v>45901</v>
      </c>
      <c r="G100" s="23" t="n">
        <f>J99</f>
        <v>85925</v>
      </c>
      <c r="H100" s="23"/>
      <c r="I100" s="23" t="n">
        <v>78000</v>
      </c>
      <c r="J100" s="23" t="n">
        <f>MAX(COCtable[[#This Row],[Stock on hand(opening balance)]]+COCtable[[#This Row],[Quantity ]]-COCtable[[#This Row],[Forecasted consumption]],0)</f>
        <v>68405</v>
      </c>
      <c r="K100" s="2" t="s">
        <v>51</v>
      </c>
      <c r="L100" s="2" t="s">
        <v>51</v>
      </c>
      <c r="M100" s="18" t="s">
        <v>154</v>
      </c>
      <c r="N100" s="23" t="n">
        <v>60480</v>
      </c>
      <c r="O100" s="2"/>
      <c r="P100" s="20"/>
      <c r="Q100" s="24"/>
      <c r="R100" s="2"/>
      <c r="S100" s="2"/>
      <c r="T100" s="18" t="n">
        <v>3</v>
      </c>
      <c r="U100" s="18" t="n">
        <v>6</v>
      </c>
      <c r="V100" s="18" t="n">
        <v>6</v>
      </c>
      <c r="W100" s="3" t="n">
        <f>COCtable[[#This Row],[Closing balance ]]/COCtable[[#This Row],[Forecasted consumption]]</f>
        <v>0.87698717948717952</v>
      </c>
      <c r="X100" s="25"/>
    </row>
    <row r="101">
      <c r="B101" s="6" t="s">
        <v>74</v>
      </c>
      <c r="C101" s="18" t="s">
        <v>125</v>
      </c>
      <c r="D101" s="17" t="s">
        <v>50</v>
      </c>
      <c r="E101" s="18" t="s">
        <v>31</v>
      </c>
      <c r="F101" s="19" t="n">
        <v>45931</v>
      </c>
      <c r="G101" s="23" t="n">
        <f t="shared" ref="G101:G111" si="5">J100</f>
        <v>68405</v>
      </c>
      <c r="H101" s="23"/>
      <c r="I101" s="23" t="n">
        <v>78000</v>
      </c>
      <c r="J101" s="23" t="n">
        <f>MAX(COCtable[[#This Row],[Stock on hand(opening balance)]]+COCtable[[#This Row],[Quantity ]]-COCtable[[#This Row],[Forecasted consumption]],0)</f>
        <v>121445</v>
      </c>
      <c r="K101" s="2" t="s">
        <v>51</v>
      </c>
      <c r="L101" s="2" t="s">
        <v>51</v>
      </c>
      <c r="M101" s="18" t="s">
        <v>154</v>
      </c>
      <c r="N101" s="23" t="n">
        <v>131040</v>
      </c>
      <c r="O101" s="2"/>
      <c r="P101" s="20"/>
      <c r="Q101" s="24"/>
      <c r="R101" s="2"/>
      <c r="S101" s="2"/>
      <c r="T101" s="18" t="n">
        <v>3</v>
      </c>
      <c r="U101" s="18" t="n">
        <v>6</v>
      </c>
      <c r="V101" s="18" t="n">
        <v>6</v>
      </c>
      <c r="W101" s="3" t="n">
        <f>COCtable[[#This Row],[Closing balance ]]/COCtable[[#This Row],[Forecasted consumption]]</f>
        <v>1.5569871794871795</v>
      </c>
      <c r="X101" s="25"/>
    </row>
    <row r="102">
      <c r="B102" s="6" t="s">
        <v>74</v>
      </c>
      <c r="C102" s="18" t="s">
        <v>125</v>
      </c>
      <c r="D102" s="17" t="s">
        <v>50</v>
      </c>
      <c r="E102" s="18" t="s">
        <v>31</v>
      </c>
      <c r="F102" s="19" t="n">
        <v>45962</v>
      </c>
      <c r="G102" s="23" t="n">
        <f t="shared" si="5"/>
        <v>121445</v>
      </c>
      <c r="H102" s="23"/>
      <c r="I102" s="23" t="n">
        <v>78000</v>
      </c>
      <c r="J102" s="23" t="n">
        <f>MAX(COCtable[[#This Row],[Stock on hand(opening balance)]]+COCtable[[#This Row],[Quantity ]]-COCtable[[#This Row],[Forecasted consumption]],0)</f>
        <v>43445</v>
      </c>
      <c r="K102" s="2"/>
      <c r="L102" s="2"/>
      <c r="M102" s="18"/>
      <c r="N102" s="23"/>
      <c r="O102" s="2"/>
      <c r="P102" s="20"/>
      <c r="Q102" s="24"/>
      <c r="R102" s="2"/>
      <c r="S102" s="2"/>
      <c r="T102" s="18" t="n">
        <v>3</v>
      </c>
      <c r="U102" s="18" t="n">
        <v>6</v>
      </c>
      <c r="V102" s="18" t="n">
        <v>6</v>
      </c>
      <c r="W102" s="3" t="n">
        <f>COCtable[[#This Row],[Closing balance ]]/COCtable[[#This Row],[Forecasted consumption]]</f>
        <v>0.55698717948717946</v>
      </c>
      <c r="X102" s="25"/>
    </row>
    <row r="103">
      <c r="B103" s="6" t="s">
        <v>74</v>
      </c>
      <c r="C103" s="18" t="s">
        <v>125</v>
      </c>
      <c r="D103" s="17" t="s">
        <v>50</v>
      </c>
      <c r="E103" s="18" t="s">
        <v>31</v>
      </c>
      <c r="F103" s="19" t="n">
        <v>45992</v>
      </c>
      <c r="G103" s="23" t="n">
        <f t="shared" si="5"/>
        <v>43445</v>
      </c>
      <c r="H103" s="23"/>
      <c r="I103" s="23" t="n">
        <v>78000</v>
      </c>
      <c r="J103" s="23" t="n">
        <f>MAX(COCtable[[#This Row],[Stock on hand(opening balance)]]+COCtable[[#This Row],[Quantity ]]-COCtable[[#This Row],[Forecasted consumption]],0)</f>
        <v>0</v>
      </c>
      <c r="K103" s="2"/>
      <c r="L103" s="2"/>
      <c r="M103" s="18"/>
      <c r="N103" s="23"/>
      <c r="O103" s="2"/>
      <c r="P103" s="20"/>
      <c r="Q103" s="24"/>
      <c r="R103" s="2"/>
      <c r="S103" s="2"/>
      <c r="T103" s="18" t="n">
        <v>3</v>
      </c>
      <c r="U103" s="18" t="n">
        <v>6</v>
      </c>
      <c r="V103" s="18" t="n">
        <v>6</v>
      </c>
      <c r="W103" s="3" t="n">
        <f>COCtable[[#This Row],[Closing balance ]]/COCtable[[#This Row],[Forecasted consumption]]</f>
        <v>0</v>
      </c>
      <c r="X103" s="25"/>
    </row>
    <row r="104">
      <c r="B104" s="6" t="s">
        <v>74</v>
      </c>
      <c r="C104" s="18" t="s">
        <v>125</v>
      </c>
      <c r="D104" s="17" t="s">
        <v>50</v>
      </c>
      <c r="E104" s="18" t="s">
        <v>31</v>
      </c>
      <c r="F104" s="19" t="n">
        <v>46023</v>
      </c>
      <c r="G104" s="23" t="n">
        <f t="shared" si="5"/>
        <v>0</v>
      </c>
      <c r="H104" s="23"/>
      <c r="I104" s="23" t="n">
        <v>78000</v>
      </c>
      <c r="J104" s="23" t="n">
        <f>MAX(COCtable[[#This Row],[Stock on hand(opening balance)]]+COCtable[[#This Row],[Quantity ]]-COCtable[[#This Row],[Forecasted consumption]],0)</f>
        <v>371800</v>
      </c>
      <c r="K104" s="2" t="s">
        <v>2</v>
      </c>
      <c r="L104" s="2" t="s">
        <v>2</v>
      </c>
      <c r="M104" s="18" t="s">
        <v>4</v>
      </c>
      <c r="N104" s="23" t="n">
        <v>449800</v>
      </c>
      <c r="O104" s="2"/>
      <c r="P104" s="20"/>
      <c r="Q104" s="24"/>
      <c r="R104" s="2"/>
      <c r="S104" s="2"/>
      <c r="T104" s="18" t="n">
        <v>3</v>
      </c>
      <c r="U104" s="18" t="n">
        <v>6</v>
      </c>
      <c r="V104" s="18" t="n">
        <v>6</v>
      </c>
      <c r="W104" s="3" t="n">
        <f>COCtable[[#This Row],[Closing balance ]]/COCtable[[#This Row],[Forecasted consumption]]</f>
        <v>4.7666666666666666</v>
      </c>
      <c r="X104" s="25"/>
    </row>
    <row r="105">
      <c r="B105" s="6" t="s">
        <v>74</v>
      </c>
      <c r="C105" s="18" t="s">
        <v>125</v>
      </c>
      <c r="D105" s="17" t="s">
        <v>50</v>
      </c>
      <c r="E105" s="18" t="s">
        <v>31</v>
      </c>
      <c r="F105" s="19" t="n">
        <v>46054</v>
      </c>
      <c r="G105" s="23" t="n">
        <f t="shared" si="5"/>
        <v>371800</v>
      </c>
      <c r="H105" s="23"/>
      <c r="I105" s="23" t="n">
        <v>78000</v>
      </c>
      <c r="J105" s="23" t="n">
        <f>MAX(COCtable[[#This Row],[Stock on hand(opening balance)]]+COCtable[[#This Row],[Quantity ]]-COCtable[[#This Row],[Forecasted consumption]],0)</f>
        <v>293800</v>
      </c>
      <c r="K105" s="2"/>
      <c r="L105" s="2"/>
      <c r="M105" s="18"/>
      <c r="N105" s="23"/>
      <c r="O105" s="2"/>
      <c r="P105" s="20"/>
      <c r="Q105" s="24"/>
      <c r="R105" s="2"/>
      <c r="S105" s="2"/>
      <c r="T105" s="18" t="n">
        <v>3</v>
      </c>
      <c r="U105" s="18" t="n">
        <v>6</v>
      </c>
      <c r="V105" s="18" t="n">
        <v>6</v>
      </c>
      <c r="W105" s="3" t="n">
        <f>COCtable[[#This Row],[Closing balance ]]/COCtable[[#This Row],[Forecasted consumption]]</f>
        <v>3.7666666666666666</v>
      </c>
      <c r="X105" s="25"/>
    </row>
    <row r="106">
      <c r="B106" s="6" t="s">
        <v>74</v>
      </c>
      <c r="C106" s="18" t="s">
        <v>125</v>
      </c>
      <c r="D106" s="17" t="s">
        <v>50</v>
      </c>
      <c r="E106" s="18" t="s">
        <v>31</v>
      </c>
      <c r="F106" s="19" t="n">
        <v>46082</v>
      </c>
      <c r="G106" s="23" t="n">
        <f t="shared" si="5"/>
        <v>293800</v>
      </c>
      <c r="H106" s="23"/>
      <c r="I106" s="23" t="n">
        <v>78000</v>
      </c>
      <c r="J106" s="23" t="n">
        <f>MAX(COCtable[[#This Row],[Stock on hand(opening balance)]]+COCtable[[#This Row],[Quantity ]]-COCtable[[#This Row],[Forecasted consumption]],0)</f>
        <v>215800</v>
      </c>
      <c r="K106" s="2"/>
      <c r="L106" s="2"/>
      <c r="M106" s="18"/>
      <c r="N106" s="23"/>
      <c r="O106" s="2"/>
      <c r="P106" s="20"/>
      <c r="Q106" s="24"/>
      <c r="R106" s="2"/>
      <c r="S106" s="2"/>
      <c r="T106" s="18" t="n">
        <v>3</v>
      </c>
      <c r="U106" s="18" t="n">
        <v>6</v>
      </c>
      <c r="V106" s="18" t="n">
        <v>6</v>
      </c>
      <c r="W106" s="3" t="n">
        <f>COCtable[[#This Row],[Closing balance ]]/COCtable[[#This Row],[Forecasted consumption]]</f>
        <v>2.7666666666666666</v>
      </c>
      <c r="X106" s="25"/>
    </row>
    <row r="107">
      <c r="B107" s="6" t="s">
        <v>74</v>
      </c>
      <c r="C107" s="18" t="s">
        <v>125</v>
      </c>
      <c r="D107" s="17" t="s">
        <v>50</v>
      </c>
      <c r="E107" s="18" t="s">
        <v>31</v>
      </c>
      <c r="F107" s="19" t="n">
        <v>46113</v>
      </c>
      <c r="G107" s="23" t="n">
        <f t="shared" si="5"/>
        <v>215800</v>
      </c>
      <c r="H107" s="23"/>
      <c r="I107" s="23" t="n">
        <v>78000</v>
      </c>
      <c r="J107" s="23" t="n">
        <f>MAX(COCtable[[#This Row],[Stock on hand(opening balance)]]+COCtable[[#This Row],[Quantity ]]-COCtable[[#This Row],[Forecasted consumption]],0)</f>
        <v>380417</v>
      </c>
      <c r="K107" s="2" t="s">
        <v>2</v>
      </c>
      <c r="L107" s="2" t="s">
        <v>2</v>
      </c>
      <c r="M107" s="18" t="s">
        <v>4</v>
      </c>
      <c r="N107" s="23" t="n">
        <v>242617</v>
      </c>
      <c r="O107" s="2"/>
      <c r="P107" s="20"/>
      <c r="Q107" s="24"/>
      <c r="R107" s="2"/>
      <c r="S107" s="2"/>
      <c r="T107" s="18" t="n">
        <v>3</v>
      </c>
      <c r="U107" s="18" t="n">
        <v>6</v>
      </c>
      <c r="V107" s="18" t="n">
        <v>6</v>
      </c>
      <c r="W107" s="3" t="n">
        <f>COCtable[[#This Row],[Closing balance ]]/COCtable[[#This Row],[Forecasted consumption]]</f>
        <v>4.8771410256410253</v>
      </c>
      <c r="X107" s="25"/>
    </row>
    <row r="108">
      <c r="B108" s="6" t="s">
        <v>74</v>
      </c>
      <c r="C108" s="18" t="s">
        <v>125</v>
      </c>
      <c r="D108" s="17" t="s">
        <v>50</v>
      </c>
      <c r="E108" s="18" t="s">
        <v>31</v>
      </c>
      <c r="F108" s="19" t="n">
        <v>46143</v>
      </c>
      <c r="G108" s="23" t="n">
        <f t="shared" si="5"/>
        <v>380417</v>
      </c>
      <c r="H108" s="23"/>
      <c r="I108" s="23" t="n">
        <v>78000</v>
      </c>
      <c r="J108" s="23" t="n">
        <f>MAX(COCtable[[#This Row],[Stock on hand(opening balance)]]+COCtable[[#This Row],[Quantity ]]-COCtable[[#This Row],[Forecasted consumption]],0)</f>
        <v>302417</v>
      </c>
      <c r="K108" s="2"/>
      <c r="L108" s="2"/>
      <c r="M108" s="18"/>
      <c r="N108" s="23"/>
      <c r="O108" s="2"/>
      <c r="P108" s="20"/>
      <c r="Q108" s="24"/>
      <c r="R108" s="2"/>
      <c r="S108" s="2"/>
      <c r="T108" s="18" t="n">
        <v>3</v>
      </c>
      <c r="U108" s="18" t="n">
        <v>6</v>
      </c>
      <c r="V108" s="18" t="n">
        <v>6</v>
      </c>
      <c r="W108" s="3" t="n">
        <f>COCtable[[#This Row],[Closing balance ]]/COCtable[[#This Row],[Forecasted consumption]]</f>
        <v>3.8771410256410257</v>
      </c>
      <c r="X108" s="25"/>
    </row>
    <row r="109">
      <c r="B109" s="6" t="s">
        <v>74</v>
      </c>
      <c r="C109" s="18" t="s">
        <v>125</v>
      </c>
      <c r="D109" s="17" t="s">
        <v>50</v>
      </c>
      <c r="E109" s="18" t="s">
        <v>31</v>
      </c>
      <c r="F109" s="19" t="n">
        <v>46174</v>
      </c>
      <c r="G109" s="23" t="n">
        <f t="shared" si="5"/>
        <v>302417</v>
      </c>
      <c r="H109" s="23"/>
      <c r="I109" s="23" t="n">
        <v>78000</v>
      </c>
      <c r="J109" s="23" t="n">
        <f>MAX(COCtable[[#This Row],[Stock on hand(opening balance)]]+COCtable[[#This Row],[Quantity ]]-COCtable[[#This Row],[Forecasted consumption]],0)</f>
        <v>224417</v>
      </c>
      <c r="K109" s="2"/>
      <c r="L109" s="2"/>
      <c r="M109" s="18"/>
      <c r="N109" s="23"/>
      <c r="O109" s="2"/>
      <c r="P109" s="20"/>
      <c r="Q109" s="24"/>
      <c r="R109" s="2"/>
      <c r="S109" s="2"/>
      <c r="T109" s="18" t="n">
        <v>3</v>
      </c>
      <c r="U109" s="18" t="n">
        <v>6</v>
      </c>
      <c r="V109" s="18" t="n">
        <v>6</v>
      </c>
      <c r="W109" s="3" t="n">
        <f>COCtable[[#This Row],[Closing balance ]]/COCtable[[#This Row],[Forecasted consumption]]</f>
        <v>2.8771410256410257</v>
      </c>
      <c r="X109" s="25"/>
    </row>
    <row r="110">
      <c r="B110" s="6" t="s">
        <v>74</v>
      </c>
      <c r="C110" s="18" t="s">
        <v>125</v>
      </c>
      <c r="D110" s="17" t="s">
        <v>50</v>
      </c>
      <c r="E110" s="18" t="s">
        <v>31</v>
      </c>
      <c r="F110" s="19" t="n">
        <v>46204</v>
      </c>
      <c r="G110" s="23" t="n">
        <f t="shared" si="5"/>
        <v>224417</v>
      </c>
      <c r="H110" s="23"/>
      <c r="I110" s="23" t="n">
        <v>78000</v>
      </c>
      <c r="J110" s="23" t="n">
        <f>MAX(COCtable[[#This Row],[Stock on hand(opening balance)]]+COCtable[[#This Row],[Quantity ]]-COCtable[[#This Row],[Forecasted consumption]],0)</f>
        <v>399917</v>
      </c>
      <c r="K110" s="2" t="s">
        <v>2</v>
      </c>
      <c r="L110" s="2" t="s">
        <v>2</v>
      </c>
      <c r="M110" s="18" t="s">
        <v>4</v>
      </c>
      <c r="N110" s="23" t="n">
        <v>253500</v>
      </c>
      <c r="O110" s="2"/>
      <c r="P110" s="20"/>
      <c r="Q110" s="24"/>
      <c r="R110" s="2"/>
      <c r="S110" s="2"/>
      <c r="T110" s="18" t="n">
        <v>3</v>
      </c>
      <c r="U110" s="18" t="n">
        <v>6</v>
      </c>
      <c r="V110" s="18" t="n">
        <v>6</v>
      </c>
      <c r="W110" s="3" t="n">
        <f>COCtable[[#This Row],[Closing balance ]]/COCtable[[#This Row],[Forecasted consumption]]</f>
        <v>5.1271410256410253</v>
      </c>
      <c r="X110" s="25"/>
    </row>
    <row r="111">
      <c r="B111" s="6" t="s">
        <v>74</v>
      </c>
      <c r="C111" s="18" t="s">
        <v>125</v>
      </c>
      <c r="D111" s="17" t="s">
        <v>50</v>
      </c>
      <c r="E111" s="18" t="s">
        <v>31</v>
      </c>
      <c r="F111" s="19" t="n">
        <v>46235</v>
      </c>
      <c r="G111" s="23" t="n">
        <f t="shared" si="5"/>
        <v>399917</v>
      </c>
      <c r="H111" s="23"/>
      <c r="I111" s="23" t="n">
        <v>78000</v>
      </c>
      <c r="J111" s="23" t="n">
        <f>MAX(COCtable[[#This Row],[Stock on hand(opening balance)]]+COCtable[[#This Row],[Quantity ]]-COCtable[[#This Row],[Forecasted consumption]],0)</f>
        <v>321917</v>
      </c>
      <c r="K111" s="2"/>
      <c r="L111" s="2"/>
      <c r="M111" s="18"/>
      <c r="N111" s="23"/>
      <c r="O111" s="2"/>
      <c r="P111" s="20"/>
      <c r="Q111" s="24"/>
      <c r="R111" s="2"/>
      <c r="S111" s="2"/>
      <c r="T111" s="18" t="n">
        <v>3</v>
      </c>
      <c r="U111" s="18" t="n">
        <v>6</v>
      </c>
      <c r="V111" s="18" t="n">
        <v>6</v>
      </c>
      <c r="W111" s="3" t="n">
        <f>COCtable[[#This Row],[Closing balance ]]/COCtable[[#This Row],[Forecasted consumption]]</f>
        <v>4.1271410256410253</v>
      </c>
      <c r="X111" s="25"/>
    </row>
    <row r="112">
      <c r="B112" s="6" t="s">
        <v>166</v>
      </c>
      <c r="C112" s="18" t="s">
        <v>125</v>
      </c>
      <c r="D112" s="17" t="s">
        <v>50</v>
      </c>
      <c r="E112" s="18" t="s">
        <v>31</v>
      </c>
      <c r="F112" s="19" t="n">
        <v>45748</v>
      </c>
      <c r="G112" s="20" t="n">
        <v>528688</v>
      </c>
      <c r="H112" s="20"/>
      <c r="I112" s="20" t="n">
        <v>46807</v>
      </c>
      <c r="J112" s="20" t="n">
        <f>MAX(COCtable[[#This Row],[Stock on hand(opening balance)]]+COCtable[[#This Row],[Quantity ]]-COCtable[[#This Row],[Forecasted consumption]],0)</f>
        <v>481881</v>
      </c>
      <c r="K112" s="18"/>
      <c r="L112" s="18"/>
      <c r="M112" s="18"/>
      <c r="N112" s="20"/>
      <c r="O112" s="18"/>
      <c r="P112" s="20"/>
      <c r="Q112" s="19"/>
      <c r="R112" s="18"/>
      <c r="S112" s="18"/>
      <c r="T112" s="18" t="n">
        <v>9</v>
      </c>
      <c r="U112" s="18" t="n">
        <v>15</v>
      </c>
      <c r="V112" s="18" t="n">
        <v>15</v>
      </c>
      <c r="W112" s="21" t="n">
        <f>COCtable[[#This Row],[Closing balance ]]/COCtable[[#This Row],[Forecasted consumption]]</f>
        <v>10.295062704296367</v>
      </c>
      <c r="X112" s="22"/>
    </row>
    <row r="113">
      <c r="B113" s="6" t="s">
        <v>166</v>
      </c>
      <c r="C113" s="18" t="s">
        <v>125</v>
      </c>
      <c r="D113" s="17" t="s">
        <v>50</v>
      </c>
      <c r="E113" s="18" t="s">
        <v>31</v>
      </c>
      <c r="F113" s="19" t="n">
        <v>45778</v>
      </c>
      <c r="G113" s="23" t="n">
        <f>J112</f>
        <v>481881</v>
      </c>
      <c r="H113" s="23"/>
      <c r="I113" s="20" t="n">
        <v>46807</v>
      </c>
      <c r="J113" s="23" t="n">
        <f>MAX(COCtable[[#This Row],[Stock on hand(opening balance)]]+COCtable[[#This Row],[Quantity ]]-COCtable[[#This Row],[Forecasted consumption]],0)</f>
        <v>435074</v>
      </c>
      <c r="K113" s="2"/>
      <c r="L113" s="2"/>
      <c r="M113" s="2"/>
      <c r="N113" s="23"/>
      <c r="O113" s="2"/>
      <c r="P113" s="20"/>
      <c r="Q113" s="24"/>
      <c r="R113" s="2"/>
      <c r="S113" s="2"/>
      <c r="T113" s="18" t="n">
        <v>9</v>
      </c>
      <c r="U113" s="18" t="n">
        <v>15</v>
      </c>
      <c r="V113" s="18" t="n">
        <v>15</v>
      </c>
      <c r="W113" s="3" t="n">
        <f>COCtable[[#This Row],[Closing balance ]]/COCtable[[#This Row],[Forecasted consumption]]</f>
        <v>9.2950627042963667</v>
      </c>
      <c r="X113" s="25"/>
    </row>
    <row r="114">
      <c r="B114" s="6" t="s">
        <v>166</v>
      </c>
      <c r="C114" s="18" t="s">
        <v>125</v>
      </c>
      <c r="D114" s="17" t="s">
        <v>50</v>
      </c>
      <c r="E114" s="18" t="s">
        <v>31</v>
      </c>
      <c r="F114" s="19" t="n">
        <v>45809</v>
      </c>
      <c r="G114" s="23" t="n">
        <f t="shared" ref="G114:G120" si="6">J113</f>
        <v>435074</v>
      </c>
      <c r="H114" s="23"/>
      <c r="I114" s="20" t="n">
        <v>46807</v>
      </c>
      <c r="J114" s="23" t="n">
        <f>MAX(COCtable[[#This Row],[Stock on hand(opening balance)]]+COCtable[[#This Row],[Quantity ]]-COCtable[[#This Row],[Forecasted consumption]],0)</f>
        <v>388267</v>
      </c>
      <c r="K114" s="2"/>
      <c r="L114" s="2"/>
      <c r="M114" s="2"/>
      <c r="N114" s="23"/>
      <c r="O114" s="2"/>
      <c r="P114" s="20"/>
      <c r="Q114" s="24"/>
      <c r="R114" s="2"/>
      <c r="S114" s="2"/>
      <c r="T114" s="18" t="n">
        <v>9</v>
      </c>
      <c r="U114" s="18" t="n">
        <v>15</v>
      </c>
      <c r="V114" s="18" t="n">
        <v>15</v>
      </c>
      <c r="W114" s="3" t="n">
        <f>COCtable[[#This Row],[Closing balance ]]/COCtable[[#This Row],[Forecasted consumption]]</f>
        <v>8.2950627042963667</v>
      </c>
      <c r="X114" s="25"/>
    </row>
    <row r="115">
      <c r="B115" s="6" t="s">
        <v>166</v>
      </c>
      <c r="C115" s="18" t="s">
        <v>125</v>
      </c>
      <c r="D115" s="17" t="s">
        <v>50</v>
      </c>
      <c r="E115" s="18" t="s">
        <v>31</v>
      </c>
      <c r="F115" s="19" t="n">
        <v>45839</v>
      </c>
      <c r="G115" s="23" t="n">
        <f t="shared" si="6"/>
        <v>388267</v>
      </c>
      <c r="H115" s="23"/>
      <c r="I115" s="20" t="n">
        <v>46807</v>
      </c>
      <c r="J115" s="23" t="n">
        <f>MAX(COCtable[[#This Row],[Stock on hand(opening balance)]]+COCtable[[#This Row],[Quantity ]]-COCtable[[#This Row],[Forecasted consumption]],0)</f>
        <v>444276</v>
      </c>
      <c r="K115" s="2"/>
      <c r="L115" s="2"/>
      <c r="M115" s="2"/>
      <c r="N115" s="23" t="n">
        <v>102816</v>
      </c>
      <c r="O115" s="2"/>
      <c r="P115" s="20"/>
      <c r="Q115" s="24"/>
      <c r="R115" s="2"/>
      <c r="S115" s="2"/>
      <c r="T115" s="18" t="n">
        <v>9</v>
      </c>
      <c r="U115" s="18" t="n">
        <v>15</v>
      </c>
      <c r="V115" s="18" t="n">
        <v>15</v>
      </c>
      <c r="W115" s="3" t="n">
        <f>COCtable[[#This Row],[Closing balance ]]/COCtable[[#This Row],[Forecasted consumption]]</f>
        <v>9.4916572307560827</v>
      </c>
      <c r="X115" s="25"/>
    </row>
    <row r="116">
      <c r="B116" s="6" t="s">
        <v>166</v>
      </c>
      <c r="C116" s="18" t="s">
        <v>125</v>
      </c>
      <c r="D116" s="17" t="s">
        <v>50</v>
      </c>
      <c r="E116" s="18" t="s">
        <v>31</v>
      </c>
      <c r="F116" s="19" t="n">
        <v>45870</v>
      </c>
      <c r="G116" s="23" t="n">
        <f t="shared" si="6"/>
        <v>444276</v>
      </c>
      <c r="H116" s="23"/>
      <c r="I116" s="20" t="n">
        <v>46807</v>
      </c>
      <c r="J116" s="23" t="n">
        <f>MAX(COCtable[[#This Row],[Stock on hand(opening balance)]]+COCtable[[#This Row],[Quantity ]]-COCtable[[#This Row],[Forecasted consumption]],0)</f>
        <v>397469</v>
      </c>
      <c r="K116" s="2"/>
      <c r="L116" s="2"/>
      <c r="M116" s="2"/>
      <c r="N116" s="23"/>
      <c r="O116" s="2"/>
      <c r="P116" s="20"/>
      <c r="Q116" s="24"/>
      <c r="R116" s="2"/>
      <c r="S116" s="2"/>
      <c r="T116" s="18" t="n">
        <v>9</v>
      </c>
      <c r="U116" s="18" t="n">
        <v>15</v>
      </c>
      <c r="V116" s="18" t="n">
        <v>15</v>
      </c>
      <c r="W116" s="3" t="n">
        <f>COCtable[[#This Row],[Closing balance ]]/COCtable[[#This Row],[Forecasted consumption]]</f>
        <v>8.4916572307560827</v>
      </c>
      <c r="X116" s="25"/>
    </row>
    <row r="117">
      <c r="B117" s="6" t="s">
        <v>166</v>
      </c>
      <c r="C117" s="18" t="s">
        <v>125</v>
      </c>
      <c r="D117" s="17" t="s">
        <v>50</v>
      </c>
      <c r="E117" s="18" t="s">
        <v>31</v>
      </c>
      <c r="F117" s="19" t="n">
        <v>45901</v>
      </c>
      <c r="G117" s="23" t="n">
        <f t="shared" si="6"/>
        <v>397469</v>
      </c>
      <c r="H117" s="23"/>
      <c r="I117" s="20" t="n">
        <v>46807</v>
      </c>
      <c r="J117" s="23" t="n">
        <f>MAX(COCtable[[#This Row],[Stock on hand(opening balance)]]+COCtable[[#This Row],[Quantity ]]-COCtable[[#This Row],[Forecasted consumption]],0)</f>
        <v>350662</v>
      </c>
      <c r="K117" s="2"/>
      <c r="L117" s="2"/>
      <c r="M117" s="2"/>
      <c r="N117" s="23"/>
      <c r="O117" s="2"/>
      <c r="P117" s="20"/>
      <c r="Q117" s="24"/>
      <c r="R117" s="2"/>
      <c r="S117" s="2"/>
      <c r="T117" s="18" t="n">
        <v>9</v>
      </c>
      <c r="U117" s="18" t="n">
        <v>15</v>
      </c>
      <c r="V117" s="18" t="n">
        <v>15</v>
      </c>
      <c r="W117" s="3" t="n">
        <f>COCtable[[#This Row],[Closing balance ]]/COCtable[[#This Row],[Forecasted consumption]]</f>
        <v>7.4916572307560836</v>
      </c>
      <c r="X117" s="25"/>
    </row>
    <row r="118">
      <c r="B118" s="6" t="s">
        <v>166</v>
      </c>
      <c r="C118" s="18" t="s">
        <v>125</v>
      </c>
      <c r="D118" s="17" t="s">
        <v>50</v>
      </c>
      <c r="E118" s="18" t="s">
        <v>31</v>
      </c>
      <c r="F118" s="19" t="n">
        <v>45931</v>
      </c>
      <c r="G118" s="23" t="n">
        <f t="shared" si="6"/>
        <v>350662</v>
      </c>
      <c r="H118" s="23"/>
      <c r="I118" s="20" t="n">
        <v>46807</v>
      </c>
      <c r="J118" s="23" t="n">
        <f>MAX(COCtable[[#This Row],[Stock on hand(opening balance)]]+COCtable[[#This Row],[Quantity ]]-COCtable[[#This Row],[Forecasted consumption]],0)</f>
        <v>303855</v>
      </c>
      <c r="K118" s="2"/>
      <c r="L118" s="2"/>
      <c r="M118" s="2"/>
      <c r="N118" s="23"/>
      <c r="O118" s="2"/>
      <c r="P118" s="20"/>
      <c r="Q118" s="24"/>
      <c r="R118" s="2"/>
      <c r="S118" s="2"/>
      <c r="T118" s="18" t="n">
        <v>9</v>
      </c>
      <c r="U118" s="18" t="n">
        <v>15</v>
      </c>
      <c r="V118" s="18" t="n">
        <v>15</v>
      </c>
      <c r="W118" s="3" t="n">
        <f>COCtable[[#This Row],[Closing balance ]]/COCtable[[#This Row],[Forecasted consumption]]</f>
        <v>6.4916572307560836</v>
      </c>
      <c r="X118" s="25"/>
    </row>
    <row r="119">
      <c r="B119" s="6" t="s">
        <v>166</v>
      </c>
      <c r="C119" s="18" t="s">
        <v>125</v>
      </c>
      <c r="D119" s="17" t="s">
        <v>50</v>
      </c>
      <c r="E119" s="18" t="s">
        <v>31</v>
      </c>
      <c r="F119" s="19" t="n">
        <v>45962</v>
      </c>
      <c r="G119" s="23" t="n">
        <f t="shared" si="6"/>
        <v>303855</v>
      </c>
      <c r="H119" s="23"/>
      <c r="I119" s="20" t="n">
        <v>46807</v>
      </c>
      <c r="J119" s="23" t="n">
        <f>MAX(COCtable[[#This Row],[Stock on hand(opening balance)]]+COCtable[[#This Row],[Quantity ]]-COCtable[[#This Row],[Forecasted consumption]],0)</f>
        <v>257048</v>
      </c>
      <c r="K119" s="2"/>
      <c r="L119" s="2"/>
      <c r="M119" s="2"/>
      <c r="N119" s="23"/>
      <c r="O119" s="2"/>
      <c r="P119" s="20"/>
      <c r="Q119" s="24"/>
      <c r="R119" s="2"/>
      <c r="S119" s="2"/>
      <c r="T119" s="18" t="n">
        <v>9</v>
      </c>
      <c r="U119" s="18" t="n">
        <v>15</v>
      </c>
      <c r="V119" s="18" t="n">
        <v>15</v>
      </c>
      <c r="W119" s="3" t="n">
        <f>COCtable[[#This Row],[Closing balance ]]/COCtable[[#This Row],[Forecasted consumption]]</f>
        <v>5.4916572307560836</v>
      </c>
      <c r="X119" s="25"/>
    </row>
    <row r="120">
      <c r="B120" s="6" t="s">
        <v>166</v>
      </c>
      <c r="C120" s="18" t="s">
        <v>125</v>
      </c>
      <c r="D120" s="17" t="s">
        <v>50</v>
      </c>
      <c r="E120" s="18" t="s">
        <v>31</v>
      </c>
      <c r="F120" s="19" t="n">
        <v>45992</v>
      </c>
      <c r="G120" s="23" t="n">
        <f t="shared" si="6"/>
        <v>257048</v>
      </c>
      <c r="H120" s="23"/>
      <c r="I120" s="20" t="n">
        <v>46807</v>
      </c>
      <c r="J120" s="23" t="n">
        <f>MAX(COCtable[[#This Row],[Stock on hand(opening balance)]]+COCtable[[#This Row],[Quantity ]]-COCtable[[#This Row],[Forecasted consumption]],0)</f>
        <v>210241</v>
      </c>
      <c r="K120" s="2"/>
      <c r="L120" s="2"/>
      <c r="M120" s="2"/>
      <c r="N120" s="23"/>
      <c r="O120" s="2"/>
      <c r="P120" s="20"/>
      <c r="Q120" s="24"/>
      <c r="R120" s="2"/>
      <c r="S120" s="2"/>
      <c r="T120" s="18" t="n">
        <v>9</v>
      </c>
      <c r="U120" s="18" t="n">
        <v>15</v>
      </c>
      <c r="V120" s="18" t="n">
        <v>15</v>
      </c>
      <c r="W120" s="3" t="n">
        <f>COCtable[[#This Row],[Closing balance ]]/COCtable[[#This Row],[Forecasted consumption]]</f>
        <v>4.4916572307560836</v>
      </c>
      <c r="X120" s="25"/>
    </row>
  </sheetData>
  <dataValidations count="3">
    <dataValidation type="list" allowBlank="1" showInputMessage="1" showErrorMessage="1" sqref="M112:M205" xr:uid="{85FBA2C9-3C1F-43DE-85DC-1B62AEF0DDBB}">
      <formula1>"Committed,  Placed, Expected Deliveries, Received, cancelled"</formula1>
    </dataValidation>
    <dataValidation type="list" allowBlank="1" showInputMessage="1" showErrorMessage="1" sqref="E7:E120" xr:uid="{5875C036-30C1-42EC-A757-631F6FBADC92}">
      <formula1>"All levels, Central, Central and Regional, Facilities "</formula1>
    </dataValidation>
    <dataValidation type="list" allowBlank="1" showInputMessage="1" showErrorMessage="1" sqref="M7:M111" xr:uid="{4F1F8FDA-BCA3-4A6C-806B-00BE430D1FA8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85D87FA-68C2-4DE8-BE91-B582326C74CE}">
          <x14:formula1>
            <xm:f>'choices countries '!$B$3:$B$12</xm:f>
          </x14:formula1>
          <xm:sqref>B121:B506 B7:B111</xm:sqref>
        </x14:dataValidation>
        <x14:dataValidation type="list" allowBlank="1" showInputMessage="1" showErrorMessage="1" xr:uid="{263FAE2C-ABF2-4D4B-8A06-B09A8461A4B1}">
          <x14:formula1>
            <xm:f>'choices countries '!$B$3:$B$15</xm:f>
          </x14:formula1>
          <xm:sqref>B112:B120</xm:sqref>
        </x14:dataValidation>
        <x14:dataValidation type="list" allowBlank="1" showInputMessage="1" showErrorMessage="1" xr:uid="{CCE2EDE1-8E4B-4CC5-B967-2E10B1D0F9F1}">
          <x14:formula1>
            <xm:f>'product list '!$A$42:$A$48</xm:f>
          </x14:formula1>
          <xm:sqref>C7:C120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52</v>
      </c>
      <c r="D7" s="17" t="s">
        <v>53</v>
      </c>
      <c r="E7" s="18"/>
      <c r="F7" s="19" t="n">
        <v>45839</v>
      </c>
      <c r="G7" s="20" t="n">
        <v>68360</v>
      </c>
      <c r="H7" s="20"/>
      <c r="I7" s="20" t="n">
        <v>7996</v>
      </c>
      <c r="J7" s="20" t="n">
        <f>MAX(EPtable[[#This Row],[Stock on hand(opening balance)]]+EPtable[[#This Row],[Quantity ]]-EPtable[[#This Row],[Forecasted consumption]],0)</f>
        <v>60364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EPtable[[#This Row],[Closing balance ]]/EPtable[[#This Row],[Forecasted consumption]]</f>
        <v>7.5492746373186597</v>
      </c>
      <c r="X7" s="22"/>
    </row>
    <row r="8">
      <c r="B8" s="6" t="s">
        <v>28</v>
      </c>
      <c r="C8" s="17" t="s">
        <v>52</v>
      </c>
      <c r="D8" s="17" t="s">
        <v>53</v>
      </c>
      <c r="E8" s="2"/>
      <c r="F8" s="19" t="n">
        <v>45870</v>
      </c>
      <c r="G8" s="23" t="n">
        <f>J7</f>
        <v>60364</v>
      </c>
      <c r="H8" s="23"/>
      <c r="I8" s="20" t="n">
        <v>7996</v>
      </c>
      <c r="J8" s="23" t="n">
        <f>MAX(EPtable[[#This Row],[Stock on hand(opening balance)]]+EPtable[[#This Row],[Quantity ]]-EPtable[[#This Row],[Forecasted consumption]],0)</f>
        <v>52368</v>
      </c>
      <c r="K8" s="2"/>
      <c r="L8" s="2"/>
      <c r="M8" s="18"/>
      <c r="N8" s="20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2" t="n">
        <f>EPtable[[#This Row],[Closing balance ]]/EPtable[[#This Row],[Forecasted consumption]]</f>
        <v>6.5492746373186597</v>
      </c>
      <c r="X8" s="25"/>
    </row>
    <row r="9">
      <c r="B9" s="6" t="s">
        <v>28</v>
      </c>
      <c r="C9" s="17" t="s">
        <v>52</v>
      </c>
      <c r="D9" s="17" t="s">
        <v>53</v>
      </c>
      <c r="E9" s="2"/>
      <c r="F9" s="19" t="n">
        <v>45901</v>
      </c>
      <c r="G9" s="23" t="n">
        <f t="shared" ref="G9:G18" si="0">J8</f>
        <v>52368</v>
      </c>
      <c r="H9" s="23"/>
      <c r="I9" s="20" t="n">
        <v>7996</v>
      </c>
      <c r="J9" s="23" t="n">
        <f>MAX(EPtable[[#This Row],[Stock on hand(opening balance)]]+EPtable[[#This Row],[Quantity ]]-EPtable[[#This Row],[Forecasted consumption]],0)</f>
        <v>89224</v>
      </c>
      <c r="K9" s="2" t="s">
        <v>2</v>
      </c>
      <c r="L9" s="2" t="s">
        <v>2</v>
      </c>
      <c r="M9" s="18" t="s">
        <v>4</v>
      </c>
      <c r="N9" s="20" t="n">
        <v>44852</v>
      </c>
      <c r="O9" s="2"/>
      <c r="P9" s="20" t="n">
        <v>11841</v>
      </c>
      <c r="Q9" s="24"/>
      <c r="R9" s="2"/>
      <c r="S9" s="2"/>
      <c r="T9" s="18" t="n">
        <v>9</v>
      </c>
      <c r="U9" s="18" t="n">
        <v>14</v>
      </c>
      <c r="V9" s="18" t="n">
        <v>13</v>
      </c>
      <c r="W9" s="32" t="n">
        <f>EPtable[[#This Row],[Closing balance ]]/EPtable[[#This Row],[Forecasted consumption]]</f>
        <v>11.158579289644823</v>
      </c>
      <c r="X9" s="25"/>
    </row>
    <row r="10">
      <c r="B10" s="6" t="s">
        <v>28</v>
      </c>
      <c r="C10" s="17" t="s">
        <v>52</v>
      </c>
      <c r="D10" s="17" t="s">
        <v>53</v>
      </c>
      <c r="E10" s="2"/>
      <c r="F10" s="19" t="n">
        <v>45931</v>
      </c>
      <c r="G10" s="23" t="n">
        <f t="shared" si="0"/>
        <v>89224</v>
      </c>
      <c r="H10" s="23"/>
      <c r="I10" s="20" t="n">
        <v>7996</v>
      </c>
      <c r="J10" s="23" t="n">
        <f>MAX(EPtable[[#This Row],[Stock on hand(opening balance)]]+EPtable[[#This Row],[Quantity ]]-EPtable[[#This Row],[Forecasted consumption]],0)</f>
        <v>81228</v>
      </c>
      <c r="K10" s="2"/>
      <c r="L10" s="2"/>
      <c r="M10" s="18"/>
      <c r="N10" s="20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2" t="n">
        <f>EPtable[[#This Row],[Closing balance ]]/EPtable[[#This Row],[Forecasted consumption]]</f>
        <v>10.158579289644823</v>
      </c>
      <c r="X10" s="25"/>
    </row>
    <row r="11">
      <c r="B11" s="6" t="s">
        <v>28</v>
      </c>
      <c r="C11" s="17" t="s">
        <v>52</v>
      </c>
      <c r="D11" s="17" t="s">
        <v>53</v>
      </c>
      <c r="E11" s="2"/>
      <c r="F11" s="19" t="n">
        <v>45962</v>
      </c>
      <c r="G11" s="23" t="n">
        <f t="shared" si="0"/>
        <v>81228</v>
      </c>
      <c r="H11" s="23"/>
      <c r="I11" s="20" t="n">
        <v>7996</v>
      </c>
      <c r="J11" s="23" t="n">
        <f>MAX(EPtable[[#This Row],[Stock on hand(opening balance)]]+EPtable[[#This Row],[Quantity ]]-EPtable[[#This Row],[Forecasted consumption]],0)</f>
        <v>73232</v>
      </c>
      <c r="K11" s="2"/>
      <c r="L11" s="2"/>
      <c r="M11" s="18"/>
      <c r="N11" s="20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2" t="n">
        <f>EPtable[[#This Row],[Closing balance ]]/EPtable[[#This Row],[Forecasted consumption]]</f>
        <v>9.1585792896448233</v>
      </c>
      <c r="X11" s="25"/>
    </row>
    <row r="12">
      <c r="B12" s="6" t="s">
        <v>28</v>
      </c>
      <c r="C12" s="17" t="s">
        <v>52</v>
      </c>
      <c r="D12" s="17" t="s">
        <v>53</v>
      </c>
      <c r="E12" s="2"/>
      <c r="F12" s="19" t="n">
        <v>45992</v>
      </c>
      <c r="G12" s="23" t="n">
        <f t="shared" si="0"/>
        <v>73232</v>
      </c>
      <c r="H12" s="23"/>
      <c r="I12" s="20" t="n">
        <v>7996</v>
      </c>
      <c r="J12" s="23" t="n">
        <f>MAX(EPtable[[#This Row],[Stock on hand(opening balance)]]+EPtable[[#This Row],[Quantity ]]-EPtable[[#This Row],[Forecasted consumption]],0)</f>
        <v>65236</v>
      </c>
      <c r="K12" s="2"/>
      <c r="L12" s="2"/>
      <c r="M12" s="18"/>
      <c r="N12" s="20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2" t="n">
        <f>EPtable[[#This Row],[Closing balance ]]/EPtable[[#This Row],[Forecasted consumption]]</f>
        <v>8.1585792896448233</v>
      </c>
      <c r="X12" s="25"/>
    </row>
    <row r="13">
      <c r="B13" s="6" t="s">
        <v>28</v>
      </c>
      <c r="C13" s="17" t="s">
        <v>52</v>
      </c>
      <c r="D13" s="17" t="s">
        <v>53</v>
      </c>
      <c r="E13" s="2"/>
      <c r="F13" s="19" t="n">
        <v>46023</v>
      </c>
      <c r="G13" s="23" t="n">
        <f t="shared" si="0"/>
        <v>65236</v>
      </c>
      <c r="H13" s="23"/>
      <c r="I13" s="20" t="n">
        <v>7996</v>
      </c>
      <c r="J13" s="23" t="n">
        <f>MAX(EPtable[[#This Row],[Stock on hand(opening balance)]]+EPtable[[#This Row],[Quantity ]]-EPtable[[#This Row],[Forecasted consumption]],0)</f>
        <v>57240</v>
      </c>
      <c r="K13" s="2"/>
      <c r="L13" s="2"/>
      <c r="M13" s="18"/>
      <c r="N13" s="20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2" t="n">
        <f>EPtable[[#This Row],[Closing balance ]]/EPtable[[#This Row],[Forecasted consumption]]</f>
        <v>7.1585792896448224</v>
      </c>
      <c r="X13" s="25"/>
    </row>
    <row r="14">
      <c r="B14" s="6" t="s">
        <v>28</v>
      </c>
      <c r="C14" s="17" t="s">
        <v>52</v>
      </c>
      <c r="D14" s="17" t="s">
        <v>53</v>
      </c>
      <c r="E14" s="2"/>
      <c r="F14" s="19" t="n">
        <v>46054</v>
      </c>
      <c r="G14" s="23" t="n">
        <f t="shared" si="0"/>
        <v>57240</v>
      </c>
      <c r="H14" s="23"/>
      <c r="I14" s="20" t="n">
        <v>7996</v>
      </c>
      <c r="J14" s="23" t="n">
        <f>MAX(EPtable[[#This Row],[Stock on hand(opening balance)]]+EPtable[[#This Row],[Quantity ]]-EPtable[[#This Row],[Forecasted consumption]],0)</f>
        <v>90206</v>
      </c>
      <c r="K14" s="2" t="s">
        <v>2</v>
      </c>
      <c r="L14" s="2" t="s">
        <v>2</v>
      </c>
      <c r="M14" s="18" t="s">
        <v>4</v>
      </c>
      <c r="N14" s="20" t="n">
        <v>40962</v>
      </c>
      <c r="O14" s="2"/>
      <c r="P14" s="20" t="n">
        <v>10814</v>
      </c>
      <c r="Q14" s="24"/>
      <c r="R14" s="2"/>
      <c r="S14" s="2"/>
      <c r="T14" s="18" t="n">
        <v>9</v>
      </c>
      <c r="U14" s="18" t="n">
        <v>14</v>
      </c>
      <c r="V14" s="18" t="n">
        <v>13</v>
      </c>
      <c r="W14" s="32" t="n">
        <f>EPtable[[#This Row],[Closing balance ]]/EPtable[[#This Row],[Forecasted consumption]]</f>
        <v>11.281390695347675</v>
      </c>
      <c r="X14" s="25"/>
    </row>
    <row r="15">
      <c r="B15" s="6" t="s">
        <v>28</v>
      </c>
      <c r="C15" s="17" t="s">
        <v>52</v>
      </c>
      <c r="D15" s="17" t="s">
        <v>53</v>
      </c>
      <c r="E15" s="2"/>
      <c r="F15" s="19" t="n">
        <v>46082</v>
      </c>
      <c r="G15" s="23" t="n">
        <f t="shared" si="0"/>
        <v>90206</v>
      </c>
      <c r="H15" s="23"/>
      <c r="I15" s="20" t="n">
        <v>7996</v>
      </c>
      <c r="J15" s="23" t="n">
        <f>MAX(EPtable[[#This Row],[Stock on hand(opening balance)]]+EPtable[[#This Row],[Quantity ]]-EPtable[[#This Row],[Forecasted consumption]],0)</f>
        <v>82210</v>
      </c>
      <c r="K15" s="2"/>
      <c r="L15" s="2"/>
      <c r="M15" s="18"/>
      <c r="N15" s="20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2" t="n">
        <f>EPtable[[#This Row],[Closing balance ]]/EPtable[[#This Row],[Forecasted consumption]]</f>
        <v>10.281390695347675</v>
      </c>
      <c r="X15" s="25"/>
    </row>
    <row r="16">
      <c r="B16" s="6" t="s">
        <v>28</v>
      </c>
      <c r="C16" s="17" t="s">
        <v>52</v>
      </c>
      <c r="D16" s="17" t="s">
        <v>53</v>
      </c>
      <c r="E16" s="2"/>
      <c r="F16" s="19" t="n">
        <v>46113</v>
      </c>
      <c r="G16" s="23" t="n">
        <f t="shared" si="0"/>
        <v>82210</v>
      </c>
      <c r="H16" s="23"/>
      <c r="I16" s="20" t="n">
        <v>7996</v>
      </c>
      <c r="J16" s="23" t="n">
        <f>MAX(EPtable[[#This Row],[Stock on hand(opening balance)]]+EPtable[[#This Row],[Quantity ]]-EPtable[[#This Row],[Forecasted consumption]],0)</f>
        <v>74214</v>
      </c>
      <c r="K16" s="2"/>
      <c r="L16" s="2"/>
      <c r="M16" s="18"/>
      <c r="N16" s="20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2" t="n">
        <f>EPtable[[#This Row],[Closing balance ]]/EPtable[[#This Row],[Forecasted consumption]]</f>
        <v>9.2813906953476746</v>
      </c>
      <c r="X16" s="25"/>
    </row>
    <row r="17">
      <c r="B17" s="6" t="s">
        <v>28</v>
      </c>
      <c r="C17" s="17" t="s">
        <v>52</v>
      </c>
      <c r="D17" s="17" t="s">
        <v>53</v>
      </c>
      <c r="E17" s="2"/>
      <c r="F17" s="19" t="n">
        <v>46143</v>
      </c>
      <c r="G17" s="23" t="n">
        <f t="shared" si="0"/>
        <v>74214</v>
      </c>
      <c r="H17" s="23"/>
      <c r="I17" s="20" t="n">
        <v>7996</v>
      </c>
      <c r="J17" s="23" t="n">
        <f>MAX(EPtable[[#This Row],[Stock on hand(opening balance)]]+EPtable[[#This Row],[Quantity ]]-EPtable[[#This Row],[Forecasted consumption]],0)</f>
        <v>66218</v>
      </c>
      <c r="K17" s="2"/>
      <c r="L17" s="2"/>
      <c r="M17" s="18"/>
      <c r="N17" s="20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2" t="n">
        <f>EPtable[[#This Row],[Closing balance ]]/EPtable[[#This Row],[Forecasted consumption]]</f>
        <v>8.2813906953476746</v>
      </c>
      <c r="X17" s="25"/>
    </row>
    <row r="18">
      <c r="B18" s="6" t="s">
        <v>28</v>
      </c>
      <c r="C18" s="17" t="s">
        <v>52</v>
      </c>
      <c r="D18" s="17" t="s">
        <v>53</v>
      </c>
      <c r="E18" s="2"/>
      <c r="F18" s="19" t="n">
        <v>46174</v>
      </c>
      <c r="G18" s="23" t="n">
        <f t="shared" si="0"/>
        <v>66218</v>
      </c>
      <c r="H18" s="23"/>
      <c r="I18" s="20" t="n">
        <v>7996</v>
      </c>
      <c r="J18" s="23" t="n">
        <f>MAX(EPtable[[#This Row],[Stock on hand(opening balance)]]+EPtable[[#This Row],[Quantity ]]-EPtable[[#This Row],[Forecasted consumption]],0)</f>
        <v>58222</v>
      </c>
      <c r="K18" s="2"/>
      <c r="L18" s="2"/>
      <c r="M18" s="18"/>
      <c r="N18" s="20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2" t="n">
        <f>EPtable[[#This Row],[Closing balance ]]/EPtable[[#This Row],[Forecasted consumption]]</f>
        <v>7.2813906953476737</v>
      </c>
      <c r="X18" s="25"/>
    </row>
    <row r="19">
      <c r="B19" s="6" t="s">
        <v>75</v>
      </c>
      <c r="C19" s="18" t="s">
        <v>52</v>
      </c>
      <c r="D19" s="17" t="s">
        <v>53</v>
      </c>
      <c r="E19" s="18" t="s">
        <v>31</v>
      </c>
      <c r="F19" s="19" t="n">
        <v>45748</v>
      </c>
      <c r="G19" s="20" t="n">
        <v>105984</v>
      </c>
      <c r="H19" s="20"/>
      <c r="I19" s="20" t="n">
        <v>23248</v>
      </c>
      <c r="J19" s="20" t="n">
        <f>MAX(EPtable[[#This Row],[Stock on hand(opening balance)]]+EPtable[[#This Row],[Quantity ]]-EPtable[[#This Row],[Forecasted consumption]],0)</f>
        <v>202736</v>
      </c>
      <c r="K19" s="18"/>
      <c r="L19" s="18"/>
      <c r="M19" s="18" t="s">
        <v>154</v>
      </c>
      <c r="N19" s="20" t="n">
        <v>120000</v>
      </c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32" t="n">
        <f>EPtable[[#This Row],[Closing balance ]]/EPtable[[#This Row],[Forecasted consumption]]</f>
        <v>8.7205781142463863</v>
      </c>
      <c r="X19" s="22"/>
    </row>
    <row r="20">
      <c r="B20" s="6" t="s">
        <v>75</v>
      </c>
      <c r="C20" s="18" t="s">
        <v>52</v>
      </c>
      <c r="D20" s="17" t="s">
        <v>53</v>
      </c>
      <c r="E20" s="18" t="s">
        <v>31</v>
      </c>
      <c r="F20" s="19" t="n">
        <v>45778</v>
      </c>
      <c r="G20" s="23" t="n">
        <f>J19</f>
        <v>202736</v>
      </c>
      <c r="H20" s="23"/>
      <c r="I20" s="23" t="n">
        <v>23999</v>
      </c>
      <c r="J20" s="23" t="n">
        <f>MAX(EPtable[[#This Row],[Stock on hand(opening balance)]]+EPtable[[#This Row],[Quantity ]]-EPtable[[#This Row],[Forecasted consumption]],0)</f>
        <v>178737</v>
      </c>
      <c r="K20" s="2"/>
      <c r="L20" s="2"/>
      <c r="M20" s="18"/>
      <c r="N20" s="23"/>
      <c r="O20" s="2"/>
      <c r="P20" s="20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2" t="n">
        <f>EPtable[[#This Row],[Closing balance ]]/EPtable[[#This Row],[Forecasted consumption]]</f>
        <v>7.4476853202216757</v>
      </c>
      <c r="X20" s="25"/>
    </row>
    <row r="21">
      <c r="B21" s="6" t="s">
        <v>75</v>
      </c>
      <c r="C21" s="18" t="s">
        <v>52</v>
      </c>
      <c r="D21" s="17" t="s">
        <v>53</v>
      </c>
      <c r="E21" s="18" t="s">
        <v>31</v>
      </c>
      <c r="F21" s="19" t="n">
        <v>45809</v>
      </c>
      <c r="G21" s="23" t="n">
        <f t="shared" ref="G21:G36" si="1">J20</f>
        <v>178737</v>
      </c>
      <c r="H21" s="23"/>
      <c r="I21" s="23" t="n">
        <v>23817</v>
      </c>
      <c r="J21" s="23" t="n">
        <f>MAX(EPtable[[#This Row],[Stock on hand(opening balance)]]+EPtable[[#This Row],[Quantity ]]-EPtable[[#This Row],[Forecasted consumption]],0)</f>
        <v>437520</v>
      </c>
      <c r="K21" s="2"/>
      <c r="L21" s="2"/>
      <c r="M21" s="18" t="s">
        <v>147</v>
      </c>
      <c r="N21" s="23" t="n">
        <v>282600</v>
      </c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2" t="n">
        <f>EPtable[[#This Row],[Closing balance ]]/EPtable[[#This Row],[Forecasted consumption]]</f>
        <v>18.370071797455598</v>
      </c>
      <c r="X21" s="25"/>
    </row>
    <row r="22">
      <c r="B22" s="6" t="s">
        <v>75</v>
      </c>
      <c r="C22" s="18" t="s">
        <v>52</v>
      </c>
      <c r="D22" s="17" t="s">
        <v>53</v>
      </c>
      <c r="E22" s="18" t="s">
        <v>31</v>
      </c>
      <c r="F22" s="19" t="n">
        <v>45839</v>
      </c>
      <c r="G22" s="23" t="n">
        <f t="shared" si="1"/>
        <v>437520</v>
      </c>
      <c r="H22" s="23"/>
      <c r="I22" s="23" t="n">
        <v>23697</v>
      </c>
      <c r="J22" s="23" t="n">
        <f>MAX(EPtable[[#This Row],[Stock on hand(opening balance)]]+EPtable[[#This Row],[Quantity ]]-EPtable[[#This Row],[Forecasted consumption]],0)</f>
        <v>413823</v>
      </c>
      <c r="K22" s="2"/>
      <c r="L22" s="2"/>
      <c r="M22" s="18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2" t="n">
        <f>EPtable[[#This Row],[Closing balance ]]/EPtable[[#This Row],[Forecasted consumption]]</f>
        <v>17.463096594505632</v>
      </c>
      <c r="X22" s="25"/>
    </row>
    <row r="23">
      <c r="B23" s="6" t="s">
        <v>75</v>
      </c>
      <c r="C23" s="18" t="s">
        <v>52</v>
      </c>
      <c r="D23" s="17" t="s">
        <v>53</v>
      </c>
      <c r="E23" s="18" t="s">
        <v>31</v>
      </c>
      <c r="F23" s="19" t="n">
        <v>45870</v>
      </c>
      <c r="G23" s="23" t="n">
        <f t="shared" si="1"/>
        <v>413823</v>
      </c>
      <c r="H23" s="23"/>
      <c r="I23" s="23" t="n">
        <v>23562</v>
      </c>
      <c r="J23" s="23" t="n">
        <f>MAX(EPtable[[#This Row],[Stock on hand(opening balance)]]+EPtable[[#This Row],[Quantity ]]-EPtable[[#This Row],[Forecasted consumption]],0)</f>
        <v>390261</v>
      </c>
      <c r="K23" s="2"/>
      <c r="L23" s="2"/>
      <c r="M23" s="18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2" t="n">
        <f>EPtable[[#This Row],[Closing balance ]]/EPtable[[#This Row],[Forecasted consumption]]</f>
        <v>16.563152533740769</v>
      </c>
      <c r="X23" s="25"/>
    </row>
    <row r="24">
      <c r="B24" s="6" t="s">
        <v>75</v>
      </c>
      <c r="C24" s="18" t="s">
        <v>52</v>
      </c>
      <c r="D24" s="17" t="s">
        <v>53</v>
      </c>
      <c r="E24" s="18" t="s">
        <v>31</v>
      </c>
      <c r="F24" s="19" t="n">
        <v>45901</v>
      </c>
      <c r="G24" s="23" t="n">
        <f t="shared" si="1"/>
        <v>390261</v>
      </c>
      <c r="H24" s="23"/>
      <c r="I24" s="23" t="n">
        <v>23623</v>
      </c>
      <c r="J24" s="23" t="n">
        <f>MAX(EPtable[[#This Row],[Stock on hand(opening balance)]]+EPtable[[#This Row],[Quantity ]]-EPtable[[#This Row],[Forecasted consumption]],0)</f>
        <v>1249538</v>
      </c>
      <c r="K24" s="2"/>
      <c r="L24" s="2"/>
      <c r="M24" s="18" t="s">
        <v>147</v>
      </c>
      <c r="N24" s="23" t="n">
        <v>882900</v>
      </c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2" t="n">
        <f>EPtable[[#This Row],[Closing balance ]]/EPtable[[#This Row],[Forecasted consumption]]</f>
        <v>52.894975235998814</v>
      </c>
      <c r="X24" s="25"/>
    </row>
    <row r="25">
      <c r="B25" s="6" t="s">
        <v>75</v>
      </c>
      <c r="C25" s="18" t="s">
        <v>52</v>
      </c>
      <c r="D25" s="17" t="s">
        <v>53</v>
      </c>
      <c r="E25" s="18" t="s">
        <v>31</v>
      </c>
      <c r="F25" s="19" t="n">
        <v>45931</v>
      </c>
      <c r="G25" s="23" t="n">
        <f t="shared" si="1"/>
        <v>1249538</v>
      </c>
      <c r="H25" s="23"/>
      <c r="I25" s="23" t="n">
        <v>23658</v>
      </c>
      <c r="J25" s="23" t="n">
        <f>MAX(EPtable[[#This Row],[Stock on hand(opening balance)]]+EPtable[[#This Row],[Quantity ]]-EPtable[[#This Row],[Forecasted consumption]],0)</f>
        <v>1225880</v>
      </c>
      <c r="K25" s="2"/>
      <c r="L25" s="2"/>
      <c r="M25" s="18"/>
      <c r="N25" s="23"/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2" t="n">
        <f>EPtable[[#This Row],[Closing balance ]]/EPtable[[#This Row],[Forecasted consumption]]</f>
        <v>51.816721616366557</v>
      </c>
      <c r="X25" s="25"/>
    </row>
    <row r="26">
      <c r="B26" s="6" t="s">
        <v>75</v>
      </c>
      <c r="C26" s="18" t="s">
        <v>52</v>
      </c>
      <c r="D26" s="17" t="s">
        <v>53</v>
      </c>
      <c r="E26" s="18" t="s">
        <v>31</v>
      </c>
      <c r="F26" s="19" t="n">
        <v>45962</v>
      </c>
      <c r="G26" s="23" t="n">
        <f t="shared" si="1"/>
        <v>1225880</v>
      </c>
      <c r="H26" s="23"/>
      <c r="I26" s="23" t="n">
        <v>23726</v>
      </c>
      <c r="J26" s="23" t="n">
        <f>MAX(EPtable[[#This Row],[Stock on hand(opening balance)]]+EPtable[[#This Row],[Quantity ]]-EPtable[[#This Row],[Forecasted consumption]],0)</f>
        <v>1202154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2" t="n">
        <f>EPtable[[#This Row],[Closing balance ]]/EPtable[[#This Row],[Forecasted consumption]]</f>
        <v>50.668212088004722</v>
      </c>
      <c r="X26" s="25"/>
    </row>
    <row r="27">
      <c r="B27" s="6" t="s">
        <v>75</v>
      </c>
      <c r="C27" s="18" t="s">
        <v>52</v>
      </c>
      <c r="D27" s="17" t="s">
        <v>53</v>
      </c>
      <c r="E27" s="18" t="s">
        <v>31</v>
      </c>
      <c r="F27" s="19" t="n">
        <v>45992</v>
      </c>
      <c r="G27" s="23" t="n">
        <f t="shared" si="1"/>
        <v>1202154</v>
      </c>
      <c r="H27" s="23"/>
      <c r="I27" s="23" t="n">
        <v>23680</v>
      </c>
      <c r="J27" s="23" t="n">
        <f>MAX(EPtable[[#This Row],[Stock on hand(opening balance)]]+EPtable[[#This Row],[Quantity ]]-EPtable[[#This Row],[Forecasted consumption]],0)</f>
        <v>1178474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2" t="n">
        <f>EPtable[[#This Row],[Closing balance ]]/EPtable[[#This Row],[Forecasted consumption]]</f>
        <v>49.766638513513513</v>
      </c>
      <c r="X27" s="25"/>
    </row>
    <row r="28">
      <c r="B28" s="6" t="s">
        <v>75</v>
      </c>
      <c r="C28" s="18" t="s">
        <v>52</v>
      </c>
      <c r="D28" s="17" t="s">
        <v>53</v>
      </c>
      <c r="E28" s="18" t="s">
        <v>31</v>
      </c>
      <c r="F28" s="19" t="n">
        <v>46023</v>
      </c>
      <c r="G28" s="23" t="n">
        <f t="shared" si="1"/>
        <v>1178474</v>
      </c>
      <c r="H28" s="23"/>
      <c r="I28" s="23" t="n">
        <v>23658</v>
      </c>
      <c r="J28" s="23" t="n">
        <f>MAX(EPtable[[#This Row],[Stock on hand(opening balance)]]+EPtable[[#This Row],[Quantity ]]-EPtable[[#This Row],[Forecasted consumption]],0)</f>
        <v>1154816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2" t="n">
        <f>EPtable[[#This Row],[Closing balance ]]/EPtable[[#This Row],[Forecasted consumption]]</f>
        <v>48.812917406374169</v>
      </c>
      <c r="X28" s="25"/>
    </row>
    <row r="29">
      <c r="B29" s="6" t="s">
        <v>75</v>
      </c>
      <c r="C29" s="18" t="s">
        <v>52</v>
      </c>
      <c r="D29" s="17" t="s">
        <v>53</v>
      </c>
      <c r="E29" s="18" t="s">
        <v>31</v>
      </c>
      <c r="F29" s="19" t="n">
        <v>46054</v>
      </c>
      <c r="G29" s="23" t="n">
        <f t="shared" si="1"/>
        <v>1154816</v>
      </c>
      <c r="H29" s="23"/>
      <c r="I29" s="23" t="n">
        <v>23651</v>
      </c>
      <c r="J29" s="23" t="n">
        <f>MAX(EPtable[[#This Row],[Stock on hand(opening balance)]]+EPtable[[#This Row],[Quantity ]]-EPtable[[#This Row],[Forecasted consumption]],0)</f>
        <v>1131165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2" t="n">
        <f>EPtable[[#This Row],[Closing balance ]]/EPtable[[#This Row],[Forecasted consumption]]</f>
        <v>47.82736459346328</v>
      </c>
      <c r="X29" s="25"/>
    </row>
    <row r="30">
      <c r="B30" s="6" t="s">
        <v>75</v>
      </c>
      <c r="C30" s="18" t="s">
        <v>52</v>
      </c>
      <c r="D30" s="17" t="s">
        <v>53</v>
      </c>
      <c r="E30" s="18" t="s">
        <v>31</v>
      </c>
      <c r="F30" s="19" t="n">
        <v>46082</v>
      </c>
      <c r="G30" s="23" t="n">
        <f t="shared" si="1"/>
        <v>1131165</v>
      </c>
      <c r="H30" s="23"/>
      <c r="I30" s="23" t="n">
        <v>23666</v>
      </c>
      <c r="J30" s="23" t="n">
        <f>MAX(EPtable[[#This Row],[Stock on hand(opening balance)]]+EPtable[[#This Row],[Quantity ]]-EPtable[[#This Row],[Forecasted consumption]],0)</f>
        <v>1107499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2" t="n">
        <f>EPtable[[#This Row],[Closing balance ]]/EPtable[[#This Row],[Forecasted consumption]]</f>
        <v>46.797050621144258</v>
      </c>
      <c r="X30" s="25"/>
    </row>
    <row r="31">
      <c r="B31" s="6" t="s">
        <v>75</v>
      </c>
      <c r="C31" s="18" t="s">
        <v>52</v>
      </c>
      <c r="D31" s="17" t="s">
        <v>53</v>
      </c>
      <c r="E31" s="18" t="s">
        <v>31</v>
      </c>
      <c r="F31" s="19" t="n">
        <v>46113</v>
      </c>
      <c r="G31" s="23" t="n">
        <f t="shared" si="1"/>
        <v>1107499</v>
      </c>
      <c r="H31" s="23"/>
      <c r="I31" s="23" t="n">
        <v>23673</v>
      </c>
      <c r="J31" s="23" t="n">
        <f>MAX(EPtable[[#This Row],[Stock on hand(opening balance)]]+EPtable[[#This Row],[Quantity ]]-EPtable[[#This Row],[Forecasted consumption]],0)</f>
        <v>1083826</v>
      </c>
      <c r="K31" s="2"/>
      <c r="L31" s="2"/>
      <c r="M31" s="18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2" t="n">
        <f>EPtable[[#This Row],[Closing balance ]]/EPtable[[#This Row],[Forecasted consumption]]</f>
        <v>45.783212943015251</v>
      </c>
      <c r="X31" s="25"/>
    </row>
    <row r="32">
      <c r="B32" s="6" t="s">
        <v>75</v>
      </c>
      <c r="C32" s="18" t="s">
        <v>52</v>
      </c>
      <c r="D32" s="17" t="s">
        <v>53</v>
      </c>
      <c r="E32" s="18" t="s">
        <v>31</v>
      </c>
      <c r="F32" s="19" t="n">
        <v>46143</v>
      </c>
      <c r="G32" s="23" t="n">
        <f t="shared" si="1"/>
        <v>1083826</v>
      </c>
      <c r="H32" s="23"/>
      <c r="I32" s="23" t="n">
        <v>23676</v>
      </c>
      <c r="J32" s="23" t="n">
        <f>MAX(EPtable[[#This Row],[Stock on hand(opening balance)]]+EPtable[[#This Row],[Quantity ]]-EPtable[[#This Row],[Forecasted consumption]],0)</f>
        <v>1060150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2" t="n">
        <f>EPtable[[#This Row],[Closing balance ]]/EPtable[[#This Row],[Forecasted consumption]]</f>
        <v>44.777411724953538</v>
      </c>
      <c r="X32" s="25"/>
    </row>
    <row r="33">
      <c r="B33" s="6" t="s">
        <v>75</v>
      </c>
      <c r="C33" s="18" t="s">
        <v>52</v>
      </c>
      <c r="D33" s="17" t="s">
        <v>53</v>
      </c>
      <c r="E33" s="18" t="s">
        <v>31</v>
      </c>
      <c r="F33" s="19" t="n">
        <v>46174</v>
      </c>
      <c r="G33" s="23" t="n">
        <f t="shared" si="1"/>
        <v>1060150</v>
      </c>
      <c r="H33" s="23"/>
      <c r="I33" s="23" t="n">
        <v>23667</v>
      </c>
      <c r="J33" s="23" t="n">
        <f>MAX(EPtable[[#This Row],[Stock on hand(opening balance)]]+EPtable[[#This Row],[Quantity ]]-EPtable[[#This Row],[Forecasted consumption]],0)</f>
        <v>1036483</v>
      </c>
      <c r="K33" s="2"/>
      <c r="L33" s="2"/>
      <c r="M33" s="18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2" t="n">
        <f>EPtable[[#This Row],[Closing balance ]]/EPtable[[#This Row],[Forecasted consumption]]</f>
        <v>43.794439514936407</v>
      </c>
      <c r="X33" s="25"/>
    </row>
    <row r="34">
      <c r="B34" s="6" t="s">
        <v>75</v>
      </c>
      <c r="C34" s="18" t="s">
        <v>52</v>
      </c>
      <c r="D34" s="17" t="s">
        <v>53</v>
      </c>
      <c r="E34" s="18" t="s">
        <v>31</v>
      </c>
      <c r="F34" s="19" t="n">
        <v>46204</v>
      </c>
      <c r="G34" s="23" t="n">
        <f t="shared" si="1"/>
        <v>1036483</v>
      </c>
      <c r="H34" s="23"/>
      <c r="I34" s="23" t="n">
        <v>23665</v>
      </c>
      <c r="J34" s="23" t="n">
        <f>MAX(EPtable[[#This Row],[Stock on hand(opening balance)]]+EPtable[[#This Row],[Quantity ]]-EPtable[[#This Row],[Forecasted consumption]],0)</f>
        <v>1012818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2" t="n">
        <f>EPtable[[#This Row],[Closing balance ]]/EPtable[[#This Row],[Forecasted consumption]]</f>
        <v>42.798140714134796</v>
      </c>
      <c r="X34" s="25"/>
    </row>
    <row r="35">
      <c r="B35" s="6" t="s">
        <v>75</v>
      </c>
      <c r="C35" s="18" t="s">
        <v>52</v>
      </c>
      <c r="D35" s="17" t="s">
        <v>53</v>
      </c>
      <c r="E35" s="18" t="s">
        <v>31</v>
      </c>
      <c r="F35" s="19" t="n">
        <v>46235</v>
      </c>
      <c r="G35" s="23" t="n">
        <f t="shared" si="1"/>
        <v>1012818</v>
      </c>
      <c r="H35" s="23"/>
      <c r="I35" s="23" t="n">
        <v>23666</v>
      </c>
      <c r="J35" s="23" t="n">
        <f>MAX(EPtable[[#This Row],[Stock on hand(opening balance)]]+EPtable[[#This Row],[Quantity ]]-EPtable[[#This Row],[Forecasted consumption]],0)</f>
        <v>989152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2" t="n">
        <f>EPtable[[#This Row],[Closing balance ]]/EPtable[[#This Row],[Forecasted consumption]]</f>
        <v>41.796332291050454</v>
      </c>
      <c r="X35" s="25"/>
    </row>
    <row r="36">
      <c r="B36" s="6" t="s">
        <v>75</v>
      </c>
      <c r="C36" s="18" t="s">
        <v>52</v>
      </c>
      <c r="D36" s="17" t="s">
        <v>53</v>
      </c>
      <c r="E36" s="18" t="s">
        <v>31</v>
      </c>
      <c r="F36" s="19" t="n">
        <v>46266</v>
      </c>
      <c r="G36" s="23" t="n">
        <f t="shared" si="1"/>
        <v>989152</v>
      </c>
      <c r="H36" s="23"/>
      <c r="I36" s="23" t="n">
        <v>23669</v>
      </c>
      <c r="J36" s="23" t="n">
        <f>MAX(EPtable[[#This Row],[Stock on hand(opening balance)]]+EPtable[[#This Row],[Quantity ]]-EPtable[[#This Row],[Forecasted consumption]],0)</f>
        <v>965483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2" t="n">
        <f>EPtable[[#This Row],[Closing balance ]]/EPtable[[#This Row],[Forecasted consumption]]</f>
        <v>40.791034686721027</v>
      </c>
      <c r="X36" s="25"/>
    </row>
    <row r="37">
      <c r="B37" s="6" t="s">
        <v>76</v>
      </c>
      <c r="C37" s="18" t="s">
        <v>52</v>
      </c>
      <c r="D37" s="17" t="s">
        <v>53</v>
      </c>
      <c r="E37" s="18" t="s">
        <v>31</v>
      </c>
      <c r="F37" s="19" t="n">
        <v>45748</v>
      </c>
      <c r="G37" s="20" t="n">
        <v>307052</v>
      </c>
      <c r="H37" s="20"/>
      <c r="I37" s="20" t="n">
        <v>13864</v>
      </c>
      <c r="J37" s="20" t="n">
        <f>MAX(EPtable[[#This Row],[Stock on hand(opening balance)]]+EPtable[[#This Row],[Quantity ]]-EPtable[[#This Row],[Forecasted consumption]],0)</f>
        <v>293188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32" t="n">
        <f>EPtable[[#This Row],[Closing balance ]]/EPtable[[#This Row],[Forecasted consumption]]</f>
        <v>21.147432198499711</v>
      </c>
      <c r="X37" s="22"/>
    </row>
    <row r="38">
      <c r="B38" s="6" t="s">
        <v>76</v>
      </c>
      <c r="C38" s="18" t="s">
        <v>52</v>
      </c>
      <c r="D38" s="17" t="s">
        <v>53</v>
      </c>
      <c r="E38" s="18" t="s">
        <v>31</v>
      </c>
      <c r="F38" s="19" t="n">
        <v>45778</v>
      </c>
      <c r="G38" s="23" t="n">
        <f>J37</f>
        <v>293188</v>
      </c>
      <c r="H38" s="23"/>
      <c r="I38" s="20" t="n">
        <v>13864</v>
      </c>
      <c r="J38" s="23" t="n">
        <f>MAX(EPtable[[#This Row],[Stock on hand(opening balance)]]+EPtable[[#This Row],[Quantity ]]-EPtable[[#This Row],[Forecasted consumption]],0)</f>
        <v>279324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2" t="n">
        <f>EPtable[[#This Row],[Closing balance ]]/EPtable[[#This Row],[Forecasted consumption]]</f>
        <v>20.147432198499711</v>
      </c>
      <c r="X38" s="25"/>
    </row>
    <row r="39">
      <c r="B39" s="6" t="s">
        <v>76</v>
      </c>
      <c r="C39" s="18" t="s">
        <v>52</v>
      </c>
      <c r="D39" s="17" t="s">
        <v>53</v>
      </c>
      <c r="E39" s="18" t="s">
        <v>31</v>
      </c>
      <c r="F39" s="19" t="n">
        <v>45809</v>
      </c>
      <c r="G39" s="23" t="n">
        <f t="shared" ref="G39:G57" si="2">J38</f>
        <v>279324</v>
      </c>
      <c r="H39" s="23"/>
      <c r="I39" s="20" t="n">
        <v>13864</v>
      </c>
      <c r="J39" s="23" t="n">
        <f>MAX(EPtable[[#This Row],[Stock on hand(opening balance)]]+EPtable[[#This Row],[Quantity ]]-EPtable[[#This Row],[Forecasted consumption]],0)</f>
        <v>265460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2" t="n">
        <f>EPtable[[#This Row],[Closing balance ]]/EPtable[[#This Row],[Forecasted consumption]]</f>
        <v>19.147432198499711</v>
      </c>
      <c r="X39" s="25"/>
    </row>
    <row r="40">
      <c r="B40" s="6" t="s">
        <v>76</v>
      </c>
      <c r="C40" s="18" t="s">
        <v>52</v>
      </c>
      <c r="D40" s="17" t="s">
        <v>53</v>
      </c>
      <c r="E40" s="18" t="s">
        <v>31</v>
      </c>
      <c r="F40" s="19" t="n">
        <v>45839</v>
      </c>
      <c r="G40" s="23" t="n">
        <f t="shared" si="2"/>
        <v>265460</v>
      </c>
      <c r="H40" s="23"/>
      <c r="I40" s="20" t="n">
        <v>13864</v>
      </c>
      <c r="J40" s="23" t="n">
        <f>MAX(EPtable[[#This Row],[Stock on hand(opening balance)]]+EPtable[[#This Row],[Quantity ]]-EPtable[[#This Row],[Forecasted consumption]],0)</f>
        <v>251596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2" t="n">
        <f>EPtable[[#This Row],[Closing balance ]]/EPtable[[#This Row],[Forecasted consumption]]</f>
        <v>18.147432198499711</v>
      </c>
      <c r="X40" s="25"/>
    </row>
    <row r="41">
      <c r="B41" s="6" t="s">
        <v>76</v>
      </c>
      <c r="C41" s="18" t="s">
        <v>52</v>
      </c>
      <c r="D41" s="17" t="s">
        <v>53</v>
      </c>
      <c r="E41" s="18" t="s">
        <v>31</v>
      </c>
      <c r="F41" s="19" t="n">
        <v>45870</v>
      </c>
      <c r="G41" s="23" t="n">
        <f t="shared" si="2"/>
        <v>251596</v>
      </c>
      <c r="H41" s="23"/>
      <c r="I41" s="20" t="n">
        <v>13864</v>
      </c>
      <c r="J41" s="23" t="n">
        <f>MAX(EPtable[[#This Row],[Stock on hand(opening balance)]]+EPtable[[#This Row],[Quantity ]]-EPtable[[#This Row],[Forecasted consumption]],0)</f>
        <v>237732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2" t="n">
        <f>EPtable[[#This Row],[Closing balance ]]/EPtable[[#This Row],[Forecasted consumption]]</f>
        <v>17.147432198499711</v>
      </c>
      <c r="X41" s="25"/>
    </row>
    <row r="42">
      <c r="B42" s="6" t="s">
        <v>76</v>
      </c>
      <c r="C42" s="18" t="s">
        <v>52</v>
      </c>
      <c r="D42" s="17" t="s">
        <v>53</v>
      </c>
      <c r="E42" s="18" t="s">
        <v>31</v>
      </c>
      <c r="F42" s="19" t="n">
        <v>45901</v>
      </c>
      <c r="G42" s="23" t="n">
        <f t="shared" si="2"/>
        <v>237732</v>
      </c>
      <c r="H42" s="23"/>
      <c r="I42" s="20" t="n">
        <v>13864</v>
      </c>
      <c r="J42" s="23" t="n">
        <f>MAX(EPtable[[#This Row],[Stock on hand(opening balance)]]+EPtable[[#This Row],[Quantity ]]-EPtable[[#This Row],[Forecasted consumption]],0)</f>
        <v>223868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2" t="n">
        <f>EPtable[[#This Row],[Closing balance ]]/EPtable[[#This Row],[Forecasted consumption]]</f>
        <v>16.147432198499711</v>
      </c>
      <c r="X42" s="25"/>
    </row>
    <row r="43">
      <c r="B43" s="6" t="s">
        <v>76</v>
      </c>
      <c r="C43" s="18" t="s">
        <v>52</v>
      </c>
      <c r="D43" s="17" t="s">
        <v>53</v>
      </c>
      <c r="E43" s="18" t="s">
        <v>31</v>
      </c>
      <c r="F43" s="19" t="n">
        <v>45931</v>
      </c>
      <c r="G43" s="23" t="n">
        <f t="shared" si="2"/>
        <v>223868</v>
      </c>
      <c r="H43" s="23"/>
      <c r="I43" s="20" t="n">
        <v>13864</v>
      </c>
      <c r="J43" s="23" t="n">
        <f>MAX(EPtable[[#This Row],[Stock on hand(opening balance)]]+EPtable[[#This Row],[Quantity ]]-EPtable[[#This Row],[Forecasted consumption]],0)</f>
        <v>210004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2" t="n">
        <f>EPtable[[#This Row],[Closing balance ]]/EPtable[[#This Row],[Forecasted consumption]]</f>
        <v>15.147432198499711</v>
      </c>
      <c r="X43" s="25"/>
    </row>
    <row r="44">
      <c r="B44" s="6" t="s">
        <v>76</v>
      </c>
      <c r="C44" s="18" t="s">
        <v>52</v>
      </c>
      <c r="D44" s="17" t="s">
        <v>53</v>
      </c>
      <c r="E44" s="18" t="s">
        <v>31</v>
      </c>
      <c r="F44" s="19" t="n">
        <v>45962</v>
      </c>
      <c r="G44" s="23" t="n">
        <f t="shared" si="2"/>
        <v>210004</v>
      </c>
      <c r="H44" s="23"/>
      <c r="I44" s="20" t="n">
        <v>13864</v>
      </c>
      <c r="J44" s="23" t="n">
        <f>MAX(EPtable[[#This Row],[Stock on hand(opening balance)]]+EPtable[[#This Row],[Quantity ]]-EPtable[[#This Row],[Forecasted consumption]],0)</f>
        <v>196140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2" t="n">
        <f>EPtable[[#This Row],[Closing balance ]]/EPtable[[#This Row],[Forecasted consumption]]</f>
        <v>14.147432198499711</v>
      </c>
      <c r="X44" s="25"/>
    </row>
    <row r="45">
      <c r="B45" s="6" t="s">
        <v>76</v>
      </c>
      <c r="C45" s="18" t="s">
        <v>52</v>
      </c>
      <c r="D45" s="17" t="s">
        <v>53</v>
      </c>
      <c r="E45" s="18" t="s">
        <v>31</v>
      </c>
      <c r="F45" s="19" t="n">
        <v>45992</v>
      </c>
      <c r="G45" s="23" t="n">
        <f t="shared" si="2"/>
        <v>196140</v>
      </c>
      <c r="H45" s="23"/>
      <c r="I45" s="20" t="n">
        <v>13864</v>
      </c>
      <c r="J45" s="23" t="n">
        <f>MAX(EPtable[[#This Row],[Stock on hand(opening balance)]]+EPtable[[#This Row],[Quantity ]]-EPtable[[#This Row],[Forecasted consumption]],0)</f>
        <v>182276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2" t="n">
        <f>EPtable[[#This Row],[Closing balance ]]/EPtable[[#This Row],[Forecasted consumption]]</f>
        <v>13.147432198499711</v>
      </c>
      <c r="X45" s="25"/>
    </row>
    <row r="46">
      <c r="B46" s="6" t="s">
        <v>76</v>
      </c>
      <c r="C46" s="18" t="s">
        <v>52</v>
      </c>
      <c r="D46" s="17" t="s">
        <v>53</v>
      </c>
      <c r="E46" s="18" t="s">
        <v>31</v>
      </c>
      <c r="F46" s="19" t="n">
        <v>46023</v>
      </c>
      <c r="G46" s="23" t="n">
        <f t="shared" si="2"/>
        <v>182276</v>
      </c>
      <c r="H46" s="23"/>
      <c r="I46" s="23" t="n">
        <v>7742</v>
      </c>
      <c r="J46" s="23" t="n">
        <f>MAX(EPtable[[#This Row],[Stock on hand(opening balance)]]+EPtable[[#This Row],[Quantity ]]-EPtable[[#This Row],[Forecasted consumption]],0)</f>
        <v>174534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2" t="n">
        <f>EPtable[[#This Row],[Closing balance ]]/EPtable[[#This Row],[Forecasted consumption]]</f>
        <v>22.543787135107209</v>
      </c>
      <c r="X46" s="25"/>
    </row>
    <row r="47">
      <c r="B47" s="6" t="s">
        <v>76</v>
      </c>
      <c r="C47" s="18" t="s">
        <v>52</v>
      </c>
      <c r="D47" s="17" t="s">
        <v>53</v>
      </c>
      <c r="E47" s="18" t="s">
        <v>31</v>
      </c>
      <c r="F47" s="19" t="n">
        <v>46054</v>
      </c>
      <c r="G47" s="23" t="n">
        <f t="shared" si="2"/>
        <v>174534</v>
      </c>
      <c r="H47" s="23"/>
      <c r="I47" s="23" t="n">
        <v>7742</v>
      </c>
      <c r="J47" s="23" t="n">
        <f>MAX(EPtable[[#This Row],[Stock on hand(opening balance)]]+EPtable[[#This Row],[Quantity ]]-EPtable[[#This Row],[Forecasted consumption]],0)</f>
        <v>166792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2" t="n">
        <f>EPtable[[#This Row],[Closing balance ]]/EPtable[[#This Row],[Forecasted consumption]]</f>
        <v>21.543787135107209</v>
      </c>
      <c r="X47" s="25"/>
    </row>
    <row r="48">
      <c r="B48" s="6" t="s">
        <v>76</v>
      </c>
      <c r="C48" s="18" t="s">
        <v>52</v>
      </c>
      <c r="D48" s="17" t="s">
        <v>53</v>
      </c>
      <c r="E48" s="18" t="s">
        <v>31</v>
      </c>
      <c r="F48" s="19" t="n">
        <v>46082</v>
      </c>
      <c r="G48" s="23" t="n">
        <f t="shared" si="2"/>
        <v>166792</v>
      </c>
      <c r="H48" s="23"/>
      <c r="I48" s="23" t="n">
        <v>7742</v>
      </c>
      <c r="J48" s="23" t="n">
        <f>MAX(EPtable[[#This Row],[Stock on hand(opening balance)]]+EPtable[[#This Row],[Quantity ]]-EPtable[[#This Row],[Forecasted consumption]],0)</f>
        <v>159050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2" t="n">
        <f>EPtable[[#This Row],[Closing balance ]]/EPtable[[#This Row],[Forecasted consumption]]</f>
        <v>20.543787135107209</v>
      </c>
      <c r="X48" s="25"/>
    </row>
    <row r="49">
      <c r="B49" s="6" t="s">
        <v>76</v>
      </c>
      <c r="C49" s="18" t="s">
        <v>52</v>
      </c>
      <c r="D49" s="17" t="s">
        <v>53</v>
      </c>
      <c r="E49" s="18" t="s">
        <v>31</v>
      </c>
      <c r="F49" s="19" t="n">
        <v>46113</v>
      </c>
      <c r="G49" s="23" t="n">
        <f t="shared" si="2"/>
        <v>159050</v>
      </c>
      <c r="H49" s="23"/>
      <c r="I49" s="23" t="n">
        <v>7742</v>
      </c>
      <c r="J49" s="23" t="n">
        <f>MAX(EPtable[[#This Row],[Stock on hand(opening balance)]]+EPtable[[#This Row],[Quantity ]]-EPtable[[#This Row],[Forecasted consumption]],0)</f>
        <v>151308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2" t="n">
        <f>EPtable[[#This Row],[Closing balance ]]/EPtable[[#This Row],[Forecasted consumption]]</f>
        <v>19.543787135107209</v>
      </c>
      <c r="X49" s="25"/>
    </row>
    <row r="50">
      <c r="B50" s="6" t="s">
        <v>76</v>
      </c>
      <c r="C50" s="18" t="s">
        <v>52</v>
      </c>
      <c r="D50" s="17" t="s">
        <v>53</v>
      </c>
      <c r="E50" s="18" t="s">
        <v>31</v>
      </c>
      <c r="F50" s="19" t="n">
        <v>46143</v>
      </c>
      <c r="G50" s="23" t="n">
        <f t="shared" si="2"/>
        <v>151308</v>
      </c>
      <c r="H50" s="23"/>
      <c r="I50" s="23" t="n">
        <v>7742</v>
      </c>
      <c r="J50" s="23" t="n">
        <f>MAX(EPtable[[#This Row],[Stock on hand(opening balance)]]+EPtable[[#This Row],[Quantity ]]-EPtable[[#This Row],[Forecasted consumption]],0)</f>
        <v>143566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2" t="n">
        <f>EPtable[[#This Row],[Closing balance ]]/EPtable[[#This Row],[Forecasted consumption]]</f>
        <v>18.543787135107209</v>
      </c>
      <c r="X50" s="25"/>
    </row>
    <row r="51">
      <c r="B51" s="6" t="s">
        <v>76</v>
      </c>
      <c r="C51" s="18" t="s">
        <v>52</v>
      </c>
      <c r="D51" s="17" t="s">
        <v>53</v>
      </c>
      <c r="E51" s="18" t="s">
        <v>31</v>
      </c>
      <c r="F51" s="19" t="n">
        <v>46174</v>
      </c>
      <c r="G51" s="23" t="n">
        <f t="shared" si="2"/>
        <v>143566</v>
      </c>
      <c r="H51" s="23"/>
      <c r="I51" s="23" t="n">
        <v>7742</v>
      </c>
      <c r="J51" s="23" t="n">
        <f>MAX(EPtable[[#This Row],[Stock on hand(opening balance)]]+EPtable[[#This Row],[Quantity ]]-EPtable[[#This Row],[Forecasted consumption]],0)</f>
        <v>135824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2" t="n">
        <f>EPtable[[#This Row],[Closing balance ]]/EPtable[[#This Row],[Forecasted consumption]]</f>
        <v>17.543787135107209</v>
      </c>
      <c r="X51" s="25"/>
    </row>
    <row r="52">
      <c r="B52" s="6" t="s">
        <v>76</v>
      </c>
      <c r="C52" s="18" t="s">
        <v>52</v>
      </c>
      <c r="D52" s="17" t="s">
        <v>53</v>
      </c>
      <c r="E52" s="18" t="s">
        <v>31</v>
      </c>
      <c r="F52" s="19" t="n">
        <v>46204</v>
      </c>
      <c r="G52" s="23" t="n">
        <f t="shared" si="2"/>
        <v>135824</v>
      </c>
      <c r="H52" s="23"/>
      <c r="I52" s="23" t="n">
        <v>7742</v>
      </c>
      <c r="J52" s="23" t="n">
        <f>MAX(EPtable[[#This Row],[Stock on hand(opening balance)]]+EPtable[[#This Row],[Quantity ]]-EPtable[[#This Row],[Forecasted consumption]],0)</f>
        <v>128082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2" t="n">
        <f>EPtable[[#This Row],[Closing balance ]]/EPtable[[#This Row],[Forecasted consumption]]</f>
        <v>16.543787135107209</v>
      </c>
      <c r="X52" s="25"/>
    </row>
    <row r="53">
      <c r="B53" s="6" t="s">
        <v>76</v>
      </c>
      <c r="C53" s="18" t="s">
        <v>52</v>
      </c>
      <c r="D53" s="17" t="s">
        <v>53</v>
      </c>
      <c r="E53" s="18" t="s">
        <v>31</v>
      </c>
      <c r="F53" s="19" t="n">
        <v>46235</v>
      </c>
      <c r="G53" s="23" t="n">
        <f t="shared" si="2"/>
        <v>128082</v>
      </c>
      <c r="H53" s="23"/>
      <c r="I53" s="23" t="n">
        <v>7742</v>
      </c>
      <c r="J53" s="23" t="n">
        <f>MAX(EPtable[[#This Row],[Stock on hand(opening balance)]]+EPtable[[#This Row],[Quantity ]]-EPtable[[#This Row],[Forecasted consumption]],0)</f>
        <v>120340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2" t="n">
        <f>EPtable[[#This Row],[Closing balance ]]/EPtable[[#This Row],[Forecasted consumption]]</f>
        <v>15.543787135107207</v>
      </c>
      <c r="X53" s="25"/>
    </row>
    <row r="54">
      <c r="B54" s="6" t="s">
        <v>76</v>
      </c>
      <c r="C54" s="18" t="s">
        <v>52</v>
      </c>
      <c r="D54" s="17" t="s">
        <v>53</v>
      </c>
      <c r="E54" s="18" t="s">
        <v>31</v>
      </c>
      <c r="F54" s="19" t="n">
        <v>46266</v>
      </c>
      <c r="G54" s="23" t="n">
        <f t="shared" si="2"/>
        <v>120340</v>
      </c>
      <c r="H54" s="23"/>
      <c r="I54" s="23" t="n">
        <v>7742</v>
      </c>
      <c r="J54" s="23" t="n">
        <f>MAX(EPtable[[#This Row],[Stock on hand(opening balance)]]+EPtable[[#This Row],[Quantity ]]-EPtable[[#This Row],[Forecasted consumption]],0)</f>
        <v>112598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2" t="n">
        <f>EPtable[[#This Row],[Closing balance ]]/EPtable[[#This Row],[Forecasted consumption]]</f>
        <v>14.543787135107207</v>
      </c>
      <c r="X54" s="25"/>
    </row>
    <row r="55">
      <c r="B55" s="6" t="s">
        <v>76</v>
      </c>
      <c r="C55" s="18" t="s">
        <v>52</v>
      </c>
      <c r="D55" s="17" t="s">
        <v>53</v>
      </c>
      <c r="E55" s="18" t="s">
        <v>31</v>
      </c>
      <c r="F55" s="19" t="n">
        <v>46296</v>
      </c>
      <c r="G55" s="23" t="n">
        <f t="shared" si="2"/>
        <v>112598</v>
      </c>
      <c r="H55" s="23"/>
      <c r="I55" s="23" t="n">
        <v>7742</v>
      </c>
      <c r="J55" s="23" t="n">
        <f>MAX(EPtable[[#This Row],[Stock on hand(opening balance)]]+EPtable[[#This Row],[Quantity ]]-EPtable[[#This Row],[Forecasted consumption]],0)</f>
        <v>104856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2" t="n">
        <f>EPtable[[#This Row],[Closing balance ]]/EPtable[[#This Row],[Forecasted consumption]]</f>
        <v>13.543787135107207</v>
      </c>
      <c r="X55" s="25"/>
    </row>
    <row r="56">
      <c r="B56" s="6" t="s">
        <v>76</v>
      </c>
      <c r="C56" s="18" t="s">
        <v>52</v>
      </c>
      <c r="D56" s="17" t="s">
        <v>53</v>
      </c>
      <c r="E56" s="18" t="s">
        <v>31</v>
      </c>
      <c r="F56" s="19" t="n">
        <v>46327</v>
      </c>
      <c r="G56" s="23" t="n">
        <f t="shared" si="2"/>
        <v>104856</v>
      </c>
      <c r="H56" s="23"/>
      <c r="I56" s="23" t="n">
        <v>7742</v>
      </c>
      <c r="J56" s="23" t="n">
        <f>MAX(EPtable[[#This Row],[Stock on hand(opening balance)]]+EPtable[[#This Row],[Quantity ]]-EPtable[[#This Row],[Forecasted consumption]],0)</f>
        <v>97114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2" t="n">
        <f>EPtable[[#This Row],[Closing balance ]]/EPtable[[#This Row],[Forecasted consumption]]</f>
        <v>12.543787135107207</v>
      </c>
      <c r="X56" s="25"/>
    </row>
    <row r="57">
      <c r="B57" s="6" t="s">
        <v>76</v>
      </c>
      <c r="C57" s="18" t="s">
        <v>52</v>
      </c>
      <c r="D57" s="17" t="s">
        <v>53</v>
      </c>
      <c r="E57" s="18" t="s">
        <v>31</v>
      </c>
      <c r="F57" s="19" t="n">
        <v>46357</v>
      </c>
      <c r="G57" s="23" t="n">
        <f t="shared" si="2"/>
        <v>97114</v>
      </c>
      <c r="H57" s="23"/>
      <c r="I57" s="23" t="n">
        <v>7742</v>
      </c>
      <c r="J57" s="23" t="n">
        <f>MAX(EPtable[[#This Row],[Stock on hand(opening balance)]]+EPtable[[#This Row],[Quantity ]]-EPtable[[#This Row],[Forecasted consumption]],0)</f>
        <v>89372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2" t="n">
        <f>EPtable[[#This Row],[Closing balance ]]/EPtable[[#This Row],[Forecasted consumption]]</f>
        <v>11.543787135107207</v>
      </c>
      <c r="X57" s="25"/>
    </row>
    <row r="58">
      <c r="B58" s="6" t="s">
        <v>74</v>
      </c>
      <c r="C58" s="18" t="s">
        <v>52</v>
      </c>
      <c r="D58" s="17" t="s">
        <v>53</v>
      </c>
      <c r="E58" s="18" t="s">
        <v>31</v>
      </c>
      <c r="F58" s="19" t="n">
        <v>45870</v>
      </c>
      <c r="G58" s="23" t="n">
        <v>165698</v>
      </c>
      <c r="H58" s="23" t="n">
        <v>12422</v>
      </c>
      <c r="I58" s="23" t="n">
        <v>21500</v>
      </c>
      <c r="J58" s="23" t="n">
        <f>MAX(EPtable[[#This Row],[Stock on hand(opening balance)]]+EPtable[[#This Row],[Quantity ]]-EPtable[[#This Row],[Forecasted consumption]],0)</f>
        <v>144198</v>
      </c>
      <c r="K58" s="2"/>
      <c r="L58" s="2"/>
      <c r="M58" s="18"/>
      <c r="N58" s="23"/>
      <c r="O58" s="2"/>
      <c r="P58" s="20"/>
      <c r="Q58" s="24"/>
      <c r="R58" s="2"/>
      <c r="S58" s="2"/>
      <c r="T58" s="18" t="n">
        <v>3</v>
      </c>
      <c r="U58" s="18" t="n">
        <v>6</v>
      </c>
      <c r="V58" s="18" t="n">
        <v>6</v>
      </c>
      <c r="W58" s="32" t="n">
        <f>EPtable[[#This Row],[Closing balance ]]/EPtable[[#This Row],[Forecasted consumption]]</f>
        <v>6.7068837209302323</v>
      </c>
      <c r="X58" s="25"/>
    </row>
    <row r="59">
      <c r="B59" s="6" t="s">
        <v>74</v>
      </c>
      <c r="C59" s="18" t="s">
        <v>52</v>
      </c>
      <c r="D59" s="17" t="s">
        <v>53</v>
      </c>
      <c r="E59" s="18" t="s">
        <v>31</v>
      </c>
      <c r="F59" s="19" t="n">
        <v>45901</v>
      </c>
      <c r="G59" s="23" t="n">
        <f>J58</f>
        <v>144198</v>
      </c>
      <c r="H59" s="23"/>
      <c r="I59" s="23" t="n">
        <v>21500</v>
      </c>
      <c r="J59" s="23" t="n">
        <f>MAX(EPtable[[#This Row],[Stock on hand(opening balance)]]+EPtable[[#This Row],[Quantity ]]-EPtable[[#This Row],[Forecasted consumption]],0)</f>
        <v>122698</v>
      </c>
      <c r="K59" s="2"/>
      <c r="L59" s="2"/>
      <c r="M59" s="18"/>
      <c r="N59" s="23"/>
      <c r="O59" s="2"/>
      <c r="P59" s="20"/>
      <c r="Q59" s="24"/>
      <c r="R59" s="2"/>
      <c r="S59" s="2"/>
      <c r="T59" s="18" t="n">
        <v>3</v>
      </c>
      <c r="U59" s="18" t="n">
        <v>6</v>
      </c>
      <c r="V59" s="18" t="n">
        <v>6</v>
      </c>
      <c r="W59" s="32" t="n">
        <f>EPtable[[#This Row],[Closing balance ]]/EPtable[[#This Row],[Forecasted consumption]]</f>
        <v>5.7068837209302323</v>
      </c>
      <c r="X59" s="25"/>
    </row>
    <row r="60">
      <c r="B60" s="6" t="s">
        <v>74</v>
      </c>
      <c r="C60" s="18" t="s">
        <v>52</v>
      </c>
      <c r="D60" s="17" t="s">
        <v>53</v>
      </c>
      <c r="E60" s="18" t="s">
        <v>31</v>
      </c>
      <c r="F60" s="19" t="n">
        <v>45931</v>
      </c>
      <c r="G60" s="23" t="n">
        <f t="shared" ref="G60:G70" si="3">J59</f>
        <v>122698</v>
      </c>
      <c r="H60" s="23"/>
      <c r="I60" s="23" t="n">
        <v>21500</v>
      </c>
      <c r="J60" s="23" t="n">
        <f>MAX(EPtable[[#This Row],[Stock on hand(opening balance)]]+EPtable[[#This Row],[Quantity ]]-EPtable[[#This Row],[Forecasted consumption]],0)</f>
        <v>101198</v>
      </c>
      <c r="K60" s="2"/>
      <c r="L60" s="2"/>
      <c r="M60" s="18"/>
      <c r="N60" s="23"/>
      <c r="O60" s="2"/>
      <c r="P60" s="20"/>
      <c r="Q60" s="24"/>
      <c r="R60" s="2"/>
      <c r="S60" s="2"/>
      <c r="T60" s="18" t="n">
        <v>3</v>
      </c>
      <c r="U60" s="18" t="n">
        <v>6</v>
      </c>
      <c r="V60" s="18" t="n">
        <v>6</v>
      </c>
      <c r="W60" s="32" t="n">
        <f>EPtable[[#This Row],[Closing balance ]]/EPtable[[#This Row],[Forecasted consumption]]</f>
        <v>4.7068837209302323</v>
      </c>
      <c r="X60" s="25"/>
    </row>
    <row r="61">
      <c r="B61" s="6" t="s">
        <v>74</v>
      </c>
      <c r="C61" s="18" t="s">
        <v>52</v>
      </c>
      <c r="D61" s="17" t="s">
        <v>53</v>
      </c>
      <c r="E61" s="18" t="s">
        <v>31</v>
      </c>
      <c r="F61" s="19" t="n">
        <v>45962</v>
      </c>
      <c r="G61" s="23" t="n">
        <f t="shared" si="3"/>
        <v>101198</v>
      </c>
      <c r="H61" s="23"/>
      <c r="I61" s="23" t="n">
        <v>21500</v>
      </c>
      <c r="J61" s="23" t="n">
        <f>MAX(EPtable[[#This Row],[Stock on hand(opening balance)]]+EPtable[[#This Row],[Quantity ]]-EPtable[[#This Row],[Forecasted consumption]],0)</f>
        <v>79698</v>
      </c>
      <c r="K61" s="2"/>
      <c r="L61" s="2"/>
      <c r="M61" s="18"/>
      <c r="N61" s="23"/>
      <c r="O61" s="2"/>
      <c r="P61" s="20"/>
      <c r="Q61" s="24"/>
      <c r="R61" s="2"/>
      <c r="S61" s="2"/>
      <c r="T61" s="18" t="n">
        <v>3</v>
      </c>
      <c r="U61" s="18" t="n">
        <v>6</v>
      </c>
      <c r="V61" s="18" t="n">
        <v>6</v>
      </c>
      <c r="W61" s="32" t="n">
        <f>EPtable[[#This Row],[Closing balance ]]/EPtable[[#This Row],[Forecasted consumption]]</f>
        <v>3.7068837209302328</v>
      </c>
      <c r="X61" s="25"/>
    </row>
    <row r="62">
      <c r="B62" s="6" t="s">
        <v>74</v>
      </c>
      <c r="C62" s="18" t="s">
        <v>52</v>
      </c>
      <c r="D62" s="17" t="s">
        <v>53</v>
      </c>
      <c r="E62" s="18" t="s">
        <v>31</v>
      </c>
      <c r="F62" s="19" t="n">
        <v>45992</v>
      </c>
      <c r="G62" s="23" t="n">
        <f t="shared" si="3"/>
        <v>79698</v>
      </c>
      <c r="H62" s="23"/>
      <c r="I62" s="23" t="n">
        <v>21500</v>
      </c>
      <c r="J62" s="23" t="n">
        <f>MAX(EPtable[[#This Row],[Stock on hand(opening balance)]]+EPtable[[#This Row],[Quantity ]]-EPtable[[#This Row],[Forecasted consumption]],0)</f>
        <v>58198</v>
      </c>
      <c r="K62" s="2"/>
      <c r="L62" s="2"/>
      <c r="M62" s="18"/>
      <c r="N62" s="23"/>
      <c r="O62" s="2"/>
      <c r="P62" s="20"/>
      <c r="Q62" s="24"/>
      <c r="R62" s="2"/>
      <c r="S62" s="2"/>
      <c r="T62" s="18" t="n">
        <v>3</v>
      </c>
      <c r="U62" s="18" t="n">
        <v>6</v>
      </c>
      <c r="V62" s="18" t="n">
        <v>6</v>
      </c>
      <c r="W62" s="32" t="n">
        <f>EPtable[[#This Row],[Closing balance ]]/EPtable[[#This Row],[Forecasted consumption]]</f>
        <v>2.7068837209302328</v>
      </c>
      <c r="X62" s="25"/>
    </row>
    <row r="63">
      <c r="B63" s="6" t="s">
        <v>74</v>
      </c>
      <c r="C63" s="18" t="s">
        <v>52</v>
      </c>
      <c r="D63" s="17" t="s">
        <v>53</v>
      </c>
      <c r="E63" s="18" t="s">
        <v>31</v>
      </c>
      <c r="F63" s="19" t="n">
        <v>46023</v>
      </c>
      <c r="G63" s="23" t="n">
        <f t="shared" si="3"/>
        <v>58198</v>
      </c>
      <c r="H63" s="23"/>
      <c r="I63" s="23" t="n">
        <v>21500</v>
      </c>
      <c r="J63" s="23" t="n">
        <f>MAX(EPtable[[#This Row],[Stock on hand(opening balance)]]+EPtable[[#This Row],[Quantity ]]-EPtable[[#This Row],[Forecasted consumption]],0)</f>
        <v>36698</v>
      </c>
      <c r="K63" s="2"/>
      <c r="L63" s="2"/>
      <c r="M63" s="18"/>
      <c r="N63" s="23"/>
      <c r="O63" s="2"/>
      <c r="P63" s="20"/>
      <c r="Q63" s="24"/>
      <c r="R63" s="2"/>
      <c r="S63" s="2"/>
      <c r="T63" s="18" t="n">
        <v>3</v>
      </c>
      <c r="U63" s="18" t="n">
        <v>6</v>
      </c>
      <c r="V63" s="18" t="n">
        <v>6</v>
      </c>
      <c r="W63" s="32" t="n">
        <f>EPtable[[#This Row],[Closing balance ]]/EPtable[[#This Row],[Forecasted consumption]]</f>
        <v>1.7068837209302326</v>
      </c>
      <c r="X63" s="25"/>
    </row>
    <row r="64">
      <c r="B64" s="6" t="s">
        <v>74</v>
      </c>
      <c r="C64" s="18" t="s">
        <v>52</v>
      </c>
      <c r="D64" s="17" t="s">
        <v>53</v>
      </c>
      <c r="E64" s="18" t="s">
        <v>31</v>
      </c>
      <c r="F64" s="19" t="n">
        <v>46054</v>
      </c>
      <c r="G64" s="23" t="n">
        <f t="shared" si="3"/>
        <v>36698</v>
      </c>
      <c r="H64" s="23"/>
      <c r="I64" s="23" t="n">
        <v>21500</v>
      </c>
      <c r="J64" s="23" t="n">
        <f>MAX(EPtable[[#This Row],[Stock on hand(opening balance)]]+EPtable[[#This Row],[Quantity ]]-EPtable[[#This Row],[Forecasted consumption]],0)</f>
        <v>15198</v>
      </c>
      <c r="K64" s="2"/>
      <c r="L64" s="2"/>
      <c r="M64" s="18"/>
      <c r="N64" s="23"/>
      <c r="O64" s="2"/>
      <c r="P64" s="20"/>
      <c r="Q64" s="24"/>
      <c r="R64" s="2"/>
      <c r="S64" s="2"/>
      <c r="T64" s="18" t="n">
        <v>3</v>
      </c>
      <c r="U64" s="18" t="n">
        <v>6</v>
      </c>
      <c r="V64" s="18" t="n">
        <v>6</v>
      </c>
      <c r="W64" s="32" t="n">
        <f>EPtable[[#This Row],[Closing balance ]]/EPtable[[#This Row],[Forecasted consumption]]</f>
        <v>0.70688372093023255</v>
      </c>
      <c r="X64" s="25"/>
    </row>
    <row r="65">
      <c r="B65" s="6" t="s">
        <v>74</v>
      </c>
      <c r="C65" s="18" t="s">
        <v>52</v>
      </c>
      <c r="D65" s="17" t="s">
        <v>53</v>
      </c>
      <c r="E65" s="18" t="s">
        <v>31</v>
      </c>
      <c r="F65" s="19" t="n">
        <v>46082</v>
      </c>
      <c r="G65" s="23" t="n">
        <f t="shared" si="3"/>
        <v>15198</v>
      </c>
      <c r="H65" s="23"/>
      <c r="I65" s="23" t="n">
        <v>21500</v>
      </c>
      <c r="J65" s="23" t="n">
        <f>MAX(EPtable[[#This Row],[Stock on hand(opening balance)]]+EPtable[[#This Row],[Quantity ]]-EPtable[[#This Row],[Forecasted consumption]],0)</f>
        <v>0</v>
      </c>
      <c r="K65" s="2"/>
      <c r="L65" s="2"/>
      <c r="M65" s="18"/>
      <c r="N65" s="23"/>
      <c r="O65" s="2"/>
      <c r="P65" s="20"/>
      <c r="Q65" s="24"/>
      <c r="R65" s="2"/>
      <c r="S65" s="2"/>
      <c r="T65" s="18" t="n">
        <v>3</v>
      </c>
      <c r="U65" s="18" t="n">
        <v>6</v>
      </c>
      <c r="V65" s="18" t="n">
        <v>6</v>
      </c>
      <c r="W65" s="32" t="n">
        <f>EPtable[[#This Row],[Closing balance ]]/EPtable[[#This Row],[Forecasted consumption]]</f>
        <v>0</v>
      </c>
      <c r="X65" s="25"/>
    </row>
    <row r="66">
      <c r="B66" s="6" t="s">
        <v>74</v>
      </c>
      <c r="C66" s="18" t="s">
        <v>52</v>
      </c>
      <c r="D66" s="17" t="s">
        <v>53</v>
      </c>
      <c r="E66" s="18" t="s">
        <v>31</v>
      </c>
      <c r="F66" s="19" t="n">
        <v>46113</v>
      </c>
      <c r="G66" s="23" t="n">
        <f t="shared" si="3"/>
        <v>0</v>
      </c>
      <c r="H66" s="23"/>
      <c r="I66" s="23" t="n">
        <v>21500</v>
      </c>
      <c r="J66" s="23" t="n">
        <f>MAX(EPtable[[#This Row],[Stock on hand(opening balance)]]+EPtable[[#This Row],[Quantity ]]-EPtable[[#This Row],[Forecasted consumption]],0)</f>
        <v>0</v>
      </c>
      <c r="K66" s="2"/>
      <c r="L66" s="2"/>
      <c r="M66" s="18"/>
      <c r="N66" s="23"/>
      <c r="O66" s="2"/>
      <c r="P66" s="20"/>
      <c r="Q66" s="24"/>
      <c r="R66" s="2"/>
      <c r="S66" s="2"/>
      <c r="T66" s="18" t="n">
        <v>3</v>
      </c>
      <c r="U66" s="18" t="n">
        <v>6</v>
      </c>
      <c r="V66" s="18" t="n">
        <v>6</v>
      </c>
      <c r="W66" s="32" t="n">
        <f>EPtable[[#This Row],[Closing balance ]]/EPtable[[#This Row],[Forecasted consumption]]</f>
        <v>0</v>
      </c>
      <c r="X66" s="25"/>
    </row>
    <row r="67">
      <c r="B67" s="6" t="s">
        <v>74</v>
      </c>
      <c r="C67" s="18" t="s">
        <v>52</v>
      </c>
      <c r="D67" s="17" t="s">
        <v>53</v>
      </c>
      <c r="E67" s="18" t="s">
        <v>31</v>
      </c>
      <c r="F67" s="19" t="n">
        <v>46143</v>
      </c>
      <c r="G67" s="23" t="n">
        <f t="shared" si="3"/>
        <v>0</v>
      </c>
      <c r="H67" s="23"/>
      <c r="I67" s="23" t="n">
        <v>21500</v>
      </c>
      <c r="J67" s="23" t="n">
        <f>MAX(EPtable[[#This Row],[Stock on hand(opening balance)]]+EPtable[[#This Row],[Quantity ]]-EPtable[[#This Row],[Forecasted consumption]],0)</f>
        <v>24829</v>
      </c>
      <c r="K67" s="2" t="s">
        <v>2</v>
      </c>
      <c r="L67" s="2" t="s">
        <v>2</v>
      </c>
      <c r="M67" s="18" t="s">
        <v>4</v>
      </c>
      <c r="N67" s="23" t="n">
        <v>46329</v>
      </c>
      <c r="O67" s="2"/>
      <c r="P67" s="20"/>
      <c r="Q67" s="24"/>
      <c r="R67" s="2"/>
      <c r="S67" s="2"/>
      <c r="T67" s="18" t="n">
        <v>3</v>
      </c>
      <c r="U67" s="18" t="n">
        <v>6</v>
      </c>
      <c r="V67" s="18" t="n">
        <v>6</v>
      </c>
      <c r="W67" s="32" t="n">
        <f>EPtable[[#This Row],[Closing balance ]]/EPtable[[#This Row],[Forecasted consumption]]</f>
        <v>1.1548372093023256</v>
      </c>
      <c r="X67" s="25"/>
    </row>
    <row r="68">
      <c r="B68" s="6" t="s">
        <v>74</v>
      </c>
      <c r="C68" s="18" t="s">
        <v>52</v>
      </c>
      <c r="D68" s="17" t="s">
        <v>53</v>
      </c>
      <c r="E68" s="18" t="s">
        <v>31</v>
      </c>
      <c r="F68" s="19" t="n">
        <v>46174</v>
      </c>
      <c r="G68" s="23" t="n">
        <f t="shared" si="3"/>
        <v>24829</v>
      </c>
      <c r="H68" s="23"/>
      <c r="I68" s="23" t="n">
        <v>21500</v>
      </c>
      <c r="J68" s="23" t="n">
        <f>MAX(EPtable[[#This Row],[Stock on hand(opening balance)]]+EPtable[[#This Row],[Quantity ]]-EPtable[[#This Row],[Forecasted consumption]],0)</f>
        <v>34665</v>
      </c>
      <c r="K68" s="2" t="s">
        <v>2</v>
      </c>
      <c r="L68" s="2" t="s">
        <v>2</v>
      </c>
      <c r="M68" s="18" t="s">
        <v>4</v>
      </c>
      <c r="N68" s="23" t="n">
        <v>31336</v>
      </c>
      <c r="O68" s="2"/>
      <c r="P68" s="20"/>
      <c r="Q68" s="24"/>
      <c r="R68" s="2"/>
      <c r="S68" s="2"/>
      <c r="T68" s="18" t="n">
        <v>3</v>
      </c>
      <c r="U68" s="18" t="n">
        <v>6</v>
      </c>
      <c r="V68" s="18" t="n">
        <v>6</v>
      </c>
      <c r="W68" s="32" t="n">
        <f>EPtable[[#This Row],[Closing balance ]]/EPtable[[#This Row],[Forecasted consumption]]</f>
        <v>1.6123255813953488</v>
      </c>
      <c r="X68" s="25"/>
    </row>
    <row r="69">
      <c r="B69" s="6" t="s">
        <v>74</v>
      </c>
      <c r="C69" s="18" t="s">
        <v>52</v>
      </c>
      <c r="D69" s="17" t="s">
        <v>53</v>
      </c>
      <c r="E69" s="18" t="s">
        <v>31</v>
      </c>
      <c r="F69" s="19" t="n">
        <v>46204</v>
      </c>
      <c r="G69" s="23" t="n">
        <f t="shared" si="3"/>
        <v>34665</v>
      </c>
      <c r="H69" s="23"/>
      <c r="I69" s="23" t="n">
        <v>21500</v>
      </c>
      <c r="J69" s="23" t="n">
        <f>MAX(EPtable[[#This Row],[Stock on hand(opening balance)]]+EPtable[[#This Row],[Quantity ]]-EPtable[[#This Row],[Forecasted consumption]],0)</f>
        <v>13165</v>
      </c>
      <c r="K69" s="2"/>
      <c r="L69" s="2"/>
      <c r="M69" s="18"/>
      <c r="N69" s="23"/>
      <c r="O69" s="2"/>
      <c r="P69" s="20"/>
      <c r="Q69" s="24"/>
      <c r="R69" s="2"/>
      <c r="S69" s="2"/>
      <c r="T69" s="18" t="n">
        <v>3</v>
      </c>
      <c r="U69" s="18" t="n">
        <v>6</v>
      </c>
      <c r="V69" s="18" t="n">
        <v>6</v>
      </c>
      <c r="W69" s="32" t="n">
        <f>EPtable[[#This Row],[Closing balance ]]/EPtable[[#This Row],[Forecasted consumption]]</f>
        <v>0.61232558139534887</v>
      </c>
      <c r="X69" s="25"/>
    </row>
    <row r="70" ht="14.5" customHeight="1">
      <c r="B70" s="6" t="s">
        <v>74</v>
      </c>
      <c r="C70" s="18" t="s">
        <v>52</v>
      </c>
      <c r="D70" s="17" t="s">
        <v>53</v>
      </c>
      <c r="E70" s="18" t="s">
        <v>31</v>
      </c>
      <c r="F70" s="19" t="n">
        <v>46235</v>
      </c>
      <c r="G70" s="23" t="n">
        <f t="shared" si="3"/>
        <v>13165</v>
      </c>
      <c r="H70" s="23"/>
      <c r="I70" s="23" t="n">
        <v>21500</v>
      </c>
      <c r="J70" s="23" t="n">
        <f>MAX(EPtable[[#This Row],[Stock on hand(opening balance)]]+EPtable[[#This Row],[Quantity ]]-EPtable[[#This Row],[Forecasted consumption]],0)</f>
        <v>0</v>
      </c>
      <c r="K70" s="2"/>
      <c r="L70" s="2"/>
      <c r="M70" s="18"/>
      <c r="N70" s="23"/>
      <c r="O70" s="2"/>
      <c r="P70" s="20"/>
      <c r="Q70" s="24"/>
      <c r="R70" s="2"/>
      <c r="S70" s="2"/>
      <c r="T70" s="18" t="n">
        <v>3</v>
      </c>
      <c r="U70" s="18" t="n">
        <v>6</v>
      </c>
      <c r="V70" s="18" t="n">
        <v>6</v>
      </c>
      <c r="W70" s="32" t="n">
        <f>EPtable[[#This Row],[Closing balance ]]/EPtable[[#This Row],[Forecasted consumption]]</f>
        <v>0</v>
      </c>
      <c r="X70" s="25"/>
    </row>
    <row r="71">
      <c r="B71" s="6" t="s">
        <v>165</v>
      </c>
      <c r="C71" s="18" t="s">
        <v>52</v>
      </c>
      <c r="D71" s="17" t="s">
        <v>53</v>
      </c>
      <c r="E71" s="18" t="s">
        <v>31</v>
      </c>
      <c r="F71" s="19" t="n">
        <v>45658</v>
      </c>
      <c r="G71" s="20"/>
      <c r="H71" s="20"/>
      <c r="I71" s="20" t="n">
        <v>483</v>
      </c>
      <c r="J71" s="20" t="n">
        <f>MAX(EPtable[[#This Row],[Stock on hand(opening balance)]]+EPtable[[#This Row],[Quantity ]]-EPtable[[#This Row],[Forecasted consumption]],0)</f>
        <v>0</v>
      </c>
      <c r="K71" s="18"/>
      <c r="L71" s="18"/>
      <c r="M71" s="18"/>
      <c r="N71" s="20"/>
      <c r="O71" s="18"/>
      <c r="P71" s="20"/>
      <c r="Q71" s="19"/>
      <c r="R71" s="18"/>
      <c r="S71" s="18"/>
      <c r="T71" s="18"/>
      <c r="U71" s="18"/>
      <c r="V71" s="18"/>
      <c r="W71" s="32" t="n">
        <f>EPtable[[#This Row],[Closing balance ]]/EPtable[[#This Row],[Forecasted consumption]]</f>
        <v>0</v>
      </c>
      <c r="X71" s="22"/>
    </row>
    <row r="72">
      <c r="B72" s="6" t="s">
        <v>165</v>
      </c>
      <c r="C72" s="18" t="s">
        <v>52</v>
      </c>
      <c r="D72" s="17" t="s">
        <v>53</v>
      </c>
      <c r="E72" s="18" t="s">
        <v>31</v>
      </c>
      <c r="F72" s="19" t="n">
        <v>45689</v>
      </c>
      <c r="G72" s="23"/>
      <c r="H72" s="23"/>
      <c r="I72" s="20" t="n">
        <v>483</v>
      </c>
      <c r="J72" s="23" t="n">
        <f>MAX(EPtable[[#This Row],[Stock on hand(opening balance)]]+EPtable[[#This Row],[Quantity ]]-EPtable[[#This Row],[Forecasted consumption]],0)</f>
        <v>0</v>
      </c>
      <c r="K72" s="2"/>
      <c r="L72" s="2"/>
      <c r="M72" s="2"/>
      <c r="N72" s="23"/>
      <c r="O72" s="2"/>
      <c r="P72" s="20"/>
      <c r="Q72" s="24"/>
      <c r="R72" s="2"/>
      <c r="S72" s="2"/>
      <c r="T72" s="2"/>
      <c r="U72" s="2"/>
      <c r="V72" s="2"/>
      <c r="W72" s="32" t="n">
        <f>EPtable[[#This Row],[Closing balance ]]/EPtable[[#This Row],[Forecasted consumption]]</f>
        <v>0</v>
      </c>
      <c r="X72" s="25"/>
    </row>
    <row r="73">
      <c r="B73" s="6" t="s">
        <v>165</v>
      </c>
      <c r="C73" s="18" t="s">
        <v>52</v>
      </c>
      <c r="D73" s="17" t="s">
        <v>53</v>
      </c>
      <c r="E73" s="18" t="s">
        <v>31</v>
      </c>
      <c r="F73" s="19" t="n">
        <v>45717</v>
      </c>
      <c r="G73" s="23"/>
      <c r="H73" s="23"/>
      <c r="I73" s="20" t="n">
        <v>483</v>
      </c>
      <c r="J73" s="23" t="n">
        <f>MAX(EPtable[[#This Row],[Stock on hand(opening balance)]]+EPtable[[#This Row],[Quantity ]]-EPtable[[#This Row],[Forecasted consumption]],0)</f>
        <v>0</v>
      </c>
      <c r="K73" s="2"/>
      <c r="L73" s="2"/>
      <c r="M73" s="2"/>
      <c r="N73" s="23"/>
      <c r="O73" s="2"/>
      <c r="P73" s="20"/>
      <c r="Q73" s="24"/>
      <c r="R73" s="2"/>
      <c r="S73" s="2"/>
      <c r="T73" s="2"/>
      <c r="U73" s="2"/>
      <c r="V73" s="2"/>
      <c r="W73" s="32" t="n">
        <f>EPtable[[#This Row],[Closing balance ]]/EPtable[[#This Row],[Forecasted consumption]]</f>
        <v>0</v>
      </c>
      <c r="X73" s="25"/>
    </row>
    <row r="74">
      <c r="B74" s="6" t="s">
        <v>165</v>
      </c>
      <c r="C74" s="18" t="s">
        <v>52</v>
      </c>
      <c r="D74" s="17" t="s">
        <v>53</v>
      </c>
      <c r="E74" s="18" t="s">
        <v>31</v>
      </c>
      <c r="F74" s="19" t="n">
        <v>45748</v>
      </c>
      <c r="G74" s="23"/>
      <c r="H74" s="23"/>
      <c r="I74" s="20" t="n">
        <v>483</v>
      </c>
      <c r="J74" s="23" t="n">
        <f>MAX(EPtable[[#This Row],[Stock on hand(opening balance)]]+EPtable[[#This Row],[Quantity ]]-EPtable[[#This Row],[Forecasted consumption]],0)</f>
        <v>0</v>
      </c>
      <c r="K74" s="2"/>
      <c r="L74" s="2"/>
      <c r="M74" s="2"/>
      <c r="N74" s="23"/>
      <c r="O74" s="2"/>
      <c r="P74" s="20"/>
      <c r="Q74" s="24"/>
      <c r="R74" s="2"/>
      <c r="S74" s="2"/>
      <c r="T74" s="2"/>
      <c r="U74" s="2"/>
      <c r="V74" s="2"/>
      <c r="W74" s="32" t="n">
        <f>EPtable[[#This Row],[Closing balance ]]/EPtable[[#This Row],[Forecasted consumption]]</f>
        <v>0</v>
      </c>
      <c r="X74" s="25"/>
    </row>
    <row r="75">
      <c r="B75" s="6" t="s">
        <v>165</v>
      </c>
      <c r="C75" s="18" t="s">
        <v>52</v>
      </c>
      <c r="D75" s="17" t="s">
        <v>53</v>
      </c>
      <c r="E75" s="18" t="s">
        <v>31</v>
      </c>
      <c r="F75" s="19" t="n">
        <v>45778</v>
      </c>
      <c r="G75" s="23"/>
      <c r="H75" s="23"/>
      <c r="I75" s="20" t="n">
        <v>483</v>
      </c>
      <c r="J75" s="23" t="n">
        <f>MAX(EPtable[[#This Row],[Stock on hand(opening balance)]]+EPtable[[#This Row],[Quantity ]]-EPtable[[#This Row],[Forecasted consumption]],0)</f>
        <v>0</v>
      </c>
      <c r="K75" s="2"/>
      <c r="L75" s="2"/>
      <c r="M75" s="2"/>
      <c r="N75" s="23"/>
      <c r="O75" s="2"/>
      <c r="P75" s="20"/>
      <c r="Q75" s="24"/>
      <c r="R75" s="2"/>
      <c r="S75" s="2"/>
      <c r="T75" s="2"/>
      <c r="U75" s="2"/>
      <c r="V75" s="2"/>
      <c r="W75" s="32" t="n">
        <f>EPtable[[#This Row],[Closing balance ]]/EPtable[[#This Row],[Forecasted consumption]]</f>
        <v>0</v>
      </c>
      <c r="X75" s="25"/>
    </row>
    <row r="76">
      <c r="B76" s="6" t="s">
        <v>165</v>
      </c>
      <c r="C76" s="18" t="s">
        <v>52</v>
      </c>
      <c r="D76" s="17" t="s">
        <v>53</v>
      </c>
      <c r="E76" s="18" t="s">
        <v>31</v>
      </c>
      <c r="F76" s="19" t="n">
        <v>45809</v>
      </c>
      <c r="G76" s="23"/>
      <c r="H76" s="23"/>
      <c r="I76" s="20" t="n">
        <v>483</v>
      </c>
      <c r="J76" s="23" t="n">
        <f>MAX(EPtable[[#This Row],[Stock on hand(opening balance)]]+EPtable[[#This Row],[Quantity ]]-EPtable[[#This Row],[Forecasted consumption]],0)</f>
        <v>0</v>
      </c>
      <c r="K76" s="2"/>
      <c r="L76" s="2"/>
      <c r="M76" s="2"/>
      <c r="N76" s="23"/>
      <c r="O76" s="2"/>
      <c r="P76" s="20"/>
      <c r="Q76" s="24"/>
      <c r="R76" s="2"/>
      <c r="S76" s="2"/>
      <c r="T76" s="2"/>
      <c r="U76" s="2"/>
      <c r="V76" s="2"/>
      <c r="W76" s="32" t="n">
        <f>EPtable[[#This Row],[Closing balance ]]/EPtable[[#This Row],[Forecasted consumption]]</f>
        <v>0</v>
      </c>
      <c r="X76" s="25"/>
    </row>
    <row r="77">
      <c r="B77" s="6" t="s">
        <v>165</v>
      </c>
      <c r="C77" s="18" t="s">
        <v>52</v>
      </c>
      <c r="D77" s="17" t="s">
        <v>53</v>
      </c>
      <c r="E77" s="18" t="s">
        <v>31</v>
      </c>
      <c r="F77" s="19" t="n">
        <v>45839</v>
      </c>
      <c r="G77" s="23"/>
      <c r="H77" s="23"/>
      <c r="I77" s="20" t="n">
        <v>483</v>
      </c>
      <c r="J77" s="23" t="n">
        <f>MAX(EPtable[[#This Row],[Stock on hand(opening balance)]]+EPtable[[#This Row],[Quantity ]]-EPtable[[#This Row],[Forecasted consumption]],0)</f>
        <v>0</v>
      </c>
      <c r="K77" s="2"/>
      <c r="L77" s="2"/>
      <c r="M77" s="2"/>
      <c r="N77" s="23"/>
      <c r="O77" s="2"/>
      <c r="P77" s="20"/>
      <c r="Q77" s="24"/>
      <c r="R77" s="2"/>
      <c r="S77" s="2"/>
      <c r="T77" s="2"/>
      <c r="U77" s="2"/>
      <c r="V77" s="2"/>
      <c r="W77" s="32" t="n">
        <f>EPtable[[#This Row],[Closing balance ]]/EPtable[[#This Row],[Forecasted consumption]]</f>
        <v>0</v>
      </c>
      <c r="X77" s="25"/>
    </row>
    <row r="78">
      <c r="B78" s="6" t="s">
        <v>165</v>
      </c>
      <c r="C78" s="18" t="s">
        <v>52</v>
      </c>
      <c r="D78" s="17" t="s">
        <v>53</v>
      </c>
      <c r="E78" s="18" t="s">
        <v>31</v>
      </c>
      <c r="F78" s="19" t="n">
        <v>45870</v>
      </c>
      <c r="G78" s="23"/>
      <c r="H78" s="23"/>
      <c r="I78" s="20" t="n">
        <v>483</v>
      </c>
      <c r="J78" s="23" t="n">
        <f>MAX(EPtable[[#This Row],[Stock on hand(opening balance)]]+EPtable[[#This Row],[Quantity ]]-EPtable[[#This Row],[Forecasted consumption]],0)</f>
        <v>0</v>
      </c>
      <c r="K78" s="2"/>
      <c r="L78" s="2"/>
      <c r="M78" s="2"/>
      <c r="N78" s="23"/>
      <c r="O78" s="2"/>
      <c r="P78" s="20"/>
      <c r="Q78" s="24"/>
      <c r="R78" s="2"/>
      <c r="S78" s="2"/>
      <c r="T78" s="2"/>
      <c r="U78" s="2"/>
      <c r="V78" s="2"/>
      <c r="W78" s="32" t="n">
        <f>EPtable[[#This Row],[Closing balance ]]/EPtable[[#This Row],[Forecasted consumption]]</f>
        <v>0</v>
      </c>
      <c r="X78" s="25"/>
    </row>
    <row r="79">
      <c r="B79" s="6" t="s">
        <v>165</v>
      </c>
      <c r="C79" s="18" t="s">
        <v>52</v>
      </c>
      <c r="D79" s="17" t="s">
        <v>53</v>
      </c>
      <c r="E79" s="18" t="s">
        <v>31</v>
      </c>
      <c r="F79" s="19" t="n">
        <v>45901</v>
      </c>
      <c r="G79" s="23"/>
      <c r="H79" s="23"/>
      <c r="I79" s="20" t="n">
        <v>483</v>
      </c>
      <c r="J79" s="23" t="n">
        <f>MAX(EPtable[[#This Row],[Stock on hand(opening balance)]]+EPtable[[#This Row],[Quantity ]]-EPtable[[#This Row],[Forecasted consumption]],0)</f>
        <v>0</v>
      </c>
      <c r="K79" s="2"/>
      <c r="L79" s="2"/>
      <c r="M79" s="2"/>
      <c r="N79" s="23"/>
      <c r="O79" s="2"/>
      <c r="P79" s="20"/>
      <c r="Q79" s="24"/>
      <c r="R79" s="2"/>
      <c r="S79" s="2"/>
      <c r="T79" s="2"/>
      <c r="U79" s="2"/>
      <c r="V79" s="2"/>
      <c r="W79" s="32" t="n">
        <f>EPtable[[#This Row],[Closing balance ]]/EPtable[[#This Row],[Forecasted consumption]]</f>
        <v>0</v>
      </c>
      <c r="X79" s="25"/>
    </row>
    <row r="80">
      <c r="B80" s="6" t="s">
        <v>165</v>
      </c>
      <c r="C80" s="18" t="s">
        <v>52</v>
      </c>
      <c r="D80" s="17" t="s">
        <v>53</v>
      </c>
      <c r="E80" s="18" t="s">
        <v>31</v>
      </c>
      <c r="F80" s="19" t="n">
        <v>45931</v>
      </c>
      <c r="G80" s="23"/>
      <c r="H80" s="23"/>
      <c r="I80" s="20" t="n">
        <v>483</v>
      </c>
      <c r="J80" s="23" t="n">
        <f>MAX(EPtable[[#This Row],[Stock on hand(opening balance)]]+EPtable[[#This Row],[Quantity ]]-EPtable[[#This Row],[Forecasted consumption]],0)</f>
        <v>0</v>
      </c>
      <c r="K80" s="2"/>
      <c r="L80" s="2"/>
      <c r="M80" s="2"/>
      <c r="N80" s="23"/>
      <c r="O80" s="2"/>
      <c r="P80" s="20"/>
      <c r="Q80" s="24"/>
      <c r="R80" s="2"/>
      <c r="S80" s="2"/>
      <c r="T80" s="2"/>
      <c r="U80" s="2"/>
      <c r="V80" s="2"/>
      <c r="W80" s="32" t="n">
        <f>EPtable[[#This Row],[Closing balance ]]/EPtable[[#This Row],[Forecasted consumption]]</f>
        <v>0</v>
      </c>
      <c r="X80" s="25"/>
    </row>
    <row r="81">
      <c r="B81" s="6" t="s">
        <v>165</v>
      </c>
      <c r="C81" s="18" t="s">
        <v>52</v>
      </c>
      <c r="D81" s="17" t="s">
        <v>53</v>
      </c>
      <c r="E81" s="18" t="s">
        <v>31</v>
      </c>
      <c r="F81" s="19" t="n">
        <v>45962</v>
      </c>
      <c r="G81" s="23"/>
      <c r="H81" s="23"/>
      <c r="I81" s="20" t="n">
        <v>483</v>
      </c>
      <c r="J81" s="23" t="n">
        <f>MAX(EPtable[[#This Row],[Stock on hand(opening balance)]]+EPtable[[#This Row],[Quantity ]]-EPtable[[#This Row],[Forecasted consumption]],0)</f>
        <v>0</v>
      </c>
      <c r="K81" s="2"/>
      <c r="L81" s="2"/>
      <c r="M81" s="2"/>
      <c r="N81" s="23"/>
      <c r="O81" s="2"/>
      <c r="P81" s="20"/>
      <c r="Q81" s="24"/>
      <c r="R81" s="2"/>
      <c r="S81" s="2"/>
      <c r="T81" s="2"/>
      <c r="U81" s="2"/>
      <c r="V81" s="2"/>
      <c r="W81" s="32" t="n">
        <f>EPtable[[#This Row],[Closing balance ]]/EPtable[[#This Row],[Forecasted consumption]]</f>
        <v>0</v>
      </c>
      <c r="X81" s="25"/>
    </row>
    <row r="82">
      <c r="B82" s="6" t="s">
        <v>165</v>
      </c>
      <c r="C82" s="18" t="s">
        <v>52</v>
      </c>
      <c r="D82" s="17" t="s">
        <v>53</v>
      </c>
      <c r="E82" s="18" t="s">
        <v>31</v>
      </c>
      <c r="F82" s="19" t="n">
        <v>45992</v>
      </c>
      <c r="G82" s="23"/>
      <c r="H82" s="23"/>
      <c r="I82" s="20" t="n">
        <v>483</v>
      </c>
      <c r="J82" s="23" t="n">
        <f>MAX(EPtable[[#This Row],[Stock on hand(opening balance)]]+EPtable[[#This Row],[Quantity ]]-EPtable[[#This Row],[Forecasted consumption]],0)</f>
        <v>0</v>
      </c>
      <c r="K82" s="2"/>
      <c r="L82" s="2"/>
      <c r="M82" s="2"/>
      <c r="N82" s="23"/>
      <c r="O82" s="2"/>
      <c r="P82" s="20"/>
      <c r="Q82" s="24"/>
      <c r="R82" s="2"/>
      <c r="S82" s="2"/>
      <c r="T82" s="2"/>
      <c r="U82" s="2"/>
      <c r="V82" s="2"/>
      <c r="W82" s="32" t="n">
        <f>EPtable[[#This Row],[Closing balance ]]/EPtable[[#This Row],[Forecasted consumption]]</f>
        <v>0</v>
      </c>
      <c r="X82" s="25"/>
    </row>
    <row r="83">
      <c r="B83" s="6" t="s">
        <v>166</v>
      </c>
      <c r="C83" s="18" t="s">
        <v>52</v>
      </c>
      <c r="D83" s="17" t="s">
        <v>53</v>
      </c>
      <c r="E83" s="18" t="s">
        <v>31</v>
      </c>
      <c r="F83" s="19" t="n">
        <v>45748</v>
      </c>
      <c r="G83" s="20" t="n">
        <v>87339</v>
      </c>
      <c r="H83" s="20"/>
      <c r="I83" s="20" t="n">
        <v>10542</v>
      </c>
      <c r="J83" s="20" t="n">
        <f>MAX(EPtable[[#This Row],[Stock on hand(opening balance)]]+EPtable[[#This Row],[Quantity ]]-EPtable[[#This Row],[Forecasted consumption]],0)</f>
        <v>76797</v>
      </c>
      <c r="K83" s="18"/>
      <c r="L83" s="18"/>
      <c r="M83" s="18"/>
      <c r="N83" s="20"/>
      <c r="O83" s="18"/>
      <c r="P83" s="20"/>
      <c r="Q83" s="19"/>
      <c r="R83" s="18"/>
      <c r="S83" s="18"/>
      <c r="T83" s="18" t="n">
        <v>9</v>
      </c>
      <c r="U83" s="18" t="n">
        <v>15</v>
      </c>
      <c r="V83" s="18" t="n">
        <v>15</v>
      </c>
      <c r="W83" s="32" t="n">
        <f>EPtable[[#This Row],[Closing balance ]]/EPtable[[#This Row],[Forecasted consumption]]</f>
        <v>7.2848605577689245</v>
      </c>
      <c r="X83" s="22"/>
    </row>
    <row r="84">
      <c r="B84" s="6" t="s">
        <v>166</v>
      </c>
      <c r="C84" s="18" t="s">
        <v>52</v>
      </c>
      <c r="D84" s="17" t="s">
        <v>53</v>
      </c>
      <c r="E84" s="18" t="s">
        <v>31</v>
      </c>
      <c r="F84" s="19" t="n">
        <v>45778</v>
      </c>
      <c r="G84" s="23" t="n">
        <f>J83</f>
        <v>76797</v>
      </c>
      <c r="H84" s="23"/>
      <c r="I84" s="20" t="n">
        <v>10542</v>
      </c>
      <c r="J84" s="23" t="n">
        <f>MAX(EPtable[[#This Row],[Stock on hand(opening balance)]]+EPtable[[#This Row],[Quantity ]]-EPtable[[#This Row],[Forecasted consumption]],0)</f>
        <v>66255</v>
      </c>
      <c r="K84" s="2"/>
      <c r="L84" s="2"/>
      <c r="M84" s="2"/>
      <c r="N84" s="23"/>
      <c r="O84" s="2"/>
      <c r="P84" s="20"/>
      <c r="Q84" s="24"/>
      <c r="R84" s="2"/>
      <c r="S84" s="2"/>
      <c r="T84" s="18" t="n">
        <v>9</v>
      </c>
      <c r="U84" s="18" t="n">
        <v>15</v>
      </c>
      <c r="V84" s="18" t="n">
        <v>15</v>
      </c>
      <c r="W84" s="32" t="n">
        <f>EPtable[[#This Row],[Closing balance ]]/EPtable[[#This Row],[Forecasted consumption]]</f>
        <v>6.2848605577689245</v>
      </c>
      <c r="X84" s="25"/>
    </row>
    <row r="85">
      <c r="B85" s="6" t="s">
        <v>166</v>
      </c>
      <c r="C85" s="18" t="s">
        <v>52</v>
      </c>
      <c r="D85" s="17" t="s">
        <v>53</v>
      </c>
      <c r="E85" s="18" t="s">
        <v>31</v>
      </c>
      <c r="F85" s="19" t="n">
        <v>45809</v>
      </c>
      <c r="G85" s="23" t="n">
        <f t="shared" ref="G85:G91" si="4">J84</f>
        <v>66255</v>
      </c>
      <c r="H85" s="23"/>
      <c r="I85" s="20" t="n">
        <v>10542</v>
      </c>
      <c r="J85" s="23" t="n">
        <f>MAX(EPtable[[#This Row],[Stock on hand(opening balance)]]+EPtable[[#This Row],[Quantity ]]-EPtable[[#This Row],[Forecasted consumption]],0)</f>
        <v>55713</v>
      </c>
      <c r="K85" s="2"/>
      <c r="L85" s="2"/>
      <c r="M85" s="2"/>
      <c r="N85" s="23"/>
      <c r="O85" s="2"/>
      <c r="P85" s="20"/>
      <c r="Q85" s="24"/>
      <c r="R85" s="2"/>
      <c r="S85" s="2"/>
      <c r="T85" s="18" t="n">
        <v>9</v>
      </c>
      <c r="U85" s="18" t="n">
        <v>15</v>
      </c>
      <c r="V85" s="18" t="n">
        <v>15</v>
      </c>
      <c r="W85" s="32" t="n">
        <f>EPtable[[#This Row],[Closing balance ]]/EPtable[[#This Row],[Forecasted consumption]]</f>
        <v>5.2848605577689245</v>
      </c>
      <c r="X85" s="25"/>
    </row>
    <row r="86">
      <c r="B86" s="6" t="s">
        <v>166</v>
      </c>
      <c r="C86" s="18" t="s">
        <v>52</v>
      </c>
      <c r="D86" s="17" t="s">
        <v>53</v>
      </c>
      <c r="E86" s="18" t="s">
        <v>31</v>
      </c>
      <c r="F86" s="19" t="n">
        <v>45839</v>
      </c>
      <c r="G86" s="23" t="n">
        <f t="shared" si="4"/>
        <v>55713</v>
      </c>
      <c r="H86" s="23"/>
      <c r="I86" s="20" t="n">
        <v>10542</v>
      </c>
      <c r="J86" s="23" t="n">
        <f>MAX(EPtable[[#This Row],[Stock on hand(opening balance)]]+EPtable[[#This Row],[Quantity ]]-EPtable[[#This Row],[Forecasted consumption]],0)</f>
        <v>69471</v>
      </c>
      <c r="K86" s="2"/>
      <c r="L86" s="2"/>
      <c r="M86" s="2"/>
      <c r="N86" s="23" t="n">
        <v>24300</v>
      </c>
      <c r="O86" s="2"/>
      <c r="P86" s="20"/>
      <c r="Q86" s="24"/>
      <c r="R86" s="2"/>
      <c r="S86" s="2"/>
      <c r="T86" s="18" t="n">
        <v>9</v>
      </c>
      <c r="U86" s="18" t="n">
        <v>15</v>
      </c>
      <c r="V86" s="18" t="n">
        <v>15</v>
      </c>
      <c r="W86" s="32" t="n">
        <f>EPtable[[#This Row],[Closing balance ]]/EPtable[[#This Row],[Forecasted consumption]]</f>
        <v>6.589926010244735</v>
      </c>
      <c r="X86" s="25"/>
    </row>
    <row r="87">
      <c r="B87" s="6" t="s">
        <v>166</v>
      </c>
      <c r="C87" s="18" t="s">
        <v>52</v>
      </c>
      <c r="D87" s="17" t="s">
        <v>53</v>
      </c>
      <c r="E87" s="18" t="s">
        <v>31</v>
      </c>
      <c r="F87" s="19" t="n">
        <v>45870</v>
      </c>
      <c r="G87" s="23" t="n">
        <f t="shared" si="4"/>
        <v>69471</v>
      </c>
      <c r="H87" s="23"/>
      <c r="I87" s="20" t="n">
        <v>10542</v>
      </c>
      <c r="J87" s="23" t="n">
        <f>MAX(EPtable[[#This Row],[Stock on hand(opening balance)]]+EPtable[[#This Row],[Quantity ]]-EPtable[[#This Row],[Forecasted consumption]],0)</f>
        <v>58929</v>
      </c>
      <c r="K87" s="2"/>
      <c r="L87" s="2"/>
      <c r="M87" s="2"/>
      <c r="N87" s="23"/>
      <c r="O87" s="2"/>
      <c r="P87" s="20"/>
      <c r="Q87" s="24"/>
      <c r="R87" s="2"/>
      <c r="S87" s="2"/>
      <c r="T87" s="18" t="n">
        <v>9</v>
      </c>
      <c r="U87" s="18" t="n">
        <v>15</v>
      </c>
      <c r="V87" s="18" t="n">
        <v>15</v>
      </c>
      <c r="W87" s="32" t="n">
        <f>EPtable[[#This Row],[Closing balance ]]/EPtable[[#This Row],[Forecasted consumption]]</f>
        <v>5.589926010244735</v>
      </c>
      <c r="X87" s="25"/>
    </row>
    <row r="88">
      <c r="B88" s="6" t="s">
        <v>166</v>
      </c>
      <c r="C88" s="18" t="s">
        <v>52</v>
      </c>
      <c r="D88" s="17" t="s">
        <v>53</v>
      </c>
      <c r="E88" s="18" t="s">
        <v>31</v>
      </c>
      <c r="F88" s="19" t="n">
        <v>45901</v>
      </c>
      <c r="G88" s="23" t="n">
        <f t="shared" si="4"/>
        <v>58929</v>
      </c>
      <c r="H88" s="23"/>
      <c r="I88" s="20" t="n">
        <v>10542</v>
      </c>
      <c r="J88" s="23" t="n">
        <f>MAX(EPtable[[#This Row],[Stock on hand(opening balance)]]+EPtable[[#This Row],[Quantity ]]-EPtable[[#This Row],[Forecasted consumption]],0)</f>
        <v>48387</v>
      </c>
      <c r="K88" s="2"/>
      <c r="L88" s="2"/>
      <c r="M88" s="2"/>
      <c r="N88" s="23"/>
      <c r="O88" s="2"/>
      <c r="P88" s="20"/>
      <c r="Q88" s="24"/>
      <c r="R88" s="2"/>
      <c r="S88" s="2"/>
      <c r="T88" s="18" t="n">
        <v>9</v>
      </c>
      <c r="U88" s="18" t="n">
        <v>15</v>
      </c>
      <c r="V88" s="18" t="n">
        <v>15</v>
      </c>
      <c r="W88" s="32" t="n">
        <f>EPtable[[#This Row],[Closing balance ]]/EPtable[[#This Row],[Forecasted consumption]]</f>
        <v>4.589926010244735</v>
      </c>
      <c r="X88" s="25"/>
    </row>
    <row r="89">
      <c r="B89" s="6" t="s">
        <v>166</v>
      </c>
      <c r="C89" s="18" t="s">
        <v>52</v>
      </c>
      <c r="D89" s="17" t="s">
        <v>53</v>
      </c>
      <c r="E89" s="18" t="s">
        <v>31</v>
      </c>
      <c r="F89" s="19" t="n">
        <v>45931</v>
      </c>
      <c r="G89" s="23" t="n">
        <f t="shared" si="4"/>
        <v>48387</v>
      </c>
      <c r="H89" s="23"/>
      <c r="I89" s="20" t="n">
        <v>10542</v>
      </c>
      <c r="J89" s="23" t="n">
        <f>MAX(EPtable[[#This Row],[Stock on hand(opening balance)]]+EPtable[[#This Row],[Quantity ]]-EPtable[[#This Row],[Forecasted consumption]],0)</f>
        <v>37845</v>
      </c>
      <c r="K89" s="2"/>
      <c r="L89" s="2"/>
      <c r="M89" s="2"/>
      <c r="N89" s="23"/>
      <c r="O89" s="2"/>
      <c r="P89" s="20"/>
      <c r="Q89" s="24"/>
      <c r="R89" s="2"/>
      <c r="S89" s="2"/>
      <c r="T89" s="18" t="n">
        <v>9</v>
      </c>
      <c r="U89" s="18" t="n">
        <v>15</v>
      </c>
      <c r="V89" s="18" t="n">
        <v>15</v>
      </c>
      <c r="W89" s="32" t="n">
        <f>EPtable[[#This Row],[Closing balance ]]/EPtable[[#This Row],[Forecasted consumption]]</f>
        <v>3.5899260102447355</v>
      </c>
      <c r="X89" s="25"/>
    </row>
    <row r="90">
      <c r="B90" s="6" t="s">
        <v>166</v>
      </c>
      <c r="C90" s="18" t="s">
        <v>52</v>
      </c>
      <c r="D90" s="17" t="s">
        <v>53</v>
      </c>
      <c r="E90" s="18" t="s">
        <v>31</v>
      </c>
      <c r="F90" s="19" t="n">
        <v>45962</v>
      </c>
      <c r="G90" s="23" t="n">
        <f t="shared" si="4"/>
        <v>37845</v>
      </c>
      <c r="H90" s="23"/>
      <c r="I90" s="20" t="n">
        <v>10542</v>
      </c>
      <c r="J90" s="23" t="n">
        <f>MAX(EPtable[[#This Row],[Stock on hand(opening balance)]]+EPtable[[#This Row],[Quantity ]]-EPtable[[#This Row],[Forecasted consumption]],0)</f>
        <v>27303</v>
      </c>
      <c r="K90" s="2"/>
      <c r="L90" s="2"/>
      <c r="M90" s="2"/>
      <c r="N90" s="23"/>
      <c r="O90" s="2"/>
      <c r="P90" s="20"/>
      <c r="Q90" s="24"/>
      <c r="R90" s="2"/>
      <c r="S90" s="2"/>
      <c r="T90" s="18" t="n">
        <v>9</v>
      </c>
      <c r="U90" s="18" t="n">
        <v>15</v>
      </c>
      <c r="V90" s="18" t="n">
        <v>15</v>
      </c>
      <c r="W90" s="32" t="n">
        <f>EPtable[[#This Row],[Closing balance ]]/EPtable[[#This Row],[Forecasted consumption]]</f>
        <v>2.5899260102447355</v>
      </c>
      <c r="X90" s="25"/>
    </row>
    <row r="91">
      <c r="B91" s="6" t="s">
        <v>166</v>
      </c>
      <c r="C91" s="18" t="s">
        <v>52</v>
      </c>
      <c r="D91" s="17" t="s">
        <v>53</v>
      </c>
      <c r="E91" s="18" t="s">
        <v>31</v>
      </c>
      <c r="F91" s="19" t="n">
        <v>45992</v>
      </c>
      <c r="G91" s="23" t="n">
        <f t="shared" si="4"/>
        <v>27303</v>
      </c>
      <c r="H91" s="23"/>
      <c r="I91" s="20" t="n">
        <v>10542</v>
      </c>
      <c r="J91" s="23" t="n">
        <f>MAX(EPtable[[#This Row],[Stock on hand(opening balance)]]+EPtable[[#This Row],[Quantity ]]-EPtable[[#This Row],[Forecasted consumption]],0)</f>
        <v>16761</v>
      </c>
      <c r="K91" s="2"/>
      <c r="L91" s="2"/>
      <c r="M91" s="2"/>
      <c r="N91" s="23"/>
      <c r="O91" s="2"/>
      <c r="P91" s="20"/>
      <c r="Q91" s="24"/>
      <c r="R91" s="2"/>
      <c r="S91" s="2"/>
      <c r="T91" s="18" t="n">
        <v>9</v>
      </c>
      <c r="U91" s="18" t="n">
        <v>15</v>
      </c>
      <c r="V91" s="18" t="n">
        <v>15</v>
      </c>
      <c r="W91" s="32" t="n">
        <f>EPtable[[#This Row],[Closing balance ]]/EPtable[[#This Row],[Forecasted consumption]]</f>
        <v>1.5899260102447355</v>
      </c>
      <c r="X91" s="25"/>
    </row>
    <row r="92">
      <c r="B92" s="6" t="s">
        <v>77</v>
      </c>
      <c r="C92" s="18" t="s">
        <v>52</v>
      </c>
      <c r="D92" s="17" t="s">
        <v>53</v>
      </c>
      <c r="E92" s="2" t="s">
        <v>31</v>
      </c>
      <c r="F92" s="19" t="n">
        <v>45839</v>
      </c>
      <c r="G92" s="23" t="n">
        <v>0</v>
      </c>
      <c r="H92" s="23"/>
      <c r="I92" s="23" t="n">
        <v>67977</v>
      </c>
      <c r="J92" s="23" t="n">
        <f>MAX(EPtable[[#This Row],[Stock on hand(opening balance)]]+EPtable[[#This Row],[Quantity ]]-EPtable[[#This Row],[Forecasted consumption]],0)</f>
        <v>0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32" t="n">
        <f>EPtable[[#This Row],[Closing balance ]]/EPtable[[#This Row],[Forecasted consumption]]</f>
        <v>0</v>
      </c>
      <c r="X92" s="25"/>
    </row>
    <row r="93">
      <c r="B93" s="6" t="s">
        <v>77</v>
      </c>
      <c r="C93" s="18" t="s">
        <v>52</v>
      </c>
      <c r="D93" s="17" t="s">
        <v>53</v>
      </c>
      <c r="E93" s="2" t="s">
        <v>31</v>
      </c>
      <c r="F93" s="19" t="n">
        <v>45870</v>
      </c>
      <c r="G93" s="23" t="n">
        <f t="shared" ref="G93:G103" si="5">J92</f>
        <v>0</v>
      </c>
      <c r="H93" s="23"/>
      <c r="I93" s="23" t="n">
        <v>67977</v>
      </c>
      <c r="J93" s="23" t="n">
        <f>MAX(EPtable[[#This Row],[Stock on hand(opening balance)]]+EPtable[[#This Row],[Quantity ]]-EPtable[[#This Row],[Forecasted consumption]],0)</f>
        <v>0</v>
      </c>
      <c r="K93" s="2"/>
      <c r="L93" s="2"/>
      <c r="M93" s="2"/>
      <c r="N93" s="23"/>
      <c r="O93" s="2"/>
      <c r="P93" s="20"/>
      <c r="Q93" s="24"/>
      <c r="R93" s="2"/>
      <c r="S93" s="2"/>
      <c r="T93" s="2" t="n">
        <v>6</v>
      </c>
      <c r="U93" s="2" t="n">
        <v>12</v>
      </c>
      <c r="V93" s="2" t="n">
        <v>12</v>
      </c>
      <c r="W93" s="32" t="n">
        <f>EPtable[[#This Row],[Closing balance ]]/EPtable[[#This Row],[Forecasted consumption]]</f>
        <v>0</v>
      </c>
      <c r="X93" s="25"/>
    </row>
    <row r="94">
      <c r="B94" s="6" t="s">
        <v>77</v>
      </c>
      <c r="C94" s="18" t="s">
        <v>52</v>
      </c>
      <c r="D94" s="17" t="s">
        <v>53</v>
      </c>
      <c r="E94" s="2" t="s">
        <v>31</v>
      </c>
      <c r="F94" s="19" t="n">
        <v>45901</v>
      </c>
      <c r="G94" s="23" t="n">
        <f t="shared" si="5"/>
        <v>0</v>
      </c>
      <c r="H94" s="23"/>
      <c r="I94" s="23" t="n">
        <v>67977</v>
      </c>
      <c r="J94" s="23" t="n">
        <f>MAX(EPtable[[#This Row],[Stock on hand(opening balance)]]+EPtable[[#This Row],[Quantity ]]-EPtable[[#This Row],[Forecasted consumption]],0)</f>
        <v>599823</v>
      </c>
      <c r="K94" s="2" t="s">
        <v>51</v>
      </c>
      <c r="L94" s="2" t="s">
        <v>51</v>
      </c>
      <c r="M94" s="2" t="s">
        <v>154</v>
      </c>
      <c r="N94" s="23" t="n">
        <v>667800</v>
      </c>
      <c r="O94" s="2"/>
      <c r="P94" s="20"/>
      <c r="Q94" s="24"/>
      <c r="R94" s="2"/>
      <c r="S94" s="2"/>
      <c r="T94" s="2" t="n">
        <v>6</v>
      </c>
      <c r="U94" s="2" t="n">
        <v>12</v>
      </c>
      <c r="V94" s="2" t="n">
        <v>12</v>
      </c>
      <c r="W94" s="32" t="n">
        <f>EPtable[[#This Row],[Closing balance ]]/EPtable[[#This Row],[Forecasted consumption]]</f>
        <v>8.823911028730306</v>
      </c>
      <c r="X94" s="25"/>
    </row>
    <row r="95">
      <c r="B95" s="6" t="s">
        <v>77</v>
      </c>
      <c r="C95" s="18" t="s">
        <v>52</v>
      </c>
      <c r="D95" s="17" t="s">
        <v>53</v>
      </c>
      <c r="E95" s="2" t="s">
        <v>31</v>
      </c>
      <c r="F95" s="19" t="n">
        <v>45931</v>
      </c>
      <c r="G95" s="23" t="n">
        <f t="shared" si="5"/>
        <v>599823</v>
      </c>
      <c r="H95" s="23"/>
      <c r="I95" s="23" t="n">
        <v>67977</v>
      </c>
      <c r="J95" s="23" t="n">
        <f>MAX(EPtable[[#This Row],[Stock on hand(opening balance)]]+EPtable[[#This Row],[Quantity ]]-EPtable[[#This Row],[Forecasted consumption]],0)</f>
        <v>531846</v>
      </c>
      <c r="K95" s="2"/>
      <c r="L95" s="2"/>
      <c r="M95" s="2"/>
      <c r="N95" s="23"/>
      <c r="O95" s="2"/>
      <c r="P95" s="20"/>
      <c r="Q95" s="24"/>
      <c r="R95" s="2"/>
      <c r="S95" s="2"/>
      <c r="T95" s="2" t="n">
        <v>6</v>
      </c>
      <c r="U95" s="2" t="n">
        <v>12</v>
      </c>
      <c r="V95" s="2" t="n">
        <v>12</v>
      </c>
      <c r="W95" s="32" t="n">
        <f>EPtable[[#This Row],[Closing balance ]]/EPtable[[#This Row],[Forecasted consumption]]</f>
        <v>7.823911028730306</v>
      </c>
      <c r="X95" s="25"/>
    </row>
    <row r="96">
      <c r="B96" s="6" t="s">
        <v>77</v>
      </c>
      <c r="C96" s="18" t="s">
        <v>52</v>
      </c>
      <c r="D96" s="17" t="s">
        <v>53</v>
      </c>
      <c r="E96" s="2" t="s">
        <v>31</v>
      </c>
      <c r="F96" s="19" t="n">
        <v>45962</v>
      </c>
      <c r="G96" s="23" t="n">
        <f t="shared" si="5"/>
        <v>531846</v>
      </c>
      <c r="H96" s="23"/>
      <c r="I96" s="23" t="n">
        <v>67977</v>
      </c>
      <c r="J96" s="23" t="n">
        <f>MAX(EPtable[[#This Row],[Stock on hand(opening balance)]]+EPtable[[#This Row],[Quantity ]]-EPtable[[#This Row],[Forecasted consumption]],0)</f>
        <v>463869</v>
      </c>
      <c r="K96" s="2"/>
      <c r="L96" s="2"/>
      <c r="M96" s="2"/>
      <c r="N96" s="23"/>
      <c r="O96" s="2"/>
      <c r="P96" s="20"/>
      <c r="Q96" s="24"/>
      <c r="R96" s="2"/>
      <c r="S96" s="2"/>
      <c r="T96" s="2" t="n">
        <v>6</v>
      </c>
      <c r="U96" s="2" t="n">
        <v>12</v>
      </c>
      <c r="V96" s="2" t="n">
        <v>12</v>
      </c>
      <c r="W96" s="32" t="n">
        <f>EPtable[[#This Row],[Closing balance ]]/EPtable[[#This Row],[Forecasted consumption]]</f>
        <v>6.823911028730306</v>
      </c>
      <c r="X96" s="25"/>
    </row>
    <row r="97">
      <c r="B97" s="6" t="s">
        <v>77</v>
      </c>
      <c r="C97" s="18" t="s">
        <v>52</v>
      </c>
      <c r="D97" s="17" t="s">
        <v>53</v>
      </c>
      <c r="E97" s="2" t="s">
        <v>31</v>
      </c>
      <c r="F97" s="19" t="n">
        <v>45992</v>
      </c>
      <c r="G97" s="23" t="n">
        <f t="shared" si="5"/>
        <v>463869</v>
      </c>
      <c r="H97" s="23"/>
      <c r="I97" s="23" t="n">
        <v>67977</v>
      </c>
      <c r="J97" s="23" t="n">
        <f>MAX(EPtable[[#This Row],[Stock on hand(opening balance)]]+EPtable[[#This Row],[Quantity ]]-EPtable[[#This Row],[Forecasted consumption]],0)</f>
        <v>395892</v>
      </c>
      <c r="K97" s="2"/>
      <c r="L97" s="2"/>
      <c r="M97" s="2"/>
      <c r="N97" s="23"/>
      <c r="O97" s="2"/>
      <c r="P97" s="20"/>
      <c r="Q97" s="24"/>
      <c r="R97" s="2"/>
      <c r="S97" s="2"/>
      <c r="T97" s="2" t="n">
        <v>6</v>
      </c>
      <c r="U97" s="2" t="n">
        <v>12</v>
      </c>
      <c r="V97" s="2" t="n">
        <v>12</v>
      </c>
      <c r="W97" s="32" t="n">
        <f>EPtable[[#This Row],[Closing balance ]]/EPtable[[#This Row],[Forecasted consumption]]</f>
        <v>5.823911028730306</v>
      </c>
      <c r="X97" s="25"/>
    </row>
    <row r="98">
      <c r="B98" s="6" t="s">
        <v>77</v>
      </c>
      <c r="C98" s="18" t="s">
        <v>52</v>
      </c>
      <c r="D98" s="17" t="s">
        <v>53</v>
      </c>
      <c r="E98" s="2" t="s">
        <v>31</v>
      </c>
      <c r="F98" s="19" t="n">
        <v>46023</v>
      </c>
      <c r="G98" s="23" t="n">
        <f t="shared" si="5"/>
        <v>395892</v>
      </c>
      <c r="H98" s="23"/>
      <c r="I98" s="23" t="n">
        <v>67977</v>
      </c>
      <c r="J98" s="23" t="n">
        <f>MAX(EPtable[[#This Row],[Stock on hand(opening balance)]]+EPtable[[#This Row],[Quantity ]]-EPtable[[#This Row],[Forecasted consumption]],0)</f>
        <v>327915</v>
      </c>
      <c r="K98" s="2"/>
      <c r="L98" s="2"/>
      <c r="M98" s="2"/>
      <c r="N98" s="23"/>
      <c r="O98" s="2"/>
      <c r="P98" s="20"/>
      <c r="Q98" s="24"/>
      <c r="R98" s="2"/>
      <c r="S98" s="2"/>
      <c r="T98" s="2" t="n">
        <v>6</v>
      </c>
      <c r="U98" s="2" t="n">
        <v>12</v>
      </c>
      <c r="V98" s="2" t="n">
        <v>12</v>
      </c>
      <c r="W98" s="32" t="n">
        <f>EPtable[[#This Row],[Closing balance ]]/EPtable[[#This Row],[Forecasted consumption]]</f>
        <v>4.823911028730306</v>
      </c>
      <c r="X98" s="25"/>
    </row>
    <row r="99">
      <c r="B99" s="6" t="s">
        <v>77</v>
      </c>
      <c r="C99" s="18" t="s">
        <v>52</v>
      </c>
      <c r="D99" s="17" t="s">
        <v>53</v>
      </c>
      <c r="E99" s="2" t="s">
        <v>31</v>
      </c>
      <c r="F99" s="19" t="n">
        <v>46054</v>
      </c>
      <c r="G99" s="23" t="n">
        <f t="shared" si="5"/>
        <v>327915</v>
      </c>
      <c r="H99" s="23"/>
      <c r="I99" s="23" t="n">
        <v>67977</v>
      </c>
      <c r="J99" s="23" t="n">
        <f>MAX(EPtable[[#This Row],[Stock on hand(opening balance)]]+EPtable[[#This Row],[Quantity ]]-EPtable[[#This Row],[Forecasted consumption]],0)</f>
        <v>259938</v>
      </c>
      <c r="K99" s="2"/>
      <c r="L99" s="2"/>
      <c r="M99" s="2"/>
      <c r="N99" s="23"/>
      <c r="O99" s="2"/>
      <c r="P99" s="20"/>
      <c r="Q99" s="24"/>
      <c r="R99" s="2"/>
      <c r="S99" s="2"/>
      <c r="T99" s="2" t="n">
        <v>6</v>
      </c>
      <c r="U99" s="2" t="n">
        <v>12</v>
      </c>
      <c r="V99" s="2" t="n">
        <v>12</v>
      </c>
      <c r="W99" s="32" t="n">
        <f>EPtable[[#This Row],[Closing balance ]]/EPtable[[#This Row],[Forecasted consumption]]</f>
        <v>3.823911028730306</v>
      </c>
      <c r="X99" s="25"/>
    </row>
    <row r="100">
      <c r="B100" s="6" t="s">
        <v>77</v>
      </c>
      <c r="C100" s="18" t="s">
        <v>52</v>
      </c>
      <c r="D100" s="17" t="s">
        <v>53</v>
      </c>
      <c r="E100" s="2" t="s">
        <v>31</v>
      </c>
      <c r="F100" s="19" t="n">
        <v>46082</v>
      </c>
      <c r="G100" s="23" t="n">
        <f t="shared" si="5"/>
        <v>259938</v>
      </c>
      <c r="H100" s="23"/>
      <c r="I100" s="23" t="n">
        <v>67977</v>
      </c>
      <c r="J100" s="23" t="n">
        <f>MAX(EPtable[[#This Row],[Stock on hand(opening balance)]]+EPtable[[#This Row],[Quantity ]]-EPtable[[#This Row],[Forecasted consumption]],0)</f>
        <v>191961</v>
      </c>
      <c r="K100" s="2"/>
      <c r="L100" s="2"/>
      <c r="M100" s="2"/>
      <c r="N100" s="23"/>
      <c r="O100" s="2"/>
      <c r="P100" s="20"/>
      <c r="Q100" s="24"/>
      <c r="R100" s="2"/>
      <c r="S100" s="2"/>
      <c r="T100" s="2" t="n">
        <v>6</v>
      </c>
      <c r="U100" s="2" t="n">
        <v>12</v>
      </c>
      <c r="V100" s="2" t="n">
        <v>12</v>
      </c>
      <c r="W100" s="32" t="n">
        <f>EPtable[[#This Row],[Closing balance ]]/EPtable[[#This Row],[Forecasted consumption]]</f>
        <v>2.823911028730306</v>
      </c>
      <c r="X100" s="25"/>
    </row>
    <row r="101">
      <c r="B101" s="6" t="s">
        <v>77</v>
      </c>
      <c r="C101" s="18" t="s">
        <v>52</v>
      </c>
      <c r="D101" s="17" t="s">
        <v>53</v>
      </c>
      <c r="E101" s="2" t="s">
        <v>31</v>
      </c>
      <c r="F101" s="19" t="n">
        <v>46113</v>
      </c>
      <c r="G101" s="23" t="n">
        <f t="shared" si="5"/>
        <v>191961</v>
      </c>
      <c r="H101" s="23"/>
      <c r="I101" s="23" t="n">
        <v>67977</v>
      </c>
      <c r="J101" s="23" t="n">
        <f>MAX(EPtable[[#This Row],[Stock on hand(opening balance)]]+EPtable[[#This Row],[Quantity ]]-EPtable[[#This Row],[Forecasted consumption]],0)</f>
        <v>123984</v>
      </c>
      <c r="K101" s="2"/>
      <c r="L101" s="2"/>
      <c r="M101" s="2"/>
      <c r="N101" s="23"/>
      <c r="O101" s="2"/>
      <c r="P101" s="20"/>
      <c r="Q101" s="24"/>
      <c r="R101" s="2"/>
      <c r="S101" s="2"/>
      <c r="T101" s="2" t="n">
        <v>6</v>
      </c>
      <c r="U101" s="2" t="n">
        <v>12</v>
      </c>
      <c r="V101" s="2" t="n">
        <v>12</v>
      </c>
      <c r="W101" s="32" t="n">
        <f>EPtable[[#This Row],[Closing balance ]]/EPtable[[#This Row],[Forecasted consumption]]</f>
        <v>1.8239110287303058</v>
      </c>
      <c r="X101" s="25"/>
    </row>
    <row r="102">
      <c r="B102" s="6" t="s">
        <v>77</v>
      </c>
      <c r="C102" s="18" t="s">
        <v>52</v>
      </c>
      <c r="D102" s="17" t="s">
        <v>53</v>
      </c>
      <c r="E102" s="2" t="s">
        <v>31</v>
      </c>
      <c r="F102" s="19" t="n">
        <v>46143</v>
      </c>
      <c r="G102" s="23" t="n">
        <f t="shared" si="5"/>
        <v>123984</v>
      </c>
      <c r="H102" s="23"/>
      <c r="I102" s="23" t="n">
        <v>67977</v>
      </c>
      <c r="J102" s="23" t="n">
        <f>MAX(EPtable[[#This Row],[Stock on hand(opening balance)]]+EPtable[[#This Row],[Quantity ]]-EPtable[[#This Row],[Forecasted consumption]],0)</f>
        <v>56007</v>
      </c>
      <c r="K102" s="2"/>
      <c r="L102" s="2"/>
      <c r="M102" s="2"/>
      <c r="N102" s="23"/>
      <c r="O102" s="2"/>
      <c r="P102" s="20"/>
      <c r="Q102" s="24"/>
      <c r="R102" s="2"/>
      <c r="S102" s="2"/>
      <c r="T102" s="2" t="n">
        <v>6</v>
      </c>
      <c r="U102" s="2" t="n">
        <v>12</v>
      </c>
      <c r="V102" s="2" t="n">
        <v>12</v>
      </c>
      <c r="W102" s="32" t="n">
        <f>EPtable[[#This Row],[Closing balance ]]/EPtable[[#This Row],[Forecasted consumption]]</f>
        <v>0.82391102873030586</v>
      </c>
      <c r="X102" s="25"/>
    </row>
    <row r="103">
      <c r="B103" s="6" t="s">
        <v>77</v>
      </c>
      <c r="C103" s="18" t="s">
        <v>52</v>
      </c>
      <c r="D103" s="17" t="s">
        <v>53</v>
      </c>
      <c r="E103" s="2" t="s">
        <v>31</v>
      </c>
      <c r="F103" s="19" t="n">
        <v>46174</v>
      </c>
      <c r="G103" s="23" t="n">
        <f t="shared" si="5"/>
        <v>56007</v>
      </c>
      <c r="H103" s="23"/>
      <c r="I103" s="23" t="n">
        <v>67977</v>
      </c>
      <c r="J103" s="23" t="n">
        <f>MAX(EPtable[[#This Row],[Stock on hand(opening balance)]]+EPtable[[#This Row],[Quantity ]]-EPtable[[#This Row],[Forecasted consumption]],0)</f>
        <v>0</v>
      </c>
      <c r="K103" s="2"/>
      <c r="L103" s="2"/>
      <c r="M103" s="2"/>
      <c r="N103" s="23"/>
      <c r="O103" s="2"/>
      <c r="P103" s="20"/>
      <c r="Q103" s="24"/>
      <c r="R103" s="2"/>
      <c r="S103" s="2"/>
      <c r="T103" s="2" t="n">
        <v>6</v>
      </c>
      <c r="U103" s="2" t="n">
        <v>12</v>
      </c>
      <c r="V103" s="2" t="n">
        <v>12</v>
      </c>
      <c r="W103" s="32" t="n">
        <f>EPtable[[#This Row],[Closing balance ]]/EPtable[[#This Row],[Forecasted consumption]]</f>
        <v>0</v>
      </c>
      <c r="X103" s="25"/>
    </row>
  </sheetData>
  <dataValidations count="4">
    <dataValidation type="list" allowBlank="1" showInputMessage="1" showErrorMessage="1" sqref="M71:M91 M104:M188" xr:uid="{7879FCD1-518F-490D-9998-D9098EC2CB87}">
      <formula1>"Committed,  Placed, Expected Deliveries, Received, cancelled"</formula1>
    </dataValidation>
    <dataValidation type="list" allowBlank="1" showInputMessage="1" showErrorMessage="1" sqref="M92:M103" xr:uid="{86BF0F0F-A9D2-45AF-9AD7-ED1E1F5BF53A}">
      <formula1>"Committed,  Placed, Expected Deliveries, Received, cancelled, Planned"</formula1>
    </dataValidation>
    <dataValidation type="list" allowBlank="1" showInputMessage="1" showErrorMessage="1" sqref="M7:M70" xr:uid="{4D83E7AA-5C0E-442C-89DD-5DC459B47755}">
      <formula1>"Committed,  Placed, Expected Deliveries, Received, cancelled ,Planned"</formula1>
    </dataValidation>
    <dataValidation type="list" allowBlank="1" showInputMessage="1" showErrorMessage="1" sqref="E7:E103" xr:uid="{EC0EDE4C-3DE2-46DF-AA0B-DB5AAD90245E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972954-390E-43E1-AD29-A67959A6219C}">
          <x14:formula1>
            <xm:f>'choices countries '!$B$3:$B$12</xm:f>
          </x14:formula1>
          <xm:sqref>B92:B489 B7:B70</xm:sqref>
        </x14:dataValidation>
        <x14:dataValidation type="list" allowBlank="1" showInputMessage="1" showErrorMessage="1" xr:uid="{EA56D9FF-7B9B-46C7-A6D4-C1D21101713F}">
          <x14:formula1>
            <xm:f>'choices countries '!$B$3:$B$15</xm:f>
          </x14:formula1>
          <xm:sqref>B71:B91</xm:sqref>
        </x14:dataValidation>
        <x14:dataValidation type="list" allowBlank="1" showInputMessage="1" showErrorMessage="1" xr:uid="{B1E7B382-FB86-4C33-BE83-2B599DDDD2E2}">
          <x14:formula1>
            <xm:f>'product list '!$A$49:$A$50</xm:f>
          </x14:formula1>
          <xm:sqref>C7:C103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54</v>
      </c>
      <c r="D7" s="17"/>
      <c r="E7" s="18" t="s">
        <v>31</v>
      </c>
      <c r="F7" s="19" t="n">
        <v>45839</v>
      </c>
      <c r="G7" s="20" t="n">
        <v>193964</v>
      </c>
      <c r="H7" s="20"/>
      <c r="I7" s="20" t="n">
        <v>19077</v>
      </c>
      <c r="J7" s="20" t="n">
        <f>MAX(POPtable[[#This Row],[Stock on hand(opening balance)]]+POPtable[[#This Row],[Quantity ]]-POPtable[[#This Row],[Forecasted consumption]],0)</f>
        <v>174887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POPtable[[#This Row],[Closing balance ]]/POPtable[[#This Row],[Forecasted consumption]]</f>
        <v>9.167426744246999</v>
      </c>
      <c r="X7" s="22"/>
    </row>
    <row r="8">
      <c r="B8" s="6" t="s">
        <v>28</v>
      </c>
      <c r="C8" s="17" t="s">
        <v>54</v>
      </c>
      <c r="D8" s="17"/>
      <c r="E8" s="18" t="s">
        <v>31</v>
      </c>
      <c r="F8" s="19" t="n">
        <v>45870</v>
      </c>
      <c r="G8" s="23" t="n">
        <f>J7</f>
        <v>174887</v>
      </c>
      <c r="H8" s="23"/>
      <c r="I8" s="20" t="n">
        <v>19077</v>
      </c>
      <c r="J8" s="23" t="n">
        <f>MAX(POPtable[[#This Row],[Stock on hand(opening balance)]]+POPtable[[#This Row],[Quantity ]]-POPtable[[#This Row],[Forecasted consumption]],0)</f>
        <v>674349</v>
      </c>
      <c r="K8" s="2" t="s">
        <v>51</v>
      </c>
      <c r="L8" s="2" t="s">
        <v>51</v>
      </c>
      <c r="M8" s="18" t="s">
        <v>4</v>
      </c>
      <c r="N8" s="23" t="n">
        <v>518539</v>
      </c>
      <c r="O8" s="2"/>
      <c r="P8" s="20" t="n">
        <v>136894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POPtable[[#This Row],[Closing balance ]]/POPtable[[#This Row],[Forecasted consumption]]</f>
        <v>35.348796980657333</v>
      </c>
      <c r="X8" s="25"/>
    </row>
    <row r="9">
      <c r="B9" s="6" t="s">
        <v>28</v>
      </c>
      <c r="C9" s="17" t="s">
        <v>54</v>
      </c>
      <c r="D9" s="17"/>
      <c r="E9" s="18" t="s">
        <v>31</v>
      </c>
      <c r="F9" s="19" t="n">
        <v>45901</v>
      </c>
      <c r="G9" s="23" t="n">
        <f t="shared" ref="G9:G18" si="0">J8</f>
        <v>674349</v>
      </c>
      <c r="H9" s="23"/>
      <c r="I9" s="20" t="n">
        <v>19077</v>
      </c>
      <c r="J9" s="23" t="n">
        <f>MAX(POPtable[[#This Row],[Stock on hand(opening balance)]]+POPtable[[#This Row],[Quantity ]]-POPtable[[#This Row],[Forecasted consumption]],0)</f>
        <v>655272</v>
      </c>
      <c r="K9" s="2"/>
      <c r="L9" s="2"/>
      <c r="M9" s="18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POPtable[[#This Row],[Closing balance ]]/POPtable[[#This Row],[Forecasted consumption]]</f>
        <v>34.348796980657333</v>
      </c>
      <c r="X9" s="25"/>
    </row>
    <row r="10">
      <c r="B10" s="6" t="s">
        <v>28</v>
      </c>
      <c r="C10" s="17" t="s">
        <v>54</v>
      </c>
      <c r="D10" s="17"/>
      <c r="E10" s="18" t="s">
        <v>31</v>
      </c>
      <c r="F10" s="19" t="n">
        <v>45931</v>
      </c>
      <c r="G10" s="23" t="n">
        <f t="shared" si="0"/>
        <v>655272</v>
      </c>
      <c r="H10" s="23"/>
      <c r="I10" s="20" t="n">
        <v>19077</v>
      </c>
      <c r="J10" s="23" t="n">
        <f>MAX(POPtable[[#This Row],[Stock on hand(opening balance)]]+POPtable[[#This Row],[Quantity ]]-POPtable[[#This Row],[Forecasted consumption]],0)</f>
        <v>636195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POPtable[[#This Row],[Closing balance ]]/POPtable[[#This Row],[Forecasted consumption]]</f>
        <v>33.348796980657333</v>
      </c>
      <c r="X10" s="25"/>
    </row>
    <row r="11">
      <c r="B11" s="6" t="s">
        <v>28</v>
      </c>
      <c r="C11" s="17" t="s">
        <v>54</v>
      </c>
      <c r="D11" s="17"/>
      <c r="E11" s="18" t="s">
        <v>31</v>
      </c>
      <c r="F11" s="19" t="n">
        <v>45962</v>
      </c>
      <c r="G11" s="23" t="n">
        <f t="shared" si="0"/>
        <v>636195</v>
      </c>
      <c r="H11" s="23"/>
      <c r="I11" s="20" t="n">
        <v>19077</v>
      </c>
      <c r="J11" s="23" t="n">
        <f>MAX(POPtable[[#This Row],[Stock on hand(opening balance)]]+POPtable[[#This Row],[Quantity ]]-POPtable[[#This Row],[Forecasted consumption]],0)</f>
        <v>617118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POPtable[[#This Row],[Closing balance ]]/POPtable[[#This Row],[Forecasted consumption]]</f>
        <v>32.348796980657333</v>
      </c>
      <c r="X11" s="25"/>
    </row>
    <row r="12">
      <c r="B12" s="6" t="s">
        <v>28</v>
      </c>
      <c r="C12" s="17" t="s">
        <v>54</v>
      </c>
      <c r="D12" s="17"/>
      <c r="E12" s="18" t="s">
        <v>31</v>
      </c>
      <c r="F12" s="19" t="n">
        <v>45992</v>
      </c>
      <c r="G12" s="23" t="n">
        <f t="shared" si="0"/>
        <v>617118</v>
      </c>
      <c r="H12" s="23"/>
      <c r="I12" s="20" t="n">
        <v>19077</v>
      </c>
      <c r="J12" s="23" t="n">
        <f>MAX(POPtable[[#This Row],[Stock on hand(opening balance)]]+POPtable[[#This Row],[Quantity ]]-POPtable[[#This Row],[Forecasted consumption]],0)</f>
        <v>598041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POPtable[[#This Row],[Closing balance ]]/POPtable[[#This Row],[Forecasted consumption]]</f>
        <v>31.348796980657337</v>
      </c>
      <c r="X12" s="25"/>
    </row>
    <row r="13">
      <c r="B13" s="6" t="s">
        <v>28</v>
      </c>
      <c r="C13" s="17" t="s">
        <v>54</v>
      </c>
      <c r="D13" s="17"/>
      <c r="E13" s="18" t="s">
        <v>31</v>
      </c>
      <c r="F13" s="19" t="n">
        <v>46023</v>
      </c>
      <c r="G13" s="23" t="n">
        <f t="shared" si="0"/>
        <v>598041</v>
      </c>
      <c r="H13" s="23"/>
      <c r="I13" s="20" t="n">
        <v>19077</v>
      </c>
      <c r="J13" s="23" t="n">
        <f>MAX(POPtable[[#This Row],[Stock on hand(opening balance)]]+POPtable[[#This Row],[Quantity ]]-POPtable[[#This Row],[Forecasted consumption]],0)</f>
        <v>1087444</v>
      </c>
      <c r="K13" s="2" t="s">
        <v>2</v>
      </c>
      <c r="L13" s="2" t="s">
        <v>2</v>
      </c>
      <c r="M13" s="18" t="s">
        <v>4</v>
      </c>
      <c r="N13" s="23" t="n">
        <v>508480</v>
      </c>
      <c r="O13" s="2"/>
      <c r="P13" s="20" t="n">
        <v>134239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POPtable[[#This Row],[Closing balance ]]/POPtable[[#This Row],[Forecasted consumption]]</f>
        <v>57.002883052890915</v>
      </c>
      <c r="X13" s="25"/>
    </row>
    <row r="14">
      <c r="B14" s="6" t="s">
        <v>28</v>
      </c>
      <c r="C14" s="17" t="s">
        <v>54</v>
      </c>
      <c r="D14" s="17"/>
      <c r="E14" s="18" t="s">
        <v>31</v>
      </c>
      <c r="F14" s="19" t="n">
        <v>46054</v>
      </c>
      <c r="G14" s="23" t="n">
        <f t="shared" si="0"/>
        <v>1087444</v>
      </c>
      <c r="H14" s="23"/>
      <c r="I14" s="20" t="n">
        <v>19077</v>
      </c>
      <c r="J14" s="23" t="n">
        <f>MAX(POPtable[[#This Row],[Stock on hand(opening balance)]]+POPtable[[#This Row],[Quantity ]]-POPtable[[#This Row],[Forecasted consumption]],0)</f>
        <v>1068367</v>
      </c>
      <c r="K14" s="2"/>
      <c r="L14" s="2"/>
      <c r="M14" s="18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POPtable[[#This Row],[Closing balance ]]/POPtable[[#This Row],[Forecasted consumption]]</f>
        <v>56.002883052890915</v>
      </c>
      <c r="X14" s="25"/>
    </row>
    <row r="15">
      <c r="B15" s="6" t="s">
        <v>28</v>
      </c>
      <c r="C15" s="17" t="s">
        <v>54</v>
      </c>
      <c r="D15" s="17"/>
      <c r="E15" s="18" t="s">
        <v>31</v>
      </c>
      <c r="F15" s="19" t="n">
        <v>46082</v>
      </c>
      <c r="G15" s="23" t="n">
        <f t="shared" si="0"/>
        <v>1068367</v>
      </c>
      <c r="H15" s="23"/>
      <c r="I15" s="20" t="n">
        <v>19077</v>
      </c>
      <c r="J15" s="23" t="n">
        <f>MAX(POPtable[[#This Row],[Stock on hand(opening balance)]]+POPtable[[#This Row],[Quantity ]]-POPtable[[#This Row],[Forecasted consumption]],0)</f>
        <v>1049290</v>
      </c>
      <c r="K15" s="2"/>
      <c r="L15" s="2"/>
      <c r="M15" s="18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POPtable[[#This Row],[Closing balance ]]/POPtable[[#This Row],[Forecasted consumption]]</f>
        <v>55.002883052890915</v>
      </c>
      <c r="X15" s="25"/>
    </row>
    <row r="16">
      <c r="B16" s="6" t="s">
        <v>28</v>
      </c>
      <c r="C16" s="17" t="s">
        <v>54</v>
      </c>
      <c r="D16" s="17"/>
      <c r="E16" s="18" t="s">
        <v>31</v>
      </c>
      <c r="F16" s="19" t="n">
        <v>46113</v>
      </c>
      <c r="G16" s="23" t="n">
        <f t="shared" si="0"/>
        <v>1049290</v>
      </c>
      <c r="H16" s="23"/>
      <c r="I16" s="20" t="n">
        <v>19077</v>
      </c>
      <c r="J16" s="23" t="n">
        <f>MAX(POPtable[[#This Row],[Stock on hand(opening balance)]]+POPtable[[#This Row],[Quantity ]]-POPtable[[#This Row],[Forecasted consumption]],0)</f>
        <v>1030213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POPtable[[#This Row],[Closing balance ]]/POPtable[[#This Row],[Forecasted consumption]]</f>
        <v>54.002883052890915</v>
      </c>
      <c r="X16" s="25"/>
    </row>
    <row r="17">
      <c r="B17" s="6" t="s">
        <v>28</v>
      </c>
      <c r="C17" s="17" t="s">
        <v>54</v>
      </c>
      <c r="D17" s="17"/>
      <c r="E17" s="18" t="s">
        <v>31</v>
      </c>
      <c r="F17" s="19" t="n">
        <v>46143</v>
      </c>
      <c r="G17" s="23" t="n">
        <f t="shared" si="0"/>
        <v>1030213</v>
      </c>
      <c r="H17" s="23"/>
      <c r="I17" s="20" t="n">
        <v>19077</v>
      </c>
      <c r="J17" s="23" t="n">
        <f>MAX(POPtable[[#This Row],[Stock on hand(opening balance)]]+POPtable[[#This Row],[Quantity ]]-POPtable[[#This Row],[Forecasted consumption]],0)</f>
        <v>1011136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POPtable[[#This Row],[Closing balance ]]/POPtable[[#This Row],[Forecasted consumption]]</f>
        <v>53.002883052890915</v>
      </c>
      <c r="X17" s="25"/>
    </row>
    <row r="18">
      <c r="B18" s="6" t="s">
        <v>28</v>
      </c>
      <c r="C18" s="17" t="s">
        <v>54</v>
      </c>
      <c r="D18" s="17"/>
      <c r="E18" s="18" t="s">
        <v>31</v>
      </c>
      <c r="F18" s="19" t="n">
        <v>46174</v>
      </c>
      <c r="G18" s="23" t="n">
        <f t="shared" si="0"/>
        <v>1011136</v>
      </c>
      <c r="H18" s="23"/>
      <c r="I18" s="20" t="n">
        <v>19077</v>
      </c>
      <c r="J18" s="23" t="n">
        <f>MAX(POPtable[[#This Row],[Stock on hand(opening balance)]]+POPtable[[#This Row],[Quantity ]]-POPtable[[#This Row],[Forecasted consumption]],0)</f>
        <v>1514641</v>
      </c>
      <c r="K18" s="2" t="s">
        <v>2</v>
      </c>
      <c r="L18" s="2" t="s">
        <v>2</v>
      </c>
      <c r="M18" s="18" t="s">
        <v>4</v>
      </c>
      <c r="N18" s="23" t="n">
        <v>522582</v>
      </c>
      <c r="O18" s="2"/>
      <c r="P18" s="20" t="n">
        <v>137962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POPtable[[#This Row],[Closing balance ]]/POPtable[[#This Row],[Forecasted consumption]]</f>
        <v>79.396183886355303</v>
      </c>
      <c r="X18" s="25"/>
    </row>
    <row r="19">
      <c r="B19" s="6" t="s">
        <v>75</v>
      </c>
      <c r="C19" s="17" t="s">
        <v>54</v>
      </c>
      <c r="D19" s="17"/>
      <c r="E19" s="18" t="s">
        <v>31</v>
      </c>
      <c r="F19" s="19" t="n">
        <v>45748</v>
      </c>
      <c r="G19" s="20" t="n">
        <v>38405</v>
      </c>
      <c r="H19" s="20"/>
      <c r="I19" s="20" t="n">
        <v>6731</v>
      </c>
      <c r="J19" s="20" t="n">
        <f>MAX(POPtable[[#This Row],[Stock on hand(opening balance)]]+POPtable[[#This Row],[Quantity ]]-POPtable[[#This Row],[Forecasted consumption]],0)</f>
        <v>31674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POPtable[[#This Row],[Closing balance ]]/POPtable[[#This Row],[Forecasted consumption]]</f>
        <v>4.7056900906254642</v>
      </c>
      <c r="X19" s="22"/>
    </row>
    <row r="20">
      <c r="B20" s="6" t="s">
        <v>75</v>
      </c>
      <c r="C20" s="17" t="s">
        <v>54</v>
      </c>
      <c r="D20" s="17"/>
      <c r="E20" s="18" t="s">
        <v>31</v>
      </c>
      <c r="F20" s="19" t="n">
        <v>45778</v>
      </c>
      <c r="G20" s="23" t="n">
        <f>J19</f>
        <v>31674</v>
      </c>
      <c r="H20" s="23"/>
      <c r="I20" s="23" t="n">
        <v>6712</v>
      </c>
      <c r="J20" s="23" t="n">
        <f>MAX(POPtable[[#This Row],[Stock on hand(opening balance)]]+POPtable[[#This Row],[Quantity ]]-POPtable[[#This Row],[Forecasted consumption]],0)</f>
        <v>24962</v>
      </c>
      <c r="K20" s="2"/>
      <c r="L20" s="2"/>
      <c r="M20" s="2"/>
      <c r="N20" s="23"/>
      <c r="O20" s="2"/>
      <c r="P20" s="20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POPtable[[#This Row],[Closing balance ]]/POPtable[[#This Row],[Forecasted consumption]]</f>
        <v>3.7190107270560189</v>
      </c>
      <c r="X20" s="25"/>
    </row>
    <row r="21">
      <c r="B21" s="6" t="s">
        <v>75</v>
      </c>
      <c r="C21" s="17" t="s">
        <v>54</v>
      </c>
      <c r="D21" s="17"/>
      <c r="E21" s="18" t="s">
        <v>31</v>
      </c>
      <c r="F21" s="19" t="n">
        <v>45809</v>
      </c>
      <c r="G21" s="23" t="n">
        <f t="shared" ref="G21:G36" si="1">J20</f>
        <v>24962</v>
      </c>
      <c r="H21" s="23"/>
      <c r="I21" s="23" t="n">
        <v>6694</v>
      </c>
      <c r="J21" s="23" t="n">
        <f>MAX(POPtable[[#This Row],[Stock on hand(opening balance)]]+POPtable[[#This Row],[Quantity ]]-POPtable[[#This Row],[Forecasted consumption]],0)</f>
        <v>18268</v>
      </c>
      <c r="K21" s="2"/>
      <c r="L21" s="2"/>
      <c r="M21" s="2"/>
      <c r="N21" s="23"/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POPtable[[#This Row],[Closing balance ]]/POPtable[[#This Row],[Forecasted consumption]]</f>
        <v>2.7290110546758291</v>
      </c>
      <c r="X21" s="25"/>
    </row>
    <row r="22">
      <c r="B22" s="6" t="s">
        <v>75</v>
      </c>
      <c r="C22" s="17" t="s">
        <v>54</v>
      </c>
      <c r="D22" s="17"/>
      <c r="E22" s="18" t="s">
        <v>31</v>
      </c>
      <c r="F22" s="19" t="n">
        <v>45839</v>
      </c>
      <c r="G22" s="23" t="n">
        <f t="shared" si="1"/>
        <v>18268</v>
      </c>
      <c r="H22" s="23"/>
      <c r="I22" s="23" t="n">
        <v>6676</v>
      </c>
      <c r="J22" s="23" t="n">
        <f>MAX(POPtable[[#This Row],[Stock on hand(opening balance)]]+POPtable[[#This Row],[Quantity ]]-POPtable[[#This Row],[Forecasted consumption]],0)</f>
        <v>11592</v>
      </c>
      <c r="K22" s="2"/>
      <c r="L22" s="2"/>
      <c r="M22" s="2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POPtable[[#This Row],[Closing balance ]]/POPtable[[#This Row],[Forecasted consumption]]</f>
        <v>1.7363690832834033</v>
      </c>
      <c r="X22" s="25"/>
    </row>
    <row r="23">
      <c r="B23" s="6" t="s">
        <v>75</v>
      </c>
      <c r="C23" s="17" t="s">
        <v>54</v>
      </c>
      <c r="D23" s="17"/>
      <c r="E23" s="18" t="s">
        <v>31</v>
      </c>
      <c r="F23" s="19" t="n">
        <v>45870</v>
      </c>
      <c r="G23" s="23" t="n">
        <f t="shared" si="1"/>
        <v>11592</v>
      </c>
      <c r="H23" s="23"/>
      <c r="I23" s="23" t="n">
        <v>6657</v>
      </c>
      <c r="J23" s="23" t="n">
        <f>MAX(POPtable[[#This Row],[Stock on hand(opening balance)]]+POPtable[[#This Row],[Quantity ]]-POPtable[[#This Row],[Forecasted consumption]],0)</f>
        <v>4935</v>
      </c>
      <c r="K23" s="2"/>
      <c r="L23" s="2"/>
      <c r="M23" s="2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POPtable[[#This Row],[Closing balance ]]/POPtable[[#This Row],[Forecasted consumption]]</f>
        <v>0.74132492113564674</v>
      </c>
      <c r="X23" s="25"/>
    </row>
    <row r="24">
      <c r="B24" s="6" t="s">
        <v>75</v>
      </c>
      <c r="C24" s="17" t="s">
        <v>54</v>
      </c>
      <c r="D24" s="17"/>
      <c r="E24" s="18" t="s">
        <v>31</v>
      </c>
      <c r="F24" s="19" t="n">
        <v>45901</v>
      </c>
      <c r="G24" s="23" t="n">
        <f t="shared" si="1"/>
        <v>4935</v>
      </c>
      <c r="H24" s="23"/>
      <c r="I24" s="23" t="n">
        <v>6639</v>
      </c>
      <c r="J24" s="23" t="n">
        <f>MAX(POPtable[[#This Row],[Stock on hand(opening balance)]]+POPtable[[#This Row],[Quantity ]]-POPtable[[#This Row],[Forecasted consumption]],0)</f>
        <v>148296</v>
      </c>
      <c r="K24" s="2"/>
      <c r="L24" s="2"/>
      <c r="M24" s="2" t="s">
        <v>147</v>
      </c>
      <c r="N24" s="23" t="n">
        <v>150000</v>
      </c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POPtable[[#This Row],[Closing balance ]]/POPtable[[#This Row],[Forecasted consumption]]</f>
        <v>22.337098960686852</v>
      </c>
      <c r="X24" s="25"/>
    </row>
    <row r="25">
      <c r="B25" s="6" t="s">
        <v>75</v>
      </c>
      <c r="C25" s="17" t="s">
        <v>54</v>
      </c>
      <c r="D25" s="17"/>
      <c r="E25" s="18" t="s">
        <v>31</v>
      </c>
      <c r="F25" s="19" t="n">
        <v>45931</v>
      </c>
      <c r="G25" s="23" t="n">
        <f t="shared" si="1"/>
        <v>148296</v>
      </c>
      <c r="H25" s="23"/>
      <c r="I25" s="23" t="n">
        <v>6621</v>
      </c>
      <c r="J25" s="23" t="n">
        <f>MAX(POPtable[[#This Row],[Stock on hand(opening balance)]]+POPtable[[#This Row],[Quantity ]]-POPtable[[#This Row],[Forecasted consumption]],0)</f>
        <v>141675</v>
      </c>
      <c r="K25" s="2"/>
      <c r="L25" s="2"/>
      <c r="M25" s="18"/>
      <c r="N25" s="23"/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POPtable[[#This Row],[Closing balance ]]/POPtable[[#This Row],[Forecasted consumption]]</f>
        <v>21.397825101948346</v>
      </c>
      <c r="X25" s="25"/>
    </row>
    <row r="26">
      <c r="B26" s="6" t="s">
        <v>75</v>
      </c>
      <c r="C26" s="17" t="s">
        <v>54</v>
      </c>
      <c r="D26" s="17"/>
      <c r="E26" s="18" t="s">
        <v>31</v>
      </c>
      <c r="F26" s="19" t="n">
        <v>45962</v>
      </c>
      <c r="G26" s="23" t="n">
        <f t="shared" si="1"/>
        <v>141675</v>
      </c>
      <c r="H26" s="23"/>
      <c r="I26" s="23" t="n">
        <v>6602</v>
      </c>
      <c r="J26" s="23" t="n">
        <f>MAX(POPtable[[#This Row],[Stock on hand(opening balance)]]+POPtable[[#This Row],[Quantity ]]-POPtable[[#This Row],[Forecasted consumption]],0)</f>
        <v>135073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POPtable[[#This Row],[Closing balance ]]/POPtable[[#This Row],[Forecasted consumption]]</f>
        <v>20.459406240533173</v>
      </c>
      <c r="X26" s="25"/>
    </row>
    <row r="27">
      <c r="B27" s="6" t="s">
        <v>75</v>
      </c>
      <c r="C27" s="17" t="s">
        <v>54</v>
      </c>
      <c r="D27" s="17"/>
      <c r="E27" s="18" t="s">
        <v>31</v>
      </c>
      <c r="F27" s="19" t="n">
        <v>45992</v>
      </c>
      <c r="G27" s="23" t="n">
        <f t="shared" si="1"/>
        <v>135073</v>
      </c>
      <c r="H27" s="23"/>
      <c r="I27" s="23" t="n">
        <v>6584</v>
      </c>
      <c r="J27" s="23" t="n">
        <f>MAX(POPtable[[#This Row],[Stock on hand(opening balance)]]+POPtable[[#This Row],[Quantity ]]-POPtable[[#This Row],[Forecasted consumption]],0)</f>
        <v>128489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POPtable[[#This Row],[Closing balance ]]/POPtable[[#This Row],[Forecasted consumption]]</f>
        <v>19.51534021871203</v>
      </c>
      <c r="X27" s="25"/>
    </row>
    <row r="28">
      <c r="B28" s="6" t="s">
        <v>75</v>
      </c>
      <c r="C28" s="17" t="s">
        <v>54</v>
      </c>
      <c r="D28" s="17"/>
      <c r="E28" s="18" t="s">
        <v>31</v>
      </c>
      <c r="F28" s="19" t="n">
        <v>46023</v>
      </c>
      <c r="G28" s="23" t="n">
        <f t="shared" si="1"/>
        <v>128489</v>
      </c>
      <c r="H28" s="23"/>
      <c r="I28" s="23" t="n">
        <v>6566</v>
      </c>
      <c r="J28" s="23" t="n">
        <f>MAX(POPtable[[#This Row],[Stock on hand(opening balance)]]+POPtable[[#This Row],[Quantity ]]-POPtable[[#This Row],[Forecasted consumption]],0)</f>
        <v>121923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POPtable[[#This Row],[Closing balance ]]/POPtable[[#This Row],[Forecasted consumption]]</f>
        <v>18.568839476088943</v>
      </c>
      <c r="X28" s="25"/>
    </row>
    <row r="29">
      <c r="B29" s="6" t="s">
        <v>75</v>
      </c>
      <c r="C29" s="17" t="s">
        <v>54</v>
      </c>
      <c r="D29" s="17"/>
      <c r="E29" s="18" t="s">
        <v>31</v>
      </c>
      <c r="F29" s="19" t="n">
        <v>46054</v>
      </c>
      <c r="G29" s="23" t="n">
        <f t="shared" si="1"/>
        <v>121923</v>
      </c>
      <c r="H29" s="23"/>
      <c r="I29" s="23" t="n">
        <v>6547</v>
      </c>
      <c r="J29" s="23" t="n">
        <f>MAX(POPtable[[#This Row],[Stock on hand(opening balance)]]+POPtable[[#This Row],[Quantity ]]-POPtable[[#This Row],[Forecasted consumption]],0)</f>
        <v>115376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POPtable[[#This Row],[Closing balance ]]/POPtable[[#This Row],[Forecasted consumption]]</f>
        <v>17.622727967007791</v>
      </c>
      <c r="X29" s="25"/>
    </row>
    <row r="30">
      <c r="B30" s="6" t="s">
        <v>75</v>
      </c>
      <c r="C30" s="17" t="s">
        <v>54</v>
      </c>
      <c r="D30" s="17"/>
      <c r="E30" s="18" t="s">
        <v>31</v>
      </c>
      <c r="F30" s="19" t="n">
        <v>46082</v>
      </c>
      <c r="G30" s="23" t="n">
        <f t="shared" si="1"/>
        <v>115376</v>
      </c>
      <c r="H30" s="23"/>
      <c r="I30" s="23" t="n">
        <v>6529</v>
      </c>
      <c r="J30" s="23" t="n">
        <f>MAX(POPtable[[#This Row],[Stock on hand(opening balance)]]+POPtable[[#This Row],[Quantity ]]-POPtable[[#This Row],[Forecasted consumption]],0)</f>
        <v>108847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POPtable[[#This Row],[Closing balance ]]/POPtable[[#This Row],[Forecasted consumption]]</f>
        <v>16.671312605299434</v>
      </c>
      <c r="X30" s="25"/>
    </row>
    <row r="31">
      <c r="B31" s="6" t="s">
        <v>75</v>
      </c>
      <c r="C31" s="17" t="s">
        <v>54</v>
      </c>
      <c r="D31" s="17"/>
      <c r="E31" s="18" t="s">
        <v>31</v>
      </c>
      <c r="F31" s="19" t="n">
        <v>46113</v>
      </c>
      <c r="G31" s="23" t="n">
        <f t="shared" si="1"/>
        <v>108847</v>
      </c>
      <c r="H31" s="23"/>
      <c r="I31" s="23" t="n">
        <v>6511</v>
      </c>
      <c r="J31" s="23" t="n">
        <f>MAX(POPtable[[#This Row],[Stock on hand(opening balance)]]+POPtable[[#This Row],[Quantity ]]-POPtable[[#This Row],[Forecasted consumption]],0)</f>
        <v>102336</v>
      </c>
      <c r="K31" s="2"/>
      <c r="L31" s="2"/>
      <c r="M31" s="18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POPtable[[#This Row],[Closing balance ]]/POPtable[[#This Row],[Forecasted consumption]]</f>
        <v>15.717401320841653</v>
      </c>
      <c r="X31" s="25"/>
    </row>
    <row r="32">
      <c r="B32" s="6" t="s">
        <v>75</v>
      </c>
      <c r="C32" s="17" t="s">
        <v>54</v>
      </c>
      <c r="D32" s="17"/>
      <c r="E32" s="18" t="s">
        <v>31</v>
      </c>
      <c r="F32" s="19" t="n">
        <v>46143</v>
      </c>
      <c r="G32" s="23" t="n">
        <f t="shared" si="1"/>
        <v>102336</v>
      </c>
      <c r="H32" s="23"/>
      <c r="I32" s="23" t="n">
        <v>6492</v>
      </c>
      <c r="J32" s="23" t="n">
        <f>MAX(POPtable[[#This Row],[Stock on hand(opening balance)]]+POPtable[[#This Row],[Quantity ]]-POPtable[[#This Row],[Forecasted consumption]],0)</f>
        <v>95844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POPtable[[#This Row],[Closing balance ]]/POPtable[[#This Row],[Forecasted consumption]]</f>
        <v>14.763401109057302</v>
      </c>
      <c r="X32" s="25"/>
    </row>
    <row r="33">
      <c r="B33" s="6" t="s">
        <v>75</v>
      </c>
      <c r="C33" s="17" t="s">
        <v>54</v>
      </c>
      <c r="D33" s="17"/>
      <c r="E33" s="18" t="s">
        <v>31</v>
      </c>
      <c r="F33" s="19" t="n">
        <v>46174</v>
      </c>
      <c r="G33" s="23" t="n">
        <f t="shared" si="1"/>
        <v>95844</v>
      </c>
      <c r="H33" s="23"/>
      <c r="I33" s="23" t="n">
        <v>6474</v>
      </c>
      <c r="J33" s="23" t="n">
        <f>MAX(POPtable[[#This Row],[Stock on hand(opening balance)]]+POPtable[[#This Row],[Quantity ]]-POPtable[[#This Row],[Forecasted consumption]],0)</f>
        <v>89370</v>
      </c>
      <c r="K33" s="2"/>
      <c r="L33" s="2"/>
      <c r="M33" s="18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POPtable[[#This Row],[Closing balance ]]/POPtable[[#This Row],[Forecasted consumption]]</f>
        <v>13.804448563484709</v>
      </c>
      <c r="X33" s="25"/>
    </row>
    <row r="34">
      <c r="B34" s="6" t="s">
        <v>75</v>
      </c>
      <c r="C34" s="17" t="s">
        <v>54</v>
      </c>
      <c r="D34" s="17"/>
      <c r="E34" s="18" t="s">
        <v>31</v>
      </c>
      <c r="F34" s="19" t="n">
        <v>46204</v>
      </c>
      <c r="G34" s="23" t="n">
        <f t="shared" si="1"/>
        <v>89370</v>
      </c>
      <c r="H34" s="23"/>
      <c r="I34" s="23" t="n">
        <v>6456</v>
      </c>
      <c r="J34" s="23" t="n">
        <f>MAX(POPtable[[#This Row],[Stock on hand(opening balance)]]+POPtable[[#This Row],[Quantity ]]-POPtable[[#This Row],[Forecasted consumption]],0)</f>
        <v>82914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POPtable[[#This Row],[Closing balance ]]/POPtable[[#This Row],[Forecasted consumption]]</f>
        <v>12.842936802973977</v>
      </c>
      <c r="X34" s="25"/>
    </row>
    <row r="35">
      <c r="B35" s="6" t="s">
        <v>75</v>
      </c>
      <c r="C35" s="17" t="s">
        <v>54</v>
      </c>
      <c r="D35" s="17"/>
      <c r="E35" s="18" t="s">
        <v>31</v>
      </c>
      <c r="F35" s="19" t="n">
        <v>46235</v>
      </c>
      <c r="G35" s="23" t="n">
        <f t="shared" si="1"/>
        <v>82914</v>
      </c>
      <c r="H35" s="23"/>
      <c r="I35" s="23" t="n">
        <v>6437</v>
      </c>
      <c r="J35" s="23" t="n">
        <f>MAX(POPtable[[#This Row],[Stock on hand(opening balance)]]+POPtable[[#This Row],[Quantity ]]-POPtable[[#This Row],[Forecasted consumption]],0)</f>
        <v>76477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POPtable[[#This Row],[Closing balance ]]/POPtable[[#This Row],[Forecasted consumption]]</f>
        <v>11.880845114183625</v>
      </c>
      <c r="X35" s="25"/>
    </row>
    <row r="36">
      <c r="B36" s="6" t="s">
        <v>75</v>
      </c>
      <c r="C36" s="17" t="s">
        <v>54</v>
      </c>
      <c r="D36" s="17"/>
      <c r="E36" s="18" t="s">
        <v>31</v>
      </c>
      <c r="F36" s="19" t="n">
        <v>46266</v>
      </c>
      <c r="G36" s="23" t="n">
        <f t="shared" si="1"/>
        <v>76477</v>
      </c>
      <c r="H36" s="23"/>
      <c r="I36" s="23" t="n">
        <v>6419</v>
      </c>
      <c r="J36" s="23" t="n">
        <f>MAX(POPtable[[#This Row],[Stock on hand(opening balance)]]+POPtable[[#This Row],[Quantity ]]-POPtable[[#This Row],[Forecasted consumption]],0)</f>
        <v>70058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POPtable[[#This Row],[Closing balance ]]/POPtable[[#This Row],[Forecasted consumption]]</f>
        <v>10.914161084281041</v>
      </c>
      <c r="X36" s="25"/>
    </row>
    <row r="37">
      <c r="B37" s="6" t="s">
        <v>76</v>
      </c>
      <c r="C37" s="17" t="s">
        <v>54</v>
      </c>
      <c r="D37" s="17"/>
      <c r="E37" s="18" t="s">
        <v>31</v>
      </c>
      <c r="F37" s="19" t="n">
        <v>45748</v>
      </c>
      <c r="G37" s="23" t="n">
        <v>595110</v>
      </c>
      <c r="H37" s="20"/>
      <c r="I37" s="20" t="n">
        <v>14352</v>
      </c>
      <c r="J37" s="20" t="n">
        <f>MAX(POPtable[[#This Row],[Stock on hand(opening balance)]]+POPtable[[#This Row],[Quantity ]]-POPtable[[#This Row],[Forecasted consumption]],0)</f>
        <v>580758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POPtable[[#This Row],[Closing balance ]]/POPtable[[#This Row],[Forecasted consumption]]</f>
        <v>40.465301003344479</v>
      </c>
      <c r="X37" s="22"/>
    </row>
    <row r="38">
      <c r="B38" s="6" t="s">
        <v>76</v>
      </c>
      <c r="C38" s="17" t="s">
        <v>54</v>
      </c>
      <c r="D38" s="17"/>
      <c r="E38" s="18" t="s">
        <v>31</v>
      </c>
      <c r="F38" s="19" t="n">
        <v>45778</v>
      </c>
      <c r="G38" s="23" t="n">
        <f>J37</f>
        <v>580758</v>
      </c>
      <c r="H38" s="23"/>
      <c r="I38" s="20" t="n">
        <v>14352</v>
      </c>
      <c r="J38" s="23" t="n">
        <f>MAX(POPtable[[#This Row],[Stock on hand(opening balance)]]+POPtable[[#This Row],[Quantity ]]-POPtable[[#This Row],[Forecasted consumption]],0)</f>
        <v>566406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POPtable[[#This Row],[Closing balance ]]/POPtable[[#This Row],[Forecasted consumption]]</f>
        <v>39.465301003344479</v>
      </c>
      <c r="X38" s="25"/>
    </row>
    <row r="39">
      <c r="B39" s="6" t="s">
        <v>76</v>
      </c>
      <c r="C39" s="17" t="s">
        <v>54</v>
      </c>
      <c r="D39" s="17"/>
      <c r="E39" s="18" t="s">
        <v>31</v>
      </c>
      <c r="F39" s="19" t="n">
        <v>45809</v>
      </c>
      <c r="G39" s="23" t="n">
        <f t="shared" ref="G39:G57" si="2">J38</f>
        <v>566406</v>
      </c>
      <c r="H39" s="23"/>
      <c r="I39" s="20" t="n">
        <v>14352</v>
      </c>
      <c r="J39" s="23" t="n">
        <f>MAX(POPtable[[#This Row],[Stock on hand(opening balance)]]+POPtable[[#This Row],[Quantity ]]-POPtable[[#This Row],[Forecasted consumption]],0)</f>
        <v>552054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POPtable[[#This Row],[Closing balance ]]/POPtable[[#This Row],[Forecasted consumption]]</f>
        <v>38.465301003344479</v>
      </c>
      <c r="X39" s="25"/>
    </row>
    <row r="40">
      <c r="B40" s="6" t="s">
        <v>76</v>
      </c>
      <c r="C40" s="17" t="s">
        <v>54</v>
      </c>
      <c r="D40" s="17"/>
      <c r="E40" s="18" t="s">
        <v>31</v>
      </c>
      <c r="F40" s="19" t="n">
        <v>45839</v>
      </c>
      <c r="G40" s="23" t="n">
        <f t="shared" si="2"/>
        <v>552054</v>
      </c>
      <c r="H40" s="23"/>
      <c r="I40" s="20" t="n">
        <v>14352</v>
      </c>
      <c r="J40" s="23" t="n">
        <f>MAX(POPtable[[#This Row],[Stock on hand(opening balance)]]+POPtable[[#This Row],[Quantity ]]-POPtable[[#This Row],[Forecasted consumption]],0)</f>
        <v>537702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POPtable[[#This Row],[Closing balance ]]/POPtable[[#This Row],[Forecasted consumption]]</f>
        <v>37.465301003344479</v>
      </c>
      <c r="X40" s="25"/>
    </row>
    <row r="41">
      <c r="B41" s="6" t="s">
        <v>76</v>
      </c>
      <c r="C41" s="17" t="s">
        <v>54</v>
      </c>
      <c r="D41" s="17"/>
      <c r="E41" s="18" t="s">
        <v>31</v>
      </c>
      <c r="F41" s="19" t="n">
        <v>45870</v>
      </c>
      <c r="G41" s="23" t="n">
        <f t="shared" si="2"/>
        <v>537702</v>
      </c>
      <c r="H41" s="23"/>
      <c r="I41" s="20" t="n">
        <v>14352</v>
      </c>
      <c r="J41" s="23" t="n">
        <f>MAX(POPtable[[#This Row],[Stock on hand(opening balance)]]+POPtable[[#This Row],[Quantity ]]-POPtable[[#This Row],[Forecasted consumption]],0)</f>
        <v>523350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POPtable[[#This Row],[Closing balance ]]/POPtable[[#This Row],[Forecasted consumption]]</f>
        <v>36.465301003344479</v>
      </c>
      <c r="X41" s="25"/>
    </row>
    <row r="42">
      <c r="B42" s="6" t="s">
        <v>76</v>
      </c>
      <c r="C42" s="17" t="s">
        <v>54</v>
      </c>
      <c r="D42" s="17"/>
      <c r="E42" s="18" t="s">
        <v>31</v>
      </c>
      <c r="F42" s="19" t="n">
        <v>45901</v>
      </c>
      <c r="G42" s="23" t="n">
        <f t="shared" si="2"/>
        <v>523350</v>
      </c>
      <c r="H42" s="23"/>
      <c r="I42" s="20" t="n">
        <v>14352</v>
      </c>
      <c r="J42" s="23" t="n">
        <f>MAX(POPtable[[#This Row],[Stock on hand(opening balance)]]+POPtable[[#This Row],[Quantity ]]-POPtable[[#This Row],[Forecasted consumption]],0)</f>
        <v>508998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POPtable[[#This Row],[Closing balance ]]/POPtable[[#This Row],[Forecasted consumption]]</f>
        <v>35.465301003344479</v>
      </c>
      <c r="X42" s="25"/>
    </row>
    <row r="43">
      <c r="B43" s="6" t="s">
        <v>76</v>
      </c>
      <c r="C43" s="17" t="s">
        <v>54</v>
      </c>
      <c r="D43" s="17"/>
      <c r="E43" s="18" t="s">
        <v>31</v>
      </c>
      <c r="F43" s="19" t="n">
        <v>45931</v>
      </c>
      <c r="G43" s="23" t="n">
        <f t="shared" si="2"/>
        <v>508998</v>
      </c>
      <c r="H43" s="23"/>
      <c r="I43" s="20" t="n">
        <v>14352</v>
      </c>
      <c r="J43" s="23" t="n">
        <f>MAX(POPtable[[#This Row],[Stock on hand(opening balance)]]+POPtable[[#This Row],[Quantity ]]-POPtable[[#This Row],[Forecasted consumption]],0)</f>
        <v>494646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POPtable[[#This Row],[Closing balance ]]/POPtable[[#This Row],[Forecasted consumption]]</f>
        <v>34.465301003344479</v>
      </c>
      <c r="X43" s="25"/>
    </row>
    <row r="44">
      <c r="B44" s="6" t="s">
        <v>76</v>
      </c>
      <c r="C44" s="17" t="s">
        <v>54</v>
      </c>
      <c r="D44" s="17"/>
      <c r="E44" s="18" t="s">
        <v>31</v>
      </c>
      <c r="F44" s="19" t="n">
        <v>45962</v>
      </c>
      <c r="G44" s="23" t="n">
        <f t="shared" si="2"/>
        <v>494646</v>
      </c>
      <c r="H44" s="23"/>
      <c r="I44" s="20" t="n">
        <v>14352</v>
      </c>
      <c r="J44" s="23" t="n">
        <f>MAX(POPtable[[#This Row],[Stock on hand(opening balance)]]+POPtable[[#This Row],[Quantity ]]-POPtable[[#This Row],[Forecasted consumption]],0)</f>
        <v>480294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POPtable[[#This Row],[Closing balance ]]/POPtable[[#This Row],[Forecasted consumption]]</f>
        <v>33.465301003344479</v>
      </c>
      <c r="X44" s="25"/>
    </row>
    <row r="45">
      <c r="B45" s="6" t="s">
        <v>76</v>
      </c>
      <c r="C45" s="17" t="s">
        <v>54</v>
      </c>
      <c r="D45" s="17"/>
      <c r="E45" s="18" t="s">
        <v>31</v>
      </c>
      <c r="F45" s="19" t="n">
        <v>45992</v>
      </c>
      <c r="G45" s="23" t="n">
        <f t="shared" si="2"/>
        <v>480294</v>
      </c>
      <c r="H45" s="23"/>
      <c r="I45" s="20" t="n">
        <v>14352</v>
      </c>
      <c r="J45" s="23" t="n">
        <f>MAX(POPtable[[#This Row],[Stock on hand(opening balance)]]+POPtable[[#This Row],[Quantity ]]-POPtable[[#This Row],[Forecasted consumption]],0)</f>
        <v>465942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POPtable[[#This Row],[Closing balance ]]/POPtable[[#This Row],[Forecasted consumption]]</f>
        <v>32.465301003344479</v>
      </c>
      <c r="X45" s="25"/>
    </row>
    <row r="46">
      <c r="B46" s="6" t="s">
        <v>76</v>
      </c>
      <c r="C46" s="17" t="s">
        <v>54</v>
      </c>
      <c r="D46" s="17"/>
      <c r="E46" s="18" t="s">
        <v>31</v>
      </c>
      <c r="F46" s="19" t="n">
        <v>46023</v>
      </c>
      <c r="G46" s="23" t="n">
        <f t="shared" si="2"/>
        <v>465942</v>
      </c>
      <c r="H46" s="23"/>
      <c r="I46" s="20" t="n">
        <v>12437</v>
      </c>
      <c r="J46" s="23" t="n">
        <f>MAX(POPtable[[#This Row],[Stock on hand(opening balance)]]+POPtable[[#This Row],[Quantity ]]-POPtable[[#This Row],[Forecasted consumption]],0)</f>
        <v>453505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POPtable[[#This Row],[Closing balance ]]/POPtable[[#This Row],[Forecasted consumption]]</f>
        <v>36.464179464501086</v>
      </c>
      <c r="X46" s="25"/>
    </row>
    <row r="47">
      <c r="B47" s="6" t="s">
        <v>76</v>
      </c>
      <c r="C47" s="17" t="s">
        <v>54</v>
      </c>
      <c r="D47" s="17"/>
      <c r="E47" s="18" t="s">
        <v>31</v>
      </c>
      <c r="F47" s="19" t="n">
        <v>46054</v>
      </c>
      <c r="G47" s="23" t="n">
        <f t="shared" si="2"/>
        <v>453505</v>
      </c>
      <c r="H47" s="23"/>
      <c r="I47" s="20" t="n">
        <v>12437</v>
      </c>
      <c r="J47" s="23" t="n">
        <f>MAX(POPtable[[#This Row],[Stock on hand(opening balance)]]+POPtable[[#This Row],[Quantity ]]-POPtable[[#This Row],[Forecasted consumption]],0)</f>
        <v>441068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POPtable[[#This Row],[Closing balance ]]/POPtable[[#This Row],[Forecasted consumption]]</f>
        <v>35.464179464501086</v>
      </c>
      <c r="X47" s="25"/>
    </row>
    <row r="48">
      <c r="B48" s="6" t="s">
        <v>76</v>
      </c>
      <c r="C48" s="17" t="s">
        <v>54</v>
      </c>
      <c r="D48" s="17"/>
      <c r="E48" s="18" t="s">
        <v>31</v>
      </c>
      <c r="F48" s="19" t="n">
        <v>46082</v>
      </c>
      <c r="G48" s="23" t="n">
        <f t="shared" si="2"/>
        <v>441068</v>
      </c>
      <c r="H48" s="23"/>
      <c r="I48" s="20" t="n">
        <v>12437</v>
      </c>
      <c r="J48" s="23" t="n">
        <f>MAX(POPtable[[#This Row],[Stock on hand(opening balance)]]+POPtable[[#This Row],[Quantity ]]-POPtable[[#This Row],[Forecasted consumption]],0)</f>
        <v>428631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POPtable[[#This Row],[Closing balance ]]/POPtable[[#This Row],[Forecasted consumption]]</f>
        <v>34.464179464501086</v>
      </c>
      <c r="X48" s="25"/>
    </row>
    <row r="49">
      <c r="B49" s="6" t="s">
        <v>76</v>
      </c>
      <c r="C49" s="17" t="s">
        <v>54</v>
      </c>
      <c r="D49" s="17"/>
      <c r="E49" s="18" t="s">
        <v>31</v>
      </c>
      <c r="F49" s="19" t="n">
        <v>46113</v>
      </c>
      <c r="G49" s="23" t="n">
        <f t="shared" si="2"/>
        <v>428631</v>
      </c>
      <c r="H49" s="23"/>
      <c r="I49" s="20" t="n">
        <v>12437</v>
      </c>
      <c r="J49" s="23" t="n">
        <f>MAX(POPtable[[#This Row],[Stock on hand(opening balance)]]+POPtable[[#This Row],[Quantity ]]-POPtable[[#This Row],[Forecasted consumption]],0)</f>
        <v>416194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POPtable[[#This Row],[Closing balance ]]/POPtable[[#This Row],[Forecasted consumption]]</f>
        <v>33.464179464501086</v>
      </c>
      <c r="X49" s="25"/>
    </row>
    <row r="50">
      <c r="B50" s="6" t="s">
        <v>76</v>
      </c>
      <c r="C50" s="17" t="s">
        <v>54</v>
      </c>
      <c r="D50" s="17"/>
      <c r="E50" s="18" t="s">
        <v>31</v>
      </c>
      <c r="F50" s="19" t="n">
        <v>46143</v>
      </c>
      <c r="G50" s="23" t="n">
        <f t="shared" si="2"/>
        <v>416194</v>
      </c>
      <c r="H50" s="23"/>
      <c r="I50" s="20" t="n">
        <v>12437</v>
      </c>
      <c r="J50" s="23" t="n">
        <f>MAX(POPtable[[#This Row],[Stock on hand(opening balance)]]+POPtable[[#This Row],[Quantity ]]-POPtable[[#This Row],[Forecasted consumption]],0)</f>
        <v>403757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POPtable[[#This Row],[Closing balance ]]/POPtable[[#This Row],[Forecasted consumption]]</f>
        <v>32.464179464501086</v>
      </c>
      <c r="X50" s="25"/>
    </row>
    <row r="51">
      <c r="B51" s="6" t="s">
        <v>76</v>
      </c>
      <c r="C51" s="17" t="s">
        <v>54</v>
      </c>
      <c r="D51" s="17"/>
      <c r="E51" s="18" t="s">
        <v>31</v>
      </c>
      <c r="F51" s="19" t="n">
        <v>46174</v>
      </c>
      <c r="G51" s="23" t="n">
        <f t="shared" si="2"/>
        <v>403757</v>
      </c>
      <c r="H51" s="23"/>
      <c r="I51" s="20" t="n">
        <v>12437</v>
      </c>
      <c r="J51" s="23" t="n">
        <f>MAX(POPtable[[#This Row],[Stock on hand(opening balance)]]+POPtable[[#This Row],[Quantity ]]-POPtable[[#This Row],[Forecasted consumption]],0)</f>
        <v>391320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POPtable[[#This Row],[Closing balance ]]/POPtable[[#This Row],[Forecasted consumption]]</f>
        <v>31.464179464501086</v>
      </c>
      <c r="X51" s="25"/>
    </row>
    <row r="52">
      <c r="B52" s="6" t="s">
        <v>76</v>
      </c>
      <c r="C52" s="17" t="s">
        <v>54</v>
      </c>
      <c r="D52" s="17"/>
      <c r="E52" s="18" t="s">
        <v>31</v>
      </c>
      <c r="F52" s="19" t="n">
        <v>46204</v>
      </c>
      <c r="G52" s="23" t="n">
        <f t="shared" si="2"/>
        <v>391320</v>
      </c>
      <c r="H52" s="23"/>
      <c r="I52" s="20" t="n">
        <v>12437</v>
      </c>
      <c r="J52" s="23" t="n">
        <f>MAX(POPtable[[#This Row],[Stock on hand(opening balance)]]+POPtable[[#This Row],[Quantity ]]-POPtable[[#This Row],[Forecasted consumption]],0)</f>
        <v>378883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POPtable[[#This Row],[Closing balance ]]/POPtable[[#This Row],[Forecasted consumption]]</f>
        <v>30.464179464501086</v>
      </c>
      <c r="X52" s="25"/>
    </row>
    <row r="53">
      <c r="B53" s="6" t="s">
        <v>76</v>
      </c>
      <c r="C53" s="17" t="s">
        <v>54</v>
      </c>
      <c r="D53" s="17"/>
      <c r="E53" s="18" t="s">
        <v>31</v>
      </c>
      <c r="F53" s="19" t="n">
        <v>46235</v>
      </c>
      <c r="G53" s="23" t="n">
        <f t="shared" si="2"/>
        <v>378883</v>
      </c>
      <c r="H53" s="23"/>
      <c r="I53" s="20" t="n">
        <v>12437</v>
      </c>
      <c r="J53" s="23" t="n">
        <f>MAX(POPtable[[#This Row],[Stock on hand(opening balance)]]+POPtable[[#This Row],[Quantity ]]-POPtable[[#This Row],[Forecasted consumption]],0)</f>
        <v>366446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POPtable[[#This Row],[Closing balance ]]/POPtable[[#This Row],[Forecasted consumption]]</f>
        <v>29.464179464501086</v>
      </c>
      <c r="X53" s="25"/>
    </row>
    <row r="54">
      <c r="B54" s="6" t="s">
        <v>76</v>
      </c>
      <c r="C54" s="17" t="s">
        <v>54</v>
      </c>
      <c r="D54" s="17"/>
      <c r="E54" s="18" t="s">
        <v>31</v>
      </c>
      <c r="F54" s="19" t="n">
        <v>46266</v>
      </c>
      <c r="G54" s="23" t="n">
        <f t="shared" si="2"/>
        <v>366446</v>
      </c>
      <c r="H54" s="23"/>
      <c r="I54" s="20" t="n">
        <v>12437</v>
      </c>
      <c r="J54" s="23" t="n">
        <f>MAX(POPtable[[#This Row],[Stock on hand(opening balance)]]+POPtable[[#This Row],[Quantity ]]-POPtable[[#This Row],[Forecasted consumption]],0)</f>
        <v>354009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POPtable[[#This Row],[Closing balance ]]/POPtable[[#This Row],[Forecasted consumption]]</f>
        <v>28.464179464501086</v>
      </c>
      <c r="X54" s="25"/>
    </row>
    <row r="55">
      <c r="B55" s="6" t="s">
        <v>76</v>
      </c>
      <c r="C55" s="17" t="s">
        <v>54</v>
      </c>
      <c r="D55" s="17"/>
      <c r="E55" s="18" t="s">
        <v>31</v>
      </c>
      <c r="F55" s="19" t="n">
        <v>46296</v>
      </c>
      <c r="G55" s="23" t="n">
        <f t="shared" si="2"/>
        <v>354009</v>
      </c>
      <c r="H55" s="23"/>
      <c r="I55" s="20" t="n">
        <v>12437</v>
      </c>
      <c r="J55" s="23" t="n">
        <f>MAX(POPtable[[#This Row],[Stock on hand(opening balance)]]+POPtable[[#This Row],[Quantity ]]-POPtable[[#This Row],[Forecasted consumption]],0)</f>
        <v>341572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POPtable[[#This Row],[Closing balance ]]/POPtable[[#This Row],[Forecasted consumption]]</f>
        <v>27.464179464501086</v>
      </c>
      <c r="X55" s="25"/>
    </row>
    <row r="56">
      <c r="B56" s="6" t="s">
        <v>76</v>
      </c>
      <c r="C56" s="17" t="s">
        <v>54</v>
      </c>
      <c r="D56" s="17"/>
      <c r="E56" s="18" t="s">
        <v>31</v>
      </c>
      <c r="F56" s="19" t="n">
        <v>46327</v>
      </c>
      <c r="G56" s="23" t="n">
        <f t="shared" si="2"/>
        <v>341572</v>
      </c>
      <c r="H56" s="23"/>
      <c r="I56" s="20" t="n">
        <v>12437</v>
      </c>
      <c r="J56" s="23" t="n">
        <f>MAX(POPtable[[#This Row],[Stock on hand(opening balance)]]+POPtable[[#This Row],[Quantity ]]-POPtable[[#This Row],[Forecasted consumption]],0)</f>
        <v>329135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POPtable[[#This Row],[Closing balance ]]/POPtable[[#This Row],[Forecasted consumption]]</f>
        <v>26.464179464501086</v>
      </c>
      <c r="X56" s="25"/>
    </row>
    <row r="57">
      <c r="B57" s="6" t="s">
        <v>76</v>
      </c>
      <c r="C57" s="17" t="s">
        <v>54</v>
      </c>
      <c r="D57" s="17"/>
      <c r="E57" s="18" t="s">
        <v>31</v>
      </c>
      <c r="F57" s="19" t="n">
        <v>46357</v>
      </c>
      <c r="G57" s="23" t="n">
        <f t="shared" si="2"/>
        <v>329135</v>
      </c>
      <c r="H57" s="23"/>
      <c r="I57" s="20" t="n">
        <v>12437</v>
      </c>
      <c r="J57" s="23" t="n">
        <f>MAX(POPtable[[#This Row],[Stock on hand(opening balance)]]+POPtable[[#This Row],[Quantity ]]-POPtable[[#This Row],[Forecasted consumption]],0)</f>
        <v>316698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POPtable[[#This Row],[Closing balance ]]/POPtable[[#This Row],[Forecasted consumption]]</f>
        <v>25.464179464501086</v>
      </c>
      <c r="X57" s="25"/>
    </row>
    <row r="58">
      <c r="B58" s="6" t="s">
        <v>72</v>
      </c>
      <c r="C58" s="17" t="s">
        <v>54</v>
      </c>
      <c r="D58" s="17"/>
      <c r="E58" s="18" t="s">
        <v>31</v>
      </c>
      <c r="F58" s="19" t="n">
        <v>45689</v>
      </c>
      <c r="G58" s="23" t="n">
        <v>100821</v>
      </c>
      <c r="H58" s="23"/>
      <c r="I58" s="23" t="n">
        <v>43147</v>
      </c>
      <c r="J58" s="23" t="n">
        <f>MAX(POPtable[[#This Row],[Stock on hand(opening balance)]]+POPtable[[#This Row],[Quantity ]]-POPtable[[#This Row],[Forecasted consumption]],0)</f>
        <v>57674</v>
      </c>
      <c r="K58" s="2"/>
      <c r="L58" s="2"/>
      <c r="M58" s="18"/>
      <c r="N58" s="23"/>
      <c r="O58" s="2"/>
      <c r="P58" s="20"/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POPtable[[#This Row],[Closing balance ]]/POPtable[[#This Row],[Forecasted consumption]]</f>
        <v>1.3366862122511414</v>
      </c>
      <c r="X58" s="25"/>
    </row>
    <row r="59">
      <c r="B59" s="6" t="s">
        <v>72</v>
      </c>
      <c r="C59" s="17" t="s">
        <v>54</v>
      </c>
      <c r="D59" s="17"/>
      <c r="E59" s="18" t="s">
        <v>31</v>
      </c>
      <c r="F59" s="19" t="n">
        <v>45717</v>
      </c>
      <c r="G59" s="23" t="n">
        <f>J58</f>
        <v>57674</v>
      </c>
      <c r="H59" s="23"/>
      <c r="I59" s="23" t="n">
        <v>43147</v>
      </c>
      <c r="J59" s="23" t="n">
        <f>MAX(POPtable[[#This Row],[Stock on hand(opening balance)]]+POPtable[[#This Row],[Quantity ]]-POPtable[[#This Row],[Forecasted consumption]],0)</f>
        <v>81487</v>
      </c>
      <c r="K59" s="2" t="s">
        <v>161</v>
      </c>
      <c r="L59" s="2" t="s">
        <v>3</v>
      </c>
      <c r="M59" s="18" t="s">
        <v>153</v>
      </c>
      <c r="N59" s="23" t="n">
        <v>66960</v>
      </c>
      <c r="O59" s="2"/>
      <c r="P59" s="20" t="n">
        <v>22499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3" t="n">
        <f>POPtable[[#This Row],[Closing balance ]]/POPtable[[#This Row],[Forecasted consumption]]</f>
        <v>1.8885901684937538</v>
      </c>
      <c r="X59" s="25"/>
    </row>
    <row r="60">
      <c r="B60" s="6" t="s">
        <v>72</v>
      </c>
      <c r="C60" s="17" t="s">
        <v>54</v>
      </c>
      <c r="D60" s="17"/>
      <c r="E60" s="18" t="s">
        <v>31</v>
      </c>
      <c r="F60" s="19" t="n">
        <v>45748</v>
      </c>
      <c r="G60" s="23" t="n">
        <f t="shared" ref="G60:G80" si="3">J59</f>
        <v>81487</v>
      </c>
      <c r="H60" s="23"/>
      <c r="I60" s="23" t="n">
        <v>43147</v>
      </c>
      <c r="J60" s="23" t="n">
        <f>MAX(POPtable[[#This Row],[Stock on hand(opening balance)]]+POPtable[[#This Row],[Quantity ]]-POPtable[[#This Row],[Forecasted consumption]],0)</f>
        <v>38340</v>
      </c>
      <c r="K60" s="2"/>
      <c r="L60" s="2"/>
      <c r="M60" s="18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3" t="n">
        <f>POPtable[[#This Row],[Closing balance ]]/POPtable[[#This Row],[Forecasted consumption]]</f>
        <v>0.88859016849375394</v>
      </c>
      <c r="X60" s="25"/>
    </row>
    <row r="61">
      <c r="B61" s="6" t="s">
        <v>72</v>
      </c>
      <c r="C61" s="17" t="s">
        <v>54</v>
      </c>
      <c r="D61" s="17"/>
      <c r="E61" s="18" t="s">
        <v>31</v>
      </c>
      <c r="F61" s="19" t="n">
        <v>45778</v>
      </c>
      <c r="G61" s="23" t="n">
        <f t="shared" si="3"/>
        <v>38340</v>
      </c>
      <c r="H61" s="23"/>
      <c r="I61" s="23" t="n">
        <v>43147</v>
      </c>
      <c r="J61" s="23" t="n">
        <f>MAX(POPtable[[#This Row],[Stock on hand(opening balance)]]+POPtable[[#This Row],[Quantity ]]-POPtable[[#This Row],[Forecasted consumption]],0)</f>
        <v>0</v>
      </c>
      <c r="K61" s="2"/>
      <c r="L61" s="2"/>
      <c r="M61" s="18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POPtable[[#This Row],[Closing balance ]]/POPtable[[#This Row],[Forecasted consumption]]</f>
        <v>0</v>
      </c>
      <c r="X61" s="25"/>
    </row>
    <row r="62">
      <c r="B62" s="6" t="s">
        <v>72</v>
      </c>
      <c r="C62" s="17" t="s">
        <v>54</v>
      </c>
      <c r="D62" s="17"/>
      <c r="E62" s="18" t="s">
        <v>31</v>
      </c>
      <c r="F62" s="19" t="n">
        <v>45809</v>
      </c>
      <c r="G62" s="23" t="n">
        <f t="shared" si="3"/>
        <v>0</v>
      </c>
      <c r="H62" s="23"/>
      <c r="I62" s="23" t="n">
        <v>43147</v>
      </c>
      <c r="J62" s="23" t="n">
        <f>MAX(POPtable[[#This Row],[Stock on hand(opening balance)]]+POPtable[[#This Row],[Quantity ]]-POPtable[[#This Row],[Forecasted consumption]],0)</f>
        <v>0</v>
      </c>
      <c r="K62" s="2"/>
      <c r="L62" s="2"/>
      <c r="M62" s="18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POPtable[[#This Row],[Closing balance ]]/POPtable[[#This Row],[Forecasted consumption]]</f>
        <v>0</v>
      </c>
      <c r="X62" s="25"/>
    </row>
    <row r="63">
      <c r="B63" s="6" t="s">
        <v>72</v>
      </c>
      <c r="C63" s="17" t="s">
        <v>54</v>
      </c>
      <c r="D63" s="17"/>
      <c r="E63" s="18" t="s">
        <v>31</v>
      </c>
      <c r="F63" s="19" t="n">
        <v>45839</v>
      </c>
      <c r="G63" s="23" t="n">
        <f t="shared" si="3"/>
        <v>0</v>
      </c>
      <c r="H63" s="23"/>
      <c r="I63" s="23" t="n">
        <v>43147</v>
      </c>
      <c r="J63" s="23" t="n">
        <f>MAX(POPtable[[#This Row],[Stock on hand(opening balance)]]+POPtable[[#This Row],[Quantity ]]-POPtable[[#This Row],[Forecasted consumption]],0)</f>
        <v>0</v>
      </c>
      <c r="K63" s="2"/>
      <c r="L63" s="2"/>
      <c r="M63" s="18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POPtable[[#This Row],[Closing balance ]]/POPtable[[#This Row],[Forecasted consumption]]</f>
        <v>0</v>
      </c>
      <c r="X63" s="25"/>
    </row>
    <row r="64">
      <c r="B64" s="6" t="s">
        <v>72</v>
      </c>
      <c r="C64" s="17" t="s">
        <v>54</v>
      </c>
      <c r="D64" s="17"/>
      <c r="E64" s="18" t="s">
        <v>31</v>
      </c>
      <c r="F64" s="19" t="n">
        <v>45870</v>
      </c>
      <c r="G64" s="23" t="n">
        <f t="shared" si="3"/>
        <v>0</v>
      </c>
      <c r="H64" s="23"/>
      <c r="I64" s="23" t="n">
        <v>43147</v>
      </c>
      <c r="J64" s="23" t="n">
        <f>MAX(POPtable[[#This Row],[Stock on hand(opening balance)]]+POPtable[[#This Row],[Quantity ]]-POPtable[[#This Row],[Forecasted consumption]],0)</f>
        <v>0</v>
      </c>
      <c r="K64" s="2"/>
      <c r="L64" s="2"/>
      <c r="M64" s="18"/>
      <c r="N64" s="23"/>
      <c r="O64" s="2"/>
      <c r="P64" s="20"/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POPtable[[#This Row],[Closing balance ]]/POPtable[[#This Row],[Forecasted consumption]]</f>
        <v>0</v>
      </c>
      <c r="X64" s="25"/>
    </row>
    <row r="65">
      <c r="B65" s="6" t="s">
        <v>72</v>
      </c>
      <c r="C65" s="17" t="s">
        <v>54</v>
      </c>
      <c r="D65" s="17"/>
      <c r="E65" s="18" t="s">
        <v>31</v>
      </c>
      <c r="F65" s="19" t="n">
        <v>45901</v>
      </c>
      <c r="G65" s="23" t="n">
        <f t="shared" si="3"/>
        <v>0</v>
      </c>
      <c r="H65" s="23"/>
      <c r="I65" s="23" t="n">
        <v>43147</v>
      </c>
      <c r="J65" s="23" t="n">
        <f>MAX(POPtable[[#This Row],[Stock on hand(opening balance)]]+POPtable[[#This Row],[Quantity ]]-POPtable[[#This Row],[Forecasted consumption]],0)</f>
        <v>0</v>
      </c>
      <c r="K65" s="2"/>
      <c r="L65" s="2"/>
      <c r="M65" s="18"/>
      <c r="N65" s="23"/>
      <c r="O65" s="2"/>
      <c r="P65" s="20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POPtable[[#This Row],[Closing balance ]]/POPtable[[#This Row],[Forecasted consumption]]</f>
        <v>0</v>
      </c>
      <c r="X65" s="25"/>
    </row>
    <row r="66">
      <c r="B66" s="6" t="s">
        <v>72</v>
      </c>
      <c r="C66" s="17" t="s">
        <v>54</v>
      </c>
      <c r="D66" s="17"/>
      <c r="E66" s="18" t="s">
        <v>31</v>
      </c>
      <c r="F66" s="19" t="n">
        <v>45931</v>
      </c>
      <c r="G66" s="23" t="n">
        <f t="shared" si="3"/>
        <v>0</v>
      </c>
      <c r="H66" s="23"/>
      <c r="I66" s="23" t="n">
        <v>43147</v>
      </c>
      <c r="J66" s="23" t="n">
        <f>MAX(POPtable[[#This Row],[Stock on hand(opening balance)]]+POPtable[[#This Row],[Quantity ]]-POPtable[[#This Row],[Forecasted consumption]],0)</f>
        <v>19122</v>
      </c>
      <c r="K66" s="2" t="s">
        <v>2</v>
      </c>
      <c r="L66" s="2" t="s">
        <v>2</v>
      </c>
      <c r="M66" s="18" t="s">
        <v>4</v>
      </c>
      <c r="N66" s="23" t="n">
        <v>62269</v>
      </c>
      <c r="O66" s="2"/>
      <c r="P66" s="20" t="n">
        <v>20922</v>
      </c>
      <c r="Q66" s="24" t="n">
        <v>45931</v>
      </c>
      <c r="R66" s="2"/>
      <c r="S66" s="2"/>
      <c r="T66" s="2" t="n">
        <v>6</v>
      </c>
      <c r="U66" s="2" t="n">
        <v>12</v>
      </c>
      <c r="V66" s="2" t="n">
        <v>12</v>
      </c>
      <c r="W66" s="3" t="n">
        <f>POPtable[[#This Row],[Closing balance ]]/POPtable[[#This Row],[Forecasted consumption]]</f>
        <v>0.44318260829258116</v>
      </c>
      <c r="X66" s="25"/>
    </row>
    <row r="67">
      <c r="B67" s="6" t="s">
        <v>72</v>
      </c>
      <c r="C67" s="17" t="s">
        <v>54</v>
      </c>
      <c r="D67" s="17"/>
      <c r="E67" s="18" t="s">
        <v>31</v>
      </c>
      <c r="F67" s="19" t="n">
        <v>45962</v>
      </c>
      <c r="G67" s="23" t="n">
        <f t="shared" si="3"/>
        <v>19122</v>
      </c>
      <c r="H67" s="23"/>
      <c r="I67" s="23" t="n">
        <v>43147</v>
      </c>
      <c r="J67" s="23" t="n">
        <f>MAX(POPtable[[#This Row],[Stock on hand(opening balance)]]+POPtable[[#This Row],[Quantity ]]-POPtable[[#This Row],[Forecasted consumption]],0)</f>
        <v>0</v>
      </c>
      <c r="K67" s="2"/>
      <c r="L67" s="2"/>
      <c r="M67" s="18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POPtable[[#This Row],[Closing balance ]]/POPtable[[#This Row],[Forecasted consumption]]</f>
        <v>0</v>
      </c>
      <c r="X67" s="25"/>
    </row>
    <row r="68">
      <c r="B68" s="6" t="s">
        <v>72</v>
      </c>
      <c r="C68" s="17" t="s">
        <v>54</v>
      </c>
      <c r="D68" s="17"/>
      <c r="E68" s="18" t="s">
        <v>31</v>
      </c>
      <c r="F68" s="19" t="n">
        <v>45992</v>
      </c>
      <c r="G68" s="23" t="n">
        <f t="shared" si="3"/>
        <v>0</v>
      </c>
      <c r="H68" s="23"/>
      <c r="I68" s="23" t="n">
        <v>43147</v>
      </c>
      <c r="J68" s="23" t="n">
        <f>MAX(POPtable[[#This Row],[Stock on hand(opening balance)]]+POPtable[[#This Row],[Quantity ]]-POPtable[[#This Row],[Forecasted consumption]],0)</f>
        <v>0</v>
      </c>
      <c r="K68" s="2"/>
      <c r="L68" s="2"/>
      <c r="M68" s="18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POPtable[[#This Row],[Closing balance ]]/POPtable[[#This Row],[Forecasted consumption]]</f>
        <v>0</v>
      </c>
      <c r="X68" s="25"/>
    </row>
    <row r="69">
      <c r="B69" s="6" t="s">
        <v>72</v>
      </c>
      <c r="C69" s="17" t="s">
        <v>54</v>
      </c>
      <c r="D69" s="17"/>
      <c r="E69" s="18" t="s">
        <v>31</v>
      </c>
      <c r="F69" s="19" t="n">
        <v>46023</v>
      </c>
      <c r="G69" s="23" t="n">
        <f t="shared" si="3"/>
        <v>0</v>
      </c>
      <c r="H69" s="23"/>
      <c r="I69" s="23" t="n">
        <v>43147</v>
      </c>
      <c r="J69" s="23" t="n">
        <f>MAX(POPtable[[#This Row],[Stock on hand(opening balance)]]+POPtable[[#This Row],[Quantity ]]-POPtable[[#This Row],[Forecasted consumption]],0)</f>
        <v>0</v>
      </c>
      <c r="K69" s="2"/>
      <c r="L69" s="2"/>
      <c r="M69" s="18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3" t="n">
        <f>POPtable[[#This Row],[Closing balance ]]/POPtable[[#This Row],[Forecasted consumption]]</f>
        <v>0</v>
      </c>
      <c r="X69" s="25"/>
    </row>
    <row r="70">
      <c r="B70" s="6" t="s">
        <v>72</v>
      </c>
      <c r="C70" s="17" t="s">
        <v>54</v>
      </c>
      <c r="D70" s="17"/>
      <c r="E70" s="18" t="s">
        <v>31</v>
      </c>
      <c r="F70" s="19" t="n">
        <v>46054</v>
      </c>
      <c r="G70" s="23" t="n">
        <f t="shared" si="3"/>
        <v>0</v>
      </c>
      <c r="H70" s="23"/>
      <c r="I70" s="23" t="n">
        <v>43147</v>
      </c>
      <c r="J70" s="23" t="n">
        <f>MAX(POPtable[[#This Row],[Stock on hand(opening balance)]]+POPtable[[#This Row],[Quantity ]]-POPtable[[#This Row],[Forecasted consumption]],0)</f>
        <v>0</v>
      </c>
      <c r="K70" s="2"/>
      <c r="L70" s="2"/>
      <c r="M70" s="18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POPtable[[#This Row],[Closing balance ]]/POPtable[[#This Row],[Forecasted consumption]]</f>
        <v>0</v>
      </c>
      <c r="X70" s="25"/>
    </row>
    <row r="71">
      <c r="B71" s="6" t="s">
        <v>72</v>
      </c>
      <c r="C71" s="17" t="s">
        <v>54</v>
      </c>
      <c r="D71" s="17"/>
      <c r="E71" s="18" t="s">
        <v>31</v>
      </c>
      <c r="F71" s="19" t="n">
        <v>46082</v>
      </c>
      <c r="G71" s="23" t="n">
        <f t="shared" si="3"/>
        <v>0</v>
      </c>
      <c r="H71" s="23"/>
      <c r="I71" s="23" t="n">
        <v>43147</v>
      </c>
      <c r="J71" s="23" t="n">
        <f>MAX(POPtable[[#This Row],[Stock on hand(opening balance)]]+POPtable[[#This Row],[Quantity ]]-POPtable[[#This Row],[Forecasted consumption]],0)</f>
        <v>0</v>
      </c>
      <c r="K71" s="2"/>
      <c r="L71" s="2"/>
      <c r="M71" s="18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POPtable[[#This Row],[Closing balance ]]/POPtable[[#This Row],[Forecasted consumption]]</f>
        <v>0</v>
      </c>
      <c r="X71" s="25"/>
    </row>
    <row r="72">
      <c r="B72" s="6" t="s">
        <v>72</v>
      </c>
      <c r="C72" s="17" t="s">
        <v>54</v>
      </c>
      <c r="D72" s="17"/>
      <c r="E72" s="18" t="s">
        <v>31</v>
      </c>
      <c r="F72" s="19" t="n">
        <v>46113</v>
      </c>
      <c r="G72" s="23" t="n">
        <f t="shared" si="3"/>
        <v>0</v>
      </c>
      <c r="H72" s="23"/>
      <c r="I72" s="23" t="n">
        <v>43147</v>
      </c>
      <c r="J72" s="23" t="n">
        <f>MAX(POPtable[[#This Row],[Stock on hand(opening balance)]]+POPtable[[#This Row],[Quantity ]]-POPtable[[#This Row],[Forecasted consumption]],0)</f>
        <v>0</v>
      </c>
      <c r="K72" s="2"/>
      <c r="L72" s="2"/>
      <c r="M72" s="18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POPtable[[#This Row],[Closing balance ]]/POPtable[[#This Row],[Forecasted consumption]]</f>
        <v>0</v>
      </c>
      <c r="X72" s="25"/>
    </row>
    <row r="73">
      <c r="B73" s="6" t="s">
        <v>72</v>
      </c>
      <c r="C73" s="17" t="s">
        <v>54</v>
      </c>
      <c r="D73" s="17"/>
      <c r="E73" s="18" t="s">
        <v>31</v>
      </c>
      <c r="F73" s="19" t="n">
        <v>46143</v>
      </c>
      <c r="G73" s="23" t="n">
        <f t="shared" si="3"/>
        <v>0</v>
      </c>
      <c r="H73" s="23"/>
      <c r="I73" s="23" t="n">
        <v>43147</v>
      </c>
      <c r="J73" s="23" t="n">
        <f>MAX(POPtable[[#This Row],[Stock on hand(opening balance)]]+POPtable[[#This Row],[Quantity ]]-POPtable[[#This Row],[Forecasted consumption]],0)</f>
        <v>23773</v>
      </c>
      <c r="K73" s="2" t="s">
        <v>2</v>
      </c>
      <c r="L73" s="2" t="s">
        <v>2</v>
      </c>
      <c r="M73" s="18" t="s">
        <v>4</v>
      </c>
      <c r="N73" s="23" t="n">
        <v>66920</v>
      </c>
      <c r="O73" s="2"/>
      <c r="P73" s="20" t="n">
        <v>22485</v>
      </c>
      <c r="Q73" s="24" t="n">
        <v>46143</v>
      </c>
      <c r="R73" s="2"/>
      <c r="S73" s="2"/>
      <c r="T73" s="2" t="n">
        <v>6</v>
      </c>
      <c r="U73" s="2" t="n">
        <v>12</v>
      </c>
      <c r="V73" s="2" t="n">
        <v>12</v>
      </c>
      <c r="W73" s="3" t="n">
        <f>POPtable[[#This Row],[Closing balance ]]/POPtable[[#This Row],[Forecasted consumption]]</f>
        <v>0.55097689294736596</v>
      </c>
      <c r="X73" s="25"/>
    </row>
    <row r="74">
      <c r="B74" s="6" t="s">
        <v>72</v>
      </c>
      <c r="C74" s="17" t="s">
        <v>54</v>
      </c>
      <c r="D74" s="17"/>
      <c r="E74" s="18" t="s">
        <v>31</v>
      </c>
      <c r="F74" s="19" t="n">
        <v>46174</v>
      </c>
      <c r="G74" s="23" t="n">
        <f t="shared" si="3"/>
        <v>23773</v>
      </c>
      <c r="H74" s="23"/>
      <c r="I74" s="23" t="n">
        <v>43147</v>
      </c>
      <c r="J74" s="23" t="n">
        <f>MAX(POPtable[[#This Row],[Stock on hand(opening balance)]]+POPtable[[#This Row],[Quantity ]]-POPtable[[#This Row],[Forecasted consumption]],0)</f>
        <v>0</v>
      </c>
      <c r="K74" s="2"/>
      <c r="L74" s="2"/>
      <c r="M74" s="18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POPtable[[#This Row],[Closing balance ]]/POPtable[[#This Row],[Forecasted consumption]]</f>
        <v>0</v>
      </c>
      <c r="X74" s="25"/>
    </row>
    <row r="75">
      <c r="B75" s="6" t="s">
        <v>72</v>
      </c>
      <c r="C75" s="17" t="s">
        <v>54</v>
      </c>
      <c r="D75" s="17"/>
      <c r="E75" s="18" t="s">
        <v>31</v>
      </c>
      <c r="F75" s="19" t="n">
        <v>46204</v>
      </c>
      <c r="G75" s="23" t="n">
        <f t="shared" si="3"/>
        <v>0</v>
      </c>
      <c r="H75" s="23"/>
      <c r="I75" s="23" t="n">
        <v>43147</v>
      </c>
      <c r="J75" s="23" t="n">
        <f>MAX(POPtable[[#This Row],[Stock on hand(opening balance)]]+POPtable[[#This Row],[Quantity ]]-POPtable[[#This Row],[Forecasted consumption]],0)</f>
        <v>0</v>
      </c>
      <c r="K75" s="2"/>
      <c r="L75" s="2"/>
      <c r="M75" s="18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POPtable[[#This Row],[Closing balance ]]/POPtable[[#This Row],[Forecasted consumption]]</f>
        <v>0</v>
      </c>
      <c r="X75" s="25"/>
    </row>
    <row r="76">
      <c r="B76" s="6" t="s">
        <v>72</v>
      </c>
      <c r="C76" s="17" t="s">
        <v>54</v>
      </c>
      <c r="D76" s="17"/>
      <c r="E76" s="18" t="s">
        <v>31</v>
      </c>
      <c r="F76" s="19" t="n">
        <v>46235</v>
      </c>
      <c r="G76" s="23" t="n">
        <f t="shared" si="3"/>
        <v>0</v>
      </c>
      <c r="H76" s="23"/>
      <c r="I76" s="23" t="n">
        <v>43147</v>
      </c>
      <c r="J76" s="23" t="n">
        <f>MAX(POPtable[[#This Row],[Stock on hand(opening balance)]]+POPtable[[#This Row],[Quantity ]]-POPtable[[#This Row],[Forecasted consumption]],0)</f>
        <v>0</v>
      </c>
      <c r="K76" s="2"/>
      <c r="L76" s="2"/>
      <c r="M76" s="18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POPtable[[#This Row],[Closing balance ]]/POPtable[[#This Row],[Forecasted consumption]]</f>
        <v>0</v>
      </c>
      <c r="X76" s="25"/>
    </row>
    <row r="77">
      <c r="B77" s="6" t="s">
        <v>72</v>
      </c>
      <c r="C77" s="17" t="s">
        <v>54</v>
      </c>
      <c r="D77" s="17"/>
      <c r="E77" s="18" t="s">
        <v>31</v>
      </c>
      <c r="F77" s="19" t="n">
        <v>46266</v>
      </c>
      <c r="G77" s="23" t="n">
        <f t="shared" si="3"/>
        <v>0</v>
      </c>
      <c r="H77" s="23"/>
      <c r="I77" s="23" t="n">
        <v>43147</v>
      </c>
      <c r="J77" s="23" t="n">
        <f>MAX(POPtable[[#This Row],[Stock on hand(opening balance)]]+POPtable[[#This Row],[Quantity ]]-POPtable[[#This Row],[Forecasted consumption]],0)</f>
        <v>0</v>
      </c>
      <c r="K77" s="2"/>
      <c r="L77" s="2"/>
      <c r="M77" s="18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POPtable[[#This Row],[Closing balance ]]/POPtable[[#This Row],[Forecasted consumption]]</f>
        <v>0</v>
      </c>
      <c r="X77" s="25"/>
    </row>
    <row r="78">
      <c r="B78" s="6" t="s">
        <v>72</v>
      </c>
      <c r="C78" s="17" t="s">
        <v>54</v>
      </c>
      <c r="D78" s="17"/>
      <c r="E78" s="18" t="s">
        <v>31</v>
      </c>
      <c r="F78" s="19" t="n">
        <v>46296</v>
      </c>
      <c r="G78" s="23" t="n">
        <f t="shared" si="3"/>
        <v>0</v>
      </c>
      <c r="H78" s="23"/>
      <c r="I78" s="23" t="n">
        <v>43147</v>
      </c>
      <c r="J78" s="23" t="n">
        <f>MAX(POPtable[[#This Row],[Stock on hand(opening balance)]]+POPtable[[#This Row],[Quantity ]]-POPtable[[#This Row],[Forecasted consumption]],0)</f>
        <v>0</v>
      </c>
      <c r="K78" s="2"/>
      <c r="L78" s="2"/>
      <c r="M78" s="18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POPtable[[#This Row],[Closing balance ]]/POPtable[[#This Row],[Forecasted consumption]]</f>
        <v>0</v>
      </c>
      <c r="X78" s="25"/>
    </row>
    <row r="79">
      <c r="B79" s="6" t="s">
        <v>72</v>
      </c>
      <c r="C79" s="17" t="s">
        <v>54</v>
      </c>
      <c r="D79" s="17"/>
      <c r="E79" s="18" t="s">
        <v>31</v>
      </c>
      <c r="F79" s="19" t="n">
        <v>46327</v>
      </c>
      <c r="G79" s="23" t="n">
        <f t="shared" si="3"/>
        <v>0</v>
      </c>
      <c r="H79" s="23"/>
      <c r="I79" s="23" t="n">
        <v>43147</v>
      </c>
      <c r="J79" s="23" t="n">
        <f>MAX(POPtable[[#This Row],[Stock on hand(opening balance)]]+POPtable[[#This Row],[Quantity ]]-POPtable[[#This Row],[Forecasted consumption]],0)</f>
        <v>0</v>
      </c>
      <c r="K79" s="2"/>
      <c r="L79" s="2"/>
      <c r="M79" s="18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POPtable[[#This Row],[Closing balance ]]/POPtable[[#This Row],[Forecasted consumption]]</f>
        <v>0</v>
      </c>
      <c r="X79" s="25"/>
    </row>
    <row r="80">
      <c r="B80" s="6" t="s">
        <v>72</v>
      </c>
      <c r="C80" s="17" t="s">
        <v>54</v>
      </c>
      <c r="D80" s="17"/>
      <c r="E80" s="18" t="s">
        <v>31</v>
      </c>
      <c r="F80" s="19" t="n">
        <v>46357</v>
      </c>
      <c r="G80" s="23" t="n">
        <f t="shared" si="3"/>
        <v>0</v>
      </c>
      <c r="H80" s="23"/>
      <c r="I80" s="23" t="n">
        <v>43147</v>
      </c>
      <c r="J80" s="23" t="n">
        <f>MAX(POPtable[[#This Row],[Stock on hand(opening balance)]]+POPtable[[#This Row],[Quantity ]]-POPtable[[#This Row],[Forecasted consumption]],0)</f>
        <v>24231</v>
      </c>
      <c r="K80" s="2" t="s">
        <v>2</v>
      </c>
      <c r="L80" s="2" t="s">
        <v>2</v>
      </c>
      <c r="M80" s="18" t="s">
        <v>4</v>
      </c>
      <c r="N80" s="23" t="n">
        <v>67378</v>
      </c>
      <c r="O80" s="2"/>
      <c r="P80" s="20" t="n">
        <v>22639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3" t="n">
        <f>POPtable[[#This Row],[Closing balance ]]/POPtable[[#This Row],[Forecasted consumption]]</f>
        <v>0.56159176767793817</v>
      </c>
      <c r="X80" s="25"/>
    </row>
    <row r="81">
      <c r="B81" s="6" t="s">
        <v>77</v>
      </c>
      <c r="C81" s="17" t="s">
        <v>133</v>
      </c>
      <c r="D81" s="17" t="s">
        <v>50</v>
      </c>
      <c r="E81" s="2" t="s">
        <v>31</v>
      </c>
      <c r="F81" s="24" t="n">
        <v>45839</v>
      </c>
      <c r="G81" s="23" t="n">
        <v>542712</v>
      </c>
      <c r="H81" s="23"/>
      <c r="I81" s="23" t="n">
        <v>117973</v>
      </c>
      <c r="J81" s="23" t="n">
        <f>MAX(POPtable[[#This Row],[Stock on hand(opening balance)]]+POPtable[[#This Row],[Quantity ]]-POPtable[[#This Row],[Forecasted consumption]],0)</f>
        <v>424739</v>
      </c>
      <c r="K81" s="2"/>
      <c r="L81" s="2"/>
      <c r="M81" s="2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POPtable[[#This Row],[Closing balance ]]/POPtable[[#This Row],[Forecasted consumption]]</f>
        <v>3.6003068498724282</v>
      </c>
      <c r="X81" s="25"/>
    </row>
    <row r="82">
      <c r="B82" s="6" t="s">
        <v>77</v>
      </c>
      <c r="C82" s="17" t="s">
        <v>133</v>
      </c>
      <c r="D82" s="17" t="s">
        <v>50</v>
      </c>
      <c r="E82" s="2" t="s">
        <v>31</v>
      </c>
      <c r="F82" s="24" t="n">
        <v>45870</v>
      </c>
      <c r="G82" s="23" t="n">
        <f>J81</f>
        <v>424739</v>
      </c>
      <c r="H82" s="23"/>
      <c r="I82" s="23" t="n">
        <v>117973</v>
      </c>
      <c r="J82" s="23" t="n">
        <f>MAX(POPtable[[#This Row],[Stock on hand(opening balance)]]+POPtable[[#This Row],[Quantity ]]-POPtable[[#This Row],[Forecasted consumption]],0)</f>
        <v>1785646</v>
      </c>
      <c r="K82" s="2" t="s">
        <v>51</v>
      </c>
      <c r="L82" s="2" t="s">
        <v>51</v>
      </c>
      <c r="M82" s="2" t="s">
        <v>154</v>
      </c>
      <c r="N82" s="23" t="n">
        <v>1478880</v>
      </c>
      <c r="O82" s="2"/>
      <c r="P82" s="20"/>
      <c r="Q82" s="24" t="n">
        <v>42217</v>
      </c>
      <c r="R82" s="2"/>
      <c r="S82" s="2"/>
      <c r="T82" s="2" t="n">
        <v>6</v>
      </c>
      <c r="U82" s="2" t="n">
        <v>12</v>
      </c>
      <c r="V82" s="2" t="n">
        <v>12</v>
      </c>
      <c r="W82" s="3" t="n">
        <f>POPtable[[#This Row],[Closing balance ]]/POPtable[[#This Row],[Forecasted consumption]]</f>
        <v>15.136056555313504</v>
      </c>
      <c r="X82" s="25"/>
    </row>
    <row r="83">
      <c r="B83" s="6" t="s">
        <v>77</v>
      </c>
      <c r="C83" s="17" t="s">
        <v>133</v>
      </c>
      <c r="D83" s="17" t="s">
        <v>50</v>
      </c>
      <c r="E83" s="2" t="s">
        <v>31</v>
      </c>
      <c r="F83" s="24" t="n">
        <v>45901</v>
      </c>
      <c r="G83" s="23" t="n">
        <f t="shared" ref="G83:G92" si="4">J82</f>
        <v>1785646</v>
      </c>
      <c r="H83" s="23"/>
      <c r="I83" s="23" t="n">
        <v>117973</v>
      </c>
      <c r="J83" s="23" t="n">
        <f>MAX(POPtable[[#This Row],[Stock on hand(opening balance)]]+POPtable[[#This Row],[Quantity ]]-POPtable[[#This Row],[Forecasted consumption]],0)</f>
        <v>1667673</v>
      </c>
      <c r="K83" s="2"/>
      <c r="L83" s="2"/>
      <c r="M83" s="2"/>
      <c r="N83" s="23"/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POPtable[[#This Row],[Closing balance ]]/POPtable[[#This Row],[Forecasted consumption]]</f>
        <v>14.136056555313504</v>
      </c>
      <c r="X83" s="25"/>
    </row>
    <row r="84">
      <c r="B84" s="6" t="s">
        <v>77</v>
      </c>
      <c r="C84" s="17" t="s">
        <v>133</v>
      </c>
      <c r="D84" s="17" t="s">
        <v>50</v>
      </c>
      <c r="E84" s="2" t="s">
        <v>31</v>
      </c>
      <c r="F84" s="24" t="n">
        <v>45931</v>
      </c>
      <c r="G84" s="23" t="n">
        <f t="shared" si="4"/>
        <v>1667673</v>
      </c>
      <c r="H84" s="23"/>
      <c r="I84" s="23" t="n">
        <v>117973</v>
      </c>
      <c r="J84" s="23" t="n">
        <f>MAX(POPtable[[#This Row],[Stock on hand(opening balance)]]+POPtable[[#This Row],[Quantity ]]-POPtable[[#This Row],[Forecasted consumption]],0)</f>
        <v>1549700</v>
      </c>
      <c r="K84" s="2"/>
      <c r="L84" s="2"/>
      <c r="M84" s="2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3" t="n">
        <f>POPtable[[#This Row],[Closing balance ]]/POPtable[[#This Row],[Forecasted consumption]]</f>
        <v>13.136056555313504</v>
      </c>
      <c r="X84" s="25"/>
    </row>
    <row r="85">
      <c r="B85" s="6" t="s">
        <v>77</v>
      </c>
      <c r="C85" s="17" t="s">
        <v>133</v>
      </c>
      <c r="D85" s="17" t="s">
        <v>50</v>
      </c>
      <c r="E85" s="2" t="s">
        <v>31</v>
      </c>
      <c r="F85" s="24" t="n">
        <v>45962</v>
      </c>
      <c r="G85" s="23" t="n">
        <f t="shared" si="4"/>
        <v>1549700</v>
      </c>
      <c r="H85" s="23"/>
      <c r="I85" s="23" t="n">
        <v>117973</v>
      </c>
      <c r="J85" s="23" t="n">
        <f>MAX(POPtable[[#This Row],[Stock on hand(opening balance)]]+POPtable[[#This Row],[Quantity ]]-POPtable[[#This Row],[Forecasted consumption]],0)</f>
        <v>1431727</v>
      </c>
      <c r="K85" s="2"/>
      <c r="L85" s="2"/>
      <c r="M85" s="2"/>
      <c r="N85" s="23"/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3" t="n">
        <f>POPtable[[#This Row],[Closing balance ]]/POPtable[[#This Row],[Forecasted consumption]]</f>
        <v>12.136056555313504</v>
      </c>
      <c r="X85" s="25"/>
    </row>
    <row r="86">
      <c r="B86" s="6" t="s">
        <v>77</v>
      </c>
      <c r="C86" s="17" t="s">
        <v>133</v>
      </c>
      <c r="D86" s="17" t="s">
        <v>50</v>
      </c>
      <c r="E86" s="2" t="s">
        <v>31</v>
      </c>
      <c r="F86" s="24" t="n">
        <v>45992</v>
      </c>
      <c r="G86" s="23" t="n">
        <f t="shared" si="4"/>
        <v>1431727</v>
      </c>
      <c r="H86" s="23"/>
      <c r="I86" s="23" t="n">
        <v>117973</v>
      </c>
      <c r="J86" s="23" t="n">
        <f>MAX(POPtable[[#This Row],[Stock on hand(opening balance)]]+POPtable[[#This Row],[Quantity ]]-POPtable[[#This Row],[Forecasted consumption]],0)</f>
        <v>1313754</v>
      </c>
      <c r="K86" s="2"/>
      <c r="L86" s="2"/>
      <c r="M86" s="2"/>
      <c r="N86" s="23"/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3" t="n">
        <f>POPtable[[#This Row],[Closing balance ]]/POPtable[[#This Row],[Forecasted consumption]]</f>
        <v>11.136056555313504</v>
      </c>
      <c r="X86" s="25"/>
    </row>
    <row r="87">
      <c r="B87" s="6" t="s">
        <v>77</v>
      </c>
      <c r="C87" s="17" t="s">
        <v>133</v>
      </c>
      <c r="D87" s="17" t="s">
        <v>50</v>
      </c>
      <c r="E87" s="2" t="s">
        <v>31</v>
      </c>
      <c r="F87" s="24" t="n">
        <v>46023</v>
      </c>
      <c r="G87" s="23" t="n">
        <f t="shared" si="4"/>
        <v>1313754</v>
      </c>
      <c r="H87" s="23"/>
      <c r="I87" s="23" t="n">
        <v>117973</v>
      </c>
      <c r="J87" s="23" t="n">
        <f>MAX(POPtable[[#This Row],[Stock on hand(opening balance)]]+POPtable[[#This Row],[Quantity ]]-POPtable[[#This Row],[Forecasted consumption]],0)</f>
        <v>1402803</v>
      </c>
      <c r="K87" s="2" t="s">
        <v>168</v>
      </c>
      <c r="L87" s="2" t="s">
        <v>168</v>
      </c>
      <c r="M87" s="2" t="s">
        <v>147</v>
      </c>
      <c r="N87" s="23" t="n">
        <v>207022</v>
      </c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3" t="n">
        <f>POPtable[[#This Row],[Closing balance ]]/POPtable[[#This Row],[Forecasted consumption]]</f>
        <v>11.890881811940019</v>
      </c>
      <c r="X87" s="25"/>
    </row>
    <row r="88">
      <c r="B88" s="6" t="s">
        <v>77</v>
      </c>
      <c r="C88" s="17" t="s">
        <v>133</v>
      </c>
      <c r="D88" s="17" t="s">
        <v>50</v>
      </c>
      <c r="E88" s="2" t="s">
        <v>31</v>
      </c>
      <c r="F88" s="24" t="n">
        <v>46054</v>
      </c>
      <c r="G88" s="23" t="n">
        <f t="shared" si="4"/>
        <v>1402803</v>
      </c>
      <c r="H88" s="23"/>
      <c r="I88" s="23" t="n">
        <v>117973</v>
      </c>
      <c r="J88" s="23" t="n">
        <f>MAX(POPtable[[#This Row],[Stock on hand(opening balance)]]+POPtable[[#This Row],[Quantity ]]-POPtable[[#This Row],[Forecasted consumption]],0)</f>
        <v>1284830</v>
      </c>
      <c r="K88" s="2"/>
      <c r="L88" s="2"/>
      <c r="M88" s="2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3" t="n">
        <f>POPtable[[#This Row],[Closing balance ]]/POPtable[[#This Row],[Forecasted consumption]]</f>
        <v>10.890881811940019</v>
      </c>
      <c r="X88" s="25"/>
    </row>
    <row r="89">
      <c r="B89" s="6" t="s">
        <v>77</v>
      </c>
      <c r="C89" s="17" t="s">
        <v>133</v>
      </c>
      <c r="D89" s="17" t="s">
        <v>50</v>
      </c>
      <c r="E89" s="2" t="s">
        <v>31</v>
      </c>
      <c r="F89" s="24" t="n">
        <v>46082</v>
      </c>
      <c r="G89" s="23" t="n">
        <f t="shared" si="4"/>
        <v>1284830</v>
      </c>
      <c r="H89" s="23"/>
      <c r="I89" s="23" t="n">
        <v>117973</v>
      </c>
      <c r="J89" s="23" t="n">
        <f>MAX(POPtable[[#This Row],[Stock on hand(opening balance)]]+POPtable[[#This Row],[Quantity ]]-POPtable[[#This Row],[Forecasted consumption]],0)</f>
        <v>1166857</v>
      </c>
      <c r="K89" s="2"/>
      <c r="L89" s="2"/>
      <c r="M89" s="2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3" t="n">
        <f>POPtable[[#This Row],[Closing balance ]]/POPtable[[#This Row],[Forecasted consumption]]</f>
        <v>9.8908818119400195</v>
      </c>
      <c r="X89" s="25"/>
    </row>
    <row r="90">
      <c r="B90" s="6" t="s">
        <v>77</v>
      </c>
      <c r="C90" s="17" t="s">
        <v>133</v>
      </c>
      <c r="D90" s="17" t="s">
        <v>50</v>
      </c>
      <c r="E90" s="2" t="s">
        <v>31</v>
      </c>
      <c r="F90" s="24" t="n">
        <v>46113</v>
      </c>
      <c r="G90" s="23" t="n">
        <f t="shared" si="4"/>
        <v>1166857</v>
      </c>
      <c r="H90" s="23"/>
      <c r="I90" s="23" t="n">
        <v>117973</v>
      </c>
      <c r="J90" s="23" t="n">
        <f>MAX(POPtable[[#This Row],[Stock on hand(opening balance)]]+POPtable[[#This Row],[Quantity ]]-POPtable[[#This Row],[Forecasted consumption]],0)</f>
        <v>1048884</v>
      </c>
      <c r="K90" s="2"/>
      <c r="L90" s="2"/>
      <c r="M90" s="2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3" t="n">
        <f>POPtable[[#This Row],[Closing balance ]]/POPtable[[#This Row],[Forecasted consumption]]</f>
        <v>8.8908818119400195</v>
      </c>
      <c r="X90" s="25"/>
    </row>
    <row r="91">
      <c r="B91" s="6" t="s">
        <v>77</v>
      </c>
      <c r="C91" s="17" t="s">
        <v>133</v>
      </c>
      <c r="D91" s="17" t="s">
        <v>50</v>
      </c>
      <c r="E91" s="2" t="s">
        <v>31</v>
      </c>
      <c r="F91" s="24" t="n">
        <v>46143</v>
      </c>
      <c r="G91" s="23" t="n">
        <f t="shared" si="4"/>
        <v>1048884</v>
      </c>
      <c r="H91" s="23"/>
      <c r="I91" s="23" t="n">
        <v>117973</v>
      </c>
      <c r="J91" s="23" t="n">
        <f>MAX(POPtable[[#This Row],[Stock on hand(opening balance)]]+POPtable[[#This Row],[Quantity ]]-POPtable[[#This Row],[Forecasted consumption]],0)</f>
        <v>930911</v>
      </c>
      <c r="K91" s="2"/>
      <c r="L91" s="2"/>
      <c r="M91" s="2"/>
      <c r="N91" s="23"/>
      <c r="O91" s="2"/>
      <c r="P91" s="20"/>
      <c r="Q91" s="24"/>
      <c r="R91" s="2"/>
      <c r="S91" s="2"/>
      <c r="T91" s="2" t="n">
        <v>6</v>
      </c>
      <c r="U91" s="2" t="n">
        <v>12</v>
      </c>
      <c r="V91" s="2" t="n">
        <v>12</v>
      </c>
      <c r="W91" s="3" t="n">
        <f>POPtable[[#This Row],[Closing balance ]]/POPtable[[#This Row],[Forecasted consumption]]</f>
        <v>7.8908818119400204</v>
      </c>
      <c r="X91" s="25"/>
    </row>
    <row r="92">
      <c r="B92" s="6" t="s">
        <v>77</v>
      </c>
      <c r="C92" s="17" t="s">
        <v>133</v>
      </c>
      <c r="D92" s="17" t="s">
        <v>50</v>
      </c>
      <c r="E92" s="2" t="s">
        <v>31</v>
      </c>
      <c r="F92" s="24" t="n">
        <v>46174</v>
      </c>
      <c r="G92" s="23" t="n">
        <f t="shared" si="4"/>
        <v>930911</v>
      </c>
      <c r="H92" s="23"/>
      <c r="I92" s="23" t="n">
        <v>117973</v>
      </c>
      <c r="J92" s="23" t="n">
        <f>MAX(POPtable[[#This Row],[Stock on hand(opening balance)]]+POPtable[[#This Row],[Quantity ]]-POPtable[[#This Row],[Forecasted consumption]],0)</f>
        <v>812938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3" t="n">
        <f>POPtable[[#This Row],[Closing balance ]]/POPtable[[#This Row],[Forecasted consumption]]</f>
        <v>6.8908818119400204</v>
      </c>
      <c r="X92" s="25"/>
    </row>
    <row r="93">
      <c r="B93" s="6" t="s">
        <v>74</v>
      </c>
      <c r="C93" s="18" t="s">
        <v>54</v>
      </c>
      <c r="D93" s="17" t="s">
        <v>50</v>
      </c>
      <c r="E93" s="2" t="s">
        <v>31</v>
      </c>
      <c r="F93" s="19" t="n">
        <v>45658</v>
      </c>
      <c r="G93" s="20"/>
      <c r="H93" s="20"/>
      <c r="I93" s="20" t="n">
        <v>28000</v>
      </c>
      <c r="J93" s="20" t="n">
        <f>MAX(POPtable[[#This Row],[Stock on hand(opening balance)]]+POPtable[[#This Row],[Quantity ]]-POPtable[[#This Row],[Forecasted consumption]],0)</f>
        <v>0</v>
      </c>
      <c r="K93" s="18"/>
      <c r="L93" s="18"/>
      <c r="M93" s="2"/>
      <c r="N93" s="20"/>
      <c r="O93" s="18"/>
      <c r="P93" s="20"/>
      <c r="Q93" s="19"/>
      <c r="R93" s="18"/>
      <c r="S93" s="18"/>
      <c r="T93" s="18" t="n">
        <v>3</v>
      </c>
      <c r="U93" s="18" t="n">
        <v>6</v>
      </c>
      <c r="V93" s="18" t="n">
        <v>6</v>
      </c>
      <c r="W93" s="21" t="n">
        <f>POPtable[[#This Row],[Closing balance ]]/POPtable[[#This Row],[Forecasted consumption]]</f>
        <v>0</v>
      </c>
      <c r="X93" s="22"/>
    </row>
    <row r="94">
      <c r="B94" s="6" t="s">
        <v>74</v>
      </c>
      <c r="C94" s="18" t="s">
        <v>54</v>
      </c>
      <c r="D94" s="17" t="s">
        <v>50</v>
      </c>
      <c r="E94" s="2" t="s">
        <v>31</v>
      </c>
      <c r="F94" s="19" t="n">
        <v>45689</v>
      </c>
      <c r="G94" s="23"/>
      <c r="H94" s="23"/>
      <c r="I94" s="20" t="n">
        <v>28000</v>
      </c>
      <c r="J94" s="23" t="n">
        <f>MAX(POPtable[[#This Row],[Stock on hand(opening balance)]]+POPtable[[#This Row],[Quantity ]]-POPtable[[#This Row],[Forecasted consumption]],0)</f>
        <v>0</v>
      </c>
      <c r="K94" s="2"/>
      <c r="L94" s="2"/>
      <c r="M94" s="2"/>
      <c r="N94" s="23"/>
      <c r="O94" s="2"/>
      <c r="P94" s="20"/>
      <c r="Q94" s="24"/>
      <c r="R94" s="2"/>
      <c r="S94" s="2"/>
      <c r="T94" s="18" t="n">
        <v>3</v>
      </c>
      <c r="U94" s="18" t="n">
        <v>6</v>
      </c>
      <c r="V94" s="18" t="n">
        <v>6</v>
      </c>
      <c r="W94" s="3" t="n">
        <f>POPtable[[#This Row],[Closing balance ]]/POPtable[[#This Row],[Forecasted consumption]]</f>
        <v>0</v>
      </c>
      <c r="X94" s="25"/>
    </row>
    <row r="95">
      <c r="B95" s="6" t="s">
        <v>74</v>
      </c>
      <c r="C95" s="18" t="s">
        <v>54</v>
      </c>
      <c r="D95" s="17" t="s">
        <v>50</v>
      </c>
      <c r="E95" s="2" t="s">
        <v>31</v>
      </c>
      <c r="F95" s="19" t="n">
        <v>45717</v>
      </c>
      <c r="G95" s="23"/>
      <c r="H95" s="23"/>
      <c r="I95" s="20" t="n">
        <v>28000</v>
      </c>
      <c r="J95" s="23" t="n">
        <f>MAX(POPtable[[#This Row],[Stock on hand(opening balance)]]+POPtable[[#This Row],[Quantity ]]-POPtable[[#This Row],[Forecasted consumption]],0)</f>
        <v>0</v>
      </c>
      <c r="K95" s="2"/>
      <c r="L95" s="2"/>
      <c r="M95" s="2"/>
      <c r="N95" s="23"/>
      <c r="O95" s="2"/>
      <c r="P95" s="20"/>
      <c r="Q95" s="24"/>
      <c r="R95" s="2"/>
      <c r="S95" s="2"/>
      <c r="T95" s="18" t="n">
        <v>3</v>
      </c>
      <c r="U95" s="18" t="n">
        <v>6</v>
      </c>
      <c r="V95" s="18" t="n">
        <v>6</v>
      </c>
      <c r="W95" s="3" t="n">
        <f>POPtable[[#This Row],[Closing balance ]]/POPtable[[#This Row],[Forecasted consumption]]</f>
        <v>0</v>
      </c>
      <c r="X95" s="25"/>
    </row>
    <row r="96">
      <c r="B96" s="6" t="s">
        <v>74</v>
      </c>
      <c r="C96" s="18" t="s">
        <v>54</v>
      </c>
      <c r="D96" s="17" t="s">
        <v>50</v>
      </c>
      <c r="E96" s="2" t="s">
        <v>31</v>
      </c>
      <c r="F96" s="19" t="n">
        <v>45748</v>
      </c>
      <c r="G96" s="23"/>
      <c r="H96" s="23"/>
      <c r="I96" s="20" t="n">
        <v>28000</v>
      </c>
      <c r="J96" s="23" t="n">
        <f>MAX(POPtable[[#This Row],[Stock on hand(opening balance)]]+POPtable[[#This Row],[Quantity ]]-POPtable[[#This Row],[Forecasted consumption]],0)</f>
        <v>0</v>
      </c>
      <c r="K96" s="2"/>
      <c r="L96" s="2"/>
      <c r="M96" s="2"/>
      <c r="N96" s="23"/>
      <c r="O96" s="2"/>
      <c r="P96" s="20"/>
      <c r="Q96" s="24"/>
      <c r="R96" s="2"/>
      <c r="S96" s="2"/>
      <c r="T96" s="18" t="n">
        <v>3</v>
      </c>
      <c r="U96" s="18" t="n">
        <v>6</v>
      </c>
      <c r="V96" s="18" t="n">
        <v>6</v>
      </c>
      <c r="W96" s="3" t="n">
        <f>POPtable[[#This Row],[Closing balance ]]/POPtable[[#This Row],[Forecasted consumption]]</f>
        <v>0</v>
      </c>
      <c r="X96" s="25"/>
    </row>
    <row r="97">
      <c r="B97" s="6" t="s">
        <v>74</v>
      </c>
      <c r="C97" s="18" t="s">
        <v>54</v>
      </c>
      <c r="D97" s="17" t="s">
        <v>50</v>
      </c>
      <c r="E97" s="2" t="s">
        <v>31</v>
      </c>
      <c r="F97" s="19" t="n">
        <v>45778</v>
      </c>
      <c r="G97" s="23"/>
      <c r="H97" s="23"/>
      <c r="I97" s="20" t="n">
        <v>28000</v>
      </c>
      <c r="J97" s="23" t="n">
        <f>MAX(POPtable[[#This Row],[Stock on hand(opening balance)]]+POPtable[[#This Row],[Quantity ]]-POPtable[[#This Row],[Forecasted consumption]],0)</f>
        <v>0</v>
      </c>
      <c r="K97" s="2"/>
      <c r="L97" s="2"/>
      <c r="M97" s="2"/>
      <c r="N97" s="23"/>
      <c r="O97" s="2"/>
      <c r="P97" s="20"/>
      <c r="Q97" s="24"/>
      <c r="R97" s="2"/>
      <c r="S97" s="2"/>
      <c r="T97" s="18" t="n">
        <v>3</v>
      </c>
      <c r="U97" s="18" t="n">
        <v>6</v>
      </c>
      <c r="V97" s="18" t="n">
        <v>6</v>
      </c>
      <c r="W97" s="3" t="n">
        <f>POPtable[[#This Row],[Closing balance ]]/POPtable[[#This Row],[Forecasted consumption]]</f>
        <v>0</v>
      </c>
      <c r="X97" s="25"/>
    </row>
    <row r="98">
      <c r="B98" s="6" t="s">
        <v>74</v>
      </c>
      <c r="C98" s="18" t="s">
        <v>54</v>
      </c>
      <c r="D98" s="17" t="s">
        <v>50</v>
      </c>
      <c r="E98" s="2" t="s">
        <v>31</v>
      </c>
      <c r="F98" s="19" t="n">
        <v>45809</v>
      </c>
      <c r="G98" s="23"/>
      <c r="H98" s="23"/>
      <c r="I98" s="20" t="n">
        <v>28000</v>
      </c>
      <c r="J98" s="23" t="n">
        <f>MAX(POPtable[[#This Row],[Stock on hand(opening balance)]]+POPtable[[#This Row],[Quantity ]]-POPtable[[#This Row],[Forecasted consumption]],0)</f>
        <v>0</v>
      </c>
      <c r="K98" s="2"/>
      <c r="L98" s="2"/>
      <c r="M98" s="2"/>
      <c r="N98" s="23"/>
      <c r="O98" s="2"/>
      <c r="P98" s="20"/>
      <c r="Q98" s="24"/>
      <c r="R98" s="2"/>
      <c r="S98" s="2"/>
      <c r="T98" s="18" t="n">
        <v>3</v>
      </c>
      <c r="U98" s="18" t="n">
        <v>6</v>
      </c>
      <c r="V98" s="18" t="n">
        <v>6</v>
      </c>
      <c r="W98" s="3" t="n">
        <f>POPtable[[#This Row],[Closing balance ]]/POPtable[[#This Row],[Forecasted consumption]]</f>
        <v>0</v>
      </c>
      <c r="X98" s="25"/>
    </row>
    <row r="99">
      <c r="B99" s="6" t="s">
        <v>74</v>
      </c>
      <c r="C99" s="18" t="s">
        <v>54</v>
      </c>
      <c r="D99" s="17" t="s">
        <v>50</v>
      </c>
      <c r="E99" s="2" t="s">
        <v>31</v>
      </c>
      <c r="F99" s="19" t="n">
        <v>45839</v>
      </c>
      <c r="G99" s="23"/>
      <c r="H99" s="23"/>
      <c r="I99" s="20" t="n">
        <v>28000</v>
      </c>
      <c r="J99" s="23" t="n">
        <f>MAX(POPtable[[#This Row],[Stock on hand(opening balance)]]+POPtable[[#This Row],[Quantity ]]-POPtable[[#This Row],[Forecasted consumption]],0)</f>
        <v>0</v>
      </c>
      <c r="K99" s="2"/>
      <c r="L99" s="2"/>
      <c r="M99" s="2"/>
      <c r="N99" s="23"/>
      <c r="O99" s="2"/>
      <c r="P99" s="20"/>
      <c r="Q99" s="24"/>
      <c r="R99" s="2"/>
      <c r="S99" s="2"/>
      <c r="T99" s="18" t="n">
        <v>3</v>
      </c>
      <c r="U99" s="18" t="n">
        <v>6</v>
      </c>
      <c r="V99" s="18" t="n">
        <v>6</v>
      </c>
      <c r="W99" s="3" t="n">
        <f>POPtable[[#This Row],[Closing balance ]]/POPtable[[#This Row],[Forecasted consumption]]</f>
        <v>0</v>
      </c>
      <c r="X99" s="25"/>
    </row>
    <row r="100">
      <c r="B100" s="6" t="s">
        <v>74</v>
      </c>
      <c r="C100" s="18" t="s">
        <v>54</v>
      </c>
      <c r="D100" s="17" t="s">
        <v>50</v>
      </c>
      <c r="E100" s="2" t="s">
        <v>31</v>
      </c>
      <c r="F100" s="19" t="n">
        <v>45870</v>
      </c>
      <c r="G100" s="23" t="n">
        <v>5304</v>
      </c>
      <c r="H100" s="23"/>
      <c r="I100" s="20" t="n">
        <v>28000</v>
      </c>
      <c r="J100" s="23" t="n">
        <f>MAX(POPtable[[#This Row],[Stock on hand(opening balance)]]+POPtable[[#This Row],[Quantity ]]-POPtable[[#This Row],[Forecasted consumption]],0)</f>
        <v>0</v>
      </c>
      <c r="K100" s="2"/>
      <c r="L100" s="2"/>
      <c r="M100" s="2"/>
      <c r="N100" s="23"/>
      <c r="O100" s="2"/>
      <c r="P100" s="20"/>
      <c r="Q100" s="24"/>
      <c r="R100" s="2"/>
      <c r="S100" s="2"/>
      <c r="T100" s="18" t="n">
        <v>3</v>
      </c>
      <c r="U100" s="18" t="n">
        <v>6</v>
      </c>
      <c r="V100" s="18" t="n">
        <v>6</v>
      </c>
      <c r="W100" s="3" t="n">
        <f>POPtable[[#This Row],[Closing balance ]]/POPtable[[#This Row],[Forecasted consumption]]</f>
        <v>0</v>
      </c>
      <c r="X100" s="25"/>
    </row>
    <row r="101">
      <c r="B101" s="6" t="s">
        <v>74</v>
      </c>
      <c r="C101" s="18" t="s">
        <v>54</v>
      </c>
      <c r="D101" s="17" t="s">
        <v>50</v>
      </c>
      <c r="E101" s="2" t="s">
        <v>31</v>
      </c>
      <c r="F101" s="19" t="n">
        <v>45901</v>
      </c>
      <c r="G101" s="23" t="n">
        <f>J100</f>
        <v>0</v>
      </c>
      <c r="H101" s="23"/>
      <c r="I101" s="20" t="n">
        <v>28000</v>
      </c>
      <c r="J101" s="23" t="n">
        <f>MAX(POPtable[[#This Row],[Stock on hand(opening balance)]]+POPtable[[#This Row],[Quantity ]]-POPtable[[#This Row],[Forecasted consumption]],0)</f>
        <v>0</v>
      </c>
      <c r="K101" s="2"/>
      <c r="L101" s="2"/>
      <c r="M101" s="2"/>
      <c r="N101" s="23"/>
      <c r="O101" s="2"/>
      <c r="P101" s="20"/>
      <c r="Q101" s="24"/>
      <c r="R101" s="2"/>
      <c r="S101" s="2"/>
      <c r="T101" s="18" t="n">
        <v>3</v>
      </c>
      <c r="U101" s="18" t="n">
        <v>6</v>
      </c>
      <c r="V101" s="18" t="n">
        <v>6</v>
      </c>
      <c r="W101" s="3" t="n">
        <f>POPtable[[#This Row],[Closing balance ]]/POPtable[[#This Row],[Forecasted consumption]]</f>
        <v>0</v>
      </c>
      <c r="X101" s="25"/>
    </row>
    <row r="102">
      <c r="B102" s="6" t="s">
        <v>74</v>
      </c>
      <c r="C102" s="18" t="s">
        <v>54</v>
      </c>
      <c r="D102" s="17" t="s">
        <v>50</v>
      </c>
      <c r="E102" s="2" t="s">
        <v>31</v>
      </c>
      <c r="F102" s="19" t="n">
        <v>45931</v>
      </c>
      <c r="G102" s="23" t="n">
        <f t="shared" ref="G102:G112" si="5">J101</f>
        <v>0</v>
      </c>
      <c r="H102" s="23"/>
      <c r="I102" s="20" t="n">
        <v>28000</v>
      </c>
      <c r="J102" s="23" t="n">
        <f>MAX(POPtable[[#This Row],[Stock on hand(opening balance)]]+POPtable[[#This Row],[Quantity ]]-POPtable[[#This Row],[Forecasted consumption]],0)</f>
        <v>0</v>
      </c>
      <c r="K102" s="2"/>
      <c r="L102" s="2"/>
      <c r="M102" s="2"/>
      <c r="N102" s="23"/>
      <c r="O102" s="2"/>
      <c r="P102" s="20"/>
      <c r="Q102" s="24"/>
      <c r="R102" s="2"/>
      <c r="S102" s="2"/>
      <c r="T102" s="18" t="n">
        <v>3</v>
      </c>
      <c r="U102" s="18" t="n">
        <v>6</v>
      </c>
      <c r="V102" s="18" t="n">
        <v>6</v>
      </c>
      <c r="W102" s="3" t="n">
        <f>POPtable[[#This Row],[Closing balance ]]/POPtable[[#This Row],[Forecasted consumption]]</f>
        <v>0</v>
      </c>
      <c r="X102" s="25"/>
    </row>
    <row r="103">
      <c r="B103" s="6" t="s">
        <v>74</v>
      </c>
      <c r="C103" s="18" t="s">
        <v>54</v>
      </c>
      <c r="D103" s="17" t="s">
        <v>50</v>
      </c>
      <c r="E103" s="2" t="s">
        <v>31</v>
      </c>
      <c r="F103" s="19" t="n">
        <v>45962</v>
      </c>
      <c r="G103" s="23" t="n">
        <f t="shared" si="5"/>
        <v>0</v>
      </c>
      <c r="H103" s="23"/>
      <c r="I103" s="20" t="n">
        <v>28000</v>
      </c>
      <c r="J103" s="23" t="n">
        <f>MAX(POPtable[[#This Row],[Stock on hand(opening balance)]]+POPtable[[#This Row],[Quantity ]]-POPtable[[#This Row],[Forecasted consumption]],0)</f>
        <v>0</v>
      </c>
      <c r="K103" s="2"/>
      <c r="L103" s="2"/>
      <c r="M103" s="2"/>
      <c r="N103" s="23"/>
      <c r="O103" s="2"/>
      <c r="P103" s="20"/>
      <c r="Q103" s="24"/>
      <c r="R103" s="2"/>
      <c r="S103" s="2"/>
      <c r="T103" s="18" t="n">
        <v>3</v>
      </c>
      <c r="U103" s="18" t="n">
        <v>6</v>
      </c>
      <c r="V103" s="18" t="n">
        <v>6</v>
      </c>
      <c r="W103" s="3" t="n">
        <f>POPtable[[#This Row],[Closing balance ]]/POPtable[[#This Row],[Forecasted consumption]]</f>
        <v>0</v>
      </c>
      <c r="X103" s="25"/>
    </row>
    <row r="104">
      <c r="B104" s="6" t="s">
        <v>74</v>
      </c>
      <c r="C104" s="18" t="s">
        <v>54</v>
      </c>
      <c r="D104" s="17" t="s">
        <v>50</v>
      </c>
      <c r="E104" s="2" t="s">
        <v>31</v>
      </c>
      <c r="F104" s="19" t="n">
        <v>45992</v>
      </c>
      <c r="G104" s="23" t="n">
        <f t="shared" si="5"/>
        <v>0</v>
      </c>
      <c r="H104" s="23"/>
      <c r="I104" s="20" t="n">
        <v>28000</v>
      </c>
      <c r="J104" s="23" t="n">
        <f>MAX(POPtable[[#This Row],[Stock on hand(opening balance)]]+POPtable[[#This Row],[Quantity ]]-POPtable[[#This Row],[Forecasted consumption]],0)</f>
        <v>124714</v>
      </c>
      <c r="K104" s="2" t="s">
        <v>2</v>
      </c>
      <c r="L104" s="2" t="s">
        <v>2</v>
      </c>
      <c r="M104" s="2" t="s">
        <v>4</v>
      </c>
      <c r="N104" s="23" t="n">
        <v>152714</v>
      </c>
      <c r="O104" s="2"/>
      <c r="P104" s="20"/>
      <c r="Q104" s="24"/>
      <c r="R104" s="2"/>
      <c r="S104" s="2"/>
      <c r="T104" s="18" t="n">
        <v>3</v>
      </c>
      <c r="U104" s="18" t="n">
        <v>6</v>
      </c>
      <c r="V104" s="18" t="n">
        <v>6</v>
      </c>
      <c r="W104" s="3" t="n">
        <f>POPtable[[#This Row],[Closing balance ]]/POPtable[[#This Row],[Forecasted consumption]]</f>
        <v>4.4540714285714289</v>
      </c>
      <c r="X104" s="25"/>
    </row>
    <row r="105">
      <c r="B105" s="6" t="s">
        <v>74</v>
      </c>
      <c r="C105" s="18" t="s">
        <v>54</v>
      </c>
      <c r="D105" s="17" t="s">
        <v>50</v>
      </c>
      <c r="E105" s="2" t="s">
        <v>31</v>
      </c>
      <c r="F105" s="19" t="n">
        <v>46023</v>
      </c>
      <c r="G105" s="23" t="n">
        <f t="shared" si="5"/>
        <v>124714</v>
      </c>
      <c r="H105" s="23"/>
      <c r="I105" s="20" t="n">
        <v>28000</v>
      </c>
      <c r="J105" s="23" t="n">
        <f>MAX(POPtable[[#This Row],[Stock on hand(opening balance)]]+POPtable[[#This Row],[Quantity ]]-POPtable[[#This Row],[Forecasted consumption]],0)</f>
        <v>96714</v>
      </c>
      <c r="K105" s="2"/>
      <c r="L105" s="2"/>
      <c r="M105" s="2"/>
      <c r="N105" s="23"/>
      <c r="O105" s="2"/>
      <c r="P105" s="20"/>
      <c r="Q105" s="24"/>
      <c r="R105" s="2"/>
      <c r="S105" s="2"/>
      <c r="T105" s="18" t="n">
        <v>3</v>
      </c>
      <c r="U105" s="18" t="n">
        <v>6</v>
      </c>
      <c r="V105" s="18" t="n">
        <v>6</v>
      </c>
      <c r="W105" s="3" t="n">
        <f>POPtable[[#This Row],[Closing balance ]]/POPtable[[#This Row],[Forecasted consumption]]</f>
        <v>3.4540714285714285</v>
      </c>
      <c r="X105" s="25"/>
    </row>
    <row r="106">
      <c r="B106" s="6" t="s">
        <v>74</v>
      </c>
      <c r="C106" s="18" t="s">
        <v>54</v>
      </c>
      <c r="D106" s="17" t="s">
        <v>50</v>
      </c>
      <c r="E106" s="2" t="s">
        <v>31</v>
      </c>
      <c r="F106" s="19" t="n">
        <v>46054</v>
      </c>
      <c r="G106" s="23" t="n">
        <f t="shared" si="5"/>
        <v>96714</v>
      </c>
      <c r="H106" s="23"/>
      <c r="I106" s="20" t="n">
        <v>28000</v>
      </c>
      <c r="J106" s="23" t="n">
        <f>MAX(POPtable[[#This Row],[Stock on hand(opening balance)]]+POPtable[[#This Row],[Quantity ]]-POPtable[[#This Row],[Forecasted consumption]],0)</f>
        <v>68714</v>
      </c>
      <c r="K106" s="2"/>
      <c r="L106" s="2"/>
      <c r="M106" s="2"/>
      <c r="N106" s="23"/>
      <c r="O106" s="2"/>
      <c r="P106" s="20"/>
      <c r="Q106" s="24"/>
      <c r="R106" s="2"/>
      <c r="S106" s="2"/>
      <c r="T106" s="18" t="n">
        <v>3</v>
      </c>
      <c r="U106" s="18" t="n">
        <v>6</v>
      </c>
      <c r="V106" s="18" t="n">
        <v>6</v>
      </c>
      <c r="W106" s="3" t="n">
        <f>POPtable[[#This Row],[Closing balance ]]/POPtable[[#This Row],[Forecasted consumption]]</f>
        <v>2.4540714285714285</v>
      </c>
      <c r="X106" s="25"/>
    </row>
    <row r="107">
      <c r="B107" s="6" t="s">
        <v>74</v>
      </c>
      <c r="C107" s="18" t="s">
        <v>54</v>
      </c>
      <c r="D107" s="17" t="s">
        <v>50</v>
      </c>
      <c r="E107" s="2" t="s">
        <v>31</v>
      </c>
      <c r="F107" s="19" t="n">
        <v>46082</v>
      </c>
      <c r="G107" s="23" t="n">
        <f t="shared" si="5"/>
        <v>68714</v>
      </c>
      <c r="H107" s="23"/>
      <c r="I107" s="20" t="n">
        <v>28000</v>
      </c>
      <c r="J107" s="23" t="n">
        <f>MAX(POPtable[[#This Row],[Stock on hand(opening balance)]]+POPtable[[#This Row],[Quantity ]]-POPtable[[#This Row],[Forecasted consumption]],0)</f>
        <v>40714</v>
      </c>
      <c r="K107" s="2"/>
      <c r="L107" s="2"/>
      <c r="M107" s="2"/>
      <c r="N107" s="23"/>
      <c r="O107" s="2"/>
      <c r="P107" s="20"/>
      <c r="Q107" s="24"/>
      <c r="R107" s="2"/>
      <c r="S107" s="2"/>
      <c r="T107" s="18" t="n">
        <v>3</v>
      </c>
      <c r="U107" s="18" t="n">
        <v>6</v>
      </c>
      <c r="V107" s="18" t="n">
        <v>6</v>
      </c>
      <c r="W107" s="3" t="n">
        <f>POPtable[[#This Row],[Closing balance ]]/POPtable[[#This Row],[Forecasted consumption]]</f>
        <v>1.4540714285714287</v>
      </c>
      <c r="X107" s="25"/>
    </row>
    <row r="108">
      <c r="B108" s="6" t="s">
        <v>74</v>
      </c>
      <c r="C108" s="18" t="s">
        <v>54</v>
      </c>
      <c r="D108" s="17" t="s">
        <v>50</v>
      </c>
      <c r="E108" s="2" t="s">
        <v>31</v>
      </c>
      <c r="F108" s="19" t="n">
        <v>46113</v>
      </c>
      <c r="G108" s="23" t="n">
        <f t="shared" si="5"/>
        <v>40714</v>
      </c>
      <c r="H108" s="23"/>
      <c r="I108" s="20" t="n">
        <v>28000</v>
      </c>
      <c r="J108" s="23" t="n">
        <f>MAX(POPtable[[#This Row],[Stock on hand(opening balance)]]+POPtable[[#This Row],[Quantity ]]-POPtable[[#This Row],[Forecasted consumption]],0)</f>
        <v>12714</v>
      </c>
      <c r="K108" s="2"/>
      <c r="L108" s="2"/>
      <c r="M108" s="2"/>
      <c r="N108" s="23"/>
      <c r="O108" s="2"/>
      <c r="P108" s="20"/>
      <c r="Q108" s="24"/>
      <c r="R108" s="2"/>
      <c r="S108" s="2"/>
      <c r="T108" s="18" t="n">
        <v>3</v>
      </c>
      <c r="U108" s="18" t="n">
        <v>6</v>
      </c>
      <c r="V108" s="18" t="n">
        <v>6</v>
      </c>
      <c r="W108" s="3" t="n">
        <f>POPtable[[#This Row],[Closing balance ]]/POPtable[[#This Row],[Forecasted consumption]]</f>
        <v>0.45407142857142857</v>
      </c>
      <c r="X108" s="25"/>
    </row>
    <row r="109">
      <c r="B109" s="6" t="s">
        <v>74</v>
      </c>
      <c r="C109" s="18" t="s">
        <v>54</v>
      </c>
      <c r="D109" s="17" t="s">
        <v>50</v>
      </c>
      <c r="E109" s="2" t="s">
        <v>31</v>
      </c>
      <c r="F109" s="19" t="n">
        <v>46143</v>
      </c>
      <c r="G109" s="23" t="n">
        <f t="shared" si="5"/>
        <v>12714</v>
      </c>
      <c r="H109" s="23"/>
      <c r="I109" s="20" t="n">
        <v>28000</v>
      </c>
      <c r="J109" s="23" t="n">
        <f>MAX(POPtable[[#This Row],[Stock on hand(opening balance)]]+POPtable[[#This Row],[Quantity ]]-POPtable[[#This Row],[Forecasted consumption]],0)</f>
        <v>0</v>
      </c>
      <c r="K109" s="2"/>
      <c r="L109" s="2"/>
      <c r="M109" s="2"/>
      <c r="N109" s="23"/>
      <c r="O109" s="2"/>
      <c r="P109" s="20"/>
      <c r="Q109" s="24"/>
      <c r="R109" s="2"/>
      <c r="S109" s="2"/>
      <c r="T109" s="18" t="n">
        <v>3</v>
      </c>
      <c r="U109" s="18" t="n">
        <v>6</v>
      </c>
      <c r="V109" s="18" t="n">
        <v>6</v>
      </c>
      <c r="W109" s="3" t="n">
        <f>POPtable[[#This Row],[Closing balance ]]/POPtable[[#This Row],[Forecasted consumption]]</f>
        <v>0</v>
      </c>
      <c r="X109" s="25"/>
    </row>
    <row r="110">
      <c r="B110" s="6" t="s">
        <v>74</v>
      </c>
      <c r="C110" s="18" t="s">
        <v>54</v>
      </c>
      <c r="D110" s="17" t="s">
        <v>50</v>
      </c>
      <c r="E110" s="2" t="s">
        <v>31</v>
      </c>
      <c r="F110" s="19" t="n">
        <v>46174</v>
      </c>
      <c r="G110" s="23" t="n">
        <f t="shared" si="5"/>
        <v>0</v>
      </c>
      <c r="H110" s="23"/>
      <c r="I110" s="20" t="n">
        <v>28000</v>
      </c>
      <c r="J110" s="23" t="n">
        <f>MAX(POPtable[[#This Row],[Stock on hand(opening balance)]]+POPtable[[#This Row],[Quantity ]]-POPtable[[#This Row],[Forecasted consumption]],0)</f>
        <v>0</v>
      </c>
      <c r="K110" s="2"/>
      <c r="L110" s="2"/>
      <c r="M110" s="2"/>
      <c r="N110" s="23"/>
      <c r="O110" s="2"/>
      <c r="P110" s="20"/>
      <c r="Q110" s="24"/>
      <c r="R110" s="2"/>
      <c r="S110" s="2"/>
      <c r="T110" s="18" t="n">
        <v>3</v>
      </c>
      <c r="U110" s="18" t="n">
        <v>6</v>
      </c>
      <c r="V110" s="18" t="n">
        <v>6</v>
      </c>
      <c r="W110" s="3" t="n">
        <f>POPtable[[#This Row],[Closing balance ]]/POPtable[[#This Row],[Forecasted consumption]]</f>
        <v>0</v>
      </c>
      <c r="X110" s="25"/>
    </row>
    <row r="111">
      <c r="B111" s="6" t="s">
        <v>74</v>
      </c>
      <c r="C111" s="18" t="s">
        <v>54</v>
      </c>
      <c r="D111" s="17" t="s">
        <v>50</v>
      </c>
      <c r="E111" s="2" t="s">
        <v>31</v>
      </c>
      <c r="F111" s="19" t="n">
        <v>46204</v>
      </c>
      <c r="G111" s="23" t="n">
        <f t="shared" si="5"/>
        <v>0</v>
      </c>
      <c r="H111" s="23"/>
      <c r="I111" s="20" t="n">
        <v>28000</v>
      </c>
      <c r="J111" s="23" t="n">
        <f>MAX(POPtable[[#This Row],[Stock on hand(opening balance)]]+POPtable[[#This Row],[Quantity ]]-POPtable[[#This Row],[Forecasted consumption]],0)</f>
        <v>0</v>
      </c>
      <c r="K111" s="2"/>
      <c r="L111" s="2"/>
      <c r="M111" s="2"/>
      <c r="N111" s="23"/>
      <c r="O111" s="2"/>
      <c r="P111" s="20"/>
      <c r="Q111" s="24"/>
      <c r="R111" s="2"/>
      <c r="S111" s="2"/>
      <c r="T111" s="18" t="n">
        <v>3</v>
      </c>
      <c r="U111" s="18" t="n">
        <v>6</v>
      </c>
      <c r="V111" s="18" t="n">
        <v>6</v>
      </c>
      <c r="W111" s="3" t="n">
        <f>POPtable[[#This Row],[Closing balance ]]/POPtable[[#This Row],[Forecasted consumption]]</f>
        <v>0</v>
      </c>
      <c r="X111" s="25"/>
    </row>
    <row r="112">
      <c r="B112" s="6" t="s">
        <v>74</v>
      </c>
      <c r="C112" s="18" t="s">
        <v>54</v>
      </c>
      <c r="D112" s="17" t="s">
        <v>50</v>
      </c>
      <c r="E112" s="2" t="s">
        <v>31</v>
      </c>
      <c r="F112" s="19" t="n">
        <v>46235</v>
      </c>
      <c r="G112" s="23" t="n">
        <f t="shared" si="5"/>
        <v>0</v>
      </c>
      <c r="H112" s="23"/>
      <c r="I112" s="20" t="n">
        <v>28000</v>
      </c>
      <c r="J112" s="23" t="n">
        <f>MAX(POPtable[[#This Row],[Stock on hand(opening balance)]]+POPtable[[#This Row],[Quantity ]]-POPtable[[#This Row],[Forecasted consumption]],0)</f>
        <v>0</v>
      </c>
      <c r="K112" s="2"/>
      <c r="L112" s="2"/>
      <c r="M112" s="2"/>
      <c r="N112" s="23"/>
      <c r="O112" s="2"/>
      <c r="P112" s="20"/>
      <c r="Q112" s="24"/>
      <c r="R112" s="2"/>
      <c r="S112" s="2"/>
      <c r="T112" s="18" t="n">
        <v>3</v>
      </c>
      <c r="U112" s="18" t="n">
        <v>6</v>
      </c>
      <c r="V112" s="18" t="n">
        <v>6</v>
      </c>
      <c r="W112" s="3" t="n">
        <f>POPtable[[#This Row],[Closing balance ]]/POPtable[[#This Row],[Forecasted consumption]]</f>
        <v>0</v>
      </c>
      <c r="X112" s="25"/>
    </row>
    <row r="113">
      <c r="B113" s="6" t="s">
        <v>166</v>
      </c>
      <c r="C113" s="18" t="s">
        <v>54</v>
      </c>
      <c r="D113" s="17" t="s">
        <v>50</v>
      </c>
      <c r="E113" s="2" t="s">
        <v>31</v>
      </c>
      <c r="F113" s="19" t="n">
        <v>45748</v>
      </c>
      <c r="G113" s="20" t="n">
        <v>226023</v>
      </c>
      <c r="H113" s="20"/>
      <c r="I113" s="20" t="n">
        <v>22398</v>
      </c>
      <c r="J113" s="20" t="n">
        <f>MAX(POPtable[[#This Row],[Stock on hand(opening balance)]]+POPtable[[#This Row],[Quantity ]]-POPtable[[#This Row],[Forecasted consumption]],0)</f>
        <v>203625</v>
      </c>
      <c r="K113" s="18"/>
      <c r="L113" s="18"/>
      <c r="M113" s="18"/>
      <c r="N113" s="20"/>
      <c r="O113" s="18"/>
      <c r="P113" s="20"/>
      <c r="Q113" s="19"/>
      <c r="R113" s="18"/>
      <c r="S113" s="18"/>
      <c r="T113" s="18" t="n">
        <v>9</v>
      </c>
      <c r="U113" s="18" t="n">
        <v>15</v>
      </c>
      <c r="V113" s="18" t="n">
        <v>15</v>
      </c>
      <c r="W113" s="21" t="n">
        <f>POPtable[[#This Row],[Closing balance ]]/POPtable[[#This Row],[Forecasted consumption]]</f>
        <v>9.0912135012054645</v>
      </c>
      <c r="X113" s="22"/>
    </row>
    <row r="114">
      <c r="B114" s="6" t="s">
        <v>166</v>
      </c>
      <c r="C114" s="18" t="s">
        <v>54</v>
      </c>
      <c r="D114" s="17" t="s">
        <v>50</v>
      </c>
      <c r="E114" s="2" t="s">
        <v>31</v>
      </c>
      <c r="F114" s="19" t="n">
        <v>45778</v>
      </c>
      <c r="G114" s="23" t="n">
        <f>J113</f>
        <v>203625</v>
      </c>
      <c r="H114" s="23"/>
      <c r="I114" s="20" t="n">
        <v>22398</v>
      </c>
      <c r="J114" s="23" t="n">
        <f>MAX(POPtable[[#This Row],[Stock on hand(opening balance)]]+POPtable[[#This Row],[Quantity ]]-POPtable[[#This Row],[Forecasted consumption]],0)</f>
        <v>181227</v>
      </c>
      <c r="K114" s="2"/>
      <c r="L114" s="2"/>
      <c r="M114" s="2"/>
      <c r="N114" s="23"/>
      <c r="O114" s="2"/>
      <c r="P114" s="20"/>
      <c r="Q114" s="24"/>
      <c r="R114" s="2"/>
      <c r="S114" s="2"/>
      <c r="T114" s="18" t="n">
        <v>9</v>
      </c>
      <c r="U114" s="18" t="n">
        <v>15</v>
      </c>
      <c r="V114" s="18" t="n">
        <v>15</v>
      </c>
      <c r="W114" s="3" t="n">
        <f>POPtable[[#This Row],[Closing balance ]]/POPtable[[#This Row],[Forecasted consumption]]</f>
        <v>8.0912135012054645</v>
      </c>
      <c r="X114" s="25"/>
    </row>
    <row r="115">
      <c r="B115" s="6" t="s">
        <v>166</v>
      </c>
      <c r="C115" s="18" t="s">
        <v>54</v>
      </c>
      <c r="D115" s="17" t="s">
        <v>50</v>
      </c>
      <c r="E115" s="2" t="s">
        <v>31</v>
      </c>
      <c r="F115" s="19" t="n">
        <v>45809</v>
      </c>
      <c r="G115" s="23" t="n">
        <f t="shared" ref="G115:G121" si="6">J114</f>
        <v>181227</v>
      </c>
      <c r="H115" s="23"/>
      <c r="I115" s="20" t="n">
        <v>22398</v>
      </c>
      <c r="J115" s="23" t="n">
        <f>MAX(POPtable[[#This Row],[Stock on hand(opening balance)]]+POPtable[[#This Row],[Quantity ]]-POPtable[[#This Row],[Forecasted consumption]],0)</f>
        <v>304989</v>
      </c>
      <c r="K115" s="2"/>
      <c r="L115" s="2"/>
      <c r="M115" s="2"/>
      <c r="N115" s="23" t="n">
        <v>146160</v>
      </c>
      <c r="O115" s="2"/>
      <c r="P115" s="20"/>
      <c r="Q115" s="24"/>
      <c r="R115" s="2"/>
      <c r="S115" s="2"/>
      <c r="T115" s="18" t="n">
        <v>9</v>
      </c>
      <c r="U115" s="18" t="n">
        <v>15</v>
      </c>
      <c r="V115" s="18" t="n">
        <v>15</v>
      </c>
      <c r="W115" s="3" t="n">
        <f>POPtable[[#This Row],[Closing balance ]]/POPtable[[#This Row],[Forecasted consumption]]</f>
        <v>13.616796142512724</v>
      </c>
      <c r="X115" s="25"/>
    </row>
    <row r="116">
      <c r="B116" s="6" t="s">
        <v>166</v>
      </c>
      <c r="C116" s="18" t="s">
        <v>54</v>
      </c>
      <c r="D116" s="17" t="s">
        <v>50</v>
      </c>
      <c r="E116" s="2" t="s">
        <v>31</v>
      </c>
      <c r="F116" s="19" t="n">
        <v>45839</v>
      </c>
      <c r="G116" s="23" t="n">
        <f t="shared" si="6"/>
        <v>304989</v>
      </c>
      <c r="H116" s="23"/>
      <c r="I116" s="20" t="n">
        <v>22398</v>
      </c>
      <c r="J116" s="23" t="n">
        <f>MAX(POPtable[[#This Row],[Stock on hand(opening balance)]]+POPtable[[#This Row],[Quantity ]]-POPtable[[#This Row],[Forecasted consumption]],0)</f>
        <v>282591</v>
      </c>
      <c r="K116" s="2"/>
      <c r="L116" s="2"/>
      <c r="M116" s="2"/>
      <c r="N116" s="23"/>
      <c r="O116" s="2"/>
      <c r="P116" s="20"/>
      <c r="Q116" s="24"/>
      <c r="R116" s="2"/>
      <c r="S116" s="2"/>
      <c r="T116" s="18" t="n">
        <v>9</v>
      </c>
      <c r="U116" s="18" t="n">
        <v>15</v>
      </c>
      <c r="V116" s="18" t="n">
        <v>15</v>
      </c>
      <c r="W116" s="3" t="n">
        <f>POPtable[[#This Row],[Closing balance ]]/POPtable[[#This Row],[Forecasted consumption]]</f>
        <v>12.616796142512724</v>
      </c>
      <c r="X116" s="25"/>
    </row>
    <row r="117">
      <c r="B117" s="6" t="s">
        <v>166</v>
      </c>
      <c r="C117" s="18" t="s">
        <v>54</v>
      </c>
      <c r="D117" s="17" t="s">
        <v>50</v>
      </c>
      <c r="E117" s="2" t="s">
        <v>31</v>
      </c>
      <c r="F117" s="19" t="n">
        <v>45870</v>
      </c>
      <c r="G117" s="23" t="n">
        <f t="shared" si="6"/>
        <v>282591</v>
      </c>
      <c r="H117" s="23"/>
      <c r="I117" s="20" t="n">
        <v>22398</v>
      </c>
      <c r="J117" s="23" t="n">
        <f>MAX(POPtable[[#This Row],[Stock on hand(opening balance)]]+POPtable[[#This Row],[Quantity ]]-POPtable[[#This Row],[Forecasted consumption]],0)</f>
        <v>260193</v>
      </c>
      <c r="K117" s="2"/>
      <c r="L117" s="2"/>
      <c r="M117" s="2"/>
      <c r="N117" s="23"/>
      <c r="O117" s="2"/>
      <c r="P117" s="20"/>
      <c r="Q117" s="24"/>
      <c r="R117" s="2"/>
      <c r="S117" s="2"/>
      <c r="T117" s="18" t="n">
        <v>9</v>
      </c>
      <c r="U117" s="18" t="n">
        <v>15</v>
      </c>
      <c r="V117" s="18" t="n">
        <v>15</v>
      </c>
      <c r="W117" s="3" t="n">
        <f>POPtable[[#This Row],[Closing balance ]]/POPtable[[#This Row],[Forecasted consumption]]</f>
        <v>11.616796142512724</v>
      </c>
      <c r="X117" s="25"/>
    </row>
    <row r="118">
      <c r="B118" s="6" t="s">
        <v>166</v>
      </c>
      <c r="C118" s="18" t="s">
        <v>54</v>
      </c>
      <c r="D118" s="17" t="s">
        <v>50</v>
      </c>
      <c r="E118" s="2" t="s">
        <v>31</v>
      </c>
      <c r="F118" s="19" t="n">
        <v>45901</v>
      </c>
      <c r="G118" s="23" t="n">
        <f t="shared" si="6"/>
        <v>260193</v>
      </c>
      <c r="H118" s="23"/>
      <c r="I118" s="20" t="n">
        <v>22398</v>
      </c>
      <c r="J118" s="23" t="n">
        <f>MAX(POPtable[[#This Row],[Stock on hand(opening balance)]]+POPtable[[#This Row],[Quantity ]]-POPtable[[#This Row],[Forecasted consumption]],0)</f>
        <v>237795</v>
      </c>
      <c r="K118" s="2"/>
      <c r="L118" s="2"/>
      <c r="M118" s="2"/>
      <c r="N118" s="23"/>
      <c r="O118" s="2"/>
      <c r="P118" s="20"/>
      <c r="Q118" s="24"/>
      <c r="R118" s="2"/>
      <c r="S118" s="2"/>
      <c r="T118" s="18" t="n">
        <v>9</v>
      </c>
      <c r="U118" s="18" t="n">
        <v>15</v>
      </c>
      <c r="V118" s="18" t="n">
        <v>15</v>
      </c>
      <c r="W118" s="3" t="n">
        <f>POPtable[[#This Row],[Closing balance ]]/POPtable[[#This Row],[Forecasted consumption]]</f>
        <v>10.616796142512724</v>
      </c>
      <c r="X118" s="25"/>
    </row>
    <row r="119">
      <c r="B119" s="6" t="s">
        <v>166</v>
      </c>
      <c r="C119" s="18" t="s">
        <v>54</v>
      </c>
      <c r="D119" s="17" t="s">
        <v>50</v>
      </c>
      <c r="E119" s="2" t="s">
        <v>31</v>
      </c>
      <c r="F119" s="19" t="n">
        <v>45931</v>
      </c>
      <c r="G119" s="23" t="n">
        <f t="shared" si="6"/>
        <v>237795</v>
      </c>
      <c r="H119" s="23"/>
      <c r="I119" s="20" t="n">
        <v>22398</v>
      </c>
      <c r="J119" s="23" t="n">
        <f>MAX(POPtable[[#This Row],[Stock on hand(opening balance)]]+POPtable[[#This Row],[Quantity ]]-POPtable[[#This Row],[Forecasted consumption]],0)</f>
        <v>215397</v>
      </c>
      <c r="K119" s="2"/>
      <c r="L119" s="2"/>
      <c r="M119" s="2"/>
      <c r="N119" s="23"/>
      <c r="O119" s="2"/>
      <c r="P119" s="20"/>
      <c r="Q119" s="24"/>
      <c r="R119" s="2"/>
      <c r="S119" s="2"/>
      <c r="T119" s="18" t="n">
        <v>9</v>
      </c>
      <c r="U119" s="18" t="n">
        <v>15</v>
      </c>
      <c r="V119" s="18" t="n">
        <v>15</v>
      </c>
      <c r="W119" s="3" t="n">
        <f>POPtable[[#This Row],[Closing balance ]]/POPtable[[#This Row],[Forecasted consumption]]</f>
        <v>9.6167961425127242</v>
      </c>
      <c r="X119" s="25"/>
    </row>
    <row r="120">
      <c r="B120" s="6" t="s">
        <v>166</v>
      </c>
      <c r="C120" s="18" t="s">
        <v>54</v>
      </c>
      <c r="D120" s="17" t="s">
        <v>50</v>
      </c>
      <c r="E120" s="2" t="s">
        <v>31</v>
      </c>
      <c r="F120" s="19" t="n">
        <v>45962</v>
      </c>
      <c r="G120" s="23" t="n">
        <f t="shared" si="6"/>
        <v>215397</v>
      </c>
      <c r="H120" s="23"/>
      <c r="I120" s="20" t="n">
        <v>22398</v>
      </c>
      <c r="J120" s="23" t="n">
        <f>MAX(POPtable[[#This Row],[Stock on hand(opening balance)]]+POPtable[[#This Row],[Quantity ]]-POPtable[[#This Row],[Forecasted consumption]],0)</f>
        <v>192999</v>
      </c>
      <c r="K120" s="2"/>
      <c r="L120" s="2"/>
      <c r="M120" s="2"/>
      <c r="N120" s="23"/>
      <c r="O120" s="2"/>
      <c r="P120" s="20"/>
      <c r="Q120" s="24"/>
      <c r="R120" s="2"/>
      <c r="S120" s="2"/>
      <c r="T120" s="18" t="n">
        <v>9</v>
      </c>
      <c r="U120" s="18" t="n">
        <v>15</v>
      </c>
      <c r="V120" s="18" t="n">
        <v>15</v>
      </c>
      <c r="W120" s="3" t="n">
        <f>POPtable[[#This Row],[Closing balance ]]/POPtable[[#This Row],[Forecasted consumption]]</f>
        <v>8.6167961425127242</v>
      </c>
      <c r="X120" s="25"/>
    </row>
    <row r="121">
      <c r="B121" s="6" t="s">
        <v>166</v>
      </c>
      <c r="C121" s="18" t="s">
        <v>54</v>
      </c>
      <c r="D121" s="17" t="s">
        <v>50</v>
      </c>
      <c r="E121" s="2" t="s">
        <v>31</v>
      </c>
      <c r="F121" s="19" t="n">
        <v>45992</v>
      </c>
      <c r="G121" s="23" t="n">
        <f t="shared" si="6"/>
        <v>192999</v>
      </c>
      <c r="H121" s="23"/>
      <c r="I121" s="20" t="n">
        <v>22398</v>
      </c>
      <c r="J121" s="23" t="n">
        <f>MAX(POPtable[[#This Row],[Stock on hand(opening balance)]]+POPtable[[#This Row],[Quantity ]]-POPtable[[#This Row],[Forecasted consumption]],0)</f>
        <v>170601</v>
      </c>
      <c r="K121" s="2"/>
      <c r="L121" s="2"/>
      <c r="M121" s="2"/>
      <c r="N121" s="23"/>
      <c r="O121" s="2"/>
      <c r="P121" s="20"/>
      <c r="Q121" s="24"/>
      <c r="R121" s="2"/>
      <c r="S121" s="2"/>
      <c r="T121" s="18" t="n">
        <v>9</v>
      </c>
      <c r="U121" s="18" t="n">
        <v>15</v>
      </c>
      <c r="V121" s="18" t="n">
        <v>15</v>
      </c>
      <c r="W121" s="3" t="n">
        <f>POPtable[[#This Row],[Closing balance ]]/POPtable[[#This Row],[Forecasted consumption]]</f>
        <v>7.6167961425127242</v>
      </c>
      <c r="X121" s="25"/>
    </row>
  </sheetData>
  <dataValidations count="3">
    <dataValidation type="list" allowBlank="1" showInputMessage="1" showErrorMessage="1" sqref="M7:M18 M25:M112" xr:uid="{86BF0F0F-A9D2-45AF-9AD7-ED1E1F5BF53A}">
      <formula1>"Committed,  Placed, Expected Deliveries, Received, cancelled, Planned"</formula1>
    </dataValidation>
    <dataValidation type="list" allowBlank="1" showInputMessage="1" showErrorMessage="1" sqref="M19:M24 M113:M206" xr:uid="{BA71FCC0-37B7-4134-B8E0-7F1F54F1E757}">
      <formula1>"Committed,  Placed, Expected Deliveries, Received, cancelled"</formula1>
    </dataValidation>
    <dataValidation type="list" allowBlank="1" showInputMessage="1" showErrorMessage="1" sqref="E7:E121" xr:uid="{8922BEFA-CC90-4212-B872-B184E907B140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9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5E545A1-9177-400F-843E-D20BF2AD5E5E}">
          <x14:formula1>
            <xm:f>'choices countries '!$B$3:$B$12</xm:f>
          </x14:formula1>
          <xm:sqref>B122:B507 B7:B112</xm:sqref>
        </x14:dataValidation>
        <x14:dataValidation type="list" allowBlank="1" showInputMessage="1" showErrorMessage="1" xr:uid="{F3C8A3FD-2C59-44A9-B31C-3E8900E67B92}">
          <x14:formula1>
            <xm:f>'choices countries '!$B$3:$B$15</xm:f>
          </x14:formula1>
          <xm:sqref>B113:B121</xm:sqref>
        </x14:dataValidation>
        <x14:dataValidation type="list" allowBlank="1" showInputMessage="1" showErrorMessage="1" xr:uid="{7427E438-61D2-4D26-B616-4C0ECAC99813}">
          <x14:formula1>
            <xm:f>'product list '!$A$51:$A$55</xm:f>
          </x14:formula1>
          <xm:sqref>C7:C121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activeCell="J10" sqref="J10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139</v>
      </c>
      <c r="D7" s="17" t="s">
        <v>35</v>
      </c>
      <c r="E7" s="18" t="s">
        <v>31</v>
      </c>
      <c r="F7" s="19" t="n">
        <v>45839</v>
      </c>
      <c r="G7" s="20" t="n">
        <v>0</v>
      </c>
      <c r="H7" s="20"/>
      <c r="I7" s="20" t="n">
        <v>29580</v>
      </c>
      <c r="J7" s="20" t="n">
        <f>MAX(Drapestable[[#This Row],[Stock on hand(opening balance)]]+Drapestable[[#This Row],[Quantity ]]-Drapestable[[#This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Drapestable[[#This Row],[Closing balance ]]/Drapestable[[#This Row],[Forecasted consumption]]</f>
        <v>0</v>
      </c>
      <c r="X7" s="22"/>
    </row>
    <row r="8">
      <c r="B8" s="6" t="s">
        <v>28</v>
      </c>
      <c r="C8" s="17" t="s">
        <v>139</v>
      </c>
      <c r="D8" s="17" t="s">
        <v>35</v>
      </c>
      <c r="E8" s="18" t="s">
        <v>31</v>
      </c>
      <c r="F8" s="19" t="n">
        <v>45870</v>
      </c>
      <c r="G8" s="23" t="n">
        <f>J7</f>
        <v>0</v>
      </c>
      <c r="H8" s="23"/>
      <c r="I8" s="20" t="n">
        <v>29580</v>
      </c>
      <c r="J8" s="23" t="n">
        <f>MAX(Drapestable[[#This Row],[Stock on hand(opening balance)]]+Drapestable[[#This Row],[Quantity ]]-Drapestable[[#This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Drapestable[[#This Row],[Closing balance ]]/Drapestable[[#This Row],[Forecasted consumption]]</f>
        <v>0</v>
      </c>
      <c r="X8" s="25"/>
    </row>
    <row r="9">
      <c r="B9" s="6" t="s">
        <v>28</v>
      </c>
      <c r="C9" s="17" t="s">
        <v>139</v>
      </c>
      <c r="D9" s="17" t="s">
        <v>35</v>
      </c>
      <c r="E9" s="18" t="s">
        <v>31</v>
      </c>
      <c r="F9" s="19" t="n">
        <v>45901</v>
      </c>
      <c r="G9" s="23" t="n">
        <f t="shared" ref="G9:G18" si="0">J8</f>
        <v>0</v>
      </c>
      <c r="H9" s="23"/>
      <c r="I9" s="20" t="n">
        <v>29580</v>
      </c>
      <c r="J9" s="23" t="n">
        <f>MAX(Drapestable[[#This Row],[Stock on hand(opening balance)]]+Drapestable[[#This Row],[Quantity ]]-Drapestable[[#This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Drapestable[[#This Row],[Closing balance ]]/Drapestable[[#This Row],[Forecasted consumption]]</f>
        <v>0</v>
      </c>
      <c r="X9" s="25"/>
    </row>
    <row r="10">
      <c r="B10" s="6" t="s">
        <v>28</v>
      </c>
      <c r="C10" s="17" t="s">
        <v>139</v>
      </c>
      <c r="D10" s="17" t="s">
        <v>35</v>
      </c>
      <c r="E10" s="18" t="s">
        <v>31</v>
      </c>
      <c r="F10" s="19" t="n">
        <v>45931</v>
      </c>
      <c r="G10" s="23" t="n">
        <f t="shared" si="0"/>
        <v>0</v>
      </c>
      <c r="H10" s="23"/>
      <c r="I10" s="20" t="n">
        <v>29580</v>
      </c>
      <c r="J10" s="23" t="n">
        <f>MAX(Drapestable[[#This Row],[Stock on hand(opening balance)]]+Drapestable[[#This Row],[Quantity ]]-Drapestable[[#This Row],[Forecasted consumption]],0)</f>
        <v>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Drapestable[[#This Row],[Closing balance ]]/Drapestable[[#This Row],[Forecasted consumption]]</f>
        <v>0</v>
      </c>
      <c r="X10" s="25"/>
    </row>
    <row r="11">
      <c r="B11" s="6" t="s">
        <v>28</v>
      </c>
      <c r="C11" s="17" t="s">
        <v>139</v>
      </c>
      <c r="D11" s="17" t="s">
        <v>35</v>
      </c>
      <c r="E11" s="18" t="s">
        <v>31</v>
      </c>
      <c r="F11" s="19" t="n">
        <v>45962</v>
      </c>
      <c r="G11" s="23" t="n">
        <f t="shared" si="0"/>
        <v>0</v>
      </c>
      <c r="H11" s="23"/>
      <c r="I11" s="20" t="n">
        <v>29580</v>
      </c>
      <c r="J11" s="23" t="n">
        <f>MAX(Drapestable[[#This Row],[Stock on hand(opening balance)]]+Drapestable[[#This Row],[Quantity ]]-Drapestable[[#This Row],[Forecasted consumption]],0)</f>
        <v>0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Drapestable[[#This Row],[Closing balance ]]/Drapestable[[#This Row],[Forecasted consumption]]</f>
        <v>0</v>
      </c>
      <c r="X11" s="25"/>
    </row>
    <row r="12">
      <c r="B12" s="6" t="s">
        <v>28</v>
      </c>
      <c r="C12" s="17" t="s">
        <v>139</v>
      </c>
      <c r="D12" s="17" t="s">
        <v>35</v>
      </c>
      <c r="E12" s="18" t="s">
        <v>31</v>
      </c>
      <c r="F12" s="19" t="n">
        <v>45992</v>
      </c>
      <c r="G12" s="23" t="n">
        <f t="shared" si="0"/>
        <v>0</v>
      </c>
      <c r="H12" s="23"/>
      <c r="I12" s="20" t="n">
        <v>29580</v>
      </c>
      <c r="J12" s="23" t="n">
        <f>MAX(Drapestable[[#This Row],[Stock on hand(opening balance)]]+Drapestable[[#This Row],[Quantity ]]-Drapestable[[#This Row],[Forecasted consumption]],0)</f>
        <v>147900</v>
      </c>
      <c r="K12" s="2" t="s">
        <v>2</v>
      </c>
      <c r="L12" s="2" t="s">
        <v>2</v>
      </c>
      <c r="M12" s="33" t="s">
        <v>4</v>
      </c>
      <c r="N12" s="23" t="n">
        <v>177480</v>
      </c>
      <c r="O12" s="2"/>
      <c r="P12" s="2" t="n">
        <v>204102</v>
      </c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Drapestable[[#This Row],[Closing balance ]]/Drapestable[[#This Row],[Forecasted consumption]]</f>
        <v>5</v>
      </c>
      <c r="X12" s="25"/>
    </row>
    <row r="13">
      <c r="B13" s="6" t="s">
        <v>28</v>
      </c>
      <c r="C13" s="17" t="s">
        <v>139</v>
      </c>
      <c r="D13" s="17" t="s">
        <v>35</v>
      </c>
      <c r="E13" s="18" t="s">
        <v>31</v>
      </c>
      <c r="F13" s="19" t="n">
        <v>46023</v>
      </c>
      <c r="G13" s="23" t="n">
        <f t="shared" si="0"/>
        <v>147900</v>
      </c>
      <c r="H13" s="23"/>
      <c r="I13" s="20" t="n">
        <v>29580</v>
      </c>
      <c r="J13" s="23" t="n">
        <f>MAX(Drapestable[[#This Row],[Stock on hand(opening balance)]]+Drapestable[[#This Row],[Quantity ]]-Drapestable[[#This Row],[Forecasted consumption]],0)</f>
        <v>118320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Drapestable[[#This Row],[Closing balance ]]/Drapestable[[#This Row],[Forecasted consumption]]</f>
        <v>4</v>
      </c>
      <c r="X13" s="25"/>
    </row>
    <row r="14">
      <c r="B14" s="6" t="s">
        <v>28</v>
      </c>
      <c r="C14" s="17" t="s">
        <v>139</v>
      </c>
      <c r="D14" s="17" t="s">
        <v>35</v>
      </c>
      <c r="E14" s="18" t="s">
        <v>31</v>
      </c>
      <c r="F14" s="19" t="n">
        <v>46054</v>
      </c>
      <c r="G14" s="23" t="n">
        <f t="shared" si="0"/>
        <v>118320</v>
      </c>
      <c r="H14" s="23"/>
      <c r="I14" s="20" t="n">
        <v>29580</v>
      </c>
      <c r="J14" s="23" t="n">
        <f>MAX(Drapestable[[#This Row],[Stock on hand(opening balance)]]+Drapestable[[#This Row],[Quantity ]]-Drapestable[[#This Row],[Forecasted consumption]],0)</f>
        <v>88740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Drapestable[[#This Row],[Closing balance ]]/Drapestable[[#This Row],[Forecasted consumption]]</f>
        <v>3</v>
      </c>
      <c r="X14" s="25"/>
    </row>
    <row r="15">
      <c r="B15" s="6" t="s">
        <v>28</v>
      </c>
      <c r="C15" s="17" t="s">
        <v>139</v>
      </c>
      <c r="D15" s="17" t="s">
        <v>35</v>
      </c>
      <c r="E15" s="18" t="s">
        <v>31</v>
      </c>
      <c r="F15" s="19" t="n">
        <v>46082</v>
      </c>
      <c r="G15" s="23" t="n">
        <f t="shared" si="0"/>
        <v>88740</v>
      </c>
      <c r="H15" s="23"/>
      <c r="I15" s="20" t="n">
        <v>29580</v>
      </c>
      <c r="J15" s="23" t="n">
        <f>MAX(Drapestable[[#This Row],[Stock on hand(opening balance)]]+Drapestable[[#This Row],[Quantity ]]-Drapestable[[#This Row],[Forecasted consumption]],0)</f>
        <v>59160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Drapestable[[#This Row],[Closing balance ]]/Drapestable[[#This Row],[Forecasted consumption]]</f>
        <v>2</v>
      </c>
      <c r="X15" s="25"/>
    </row>
    <row r="16">
      <c r="B16" s="6" t="s">
        <v>28</v>
      </c>
      <c r="C16" s="17" t="s">
        <v>139</v>
      </c>
      <c r="D16" s="17" t="s">
        <v>35</v>
      </c>
      <c r="E16" s="18" t="s">
        <v>31</v>
      </c>
      <c r="F16" s="19" t="n">
        <v>46113</v>
      </c>
      <c r="G16" s="23" t="n">
        <f t="shared" si="0"/>
        <v>59160</v>
      </c>
      <c r="H16" s="23"/>
      <c r="I16" s="20" t="n">
        <v>29580</v>
      </c>
      <c r="J16" s="23" t="n">
        <f>MAX(Drapestable[[#This Row],[Stock on hand(opening balance)]]+Drapestable[[#This Row],[Quantity ]]-Drapestable[[#This Row],[Forecasted consumption]],0)</f>
        <v>29580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Drapestable[[#This Row],[Closing balance ]]/Drapestable[[#This Row],[Forecasted consumption]]</f>
        <v>1</v>
      </c>
      <c r="X16" s="25"/>
    </row>
    <row r="17">
      <c r="B17" s="6" t="s">
        <v>28</v>
      </c>
      <c r="C17" s="17" t="s">
        <v>139</v>
      </c>
      <c r="D17" s="17" t="s">
        <v>35</v>
      </c>
      <c r="E17" s="18" t="s">
        <v>31</v>
      </c>
      <c r="F17" s="19" t="n">
        <v>46143</v>
      </c>
      <c r="G17" s="23" t="n">
        <f t="shared" si="0"/>
        <v>29580</v>
      </c>
      <c r="H17" s="23"/>
      <c r="I17" s="20" t="n">
        <v>29580</v>
      </c>
      <c r="J17" s="23" t="n">
        <f>MAX(Drapestable[[#This Row],[Stock on hand(opening balance)]]+Drapestable[[#This Row],[Quantity ]]-Drapestable[[#This Row],[Forecasted consumption]],0)</f>
        <v>0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Drapestable[[#This Row],[Closing balance ]]/Drapestable[[#This Row],[Forecasted consumption]]</f>
        <v>0</v>
      </c>
      <c r="X17" s="25"/>
    </row>
    <row r="18">
      <c r="B18" s="6" t="s">
        <v>28</v>
      </c>
      <c r="C18" s="17" t="s">
        <v>139</v>
      </c>
      <c r="D18" s="17" t="s">
        <v>35</v>
      </c>
      <c r="E18" s="18" t="s">
        <v>31</v>
      </c>
      <c r="F18" s="19" t="n">
        <v>46174</v>
      </c>
      <c r="G18" s="23" t="n">
        <f t="shared" si="0"/>
        <v>0</v>
      </c>
      <c r="H18" s="23"/>
      <c r="I18" s="20" t="n">
        <v>29580</v>
      </c>
      <c r="J18" s="23" t="n">
        <f>MAX(Drapestable[[#This Row],[Stock on hand(opening balance)]]+Drapestable[[#This Row],[Quantity ]]-Drapestable[[#This Row],[Forecasted consumption]],0)</f>
        <v>147900</v>
      </c>
      <c r="K18" s="2" t="s">
        <v>2</v>
      </c>
      <c r="L18" s="2" t="s">
        <v>2</v>
      </c>
      <c r="M18" s="33" t="s">
        <v>4</v>
      </c>
      <c r="N18" s="23" t="n">
        <v>177480</v>
      </c>
      <c r="O18" s="2"/>
      <c r="P18" s="2" t="n">
        <v>204102</v>
      </c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Drapestable[[#This Row],[Closing balance ]]/Drapestable[[#This Row],[Forecasted consumption]]</f>
        <v>5</v>
      </c>
      <c r="X18" s="25"/>
    </row>
  </sheetData>
  <dataValidations count="3">
    <dataValidation type="list" allowBlank="1" showInputMessage="1" showErrorMessage="1" sqref="M19:M109" xr:uid="{E1118CBD-07B1-40F0-BD0B-48F5AEAD21EC}">
      <formula1>"Committed,  Placed, Expected Deliveries, Received, cancelled"</formula1>
    </dataValidation>
    <dataValidation type="list" allowBlank="1" showInputMessage="1" showErrorMessage="1" sqref="E7:E18" xr:uid="{3EDD664F-D628-43CA-9251-C3D837B931B3}">
      <formula1>"All levels, Central, Central and Regional, Facilities "</formula1>
    </dataValidation>
    <dataValidation type="list" allowBlank="1" showInputMessage="1" showErrorMessage="1" sqref="M7:M18" xr:uid="{546DE2E5-DB7B-46DF-96F5-448C97CCB746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FB69CF-939D-477B-AC0C-EF89BEED3A05}">
          <x14:formula1>
            <xm:f>'choices countries '!$B$3:$B$12</xm:f>
          </x14:formula1>
          <xm:sqref>B7:B410</xm:sqref>
        </x14:dataValidation>
        <x14:dataValidation type="list" allowBlank="1" showInputMessage="1" showErrorMessage="1" xr:uid="{0CD4C793-4064-4273-9133-64EC74CC9638}">
          <x14:formula1>
            <xm:f>'product list '!$A$69:$A$78</xm:f>
          </x14:formula1>
          <xm:sqref>C7:C18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2327124F-B39C-4353-88E3-1F79DC378DEB}">
      <formula1>"All levels, Central, Central and Regional, Facilities "</formula1>
    </dataValidation>
    <dataValidation type="list" allowBlank="1" showInputMessage="1" showErrorMessage="1" sqref="M8:M98" xr:uid="{3F939188-CB69-4EBE-9D20-27148F11BA44}">
      <formula1>"Committed,  Placed, Expected Deliveries, Received, cancelled"</formula1>
    </dataValidation>
    <dataValidation type="list" allowBlank="1" showInputMessage="1" showErrorMessage="1" sqref="M7" xr:uid="{672DE55E-3CB8-4C4B-82F9-660330D19E45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67BA49-A3DC-4432-B366-6AED590ED610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6E15692D-D4D2-4272-9F9E-E1AD57D95E6A}">
          <x14:formula1>
            <xm:f>'product list '!$A$57</xm:f>
          </x14:formula1>
          <xm:sqref>C7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6" t="s">
        <v>144</v>
      </c>
      <c r="D7" s="17" t="s">
        <v>43</v>
      </c>
      <c r="E7" s="18" t="s">
        <v>31</v>
      </c>
      <c r="F7" s="19" t="n">
        <v>45839</v>
      </c>
      <c r="G7" s="20" t="n">
        <v>0</v>
      </c>
      <c r="H7" s="20"/>
      <c r="I7" s="20" t="n">
        <v>41583.25</v>
      </c>
      <c r="J7" s="20" t="n">
        <f>MAX(oxytocintable[[#This Row],[Stock on hand(opening balance)]]+oxytocintable[[#This Row],[Quantity ]]-oxytocintable[[#This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oxytocintable[[#This Row],[Closing balance ]]/oxytocintable[[#This Row],[Forecasted consumption]]</f>
        <v>0</v>
      </c>
      <c r="X7" s="22"/>
    </row>
    <row r="8">
      <c r="B8" s="6" t="s">
        <v>28</v>
      </c>
      <c r="C8" s="6" t="s">
        <v>144</v>
      </c>
      <c r="D8" s="17" t="s">
        <v>43</v>
      </c>
      <c r="E8" s="18" t="s">
        <v>31</v>
      </c>
      <c r="F8" s="19" t="n">
        <v>45870</v>
      </c>
      <c r="G8" s="23" t="n">
        <f t="shared" ref="G8:G18" si="0">J7</f>
        <v>0</v>
      </c>
      <c r="H8" s="23"/>
      <c r="I8" s="20" t="n">
        <v>41583.25</v>
      </c>
      <c r="J8" s="23" t="n">
        <f>MAX(oxytocintable[[#This Row],[Stock on hand(opening balance)]]+oxytocintable[[#This Row],[Quantity ]]-oxytocintable[[#This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oxytocintable[[#This Row],[Closing balance ]]/oxytocintable[[#This Row],[Forecasted consumption]]</f>
        <v>0</v>
      </c>
      <c r="X8" s="25"/>
    </row>
    <row r="9">
      <c r="B9" s="6" t="s">
        <v>28</v>
      </c>
      <c r="C9" s="6" t="s">
        <v>144</v>
      </c>
      <c r="D9" s="17" t="s">
        <v>43</v>
      </c>
      <c r="E9" s="18" t="s">
        <v>31</v>
      </c>
      <c r="F9" s="19" t="n">
        <v>45901</v>
      </c>
      <c r="G9" s="23" t="n">
        <f t="shared" si="0"/>
        <v>0</v>
      </c>
      <c r="H9" s="23"/>
      <c r="I9" s="20" t="n">
        <v>41583.25</v>
      </c>
      <c r="J9" s="23" t="n">
        <f>MAX(oxytocintable[[#This Row],[Stock on hand(opening balance)]]+oxytocintable[[#This Row],[Quantity ]]-oxytocintable[[#This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oxytocintable[[#This Row],[Closing balance ]]/oxytocintable[[#This Row],[Forecasted consumption]]</f>
        <v>0</v>
      </c>
      <c r="X9" s="25"/>
    </row>
    <row r="10">
      <c r="B10" s="6" t="s">
        <v>28</v>
      </c>
      <c r="C10" s="6" t="s">
        <v>144</v>
      </c>
      <c r="D10" s="17" t="s">
        <v>43</v>
      </c>
      <c r="E10" s="18" t="s">
        <v>31</v>
      </c>
      <c r="F10" s="19" t="n">
        <v>45931</v>
      </c>
      <c r="G10" s="23" t="n">
        <f t="shared" si="0"/>
        <v>0</v>
      </c>
      <c r="H10" s="23"/>
      <c r="I10" s="20" t="n">
        <v>41583.25</v>
      </c>
      <c r="J10" s="23" t="n">
        <f>MAX(oxytocintable[[#This Row],[Stock on hand(opening balance)]]+oxytocintable[[#This Row],[Quantity ]]-oxytocintable[[#This Row],[Forecasted consumption]],0)</f>
        <v>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oxytocintable[[#This Row],[Closing balance ]]/oxytocintable[[#This Row],[Forecasted consumption]]</f>
        <v>0</v>
      </c>
      <c r="X10" s="25"/>
    </row>
    <row r="11">
      <c r="B11" s="6" t="s">
        <v>28</v>
      </c>
      <c r="C11" s="6" t="s">
        <v>144</v>
      </c>
      <c r="D11" s="17" t="s">
        <v>43</v>
      </c>
      <c r="E11" s="18" t="s">
        <v>31</v>
      </c>
      <c r="F11" s="19" t="n">
        <v>45962</v>
      </c>
      <c r="G11" s="23" t="n">
        <f t="shared" si="0"/>
        <v>0</v>
      </c>
      <c r="H11" s="23"/>
      <c r="I11" s="20" t="n">
        <v>41583.25</v>
      </c>
      <c r="J11" s="23" t="n">
        <f>MAX(oxytocintable[[#This Row],[Stock on hand(opening balance)]]+oxytocintable[[#This Row],[Quantity ]]-oxytocintable[[#This Row],[Forecasted consumption]],0)</f>
        <v>0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oxytocintable[[#This Row],[Closing balance ]]/oxytocintable[[#This Row],[Forecasted consumption]]</f>
        <v>0</v>
      </c>
      <c r="X11" s="25"/>
    </row>
    <row r="12">
      <c r="B12" s="6" t="s">
        <v>28</v>
      </c>
      <c r="C12" s="6" t="s">
        <v>144</v>
      </c>
      <c r="D12" s="17" t="s">
        <v>43</v>
      </c>
      <c r="E12" s="18" t="s">
        <v>31</v>
      </c>
      <c r="F12" s="19" t="n">
        <v>45992</v>
      </c>
      <c r="G12" s="23" t="n">
        <f t="shared" si="0"/>
        <v>0</v>
      </c>
      <c r="H12" s="23"/>
      <c r="I12" s="20" t="n">
        <v>41583.25</v>
      </c>
      <c r="J12" s="23" t="n">
        <f>MAX(oxytocintable[[#This Row],[Stock on hand(opening balance)]]+oxytocintable[[#This Row],[Quantity ]]-oxytocintable[[#This Row],[Forecasted consumption]],0)</f>
        <v>0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oxytocintable[[#This Row],[Closing balance ]]/oxytocintable[[#This Row],[Forecasted consumption]]</f>
        <v>0</v>
      </c>
      <c r="X12" s="25"/>
    </row>
    <row r="13">
      <c r="B13" s="6" t="s">
        <v>28</v>
      </c>
      <c r="C13" s="6" t="s">
        <v>144</v>
      </c>
      <c r="D13" s="17" t="s">
        <v>43</v>
      </c>
      <c r="E13" s="18" t="s">
        <v>31</v>
      </c>
      <c r="F13" s="19" t="n">
        <v>46023</v>
      </c>
      <c r="G13" s="23" t="n">
        <f t="shared" si="0"/>
        <v>0</v>
      </c>
      <c r="H13" s="23"/>
      <c r="I13" s="20" t="n">
        <v>41583.25</v>
      </c>
      <c r="J13" s="23" t="n">
        <f>MAX(oxytocintable[[#This Row],[Stock on hand(opening balance)]]+oxytocintable[[#This Row],[Quantity ]]-oxytocintable[[#This Row],[Forecasted consumption]],0)</f>
        <v>206970.75</v>
      </c>
      <c r="K13" s="2" t="s">
        <v>2</v>
      </c>
      <c r="L13" s="2" t="s">
        <v>2</v>
      </c>
      <c r="M13" s="33" t="s">
        <v>4</v>
      </c>
      <c r="N13" s="23" t="n">
        <v>248554</v>
      </c>
      <c r="O13" s="2"/>
      <c r="P13" s="2" t="n">
        <v>94326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4" t="n">
        <f>oxytocintable[[#This Row],[Closing balance ]]/oxytocintable[[#This Row],[Forecasted consumption]]</f>
        <v>4.9772624794839269</v>
      </c>
      <c r="X13" s="25"/>
    </row>
    <row r="14">
      <c r="B14" s="6" t="s">
        <v>28</v>
      </c>
      <c r="C14" s="6" t="s">
        <v>144</v>
      </c>
      <c r="D14" s="17" t="s">
        <v>43</v>
      </c>
      <c r="E14" s="18" t="s">
        <v>31</v>
      </c>
      <c r="F14" s="19" t="n">
        <v>46054</v>
      </c>
      <c r="G14" s="23" t="n">
        <f t="shared" si="0"/>
        <v>206970.75</v>
      </c>
      <c r="H14" s="23"/>
      <c r="I14" s="20" t="n">
        <v>41583.25</v>
      </c>
      <c r="J14" s="23" t="n">
        <f>MAX(oxytocintable[[#This Row],[Stock on hand(opening balance)]]+oxytocintable[[#This Row],[Quantity ]]-oxytocintable[[#This Row],[Forecasted consumption]],0)</f>
        <v>165387.5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oxytocintable[[#This Row],[Closing balance ]]/oxytocintable[[#This Row],[Forecasted consumption]]</f>
        <v>3.9772624794839269</v>
      </c>
      <c r="X14" s="25"/>
    </row>
    <row r="15">
      <c r="B15" s="6" t="s">
        <v>28</v>
      </c>
      <c r="C15" s="6" t="s">
        <v>144</v>
      </c>
      <c r="D15" s="17" t="s">
        <v>43</v>
      </c>
      <c r="E15" s="18" t="s">
        <v>31</v>
      </c>
      <c r="F15" s="19" t="n">
        <v>46082</v>
      </c>
      <c r="G15" s="23" t="n">
        <f t="shared" si="0"/>
        <v>165387.5</v>
      </c>
      <c r="H15" s="23"/>
      <c r="I15" s="20" t="n">
        <v>41583.25</v>
      </c>
      <c r="J15" s="23" t="n">
        <f>MAX(oxytocintable[[#This Row],[Stock on hand(opening balance)]]+oxytocintable[[#This Row],[Quantity ]]-oxytocintable[[#This Row],[Forecasted consumption]],0)</f>
        <v>123804.25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oxytocintable[[#This Row],[Closing balance ]]/oxytocintable[[#This Row],[Forecasted consumption]]</f>
        <v>2.9772624794839269</v>
      </c>
      <c r="X15" s="25"/>
    </row>
    <row r="16">
      <c r="B16" s="6" t="s">
        <v>28</v>
      </c>
      <c r="C16" s="6" t="s">
        <v>144</v>
      </c>
      <c r="D16" s="17" t="s">
        <v>43</v>
      </c>
      <c r="E16" s="18" t="s">
        <v>31</v>
      </c>
      <c r="F16" s="19" t="n">
        <v>46113</v>
      </c>
      <c r="G16" s="23" t="n">
        <f t="shared" si="0"/>
        <v>123804.25</v>
      </c>
      <c r="H16" s="23"/>
      <c r="I16" s="20" t="n">
        <v>41583.25</v>
      </c>
      <c r="J16" s="23" t="n">
        <f>MAX(oxytocintable[[#This Row],[Stock on hand(opening balance)]]+oxytocintable[[#This Row],[Quantity ]]-oxytocintable[[#This Row],[Forecasted consumption]],0)</f>
        <v>82221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oxytocintable[[#This Row],[Closing balance ]]/oxytocintable[[#This Row],[Forecasted consumption]]</f>
        <v>1.9772624794839269</v>
      </c>
      <c r="X16" s="25"/>
    </row>
    <row r="17">
      <c r="B17" s="6" t="s">
        <v>28</v>
      </c>
      <c r="C17" s="6" t="s">
        <v>144</v>
      </c>
      <c r="D17" s="17" t="s">
        <v>43</v>
      </c>
      <c r="E17" s="18" t="s">
        <v>31</v>
      </c>
      <c r="F17" s="19" t="n">
        <v>46143</v>
      </c>
      <c r="G17" s="23" t="n">
        <f t="shared" si="0"/>
        <v>82221</v>
      </c>
      <c r="H17" s="23"/>
      <c r="I17" s="20" t="n">
        <v>41583.25</v>
      </c>
      <c r="J17" s="23" t="n">
        <f>MAX(oxytocintable[[#This Row],[Stock on hand(opening balance)]]+oxytocintable[[#This Row],[Quantity ]]-oxytocintable[[#This Row],[Forecasted consumption]],0)</f>
        <v>40637.75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oxytocintable[[#This Row],[Closing balance ]]/oxytocintable[[#This Row],[Forecasted consumption]]</f>
        <v>0.97726247948392686</v>
      </c>
      <c r="X17" s="25"/>
    </row>
    <row r="18">
      <c r="B18" s="6" t="s">
        <v>28</v>
      </c>
      <c r="C18" s="6" t="s">
        <v>144</v>
      </c>
      <c r="D18" s="17" t="s">
        <v>43</v>
      </c>
      <c r="E18" s="18" t="s">
        <v>31</v>
      </c>
      <c r="F18" s="19" t="n">
        <v>46174</v>
      </c>
      <c r="G18" s="23" t="n">
        <f t="shared" si="0"/>
        <v>40637.75</v>
      </c>
      <c r="H18" s="23"/>
      <c r="I18" s="20" t="n">
        <v>41583.25</v>
      </c>
      <c r="J18" s="23" t="n">
        <f>MAX(oxytocintable[[#This Row],[Stock on hand(opening balance)]]+oxytocintable[[#This Row],[Quantity ]]-oxytocintable[[#This Row],[Forecasted consumption]],0)</f>
        <v>263863.5</v>
      </c>
      <c r="K18" s="2" t="s">
        <v>2</v>
      </c>
      <c r="L18" s="2" t="s">
        <v>2</v>
      </c>
      <c r="M18" s="18" t="s">
        <v>4</v>
      </c>
      <c r="N18" s="23" t="n">
        <v>264809</v>
      </c>
      <c r="O18" s="2"/>
      <c r="P18" s="2" t="n">
        <v>100495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4" t="n">
        <f>oxytocintable[[#This Row],[Closing balance ]]/oxytocintable[[#This Row],[Forecasted consumption]]</f>
        <v>6.3454275459469862</v>
      </c>
      <c r="X18" s="25"/>
    </row>
  </sheetData>
  <dataValidations count="3">
    <dataValidation type="list" allowBlank="1" showInputMessage="1" showErrorMessage="1" sqref="M19:M109" xr:uid="{306B8812-CE8F-4639-8184-3003C3B004CE}">
      <formula1>"Committed,  Placed, Expected Deliveries, Received, cancelled"</formula1>
    </dataValidation>
    <dataValidation type="list" allowBlank="1" showInputMessage="1" showErrorMessage="1" sqref="E7:E18" xr:uid="{68BC9276-E6EC-4E38-A4AE-BB8179F4D7B2}">
      <formula1>"All levels, Central, Central and Regional, Facilities "</formula1>
    </dataValidation>
    <dataValidation type="list" allowBlank="1" showInputMessage="1" showErrorMessage="1" sqref="M7:M18" xr:uid="{EE1ABFE4-DEAF-4DFB-92B8-D27E34C3F04D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A91CE3-F5D4-4E24-BC2B-DE29DCE3DB2D}">
          <x14:formula1>
            <xm:f>'choices countries '!$B$3:$B$12</xm:f>
          </x14:formula1>
          <xm:sqref>B7:B410</xm:sqref>
        </x14:dataValidation>
        <x14:dataValidation type="list" allowBlank="1" showInputMessage="1" showErrorMessage="1" xr:uid="{DE989642-BF29-43F7-869A-11B6DD618F9E}">
          <x14:formula1>
            <xm:f>'product list '!$A$69:$A$78</xm:f>
          </x14:formula1>
          <xm:sqref>C7:C18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32.179687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58</v>
      </c>
      <c r="D7" s="17" t="s">
        <v>59</v>
      </c>
      <c r="E7" s="2" t="s">
        <v>31</v>
      </c>
      <c r="F7" s="19" t="n">
        <v>45839</v>
      </c>
      <c r="G7" s="20" t="n">
        <v>0</v>
      </c>
      <c r="H7" s="20"/>
      <c r="I7" s="20" t="n">
        <v>49109.5</v>
      </c>
      <c r="J7" s="20" t="n">
        <f>MAX(Misotable[[#This Row],[Stock on hand(opening balance)]]+Misotable[[#This Row],[Quantity ]]-Misotable[[#This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Misotable[[#This Row],[Closing balance ]]/Misotable[[#This Row],[Forecasted consumption]]</f>
        <v>0</v>
      </c>
      <c r="X7" s="22"/>
    </row>
    <row r="8">
      <c r="B8" s="6" t="s">
        <v>28</v>
      </c>
      <c r="C8" s="17" t="s">
        <v>58</v>
      </c>
      <c r="D8" s="17" t="s">
        <v>59</v>
      </c>
      <c r="E8" s="2" t="s">
        <v>31</v>
      </c>
      <c r="F8" s="19" t="n">
        <v>45870</v>
      </c>
      <c r="G8" s="23" t="n">
        <f>J7</f>
        <v>0</v>
      </c>
      <c r="H8" s="23"/>
      <c r="I8" s="20" t="n">
        <v>49109.5</v>
      </c>
      <c r="J8" s="23" t="n">
        <f>MAX(Misotable[[#This Row],[Stock on hand(opening balance)]]+Misotable[[#This Row],[Quantity ]]-Misotable[[#This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Misotable[[#This Row],[Closing balance ]]/Misotable[[#This Row],[Forecasted consumption]]</f>
        <v>0</v>
      </c>
      <c r="X8" s="25"/>
    </row>
    <row r="9">
      <c r="B9" s="6" t="s">
        <v>28</v>
      </c>
      <c r="C9" s="17" t="s">
        <v>58</v>
      </c>
      <c r="D9" s="17" t="s">
        <v>59</v>
      </c>
      <c r="E9" s="2" t="s">
        <v>31</v>
      </c>
      <c r="F9" s="19" t="n">
        <v>45901</v>
      </c>
      <c r="G9" s="23" t="n">
        <f t="shared" ref="G9:G18" si="0">J8</f>
        <v>0</v>
      </c>
      <c r="H9" s="23"/>
      <c r="I9" s="20" t="n">
        <v>49109.5</v>
      </c>
      <c r="J9" s="23" t="n">
        <f>MAX(Misotable[[#This Row],[Stock on hand(opening balance)]]+Misotable[[#This Row],[Quantity ]]-Misotable[[#This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Misotable[[#This Row],[Closing balance ]]/Misotable[[#This Row],[Forecasted consumption]]</f>
        <v>0</v>
      </c>
      <c r="X9" s="25"/>
    </row>
    <row r="10">
      <c r="B10" s="6" t="s">
        <v>28</v>
      </c>
      <c r="C10" s="17" t="s">
        <v>58</v>
      </c>
      <c r="D10" s="17" t="s">
        <v>59</v>
      </c>
      <c r="E10" s="2" t="s">
        <v>31</v>
      </c>
      <c r="F10" s="19" t="n">
        <v>45931</v>
      </c>
      <c r="G10" s="23" t="n">
        <f t="shared" si="0"/>
        <v>0</v>
      </c>
      <c r="H10" s="23"/>
      <c r="I10" s="20" t="n">
        <v>49109.5</v>
      </c>
      <c r="J10" s="23" t="n">
        <f>MAX(Misotable[[#This Row],[Stock on hand(opening balance)]]+Misotable[[#This Row],[Quantity ]]-Misotable[[#This Row],[Forecasted consumption]],0)</f>
        <v>270473.5</v>
      </c>
      <c r="K10" s="2" t="s">
        <v>2</v>
      </c>
      <c r="L10" s="2" t="s">
        <v>2</v>
      </c>
      <c r="M10" s="33" t="s">
        <v>4</v>
      </c>
      <c r="N10" s="6" t="n">
        <v>319583</v>
      </c>
      <c r="O10" s="2"/>
      <c r="P10" s="2" t="n">
        <v>246239</v>
      </c>
      <c r="Q10" s="24" t="n">
        <v>45931</v>
      </c>
      <c r="R10" s="2"/>
      <c r="S10" s="2"/>
      <c r="T10" s="18" t="n">
        <v>9</v>
      </c>
      <c r="U10" s="18" t="n">
        <v>14</v>
      </c>
      <c r="V10" s="18" t="n">
        <v>13</v>
      </c>
      <c r="W10" s="34" t="n">
        <f>Misotable[[#This Row],[Closing balance ]]/Misotable[[#This Row],[Forecasted consumption]]</f>
        <v>5.5075596371374171</v>
      </c>
      <c r="X10" s="25"/>
    </row>
    <row r="11">
      <c r="B11" s="6" t="s">
        <v>28</v>
      </c>
      <c r="C11" s="17" t="s">
        <v>58</v>
      </c>
      <c r="D11" s="17" t="s">
        <v>59</v>
      </c>
      <c r="E11" s="2" t="s">
        <v>31</v>
      </c>
      <c r="F11" s="19" t="n">
        <v>45962</v>
      </c>
      <c r="G11" s="23" t="n">
        <f t="shared" si="0"/>
        <v>270473.5</v>
      </c>
      <c r="H11" s="23"/>
      <c r="I11" s="20" t="n">
        <v>49109.5</v>
      </c>
      <c r="J11" s="23" t="n">
        <f>MAX(Misotable[[#This Row],[Stock on hand(opening balance)]]+Misotable[[#This Row],[Quantity ]]-Misotable[[#This Row],[Forecasted consumption]],0)</f>
        <v>221364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Misotable[[#This Row],[Closing balance ]]/Misotable[[#This Row],[Forecasted consumption]]</f>
        <v>4.5075596371374171</v>
      </c>
      <c r="X11" s="25"/>
    </row>
    <row r="12">
      <c r="B12" s="6" t="s">
        <v>28</v>
      </c>
      <c r="C12" s="17" t="s">
        <v>58</v>
      </c>
      <c r="D12" s="17" t="s">
        <v>59</v>
      </c>
      <c r="E12" s="2" t="s">
        <v>31</v>
      </c>
      <c r="F12" s="19" t="n">
        <v>45992</v>
      </c>
      <c r="G12" s="23" t="n">
        <f t="shared" si="0"/>
        <v>221364</v>
      </c>
      <c r="H12" s="23"/>
      <c r="I12" s="20" t="n">
        <v>49109.5</v>
      </c>
      <c r="J12" s="23" t="n">
        <f>MAX(Misotable[[#This Row],[Stock on hand(opening balance)]]+Misotable[[#This Row],[Quantity ]]-Misotable[[#This Row],[Forecasted consumption]],0)</f>
        <v>172254.5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Misotable[[#This Row],[Closing balance ]]/Misotable[[#This Row],[Forecasted consumption]]</f>
        <v>3.5075596371374176</v>
      </c>
      <c r="X12" s="25"/>
    </row>
    <row r="13">
      <c r="B13" s="6" t="s">
        <v>28</v>
      </c>
      <c r="C13" s="17" t="s">
        <v>58</v>
      </c>
      <c r="D13" s="17" t="s">
        <v>59</v>
      </c>
      <c r="E13" s="2" t="s">
        <v>31</v>
      </c>
      <c r="F13" s="19" t="n">
        <v>46023</v>
      </c>
      <c r="G13" s="23" t="n">
        <f t="shared" si="0"/>
        <v>172254.5</v>
      </c>
      <c r="H13" s="23"/>
      <c r="I13" s="20" t="n">
        <v>49109.5</v>
      </c>
      <c r="J13" s="23" t="n">
        <f>MAX(Misotable[[#This Row],[Stock on hand(opening balance)]]+Misotable[[#This Row],[Quantity ]]-Misotable[[#This Row],[Forecasted consumption]],0)</f>
        <v>123145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Misotable[[#This Row],[Closing balance ]]/Misotable[[#This Row],[Forecasted consumption]]</f>
        <v>2.5075596371374176</v>
      </c>
      <c r="X13" s="25"/>
    </row>
    <row r="14">
      <c r="B14" s="6" t="s">
        <v>28</v>
      </c>
      <c r="C14" s="17" t="s">
        <v>58</v>
      </c>
      <c r="D14" s="17" t="s">
        <v>59</v>
      </c>
      <c r="E14" s="2" t="s">
        <v>31</v>
      </c>
      <c r="F14" s="19" t="n">
        <v>46054</v>
      </c>
      <c r="G14" s="23" t="n">
        <f t="shared" si="0"/>
        <v>123145</v>
      </c>
      <c r="H14" s="23"/>
      <c r="I14" s="20" t="n">
        <v>49109.5</v>
      </c>
      <c r="J14" s="23" t="n">
        <f>MAX(Misotable[[#This Row],[Stock on hand(opening balance)]]+Misotable[[#This Row],[Quantity ]]-Misotable[[#This Row],[Forecasted consumption]],0)</f>
        <v>74035.5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Misotable[[#This Row],[Closing balance ]]/Misotable[[#This Row],[Forecasted consumption]]</f>
        <v>1.5075596371374174</v>
      </c>
      <c r="X14" s="25"/>
    </row>
    <row r="15">
      <c r="B15" s="6" t="s">
        <v>28</v>
      </c>
      <c r="C15" s="17" t="s">
        <v>58</v>
      </c>
      <c r="D15" s="17" t="s">
        <v>59</v>
      </c>
      <c r="E15" s="2" t="s">
        <v>31</v>
      </c>
      <c r="F15" s="19" t="n">
        <v>46082</v>
      </c>
      <c r="G15" s="23" t="n">
        <f t="shared" si="0"/>
        <v>74035.5</v>
      </c>
      <c r="H15" s="23"/>
      <c r="I15" s="20" t="n">
        <v>49109.5</v>
      </c>
      <c r="J15" s="23" t="n">
        <f>MAX(Misotable[[#This Row],[Stock on hand(opening balance)]]+Misotable[[#This Row],[Quantity ]]-Misotable[[#This Row],[Forecasted consumption]],0)</f>
        <v>273456</v>
      </c>
      <c r="K15" s="2" t="s">
        <v>2</v>
      </c>
      <c r="L15" s="2" t="s">
        <v>2</v>
      </c>
      <c r="M15" s="33" t="s">
        <v>4</v>
      </c>
      <c r="N15" s="23" t="n">
        <v>248530</v>
      </c>
      <c r="O15" s="2"/>
      <c r="P15" s="2" t="n">
        <v>191492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4" t="n">
        <f>Misotable[[#This Row],[Closing balance ]]/Misotable[[#This Row],[Forecasted consumption]]</f>
        <v>5.5682912674737066</v>
      </c>
      <c r="X15" s="25"/>
    </row>
    <row r="16">
      <c r="B16" s="6" t="s">
        <v>28</v>
      </c>
      <c r="C16" s="17" t="s">
        <v>58</v>
      </c>
      <c r="D16" s="17" t="s">
        <v>59</v>
      </c>
      <c r="E16" s="2" t="s">
        <v>31</v>
      </c>
      <c r="F16" s="19" t="n">
        <v>46113</v>
      </c>
      <c r="G16" s="23" t="n">
        <f t="shared" si="0"/>
        <v>273456</v>
      </c>
      <c r="H16" s="23"/>
      <c r="I16" s="20" t="n">
        <v>49109.5</v>
      </c>
      <c r="J16" s="23" t="n">
        <f>MAX(Misotable[[#This Row],[Stock on hand(opening balance)]]+Misotable[[#This Row],[Quantity ]]-Misotable[[#This Row],[Forecasted consumption]],0)</f>
        <v>224346.5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Misotable[[#This Row],[Closing balance ]]/Misotable[[#This Row],[Forecasted consumption]]</f>
        <v>4.5682912674737066</v>
      </c>
      <c r="X16" s="25"/>
    </row>
    <row r="17">
      <c r="B17" s="6" t="s">
        <v>28</v>
      </c>
      <c r="C17" s="17" t="s">
        <v>58</v>
      </c>
      <c r="D17" s="17" t="s">
        <v>59</v>
      </c>
      <c r="E17" s="2" t="s">
        <v>31</v>
      </c>
      <c r="F17" s="19" t="n">
        <v>46143</v>
      </c>
      <c r="G17" s="23" t="n">
        <f t="shared" si="0"/>
        <v>224346.5</v>
      </c>
      <c r="H17" s="23"/>
      <c r="I17" s="20" t="n">
        <v>49109.5</v>
      </c>
      <c r="J17" s="23" t="n">
        <f>MAX(Misotable[[#This Row],[Stock on hand(opening balance)]]+Misotable[[#This Row],[Quantity ]]-Misotable[[#This Row],[Forecasted consumption]],0)</f>
        <v>175237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Misotable[[#This Row],[Closing balance ]]/Misotable[[#This Row],[Forecasted consumption]]</f>
        <v>3.5682912674737066</v>
      </c>
      <c r="X17" s="25"/>
    </row>
    <row r="18">
      <c r="B18" s="6" t="s">
        <v>28</v>
      </c>
      <c r="C18" s="17" t="s">
        <v>58</v>
      </c>
      <c r="D18" s="17" t="s">
        <v>59</v>
      </c>
      <c r="E18" s="2" t="s">
        <v>31</v>
      </c>
      <c r="F18" s="19" t="n">
        <v>46174</v>
      </c>
      <c r="G18" s="23" t="n">
        <f t="shared" si="0"/>
        <v>175237</v>
      </c>
      <c r="H18" s="23"/>
      <c r="I18" s="20" t="n">
        <v>49109.5</v>
      </c>
      <c r="J18" s="23" t="n">
        <f>MAX(Misotable[[#This Row],[Stock on hand(opening balance)]]+Misotable[[#This Row],[Quantity ]]-Misotable[[#This Row],[Forecasted consumption]],0)</f>
        <v>126127.5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Misotable[[#This Row],[Closing balance ]]/Misotable[[#This Row],[Forecasted consumption]]</f>
        <v>2.5682912674737066</v>
      </c>
      <c r="X18" s="25"/>
    </row>
  </sheetData>
  <dataValidations count="3">
    <dataValidation type="list" allowBlank="1" showInputMessage="1" showErrorMessage="1" sqref="E7:E18" xr:uid="{E70FB1FB-3AAF-4456-8BB5-F5B29F2356F1}">
      <formula1>"All levels, Central, Central and Regional, Facilities "</formula1>
    </dataValidation>
    <dataValidation type="list" allowBlank="1" showInputMessage="1" showErrorMessage="1" sqref="M7:M18" xr:uid="{24106DFE-A845-4563-ACBC-03FAACBCC74E}">
      <formula1>"Committed,  Placed, Expected Deliveries, Received, cancelled, Planned"</formula1>
    </dataValidation>
    <dataValidation type="list" allowBlank="1" showInputMessage="1" showErrorMessage="1" sqref="M19:M108" xr:uid="{91AF1804-C8DA-4393-94BA-EB537084952C}">
      <formula1>"Committed, 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59E1BE-C7F5-4EE1-8CEF-2702A08D1041}">
          <x14:formula1>
            <xm:f>'product list '!$A$76</xm:f>
          </x14:formula1>
          <xm:sqref>C7:C18</xm:sqref>
        </x14:dataValidation>
        <x14:dataValidation type="list" allowBlank="1" showInputMessage="1" showErrorMessage="1" xr:uid="{A64B5F62-D31C-463A-ABFB-276B7C780187}">
          <x14:formula1>
            <xm:f>'choices countries '!$B$3:$B$12</xm:f>
          </x14:formula1>
          <xm:sqref>B7:B409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143</v>
      </c>
      <c r="D7" s="17" t="s">
        <v>59</v>
      </c>
      <c r="E7" s="18" t="s">
        <v>31</v>
      </c>
      <c r="F7" s="19" t="n">
        <v>45839</v>
      </c>
      <c r="G7" s="20" t="n">
        <v>0</v>
      </c>
      <c r="H7" s="20"/>
      <c r="I7" s="20" t="n">
        <v>219</v>
      </c>
      <c r="J7" s="20" t="n">
        <f>MAX(mifetable[[#This Row],[Stock on hand(opening balance)]]+mifetable[[#This Row],[Quantity ]]-mifetable[[#This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mifetable[[#This Row],[Closing balance ]]/mifetable[[#This Row],[Forecasted consumption]]</f>
        <v>0</v>
      </c>
      <c r="X7" s="22"/>
    </row>
    <row r="8">
      <c r="B8" s="6" t="s">
        <v>28</v>
      </c>
      <c r="C8" s="17" t="s">
        <v>143</v>
      </c>
      <c r="D8" s="17" t="s">
        <v>59</v>
      </c>
      <c r="E8" s="18" t="s">
        <v>31</v>
      </c>
      <c r="F8" s="19" t="n">
        <v>45870</v>
      </c>
      <c r="G8" s="23" t="n">
        <f>J7</f>
        <v>0</v>
      </c>
      <c r="H8" s="23"/>
      <c r="I8" s="20" t="n">
        <v>219</v>
      </c>
      <c r="J8" s="23" t="n">
        <f>MAX(mifetable[[#This Row],[Stock on hand(opening balance)]]+mifetable[[#This Row],[Quantity ]]-mifetable[[#This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mifetable[[#This Row],[Closing balance ]]/mifetable[[#This Row],[Forecasted consumption]]</f>
        <v>0</v>
      </c>
      <c r="X8" s="25"/>
    </row>
    <row r="9">
      <c r="B9" s="6" t="s">
        <v>28</v>
      </c>
      <c r="C9" s="17" t="s">
        <v>143</v>
      </c>
      <c r="D9" s="17" t="s">
        <v>59</v>
      </c>
      <c r="E9" s="18" t="s">
        <v>31</v>
      </c>
      <c r="F9" s="19" t="n">
        <v>45901</v>
      </c>
      <c r="G9" s="23" t="n">
        <f t="shared" ref="G9:G18" si="0">J8</f>
        <v>0</v>
      </c>
      <c r="H9" s="23"/>
      <c r="I9" s="20" t="n">
        <v>219</v>
      </c>
      <c r="J9" s="23" t="n">
        <f>MAX(mifetable[[#This Row],[Stock on hand(opening balance)]]+mifetable[[#This Row],[Quantity ]]-mifetable[[#This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mifetable[[#This Row],[Closing balance ]]/mifetable[[#This Row],[Forecasted consumption]]</f>
        <v>0</v>
      </c>
      <c r="X9" s="25"/>
    </row>
    <row r="10">
      <c r="B10" s="6" t="s">
        <v>28</v>
      </c>
      <c r="C10" s="17" t="s">
        <v>143</v>
      </c>
      <c r="D10" s="17" t="s">
        <v>59</v>
      </c>
      <c r="E10" s="18" t="s">
        <v>31</v>
      </c>
      <c r="F10" s="19" t="n">
        <v>45931</v>
      </c>
      <c r="G10" s="23" t="n">
        <f t="shared" si="0"/>
        <v>0</v>
      </c>
      <c r="H10" s="23"/>
      <c r="I10" s="20" t="n">
        <v>219</v>
      </c>
      <c r="J10" s="23" t="n">
        <f>MAX(mifetable[[#This Row],[Stock on hand(opening balance)]]+mifetable[[#This Row],[Quantity ]]-mifetable[[#This Row],[Forecasted consumption]],0)</f>
        <v>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mifetable[[#This Row],[Closing balance ]]/mifetable[[#This Row],[Forecasted consumption]]</f>
        <v>0</v>
      </c>
      <c r="X10" s="25"/>
    </row>
    <row r="11">
      <c r="B11" s="6" t="s">
        <v>28</v>
      </c>
      <c r="C11" s="17" t="s">
        <v>143</v>
      </c>
      <c r="D11" s="17" t="s">
        <v>59</v>
      </c>
      <c r="E11" s="18" t="s">
        <v>31</v>
      </c>
      <c r="F11" s="19" t="n">
        <v>45962</v>
      </c>
      <c r="G11" s="23" t="n">
        <f t="shared" si="0"/>
        <v>0</v>
      </c>
      <c r="H11" s="23"/>
      <c r="I11" s="20" t="n">
        <v>219</v>
      </c>
      <c r="J11" s="23" t="n">
        <f>MAX(mifetable[[#This Row],[Stock on hand(opening balance)]]+mifetable[[#This Row],[Quantity ]]-mifetable[[#This Row],[Forecasted consumption]],0)</f>
        <v>0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mifetable[[#This Row],[Closing balance ]]/mifetable[[#This Row],[Forecasted consumption]]</f>
        <v>0</v>
      </c>
      <c r="X11" s="25"/>
    </row>
    <row r="12">
      <c r="B12" s="6" t="s">
        <v>28</v>
      </c>
      <c r="C12" s="17" t="s">
        <v>143</v>
      </c>
      <c r="D12" s="17" t="s">
        <v>59</v>
      </c>
      <c r="E12" s="18" t="s">
        <v>31</v>
      </c>
      <c r="F12" s="19" t="n">
        <v>45992</v>
      </c>
      <c r="G12" s="23" t="n">
        <f t="shared" si="0"/>
        <v>0</v>
      </c>
      <c r="H12" s="23"/>
      <c r="I12" s="20" t="n">
        <v>219</v>
      </c>
      <c r="J12" s="23" t="n">
        <f>MAX(mifetable[[#This Row],[Stock on hand(opening balance)]]+mifetable[[#This Row],[Quantity ]]-mifetable[[#This Row],[Forecasted consumption]],0)</f>
        <v>0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mifetable[[#This Row],[Closing balance ]]/mifetable[[#This Row],[Forecasted consumption]]</f>
        <v>0</v>
      </c>
      <c r="X12" s="25"/>
    </row>
    <row r="13">
      <c r="B13" s="6" t="s">
        <v>28</v>
      </c>
      <c r="C13" s="17" t="s">
        <v>143</v>
      </c>
      <c r="D13" s="17" t="s">
        <v>59</v>
      </c>
      <c r="E13" s="18" t="s">
        <v>31</v>
      </c>
      <c r="F13" s="19" t="n">
        <v>46023</v>
      </c>
      <c r="G13" s="23" t="n">
        <f t="shared" si="0"/>
        <v>0</v>
      </c>
      <c r="H13" s="23"/>
      <c r="I13" s="20" t="n">
        <v>219</v>
      </c>
      <c r="J13" s="23" t="n">
        <f>MAX(mifetable[[#This Row],[Stock on hand(opening balance)]]+mifetable[[#This Row],[Quantity ]]-mifetable[[#This Row],[Forecasted consumption]],0)</f>
        <v>0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mifetable[[#This Row],[Closing balance ]]/mifetable[[#This Row],[Forecasted consumption]]</f>
        <v>0</v>
      </c>
      <c r="X13" s="25"/>
    </row>
    <row r="14">
      <c r="B14" s="6" t="s">
        <v>28</v>
      </c>
      <c r="C14" s="17" t="s">
        <v>143</v>
      </c>
      <c r="D14" s="17" t="s">
        <v>59</v>
      </c>
      <c r="E14" s="18" t="s">
        <v>31</v>
      </c>
      <c r="F14" s="19" t="n">
        <v>46054</v>
      </c>
      <c r="G14" s="23" t="n">
        <f t="shared" si="0"/>
        <v>0</v>
      </c>
      <c r="H14" s="23"/>
      <c r="I14" s="20" t="n">
        <v>219</v>
      </c>
      <c r="J14" s="23" t="n">
        <f>MAX(mifetable[[#This Row],[Stock on hand(opening balance)]]+mifetable[[#This Row],[Quantity ]]-mifetable[[#This Row],[Forecasted consumption]],0)</f>
        <v>0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mifetable[[#This Row],[Closing balance ]]/mifetable[[#This Row],[Forecasted consumption]]</f>
        <v>0</v>
      </c>
      <c r="X14" s="25"/>
    </row>
    <row r="15">
      <c r="B15" s="6" t="s">
        <v>28</v>
      </c>
      <c r="C15" s="17" t="s">
        <v>143</v>
      </c>
      <c r="D15" s="17" t="s">
        <v>59</v>
      </c>
      <c r="E15" s="18" t="s">
        <v>31</v>
      </c>
      <c r="F15" s="19" t="n">
        <v>46082</v>
      </c>
      <c r="G15" s="23" t="n">
        <f t="shared" si="0"/>
        <v>0</v>
      </c>
      <c r="H15" s="23"/>
      <c r="I15" s="20" t="n">
        <v>219</v>
      </c>
      <c r="J15" s="23" t="n">
        <f>MAX(mifetable[[#This Row],[Stock on hand(opening balance)]]+mifetable[[#This Row],[Quantity ]]-mifetable[[#This Row],[Forecasted consumption]],0)</f>
        <v>0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mifetable[[#This Row],[Closing balance ]]/mifetable[[#This Row],[Forecasted consumption]]</f>
        <v>0</v>
      </c>
      <c r="X15" s="25"/>
    </row>
    <row r="16">
      <c r="B16" s="6" t="s">
        <v>28</v>
      </c>
      <c r="C16" s="17" t="s">
        <v>143</v>
      </c>
      <c r="D16" s="17" t="s">
        <v>59</v>
      </c>
      <c r="E16" s="18" t="s">
        <v>31</v>
      </c>
      <c r="F16" s="19" t="n">
        <v>46113</v>
      </c>
      <c r="G16" s="23" t="n">
        <f t="shared" si="0"/>
        <v>0</v>
      </c>
      <c r="H16" s="23"/>
      <c r="I16" s="20" t="n">
        <v>219</v>
      </c>
      <c r="J16" s="23" t="n">
        <f>MAX(mifetable[[#This Row],[Stock on hand(opening balance)]]+mifetable[[#This Row],[Quantity ]]-mifetable[[#This Row],[Forecasted consumption]],0)</f>
        <v>0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mifetable[[#This Row],[Closing balance ]]/mifetable[[#This Row],[Forecasted consumption]]</f>
        <v>0</v>
      </c>
      <c r="X16" s="25"/>
    </row>
    <row r="17">
      <c r="B17" s="6" t="s">
        <v>28</v>
      </c>
      <c r="C17" s="17" t="s">
        <v>143</v>
      </c>
      <c r="D17" s="17" t="s">
        <v>59</v>
      </c>
      <c r="E17" s="18" t="s">
        <v>31</v>
      </c>
      <c r="F17" s="19" t="n">
        <v>46143</v>
      </c>
      <c r="G17" s="23" t="n">
        <f t="shared" si="0"/>
        <v>0</v>
      </c>
      <c r="H17" s="23"/>
      <c r="I17" s="20" t="n">
        <v>219</v>
      </c>
      <c r="J17" s="23" t="n">
        <f>MAX(mifetable[[#This Row],[Stock on hand(opening balance)]]+mifetable[[#This Row],[Quantity ]]-mifetable[[#This Row],[Forecasted consumption]],0)</f>
        <v>0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mifetable[[#This Row],[Closing balance ]]/mifetable[[#This Row],[Forecasted consumption]]</f>
        <v>0</v>
      </c>
      <c r="X17" s="25"/>
    </row>
    <row r="18">
      <c r="C18" s="17" t="s">
        <v>143</v>
      </c>
      <c r="D18" s="17" t="s">
        <v>59</v>
      </c>
      <c r="E18" s="18" t="s">
        <v>31</v>
      </c>
      <c r="F18" s="19" t="n">
        <v>46174</v>
      </c>
      <c r="G18" s="23" t="n">
        <f t="shared" si="0"/>
        <v>0</v>
      </c>
      <c r="H18" s="23"/>
      <c r="I18" s="20" t="n">
        <v>219</v>
      </c>
      <c r="J18" s="23" t="n">
        <f>MAX(mifetable[[#This Row],[Stock on hand(opening balance)]]+mifetable[[#This Row],[Quantity ]]-mifetable[[#This Row],[Forecasted consumption]],0)</f>
        <v>0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mifetable[[#This Row],[Closing balance ]]/mifetable[[#This Row],[Forecasted consumption]]</f>
        <v>0</v>
      </c>
      <c r="X18" s="25"/>
    </row>
  </sheetData>
  <dataValidations count="3">
    <dataValidation type="list" allowBlank="1" showInputMessage="1" showErrorMessage="1" sqref="M7:M18" xr:uid="{E4638F39-1201-443F-AB51-9BAB64993ACA}">
      <formula1>"Committed,  Placed, Expected Deliveries, Received, cancelled, Planned"</formula1>
    </dataValidation>
    <dataValidation type="list" allowBlank="1" showInputMessage="1" showErrorMessage="1" sqref="M19:M109" xr:uid="{8E8C5B49-3F64-4A30-AAC6-C257FC20BAE8}">
      <formula1>"Committed,  Placed, Expected Deliveries, Received, cancelled"</formula1>
    </dataValidation>
    <dataValidation type="list" allowBlank="1" showInputMessage="1" showErrorMessage="1" sqref="E7:E18" xr:uid="{352FA585-B2CB-4266-B06B-3F79AA588845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846DB5-E5DE-4E2A-90D8-7207D34AD63B}">
          <x14:formula1>
            <xm:f>'product list '!$A$69:$A$78</xm:f>
          </x14:formula1>
          <xm:sqref>C7:C18</xm:sqref>
        </x14:dataValidation>
        <x14:dataValidation type="list" allowBlank="1" showInputMessage="1" showErrorMessage="1" xr:uid="{181A8AA0-567E-4FB7-B6DE-D2B5DAC1C1C8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145</v>
      </c>
      <c r="D7" s="17" t="s">
        <v>43</v>
      </c>
      <c r="E7" s="18" t="s">
        <v>31</v>
      </c>
      <c r="F7" s="19" t="n">
        <v>45839</v>
      </c>
      <c r="G7" s="20" t="n">
        <v>0</v>
      </c>
      <c r="H7" s="20"/>
      <c r="I7" s="20" t="n">
        <v>516.75</v>
      </c>
      <c r="J7" s="20" t="n">
        <f>MAX(Txatable[[#This Row],[Stock on hand(opening balance)]]+Txatable[[#This Row],[Quantity ]]-Txatable[[#This Row],[Forecasted consumption]],0)</f>
        <v>2141.25</v>
      </c>
      <c r="K7" s="18" t="s">
        <v>2</v>
      </c>
      <c r="L7" s="18" t="s">
        <v>2</v>
      </c>
      <c r="M7" s="18" t="s">
        <v>4</v>
      </c>
      <c r="N7" s="6" t="n">
        <v>2658</v>
      </c>
      <c r="O7" s="18"/>
      <c r="P7" s="18" t="n">
        <v>29956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32" t="n">
        <f>Txatable[[#This Row],[Closing balance ]]/Txatable[[#This Row],[Forecasted consumption]]</f>
        <v>4.1436865021770686</v>
      </c>
      <c r="X7" s="22"/>
    </row>
    <row r="8">
      <c r="B8" s="6" t="s">
        <v>28</v>
      </c>
      <c r="C8" s="17" t="s">
        <v>145</v>
      </c>
      <c r="D8" s="17" t="s">
        <v>43</v>
      </c>
      <c r="E8" s="18" t="s">
        <v>31</v>
      </c>
      <c r="F8" s="19" t="n">
        <v>45870</v>
      </c>
      <c r="G8" s="23" t="n">
        <f>J7</f>
        <v>2141.25</v>
      </c>
      <c r="H8" s="23"/>
      <c r="I8" s="20" t="n">
        <v>516.75</v>
      </c>
      <c r="J8" s="23" t="n">
        <f>MAX(Txatable[[#This Row],[Stock on hand(opening balance)]]+Txatable[[#This Row],[Quantity ]]-Txatable[[#This Row],[Forecasted consumption]],0)</f>
        <v>1624.5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Txatable[[#This Row],[Closing balance ]]/Txatable[[#This Row],[Forecasted consumption]]</f>
        <v>3.1436865021770681</v>
      </c>
      <c r="X8" s="25"/>
    </row>
    <row r="9">
      <c r="B9" s="6" t="s">
        <v>28</v>
      </c>
      <c r="C9" s="17" t="s">
        <v>145</v>
      </c>
      <c r="D9" s="17" t="s">
        <v>43</v>
      </c>
      <c r="E9" s="18" t="s">
        <v>31</v>
      </c>
      <c r="F9" s="19" t="n">
        <v>45901</v>
      </c>
      <c r="G9" s="23" t="n">
        <f t="shared" ref="G9:G18" si="0">J8</f>
        <v>1624.5</v>
      </c>
      <c r="H9" s="23"/>
      <c r="I9" s="20" t="n">
        <v>516.75</v>
      </c>
      <c r="J9" s="23" t="n">
        <f>MAX(Txatable[[#This Row],[Stock on hand(opening balance)]]+Txatable[[#This Row],[Quantity ]]-Txatable[[#This Row],[Forecasted consumption]],0)</f>
        <v>1107.75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Txatable[[#This Row],[Closing balance ]]/Txatable[[#This Row],[Forecasted consumption]]</f>
        <v>2.1436865021770681</v>
      </c>
      <c r="X9" s="25"/>
    </row>
    <row r="10">
      <c r="B10" s="6" t="s">
        <v>28</v>
      </c>
      <c r="C10" s="17" t="s">
        <v>145</v>
      </c>
      <c r="D10" s="17" t="s">
        <v>43</v>
      </c>
      <c r="E10" s="18" t="s">
        <v>31</v>
      </c>
      <c r="F10" s="19" t="n">
        <v>45931</v>
      </c>
      <c r="G10" s="23" t="n">
        <f t="shared" si="0"/>
        <v>1107.75</v>
      </c>
      <c r="H10" s="23"/>
      <c r="I10" s="20" t="n">
        <v>516.75</v>
      </c>
      <c r="J10" s="23" t="n">
        <f>MAX(Txatable[[#This Row],[Stock on hand(opening balance)]]+Txatable[[#This Row],[Quantity ]]-Txatable[[#This Row],[Forecasted consumption]],0)</f>
        <v>591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Txatable[[#This Row],[Closing balance ]]/Txatable[[#This Row],[Forecasted consumption]]</f>
        <v>1.1436865021770681</v>
      </c>
      <c r="X10" s="25"/>
    </row>
    <row r="11">
      <c r="B11" s="6" t="s">
        <v>28</v>
      </c>
      <c r="C11" s="17" t="s">
        <v>145</v>
      </c>
      <c r="D11" s="17" t="s">
        <v>43</v>
      </c>
      <c r="E11" s="18" t="s">
        <v>31</v>
      </c>
      <c r="F11" s="19" t="n">
        <v>45962</v>
      </c>
      <c r="G11" s="23" t="n">
        <f t="shared" si="0"/>
        <v>591</v>
      </c>
      <c r="H11" s="23"/>
      <c r="I11" s="20" t="n">
        <v>516.75</v>
      </c>
      <c r="J11" s="23" t="n">
        <f>MAX(Txatable[[#This Row],[Stock on hand(opening balance)]]+Txatable[[#This Row],[Quantity ]]-Txatable[[#This Row],[Forecasted consumption]],0)</f>
        <v>3084.25</v>
      </c>
      <c r="K11" s="2" t="s">
        <v>2</v>
      </c>
      <c r="L11" s="2" t="s">
        <v>2</v>
      </c>
      <c r="M11" s="33" t="s">
        <v>4</v>
      </c>
      <c r="N11" s="23" t="n">
        <v>3010</v>
      </c>
      <c r="O11" s="2"/>
      <c r="P11" s="2" t="n">
        <v>33923</v>
      </c>
      <c r="Q11" s="24" t="n">
        <v>45962</v>
      </c>
      <c r="R11" s="2"/>
      <c r="S11" s="2"/>
      <c r="T11" s="18" t="n">
        <v>9</v>
      </c>
      <c r="U11" s="18" t="n">
        <v>14</v>
      </c>
      <c r="V11" s="18" t="n">
        <v>13</v>
      </c>
      <c r="W11" s="34" t="n">
        <f>Txatable[[#This Row],[Closing balance ]]/Txatable[[#This Row],[Forecasted consumption]]</f>
        <v>5.9685534591194971</v>
      </c>
      <c r="X11" s="25"/>
    </row>
    <row r="12">
      <c r="B12" s="6" t="s">
        <v>28</v>
      </c>
      <c r="C12" s="17" t="s">
        <v>145</v>
      </c>
      <c r="D12" s="17" t="s">
        <v>43</v>
      </c>
      <c r="E12" s="18" t="s">
        <v>31</v>
      </c>
      <c r="F12" s="19" t="n">
        <v>45992</v>
      </c>
      <c r="G12" s="23" t="n">
        <f t="shared" si="0"/>
        <v>3084.25</v>
      </c>
      <c r="H12" s="23"/>
      <c r="I12" s="20" t="n">
        <v>516.75</v>
      </c>
      <c r="J12" s="23" t="n">
        <f>MAX(Txatable[[#This Row],[Stock on hand(opening balance)]]+Txatable[[#This Row],[Quantity ]]-Txatable[[#This Row],[Forecasted consumption]],0)</f>
        <v>2567.5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Txatable[[#This Row],[Closing balance ]]/Txatable[[#This Row],[Forecasted consumption]]</f>
        <v>4.9685534591194971</v>
      </c>
      <c r="X12" s="25"/>
    </row>
    <row r="13">
      <c r="B13" s="6" t="s">
        <v>28</v>
      </c>
      <c r="C13" s="17" t="s">
        <v>145</v>
      </c>
      <c r="D13" s="17" t="s">
        <v>43</v>
      </c>
      <c r="E13" s="18" t="s">
        <v>31</v>
      </c>
      <c r="F13" s="19" t="n">
        <v>46023</v>
      </c>
      <c r="G13" s="23" t="n">
        <f t="shared" si="0"/>
        <v>2567.5</v>
      </c>
      <c r="H13" s="23"/>
      <c r="I13" s="20" t="n">
        <v>516.75</v>
      </c>
      <c r="J13" s="23" t="n">
        <f>MAX(Txatable[[#This Row],[Stock on hand(opening balance)]]+Txatable[[#This Row],[Quantity ]]-Txatable[[#This Row],[Forecasted consumption]],0)</f>
        <v>2050.75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Txatable[[#This Row],[Closing balance ]]/Txatable[[#This Row],[Forecasted consumption]]</f>
        <v>3.9685534591194966</v>
      </c>
      <c r="X13" s="25"/>
    </row>
    <row r="14">
      <c r="B14" s="6" t="s">
        <v>28</v>
      </c>
      <c r="C14" s="17" t="s">
        <v>145</v>
      </c>
      <c r="D14" s="17" t="s">
        <v>43</v>
      </c>
      <c r="E14" s="18" t="s">
        <v>31</v>
      </c>
      <c r="F14" s="19" t="n">
        <v>46054</v>
      </c>
      <c r="G14" s="23" t="n">
        <f t="shared" si="0"/>
        <v>2050.75</v>
      </c>
      <c r="H14" s="23"/>
      <c r="I14" s="20" t="n">
        <v>516.75</v>
      </c>
      <c r="J14" s="23" t="n">
        <f>MAX(Txatable[[#This Row],[Stock on hand(opening balance)]]+Txatable[[#This Row],[Quantity ]]-Txatable[[#This Row],[Forecasted consumption]],0)</f>
        <v>1534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Txatable[[#This Row],[Closing balance ]]/Txatable[[#This Row],[Forecasted consumption]]</f>
        <v>2.9685534591194966</v>
      </c>
      <c r="X14" s="25"/>
    </row>
    <row r="15">
      <c r="B15" s="6" t="s">
        <v>28</v>
      </c>
      <c r="C15" s="17" t="s">
        <v>145</v>
      </c>
      <c r="D15" s="17" t="s">
        <v>43</v>
      </c>
      <c r="E15" s="18" t="s">
        <v>31</v>
      </c>
      <c r="F15" s="19" t="n">
        <v>46082</v>
      </c>
      <c r="G15" s="23" t="n">
        <f t="shared" si="0"/>
        <v>1534</v>
      </c>
      <c r="H15" s="23"/>
      <c r="I15" s="20" t="n">
        <v>516.75</v>
      </c>
      <c r="J15" s="23" t="n">
        <f>MAX(Txatable[[#This Row],[Stock on hand(opening balance)]]+Txatable[[#This Row],[Quantity ]]-Txatable[[#This Row],[Forecasted consumption]],0)</f>
        <v>4432.25</v>
      </c>
      <c r="K15" s="2" t="s">
        <v>2</v>
      </c>
      <c r="L15" s="2" t="s">
        <v>2</v>
      </c>
      <c r="M15" s="33" t="s">
        <v>4</v>
      </c>
      <c r="N15" s="23" t="n">
        <v>3415</v>
      </c>
      <c r="O15" s="2"/>
      <c r="P15" s="2" t="n">
        <v>38487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4" t="n">
        <f>Txatable[[#This Row],[Closing balance ]]/Txatable[[#This Row],[Forecasted consumption]]</f>
        <v>8.5771649733913886</v>
      </c>
      <c r="X15" s="25"/>
    </row>
    <row r="16">
      <c r="B16" s="6" t="s">
        <v>28</v>
      </c>
      <c r="C16" s="17" t="s">
        <v>145</v>
      </c>
      <c r="D16" s="17" t="s">
        <v>43</v>
      </c>
      <c r="E16" s="18" t="s">
        <v>31</v>
      </c>
      <c r="F16" s="19" t="n">
        <v>46113</v>
      </c>
      <c r="G16" s="23" t="n">
        <f t="shared" si="0"/>
        <v>4432.25</v>
      </c>
      <c r="H16" s="23"/>
      <c r="I16" s="20" t="n">
        <v>516.75</v>
      </c>
      <c r="J16" s="23" t="n">
        <f>MAX(Txatable[[#This Row],[Stock on hand(opening balance)]]+Txatable[[#This Row],[Quantity ]]-Txatable[[#This Row],[Forecasted consumption]],0)</f>
        <v>3915.5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Txatable[[#This Row],[Closing balance ]]/Txatable[[#This Row],[Forecasted consumption]]</f>
        <v>7.5771649733913886</v>
      </c>
      <c r="X16" s="25"/>
    </row>
    <row r="17">
      <c r="B17" s="6" t="s">
        <v>28</v>
      </c>
      <c r="C17" s="17" t="s">
        <v>145</v>
      </c>
      <c r="D17" s="17" t="s">
        <v>43</v>
      </c>
      <c r="E17" s="18" t="s">
        <v>31</v>
      </c>
      <c r="F17" s="19" t="n">
        <v>46143</v>
      </c>
      <c r="G17" s="23" t="n">
        <f t="shared" si="0"/>
        <v>3915.5</v>
      </c>
      <c r="H17" s="23"/>
      <c r="I17" s="20" t="n">
        <v>516.75</v>
      </c>
      <c r="J17" s="23" t="n">
        <f>MAX(Txatable[[#This Row],[Stock on hand(opening balance)]]+Txatable[[#This Row],[Quantity ]]-Txatable[[#This Row],[Forecasted consumption]],0)</f>
        <v>3398.75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Txatable[[#This Row],[Closing balance ]]/Txatable[[#This Row],[Forecasted consumption]]</f>
        <v>6.5771649733913886</v>
      </c>
      <c r="X17" s="25"/>
    </row>
    <row r="18">
      <c r="B18" s="6" t="s">
        <v>28</v>
      </c>
      <c r="C18" s="17" t="s">
        <v>145</v>
      </c>
      <c r="D18" s="17" t="s">
        <v>43</v>
      </c>
      <c r="E18" s="18" t="s">
        <v>31</v>
      </c>
      <c r="F18" s="19" t="n">
        <v>46174</v>
      </c>
      <c r="G18" s="23" t="n">
        <f t="shared" si="0"/>
        <v>3398.75</v>
      </c>
      <c r="H18" s="23"/>
      <c r="I18" s="20" t="n">
        <v>516.75</v>
      </c>
      <c r="J18" s="23" t="n">
        <f>MAX(Txatable[[#This Row],[Stock on hand(opening balance)]]+Txatable[[#This Row],[Quantity ]]-Txatable[[#This Row],[Forecasted consumption]],0)</f>
        <v>2882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Txatable[[#This Row],[Closing balance ]]/Txatable[[#This Row],[Forecasted consumption]]</f>
        <v>5.5771649733913886</v>
      </c>
      <c r="X18" s="25"/>
    </row>
  </sheetData>
  <dataValidations count="3">
    <dataValidation type="list" allowBlank="1" showInputMessage="1" showErrorMessage="1" sqref="M19:M109" xr:uid="{85AF816A-0BC8-4FD6-9A9F-D78ABEB4F313}">
      <formula1>"Committed,  Placed, Expected Deliveries, Received, cancelled"</formula1>
    </dataValidation>
    <dataValidation type="list" allowBlank="1" showInputMessage="1" showErrorMessage="1" sqref="E7:E18" xr:uid="{8DC76DD1-76C7-4DD3-93EB-F5557BE2315D}">
      <formula1>"All levels, Central, Central and Regional, Facilities "</formula1>
    </dataValidation>
    <dataValidation type="list" allowBlank="1" showInputMessage="1" showErrorMessage="1" sqref="M7:M18" xr:uid="{238CB002-739B-451C-93D9-8D0DE343FA67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3B6C920-D035-4D27-873B-121E946BCBFB}">
          <x14:formula1>
            <xm:f>'product list '!$A$69:$A$78</xm:f>
          </x14:formula1>
          <xm:sqref>C7:C18</xm:sqref>
        </x14:dataValidation>
        <x14:dataValidation type="list" allowBlank="1" showInputMessage="1" showErrorMessage="1" xr:uid="{FB2314D6-BDD4-440E-B182-6986DFA44462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90" zoomScaleNormal="9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141</v>
      </c>
      <c r="D7" s="17"/>
      <c r="E7" s="18"/>
      <c r="F7" s="19" t="n">
        <v>45839</v>
      </c>
      <c r="G7" s="20" t="n">
        <v>0</v>
      </c>
      <c r="H7" s="20"/>
      <c r="I7" s="20" t="n">
        <v>5167.416666666667</v>
      </c>
      <c r="J7" s="20" t="n">
        <f>MAX(HSCtable[[#This Row],[Stock on hand(opening balance)]]+HSCtable[[#This Row],[Quantity ]]-HSCtable[[#This Row],[Forecasted consumption]],0)</f>
        <v>19867.583333333332</v>
      </c>
      <c r="K7" s="18"/>
      <c r="L7" s="18"/>
      <c r="M7" s="18"/>
      <c r="N7" s="20" t="n">
        <v>25035</v>
      </c>
      <c r="O7" s="18"/>
      <c r="P7" s="18" t="n">
        <v>14396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32" t="n">
        <f>HSCtable[[#This Row],[Closing balance ]]/HSCtable[[#This Row],[Forecasted consumption]]</f>
        <v>3.8447805963650432</v>
      </c>
      <c r="X7" s="22"/>
    </row>
    <row r="8">
      <c r="B8" s="6" t="s">
        <v>28</v>
      </c>
      <c r="C8" s="17" t="s">
        <v>141</v>
      </c>
      <c r="D8" s="17"/>
      <c r="E8" s="2"/>
      <c r="F8" s="19" t="n">
        <v>45870</v>
      </c>
      <c r="G8" s="23" t="n">
        <f>J7</f>
        <v>19867.583333333332</v>
      </c>
      <c r="H8" s="23"/>
      <c r="I8" s="20" t="n">
        <v>5167.416666666667</v>
      </c>
      <c r="J8" s="23" t="n">
        <f>MAX(HSCtable[[#This Row],[Stock on hand(opening balance)]]+HSCtable[[#This Row],[Quantity ]]-HSCtable[[#This Row],[Forecasted consumption]],0)</f>
        <v>14700.166666666664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HSCtable[[#This Row],[Closing balance ]]/HSCtable[[#This Row],[Forecasted consumption]]</f>
        <v>2.8447805963650432</v>
      </c>
      <c r="X8" s="25"/>
    </row>
    <row r="9">
      <c r="B9" s="6" t="s">
        <v>28</v>
      </c>
      <c r="C9" s="17" t="s">
        <v>141</v>
      </c>
      <c r="D9" s="35"/>
      <c r="E9" s="2"/>
      <c r="F9" s="19" t="n">
        <v>45901</v>
      </c>
      <c r="G9" s="23" t="n">
        <f t="shared" ref="G9:G18" si="0">J8</f>
        <v>14700.166666666664</v>
      </c>
      <c r="H9" s="23"/>
      <c r="I9" s="20" t="n">
        <v>5167.416666666667</v>
      </c>
      <c r="J9" s="23" t="n">
        <f>MAX(HSCtable[[#This Row],[Stock on hand(opening balance)]]+HSCtable[[#This Row],[Quantity ]]-HSCtable[[#This Row],[Forecasted consumption]],0)</f>
        <v>9532.7499999999964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HSCtable[[#This Row],[Closing balance ]]/HSCtable[[#This Row],[Forecasted consumption]]</f>
        <v>1.844780596365043</v>
      </c>
      <c r="X9" s="25"/>
    </row>
    <row r="10">
      <c r="B10" s="6" t="s">
        <v>28</v>
      </c>
      <c r="C10" s="17" t="s">
        <v>141</v>
      </c>
      <c r="D10" s="35"/>
      <c r="E10" s="2"/>
      <c r="F10" s="19" t="n">
        <v>45931</v>
      </c>
      <c r="G10" s="23" t="n">
        <f t="shared" si="0"/>
        <v>9532.7499999999964</v>
      </c>
      <c r="H10" s="23"/>
      <c r="I10" s="20" t="n">
        <v>5167.416666666667</v>
      </c>
      <c r="J10" s="23" t="n">
        <f>MAX(HSCtable[[#This Row],[Stock on hand(opening balance)]]+HSCtable[[#This Row],[Quantity ]]-HSCtable[[#This Row],[Forecasted consumption]],0)</f>
        <v>4365.3333333333294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HSCtable[[#This Row],[Closing balance ]]/HSCtable[[#This Row],[Forecasted consumption]]</f>
        <v>0.84478059636504299</v>
      </c>
      <c r="X10" s="25"/>
    </row>
    <row r="11">
      <c r="B11" s="6" t="s">
        <v>28</v>
      </c>
      <c r="C11" s="17" t="s">
        <v>141</v>
      </c>
      <c r="D11" s="35"/>
      <c r="E11" s="2"/>
      <c r="F11" s="19" t="n">
        <v>45962</v>
      </c>
      <c r="G11" s="23" t="n">
        <f t="shared" si="0"/>
        <v>4365.3333333333294</v>
      </c>
      <c r="H11" s="23"/>
      <c r="I11" s="20" t="n">
        <v>5167.416666666667</v>
      </c>
      <c r="J11" s="23" t="n">
        <f>MAX(HSCtable[[#This Row],[Stock on hand(opening balance)]]+HSCtable[[#This Row],[Quantity ]]-HSCtable[[#This Row],[Forecasted consumption]],0)</f>
        <v>29229.916666666661</v>
      </c>
      <c r="K11" s="2"/>
      <c r="L11" s="2"/>
      <c r="M11" s="33"/>
      <c r="N11" s="23" t="n">
        <v>30032</v>
      </c>
      <c r="O11" s="2"/>
      <c r="P11" s="2" t="n">
        <v>17268</v>
      </c>
      <c r="Q11" s="24" t="n">
        <v>45962</v>
      </c>
      <c r="R11" s="2"/>
      <c r="S11" s="2"/>
      <c r="T11" s="18" t="n">
        <v>9</v>
      </c>
      <c r="U11" s="18" t="n">
        <v>14</v>
      </c>
      <c r="V11" s="18" t="n">
        <v>13</v>
      </c>
      <c r="W11" s="34" t="n">
        <f>HSCtable[[#This Row],[Closing balance ]]/HSCtable[[#This Row],[Forecasted consumption]]</f>
        <v>5.656582109048685</v>
      </c>
      <c r="X11" s="25"/>
    </row>
    <row r="12">
      <c r="B12" s="6" t="s">
        <v>28</v>
      </c>
      <c r="C12" s="17" t="s">
        <v>141</v>
      </c>
      <c r="D12" s="35"/>
      <c r="E12" s="2"/>
      <c r="F12" s="19" t="n">
        <v>45992</v>
      </c>
      <c r="G12" s="23" t="n">
        <f t="shared" si="0"/>
        <v>29229.916666666661</v>
      </c>
      <c r="H12" s="23"/>
      <c r="I12" s="20" t="n">
        <v>5167.416666666667</v>
      </c>
      <c r="J12" s="23" t="n">
        <f>MAX(HSCtable[[#This Row],[Stock on hand(opening balance)]]+HSCtable[[#This Row],[Quantity ]]-HSCtable[[#This Row],[Forecasted consumption]],0)</f>
        <v>24062.499999999993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HSCtable[[#This Row],[Closing balance ]]/HSCtable[[#This Row],[Forecasted consumption]]</f>
        <v>4.656582109048685</v>
      </c>
      <c r="X12" s="25"/>
    </row>
    <row r="13">
      <c r="B13" s="6" t="s">
        <v>28</v>
      </c>
      <c r="C13" s="17" t="s">
        <v>141</v>
      </c>
      <c r="D13" s="35"/>
      <c r="E13" s="2"/>
      <c r="F13" s="19" t="n">
        <v>46023</v>
      </c>
      <c r="G13" s="23" t="n">
        <f t="shared" si="0"/>
        <v>24062.499999999993</v>
      </c>
      <c r="H13" s="23"/>
      <c r="I13" s="20" t="n">
        <v>5167.416666666667</v>
      </c>
      <c r="J13" s="23" t="n">
        <f>MAX(HSCtable[[#This Row],[Stock on hand(opening balance)]]+HSCtable[[#This Row],[Quantity ]]-HSCtable[[#This Row],[Forecasted consumption]],0)</f>
        <v>18895.083333333325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HSCtable[[#This Row],[Closing balance ]]/HSCtable[[#This Row],[Forecasted consumption]]</f>
        <v>3.6565821090486845</v>
      </c>
      <c r="X13" s="25"/>
    </row>
    <row r="14">
      <c r="B14" s="6" t="s">
        <v>28</v>
      </c>
      <c r="C14" s="17" t="s">
        <v>141</v>
      </c>
      <c r="D14" s="35"/>
      <c r="E14" s="2"/>
      <c r="F14" s="19" t="n">
        <v>46054</v>
      </c>
      <c r="G14" s="23" t="n">
        <f t="shared" si="0"/>
        <v>18895.083333333325</v>
      </c>
      <c r="H14" s="23"/>
      <c r="I14" s="20" t="n">
        <v>5167.416666666667</v>
      </c>
      <c r="J14" s="23" t="n">
        <f>MAX(HSCtable[[#This Row],[Stock on hand(opening balance)]]+HSCtable[[#This Row],[Quantity ]]-HSCtable[[#This Row],[Forecasted consumption]],0)</f>
        <v>13727.666666666657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HSCtable[[#This Row],[Closing balance ]]/HSCtable[[#This Row],[Forecasted consumption]]</f>
        <v>2.6565821090486845</v>
      </c>
      <c r="X14" s="25"/>
    </row>
    <row r="15">
      <c r="B15" s="6" t="s">
        <v>28</v>
      </c>
      <c r="C15" s="17" t="s">
        <v>141</v>
      </c>
      <c r="D15" s="35"/>
      <c r="E15" s="2"/>
      <c r="F15" s="19" t="n">
        <v>46082</v>
      </c>
      <c r="G15" s="23" t="n">
        <f t="shared" si="0"/>
        <v>13727.666666666657</v>
      </c>
      <c r="H15" s="23"/>
      <c r="I15" s="20" t="n">
        <v>5167.416666666667</v>
      </c>
      <c r="J15" s="23" t="n">
        <f>MAX(HSCtable[[#This Row],[Stock on hand(opening balance)]]+HSCtable[[#This Row],[Quantity ]]-HSCtable[[#This Row],[Forecasted consumption]],0)</f>
        <v>42469.249999999993</v>
      </c>
      <c r="K15" s="2"/>
      <c r="L15" s="2"/>
      <c r="M15" s="33"/>
      <c r="N15" s="23" t="n">
        <v>33909</v>
      </c>
      <c r="O15" s="2"/>
      <c r="P15" s="2" t="n">
        <v>19498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4" t="n">
        <f>HSCtable[[#This Row],[Closing balance ]]/HSCtable[[#This Row],[Forecasted consumption]]</f>
        <v>8.218661807157023</v>
      </c>
      <c r="X15" s="25"/>
    </row>
    <row r="16">
      <c r="B16" s="6" t="s">
        <v>28</v>
      </c>
      <c r="C16" s="17" t="s">
        <v>141</v>
      </c>
      <c r="D16" s="35"/>
      <c r="E16" s="2"/>
      <c r="F16" s="19" t="n">
        <v>46113</v>
      </c>
      <c r="G16" s="23" t="n">
        <f t="shared" si="0"/>
        <v>42469.249999999993</v>
      </c>
      <c r="H16" s="23"/>
      <c r="I16" s="20" t="n">
        <v>5167.416666666667</v>
      </c>
      <c r="J16" s="23" t="n">
        <f>MAX(HSCtable[[#This Row],[Stock on hand(opening balance)]]+HSCtable[[#This Row],[Quantity ]]-HSCtable[[#This Row],[Forecasted consumption]],0)</f>
        <v>37301.833333333328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HSCtable[[#This Row],[Closing balance ]]/HSCtable[[#This Row],[Forecasted consumption]]</f>
        <v>7.2186618071570239</v>
      </c>
      <c r="X16" s="25"/>
    </row>
    <row r="17">
      <c r="B17" s="6" t="s">
        <v>28</v>
      </c>
      <c r="C17" s="17" t="s">
        <v>141</v>
      </c>
      <c r="D17" s="35"/>
      <c r="E17" s="2"/>
      <c r="F17" s="19" t="n">
        <v>46143</v>
      </c>
      <c r="G17" s="23" t="n">
        <f t="shared" si="0"/>
        <v>37301.833333333328</v>
      </c>
      <c r="H17" s="23"/>
      <c r="I17" s="20" t="n">
        <v>5167.416666666667</v>
      </c>
      <c r="J17" s="23" t="n">
        <f>MAX(HSCtable[[#This Row],[Stock on hand(opening balance)]]+HSCtable[[#This Row],[Quantity ]]-HSCtable[[#This Row],[Forecasted consumption]],0)</f>
        <v>32134.416666666661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HSCtable[[#This Row],[Closing balance ]]/HSCtable[[#This Row],[Forecasted consumption]]</f>
        <v>6.2186618071570239</v>
      </c>
      <c r="X17" s="25"/>
    </row>
    <row r="18">
      <c r="B18" s="6" t="s">
        <v>28</v>
      </c>
      <c r="C18" s="17" t="s">
        <v>141</v>
      </c>
      <c r="D18" s="35"/>
      <c r="E18" s="2"/>
      <c r="F18" s="19" t="n">
        <v>46174</v>
      </c>
      <c r="G18" s="23" t="n">
        <f t="shared" si="0"/>
        <v>32134.416666666661</v>
      </c>
      <c r="H18" s="23"/>
      <c r="I18" s="20" t="n">
        <v>5167.416666666667</v>
      </c>
      <c r="J18" s="23" t="n">
        <f>MAX(HSCtable[[#This Row],[Stock on hand(opening balance)]]+HSCtable[[#This Row],[Quantity ]]-HSCtable[[#This Row],[Forecasted consumption]],0)</f>
        <v>26966.999999999993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HSCtable[[#This Row],[Closing balance ]]/HSCtable[[#This Row],[Forecasted consumption]]</f>
        <v>5.2186618071570239</v>
      </c>
      <c r="X18" s="25"/>
    </row>
  </sheetData>
  <dataValidations count="3">
    <dataValidation type="list" allowBlank="1" showInputMessage="1" showErrorMessage="1" sqref="E7:E18" xr:uid="{244CF443-9926-43E9-8049-112FB2A60C0D}">
      <formula1>"All levels, Central, Central and Regional, Facilities "</formula1>
    </dataValidation>
    <dataValidation type="list" allowBlank="1" showInputMessage="1" showErrorMessage="1" sqref="M19:M109" xr:uid="{136A8D4B-D584-4E6C-AEC5-EDCF2B69C21D}">
      <formula1>"Committed,  Placed, Expected Deliveries, Received, cancelled"</formula1>
    </dataValidation>
    <dataValidation type="list" allowBlank="1" showInputMessage="1" showErrorMessage="1" sqref="M7:M18" xr:uid="{2F7B2A30-8FE9-48DC-89B1-8E1761941CDE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D67D51-D249-4ADE-91AE-D85B13AA26C6}">
          <x14:formula1>
            <xm:f>'product list '!$A$69:$A$78</xm:f>
          </x14:formula1>
          <xm:sqref>C7:C18</xm:sqref>
        </x14:dataValidation>
        <x14:dataValidation type="list" allowBlank="1" showInputMessage="1" showErrorMessage="1" xr:uid="{14706D64-BA03-491A-858C-5787176B0FE9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M8:M98" xr:uid="{6878EAA7-3FD0-49A1-86C7-7073674ABAB1}">
      <formula1>"Committed,  Placed, Expected Deliveries, Received, cancelled"</formula1>
    </dataValidation>
    <dataValidation type="list" allowBlank="1" showInputMessage="1" showErrorMessage="1" sqref="E7" xr:uid="{3EE61401-1E1D-409E-ABAC-664A588DCD28}">
      <formula1>"All levels, Central, Central and Regional, Facilities "</formula1>
    </dataValidation>
    <dataValidation type="list" allowBlank="1" showInputMessage="1" showErrorMessage="1" sqref="M7" xr:uid="{D71A7981-DACA-4E19-B65C-CD743D4EE021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B557C7-3D53-484C-B2F2-AB8E984C55D3}">
          <x14:formula1>
            <xm:f>'product list '!$A$62</xm:f>
          </x14:formula1>
          <xm:sqref>C7</xm:sqref>
        </x14:dataValidation>
        <x14:dataValidation type="list" allowBlank="1" showInputMessage="1" showErrorMessage="1" xr:uid="{7BD6F434-4FC8-449C-8E5E-3A5DFA79C886}">
          <x14:formula1>
            <xm:f>'choices countries '!$B$3:$B$12</xm:f>
          </x14:formula1>
          <xm:sqref>B7:B399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CC8DEE45-91E6-48DD-85AA-B98A1B40AB49}">
      <formula1>"All levels, Central, Central and Regional, Facilities "</formula1>
    </dataValidation>
    <dataValidation type="list" allowBlank="1" showInputMessage="1" showErrorMessage="1" sqref="M8:M98" xr:uid="{194E235C-6357-43D8-82BC-2F0DE0557013}">
      <formula1>"Committed,  Placed, Expected Deliveries, Received, cancelled"</formula1>
    </dataValidation>
    <dataValidation type="list" allowBlank="1" showInputMessage="1" showErrorMessage="1" sqref="M7" xr:uid="{36198092-5B84-4631-A1C0-4AAD8D4E1F1E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709CAD-809C-42EA-83BF-9C2644746A26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90D4CB45-E5E4-49C7-A3A2-F099CA9A8619}">
          <x14:formula1>
            <xm:f>'product list '!$A$63</xm:f>
          </x14:formula1>
          <xm:sqref>C7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64</v>
      </c>
      <c r="D7" s="17" t="s">
        <v>43</v>
      </c>
      <c r="E7" s="18" t="s">
        <v>31</v>
      </c>
      <c r="F7" s="19" t="n">
        <v>45839</v>
      </c>
      <c r="G7" s="20" t="n">
        <v>0</v>
      </c>
      <c r="H7" s="20"/>
      <c r="I7" s="20" t="n">
        <v>8751</v>
      </c>
      <c r="J7" s="20" t="n">
        <f>MAX(CC10mgmltable[[#This Row],[Stock on hand(opening balance)]]+CC10mgmltable[[#This Row],[Quantity ]]-CC10mgmltable[[#This Row],[Forecasted consumption]],0)</f>
        <v>42468</v>
      </c>
      <c r="K7" s="18" t="s">
        <v>2</v>
      </c>
      <c r="L7" s="18" t="s">
        <v>2</v>
      </c>
      <c r="M7" s="18" t="s">
        <v>4</v>
      </c>
      <c r="N7" s="20" t="n">
        <v>51219</v>
      </c>
      <c r="O7" s="18"/>
      <c r="P7" s="18" t="n">
        <v>294509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32" t="n">
        <f>CC10mgmltable[[#This Row],[Closing balance ]]/CC10mgmltable[[#This Row],[Forecasted consumption]]</f>
        <v>4.8529310935893042</v>
      </c>
      <c r="X7" s="22"/>
    </row>
    <row r="8">
      <c r="B8" s="6" t="s">
        <v>28</v>
      </c>
      <c r="C8" s="17" t="s">
        <v>64</v>
      </c>
      <c r="D8" s="17"/>
      <c r="E8" s="18" t="s">
        <v>31</v>
      </c>
      <c r="F8" s="19" t="n">
        <v>45870</v>
      </c>
      <c r="G8" s="23" t="n">
        <f>J7</f>
        <v>42468</v>
      </c>
      <c r="H8" s="23"/>
      <c r="I8" s="20" t="n">
        <v>8751</v>
      </c>
      <c r="J8" s="23" t="n">
        <f>MAX(CC10mgmltable[[#This Row],[Stock on hand(opening balance)]]+CC10mgmltable[[#This Row],[Quantity ]]-CC10mgmltable[[#This Row],[Forecasted consumption]],0)</f>
        <v>33717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CC10mgmltable[[#This Row],[Closing balance ]]/CC10mgmltable[[#This Row],[Forecasted consumption]]</f>
        <v>3.8529310935893042</v>
      </c>
      <c r="X8" s="25"/>
    </row>
    <row r="9">
      <c r="B9" s="6" t="s">
        <v>28</v>
      </c>
      <c r="C9" s="17" t="s">
        <v>64</v>
      </c>
      <c r="D9" s="35"/>
      <c r="E9" s="18" t="s">
        <v>31</v>
      </c>
      <c r="F9" s="19" t="n">
        <v>45901</v>
      </c>
      <c r="G9" s="23" t="n">
        <f t="shared" ref="G9:G18" si="0">J8</f>
        <v>33717</v>
      </c>
      <c r="H9" s="23"/>
      <c r="I9" s="20" t="n">
        <v>8751</v>
      </c>
      <c r="J9" s="23" t="n">
        <f>MAX(CC10mgmltable[[#This Row],[Stock on hand(opening balance)]]+CC10mgmltable[[#This Row],[Quantity ]]-CC10mgmltable[[#This Row],[Forecasted consumption]],0)</f>
        <v>24966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CC10mgmltable[[#This Row],[Closing balance ]]/CC10mgmltable[[#This Row],[Forecasted consumption]]</f>
        <v>2.8529310935893042</v>
      </c>
      <c r="X9" s="25"/>
    </row>
    <row r="10">
      <c r="B10" s="6" t="s">
        <v>28</v>
      </c>
      <c r="C10" s="17" t="s">
        <v>64</v>
      </c>
      <c r="D10" s="35"/>
      <c r="E10" s="18" t="s">
        <v>31</v>
      </c>
      <c r="F10" s="19" t="n">
        <v>45931</v>
      </c>
      <c r="G10" s="23" t="n">
        <f t="shared" si="0"/>
        <v>24966</v>
      </c>
      <c r="H10" s="23"/>
      <c r="I10" s="20" t="n">
        <v>8751</v>
      </c>
      <c r="J10" s="23" t="n">
        <f>MAX(CC10mgmltable[[#This Row],[Stock on hand(opening balance)]]+CC10mgmltable[[#This Row],[Quantity ]]-CC10mgmltable[[#This Row],[Forecasted consumption]],0)</f>
        <v>16215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CC10mgmltable[[#This Row],[Closing balance ]]/CC10mgmltable[[#This Row],[Forecasted consumption]]</f>
        <v>1.8529310935893042</v>
      </c>
      <c r="X10" s="25"/>
    </row>
    <row r="11">
      <c r="B11" s="6" t="s">
        <v>28</v>
      </c>
      <c r="C11" s="17" t="s">
        <v>64</v>
      </c>
      <c r="D11" s="35"/>
      <c r="E11" s="18" t="s">
        <v>31</v>
      </c>
      <c r="F11" s="19" t="n">
        <v>45962</v>
      </c>
      <c r="G11" s="23" t="n">
        <f t="shared" si="0"/>
        <v>16215</v>
      </c>
      <c r="H11" s="23"/>
      <c r="I11" s="20" t="n">
        <v>8751</v>
      </c>
      <c r="J11" s="23" t="n">
        <f>MAX(CC10mgmltable[[#This Row],[Stock on hand(opening balance)]]+CC10mgmltable[[#This Row],[Quantity ]]-CC10mgmltable[[#This Row],[Forecasted consumption]],0)</f>
        <v>7464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CC10mgmltable[[#This Row],[Closing balance ]]/CC10mgmltable[[#This Row],[Forecasted consumption]]</f>
        <v>0.85293109358930408</v>
      </c>
      <c r="X11" s="25"/>
    </row>
    <row r="12">
      <c r="B12" s="6" t="s">
        <v>28</v>
      </c>
      <c r="C12" s="17" t="s">
        <v>64</v>
      </c>
      <c r="D12" s="35"/>
      <c r="E12" s="18" t="s">
        <v>31</v>
      </c>
      <c r="F12" s="19" t="n">
        <v>45992</v>
      </c>
      <c r="G12" s="23" t="n">
        <f t="shared" si="0"/>
        <v>7464</v>
      </c>
      <c r="H12" s="23"/>
      <c r="I12" s="20" t="n">
        <v>8751</v>
      </c>
      <c r="J12" s="23" t="n">
        <f>MAX(CC10mgmltable[[#This Row],[Stock on hand(opening balance)]]+CC10mgmltable[[#This Row],[Quantity ]]-CC10mgmltable[[#This Row],[Forecasted consumption]],0)</f>
        <v>45413</v>
      </c>
      <c r="K12" s="2" t="s">
        <v>2</v>
      </c>
      <c r="L12" s="2" t="s">
        <v>2</v>
      </c>
      <c r="M12" s="33" t="s">
        <v>4</v>
      </c>
      <c r="N12" s="23" t="n">
        <v>46700</v>
      </c>
      <c r="O12" s="2"/>
      <c r="P12" s="2" t="n">
        <v>268525</v>
      </c>
      <c r="Q12" s="24" t="n">
        <v>45992</v>
      </c>
      <c r="R12" s="2"/>
      <c r="S12" s="2"/>
      <c r="T12" s="18" t="n">
        <v>9</v>
      </c>
      <c r="U12" s="18" t="n">
        <v>14</v>
      </c>
      <c r="V12" s="18" t="n">
        <v>13</v>
      </c>
      <c r="W12" s="34" t="n">
        <f>CC10mgmltable[[#This Row],[Closing balance ]]/CC10mgmltable[[#This Row],[Forecasted consumption]]</f>
        <v>5.1894640612501428</v>
      </c>
      <c r="X12" s="25"/>
    </row>
    <row r="13">
      <c r="B13" s="6" t="s">
        <v>28</v>
      </c>
      <c r="C13" s="17" t="s">
        <v>64</v>
      </c>
      <c r="D13" s="35"/>
      <c r="E13" s="18" t="s">
        <v>31</v>
      </c>
      <c r="F13" s="19" t="n">
        <v>46023</v>
      </c>
      <c r="G13" s="23" t="n">
        <f t="shared" si="0"/>
        <v>45413</v>
      </c>
      <c r="H13" s="23"/>
      <c r="I13" s="20" t="n">
        <v>8751</v>
      </c>
      <c r="J13" s="23" t="n">
        <f>MAX(CC10mgmltable[[#This Row],[Stock on hand(opening balance)]]+CC10mgmltable[[#This Row],[Quantity ]]-CC10mgmltable[[#This Row],[Forecasted consumption]],0)</f>
        <v>36662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CC10mgmltable[[#This Row],[Closing balance ]]/CC10mgmltable[[#This Row],[Forecasted consumption]]</f>
        <v>4.1894640612501428</v>
      </c>
      <c r="X13" s="25"/>
    </row>
    <row r="14">
      <c r="B14" s="6" t="s">
        <v>28</v>
      </c>
      <c r="C14" s="17" t="s">
        <v>64</v>
      </c>
      <c r="D14" s="35"/>
      <c r="E14" s="18" t="s">
        <v>31</v>
      </c>
      <c r="F14" s="19" t="n">
        <v>46054</v>
      </c>
      <c r="G14" s="23" t="n">
        <f t="shared" si="0"/>
        <v>36662</v>
      </c>
      <c r="H14" s="23"/>
      <c r="I14" s="20" t="n">
        <v>8751</v>
      </c>
      <c r="J14" s="23" t="n">
        <f>MAX(CC10mgmltable[[#This Row],[Stock on hand(opening balance)]]+CC10mgmltable[[#This Row],[Quantity ]]-CC10mgmltable[[#This Row],[Forecasted consumption]],0)</f>
        <v>27911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CC10mgmltable[[#This Row],[Closing balance ]]/CC10mgmltable[[#This Row],[Forecasted consumption]]</f>
        <v>3.1894640612501428</v>
      </c>
      <c r="X14" s="25"/>
    </row>
    <row r="15">
      <c r="B15" s="6" t="s">
        <v>28</v>
      </c>
      <c r="C15" s="17" t="s">
        <v>64</v>
      </c>
      <c r="D15" s="35"/>
      <c r="E15" s="18" t="s">
        <v>31</v>
      </c>
      <c r="F15" s="19" t="n">
        <v>46082</v>
      </c>
      <c r="G15" s="23" t="n">
        <f t="shared" si="0"/>
        <v>27911</v>
      </c>
      <c r="H15" s="23"/>
      <c r="I15" s="20" t="n">
        <v>8751</v>
      </c>
      <c r="J15" s="23" t="n">
        <f>MAX(CC10mgmltable[[#This Row],[Stock on hand(opening balance)]]+CC10mgmltable[[#This Row],[Quantity ]]-CC10mgmltable[[#This Row],[Forecasted consumption]],0)</f>
        <v>19160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CC10mgmltable[[#This Row],[Closing balance ]]/CC10mgmltable[[#This Row],[Forecasted consumption]]</f>
        <v>2.1894640612501428</v>
      </c>
      <c r="X15" s="25"/>
    </row>
    <row r="16">
      <c r="B16" s="6" t="s">
        <v>28</v>
      </c>
      <c r="C16" s="17" t="s">
        <v>64</v>
      </c>
      <c r="D16" s="17"/>
      <c r="E16" s="18" t="s">
        <v>31</v>
      </c>
      <c r="F16" s="19" t="n">
        <v>46113</v>
      </c>
      <c r="G16" s="23" t="n">
        <f t="shared" si="0"/>
        <v>19160</v>
      </c>
      <c r="H16" s="23"/>
      <c r="I16" s="20" t="n">
        <v>8751</v>
      </c>
      <c r="J16" s="23" t="n">
        <f>MAX(CC10mgmltable[[#This Row],[Stock on hand(opening balance)]]+CC10mgmltable[[#This Row],[Quantity ]]-CC10mgmltable[[#This Row],[Forecasted consumption]],0)</f>
        <v>10409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CC10mgmltable[[#This Row],[Closing balance ]]/CC10mgmltable[[#This Row],[Forecasted consumption]]</f>
        <v>1.1894640612501428</v>
      </c>
      <c r="X16" s="25"/>
    </row>
    <row r="17">
      <c r="B17" s="6" t="s">
        <v>28</v>
      </c>
      <c r="C17" s="17" t="s">
        <v>64</v>
      </c>
      <c r="D17" s="17"/>
      <c r="E17" s="18" t="s">
        <v>31</v>
      </c>
      <c r="F17" s="19" t="n">
        <v>46143</v>
      </c>
      <c r="G17" s="23" t="n">
        <f t="shared" si="0"/>
        <v>10409</v>
      </c>
      <c r="H17" s="23"/>
      <c r="I17" s="20" t="n">
        <v>8751</v>
      </c>
      <c r="J17" s="23" t="n">
        <f>MAX(CC10mgmltable[[#This Row],[Stock on hand(opening balance)]]+CC10mgmltable[[#This Row],[Quantity ]]-CC10mgmltable[[#This Row],[Forecasted consumption]],0)</f>
        <v>50030</v>
      </c>
      <c r="K17" s="2" t="s">
        <v>2</v>
      </c>
      <c r="L17" s="2" t="s">
        <v>2</v>
      </c>
      <c r="M17" s="18" t="s">
        <v>4</v>
      </c>
      <c r="N17" s="23" t="n">
        <v>48372</v>
      </c>
      <c r="O17" s="2"/>
      <c r="P17" s="2" t="n">
        <v>278139</v>
      </c>
      <c r="Q17" s="24" t="n">
        <v>46143</v>
      </c>
      <c r="R17" s="2"/>
      <c r="S17" s="2"/>
      <c r="T17" s="18" t="n">
        <v>9</v>
      </c>
      <c r="U17" s="18" t="n">
        <v>14</v>
      </c>
      <c r="V17" s="18" t="n">
        <v>13</v>
      </c>
      <c r="W17" s="34" t="n">
        <f>CC10mgmltable[[#This Row],[Closing balance ]]/CC10mgmltable[[#This Row],[Forecasted consumption]]</f>
        <v>5.7170609073248775</v>
      </c>
      <c r="X17" s="25"/>
    </row>
    <row r="18">
      <c r="B18" s="6" t="s">
        <v>28</v>
      </c>
      <c r="C18" s="17" t="s">
        <v>64</v>
      </c>
      <c r="D18" s="35"/>
      <c r="E18" s="18" t="s">
        <v>31</v>
      </c>
      <c r="F18" s="19" t="n">
        <v>46174</v>
      </c>
      <c r="G18" s="23" t="n">
        <f t="shared" si="0"/>
        <v>50030</v>
      </c>
      <c r="H18" s="23"/>
      <c r="I18" s="20" t="n">
        <v>8751</v>
      </c>
      <c r="J18" s="23" t="n">
        <f>MAX(CC10mgmltable[[#This Row],[Stock on hand(opening balance)]]+CC10mgmltable[[#This Row],[Quantity ]]-CC10mgmltable[[#This Row],[Forecasted consumption]],0)</f>
        <v>41279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CC10mgmltable[[#This Row],[Closing balance ]]/CC10mgmltable[[#This Row],[Forecasted consumption]]</f>
        <v>4.7170609073248775</v>
      </c>
      <c r="X18" s="25"/>
    </row>
  </sheetData>
  <dataValidations count="3">
    <dataValidation type="list" allowBlank="1" showInputMessage="1" showErrorMessage="1" sqref="M19:M109" xr:uid="{0A36C4C0-CB5F-48BA-A892-A611C1405044}">
      <formula1>"Committed,  Placed, Expected Deliveries, Received, cancelled"</formula1>
    </dataValidation>
    <dataValidation type="list" allowBlank="1" showInputMessage="1" showErrorMessage="1" sqref="E7:E18" xr:uid="{CBD46C25-3DEE-40C6-9D78-C823743A9A40}">
      <formula1>"All levels, Central, Central and Regional, Facilities "</formula1>
    </dataValidation>
    <dataValidation type="list" allowBlank="1" showInputMessage="1" showErrorMessage="1" sqref="M7:M18" xr:uid="{4E11AFE1-7E9E-42B7-A5BB-F85C2349A1D0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E1B3E0-C2CC-4B7D-AE69-C8CEF1320206}">
          <x14:formula1>
            <xm:f>'product list '!$A$69</xm:f>
          </x14:formula1>
          <xm:sqref>C7:C18</xm:sqref>
        </x14:dataValidation>
        <x14:dataValidation type="list" allowBlank="1" showInputMessage="1" showErrorMessage="1" xr:uid="{00648C87-E94E-4914-9F68-54F274C89FAE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8.179687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65</v>
      </c>
      <c r="D7" s="17" t="s">
        <v>66</v>
      </c>
      <c r="E7" s="18" t="s">
        <v>31</v>
      </c>
      <c r="F7" s="19" t="n">
        <v>45839</v>
      </c>
      <c r="G7" s="20" t="n">
        <v>0</v>
      </c>
      <c r="H7" s="20"/>
      <c r="I7" s="20" t="n">
        <v>98542</v>
      </c>
      <c r="J7" s="20" t="n">
        <f>MAX(CC5mgmltable[[#This Row],[Stock on hand(opening balance)]]+CC5mgmltable[[#This Row],[Quantity ]]-CC5mgmltable[[#This Row],[Forecasted consumption]],0)</f>
        <v>480746</v>
      </c>
      <c r="K7" s="18" t="s">
        <v>2</v>
      </c>
      <c r="L7" s="18" t="s">
        <v>2</v>
      </c>
      <c r="M7" s="18" t="s">
        <v>4</v>
      </c>
      <c r="N7" s="20" t="n">
        <v>579288</v>
      </c>
      <c r="O7" s="18"/>
      <c r="P7" s="18" t="n">
        <v>5795776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21" t="n">
        <f>CC5mgmltable[[#This Row],[Closing balance ]]/CC5mgmltable[[#This Row],[Forecasted consumption]]</f>
        <v>4.878589839865235</v>
      </c>
      <c r="X7" s="22"/>
    </row>
    <row r="8">
      <c r="B8" s="6" t="s">
        <v>28</v>
      </c>
      <c r="C8" s="17" t="s">
        <v>65</v>
      </c>
      <c r="D8" s="17" t="s">
        <v>66</v>
      </c>
      <c r="E8" s="18" t="s">
        <v>31</v>
      </c>
      <c r="F8" s="19" t="n">
        <v>45870</v>
      </c>
      <c r="G8" s="23" t="n">
        <f>J7</f>
        <v>480746</v>
      </c>
      <c r="H8" s="23"/>
      <c r="I8" s="20" t="n">
        <v>98542</v>
      </c>
      <c r="J8" s="23" t="n">
        <f>MAX(CC5mgmltable[[#This Row],[Stock on hand(opening balance)]]+CC5mgmltable[[#This Row],[Quantity ]]-CC5mgmltable[[#This Row],[Forecasted consumption]],0)</f>
        <v>382204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CC5mgmltable[[#This Row],[Closing balance ]]/CC5mgmltable[[#This Row],[Forecasted consumption]]</f>
        <v>3.878589839865235</v>
      </c>
      <c r="X8" s="25"/>
    </row>
    <row r="9">
      <c r="B9" s="6" t="s">
        <v>28</v>
      </c>
      <c r="C9" s="17" t="s">
        <v>65</v>
      </c>
      <c r="D9" s="17" t="s">
        <v>66</v>
      </c>
      <c r="E9" s="18" t="s">
        <v>31</v>
      </c>
      <c r="F9" s="19" t="n">
        <v>45901</v>
      </c>
      <c r="G9" s="23" t="n">
        <f t="shared" ref="G9:G18" si="0">J8</f>
        <v>382204</v>
      </c>
      <c r="H9" s="23"/>
      <c r="I9" s="20" t="n">
        <v>98542</v>
      </c>
      <c r="J9" s="23" t="n">
        <f>MAX(CC5mgmltable[[#This Row],[Stock on hand(opening balance)]]+CC5mgmltable[[#This Row],[Quantity ]]-CC5mgmltable[[#This Row],[Forecasted consumption]],0)</f>
        <v>283662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CC5mgmltable[[#This Row],[Closing balance ]]/CC5mgmltable[[#This Row],[Forecasted consumption]]</f>
        <v>2.878589839865235</v>
      </c>
      <c r="X9" s="25"/>
    </row>
    <row r="10">
      <c r="B10" s="6" t="s">
        <v>28</v>
      </c>
      <c r="C10" s="17" t="s">
        <v>65</v>
      </c>
      <c r="D10" s="17" t="s">
        <v>66</v>
      </c>
      <c r="E10" s="18" t="s">
        <v>31</v>
      </c>
      <c r="F10" s="19" t="n">
        <v>45931</v>
      </c>
      <c r="G10" s="23" t="n">
        <f t="shared" si="0"/>
        <v>283662</v>
      </c>
      <c r="H10" s="23"/>
      <c r="I10" s="20" t="n">
        <v>98542</v>
      </c>
      <c r="J10" s="23" t="n">
        <f>MAX(CC5mgmltable[[#This Row],[Stock on hand(opening balance)]]+CC5mgmltable[[#This Row],[Quantity ]]-CC5mgmltable[[#This Row],[Forecasted consumption]],0)</f>
        <v>185120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CC5mgmltable[[#This Row],[Closing balance ]]/CC5mgmltable[[#This Row],[Forecasted consumption]]</f>
        <v>1.8785898398652352</v>
      </c>
      <c r="X10" s="25"/>
    </row>
    <row r="11">
      <c r="B11" s="6" t="s">
        <v>28</v>
      </c>
      <c r="C11" s="17" t="s">
        <v>65</v>
      </c>
      <c r="D11" s="17" t="s">
        <v>66</v>
      </c>
      <c r="E11" s="18" t="s">
        <v>31</v>
      </c>
      <c r="F11" s="19" t="n">
        <v>45962</v>
      </c>
      <c r="G11" s="23" t="n">
        <f t="shared" si="0"/>
        <v>185120</v>
      </c>
      <c r="H11" s="23"/>
      <c r="I11" s="20" t="n">
        <v>98542</v>
      </c>
      <c r="J11" s="23" t="n">
        <f>MAX(CC5mgmltable[[#This Row],[Stock on hand(opening balance)]]+CC5mgmltable[[#This Row],[Quantity ]]-CC5mgmltable[[#This Row],[Forecasted consumption]],0)</f>
        <v>86578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CC5mgmltable[[#This Row],[Closing balance ]]/CC5mgmltable[[#This Row],[Forecasted consumption]]</f>
        <v>0.87858983986523509</v>
      </c>
      <c r="X11" s="25"/>
    </row>
    <row r="12">
      <c r="B12" s="6" t="s">
        <v>28</v>
      </c>
      <c r="C12" s="17" t="s">
        <v>65</v>
      </c>
      <c r="D12" s="17" t="s">
        <v>66</v>
      </c>
      <c r="E12" s="18" t="s">
        <v>31</v>
      </c>
      <c r="F12" s="19" t="n">
        <v>45992</v>
      </c>
      <c r="G12" s="23" t="n">
        <f t="shared" si="0"/>
        <v>86578</v>
      </c>
      <c r="H12" s="23"/>
      <c r="I12" s="20" t="n">
        <v>98542</v>
      </c>
      <c r="J12" s="23" t="n">
        <f>MAX(CC5mgmltable[[#This Row],[Stock on hand(opening balance)]]+CC5mgmltable[[#This Row],[Quantity ]]-CC5mgmltable[[#This Row],[Forecasted consumption]],0)</f>
        <v>516950</v>
      </c>
      <c r="K12" s="2" t="s">
        <v>2</v>
      </c>
      <c r="L12" s="2" t="s">
        <v>2</v>
      </c>
      <c r="M12" s="33" t="s">
        <v>4</v>
      </c>
      <c r="N12" s="23" t="n">
        <v>528914</v>
      </c>
      <c r="O12" s="2"/>
      <c r="P12" s="2" t="n">
        <v>5291785</v>
      </c>
      <c r="Q12" s="24" t="n">
        <v>45992</v>
      </c>
      <c r="R12" s="2"/>
      <c r="S12" s="2"/>
      <c r="T12" s="18" t="n">
        <v>9</v>
      </c>
      <c r="U12" s="18" t="n">
        <v>14</v>
      </c>
      <c r="V12" s="18" t="n">
        <v>13</v>
      </c>
      <c r="W12" s="3" t="n">
        <f>CC5mgmltable[[#This Row],[Closing balance ]]/CC5mgmltable[[#This Row],[Forecasted consumption]]</f>
        <v>5.2459864829209879</v>
      </c>
      <c r="X12" s="25"/>
    </row>
    <row r="13">
      <c r="B13" s="6" t="s">
        <v>28</v>
      </c>
      <c r="C13" s="17" t="s">
        <v>65</v>
      </c>
      <c r="D13" s="17" t="s">
        <v>66</v>
      </c>
      <c r="E13" s="18" t="s">
        <v>31</v>
      </c>
      <c r="F13" s="19" t="n">
        <v>46023</v>
      </c>
      <c r="G13" s="23" t="n">
        <f t="shared" si="0"/>
        <v>516950</v>
      </c>
      <c r="H13" s="23"/>
      <c r="I13" s="20" t="n">
        <v>98542</v>
      </c>
      <c r="J13" s="23" t="n">
        <f>MAX(CC5mgmltable[[#This Row],[Stock on hand(opening balance)]]+CC5mgmltable[[#This Row],[Quantity ]]-CC5mgmltable[[#This Row],[Forecasted consumption]],0)</f>
        <v>418408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CC5mgmltable[[#This Row],[Closing balance ]]/CC5mgmltable[[#This Row],[Forecasted consumption]]</f>
        <v>4.2459864829209879</v>
      </c>
      <c r="X13" s="25"/>
    </row>
    <row r="14">
      <c r="B14" s="6" t="s">
        <v>28</v>
      </c>
      <c r="C14" s="17" t="s">
        <v>65</v>
      </c>
      <c r="D14" s="17" t="s">
        <v>66</v>
      </c>
      <c r="E14" s="18" t="s">
        <v>31</v>
      </c>
      <c r="F14" s="19" t="n">
        <v>46054</v>
      </c>
      <c r="G14" s="23" t="n">
        <f t="shared" si="0"/>
        <v>418408</v>
      </c>
      <c r="H14" s="23"/>
      <c r="I14" s="20" t="n">
        <v>98542</v>
      </c>
      <c r="J14" s="23" t="n">
        <f>MAX(CC5mgmltable[[#This Row],[Stock on hand(opening balance)]]+CC5mgmltable[[#This Row],[Quantity ]]-CC5mgmltable[[#This Row],[Forecasted consumption]],0)</f>
        <v>319866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CC5mgmltable[[#This Row],[Closing balance ]]/CC5mgmltable[[#This Row],[Forecasted consumption]]</f>
        <v>3.2459864829209879</v>
      </c>
      <c r="X14" s="25"/>
    </row>
    <row r="15">
      <c r="B15" s="6" t="s">
        <v>28</v>
      </c>
      <c r="C15" s="17" t="s">
        <v>65</v>
      </c>
      <c r="D15" s="17" t="s">
        <v>66</v>
      </c>
      <c r="E15" s="18" t="s">
        <v>31</v>
      </c>
      <c r="F15" s="19" t="n">
        <v>46082</v>
      </c>
      <c r="G15" s="23" t="n">
        <f t="shared" si="0"/>
        <v>319866</v>
      </c>
      <c r="H15" s="23"/>
      <c r="I15" s="20" t="n">
        <v>98542</v>
      </c>
      <c r="J15" s="23" t="n">
        <f>MAX(CC5mgmltable[[#This Row],[Stock on hand(opening balance)]]+CC5mgmltable[[#This Row],[Quantity ]]-CC5mgmltable[[#This Row],[Forecasted consumption]],0)</f>
        <v>221324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CC5mgmltable[[#This Row],[Closing balance ]]/CC5mgmltable[[#This Row],[Forecasted consumption]]</f>
        <v>2.2459864829209879</v>
      </c>
      <c r="X15" s="25"/>
    </row>
    <row r="16">
      <c r="B16" s="6" t="s">
        <v>28</v>
      </c>
      <c r="C16" s="17" t="s">
        <v>65</v>
      </c>
      <c r="D16" s="17" t="s">
        <v>66</v>
      </c>
      <c r="E16" s="18" t="s">
        <v>31</v>
      </c>
      <c r="F16" s="19" t="n">
        <v>46113</v>
      </c>
      <c r="G16" s="23" t="n">
        <f t="shared" si="0"/>
        <v>221324</v>
      </c>
      <c r="H16" s="23"/>
      <c r="I16" s="20" t="n">
        <v>98542</v>
      </c>
      <c r="J16" s="23" t="n">
        <f>MAX(CC5mgmltable[[#This Row],[Stock on hand(opening balance)]]+CC5mgmltable[[#This Row],[Quantity ]]-CC5mgmltable[[#This Row],[Forecasted consumption]],0)</f>
        <v>122782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CC5mgmltable[[#This Row],[Closing balance ]]/CC5mgmltable[[#This Row],[Forecasted consumption]]</f>
        <v>1.2459864829209879</v>
      </c>
      <c r="X16" s="25"/>
    </row>
    <row r="17">
      <c r="B17" s="6" t="s">
        <v>28</v>
      </c>
      <c r="C17" s="17" t="s">
        <v>65</v>
      </c>
      <c r="D17" s="17" t="s">
        <v>66</v>
      </c>
      <c r="E17" s="18" t="s">
        <v>31</v>
      </c>
      <c r="F17" s="19" t="n">
        <v>46143</v>
      </c>
      <c r="G17" s="23" t="n">
        <f t="shared" si="0"/>
        <v>122782</v>
      </c>
      <c r="H17" s="23"/>
      <c r="I17" s="20" t="n">
        <v>98542</v>
      </c>
      <c r="J17" s="23" t="n">
        <f>MAX(CC5mgmltable[[#This Row],[Stock on hand(opening balance)]]+CC5mgmltable[[#This Row],[Quantity ]]-CC5mgmltable[[#This Row],[Forecasted consumption]],0)</f>
        <v>568894</v>
      </c>
      <c r="K17" s="2" t="s">
        <v>2</v>
      </c>
      <c r="L17" s="2" t="s">
        <v>2</v>
      </c>
      <c r="M17" s="18" t="s">
        <v>4</v>
      </c>
      <c r="N17" s="23" t="n">
        <v>544654</v>
      </c>
      <c r="O17" s="2"/>
      <c r="P17" s="2" t="n">
        <v>5449263</v>
      </c>
      <c r="Q17" s="24" t="n">
        <v>46143</v>
      </c>
      <c r="R17" s="2"/>
      <c r="S17" s="2"/>
      <c r="T17" s="18" t="n">
        <v>9</v>
      </c>
      <c r="U17" s="18" t="n">
        <v>14</v>
      </c>
      <c r="V17" s="18" t="n">
        <v>13</v>
      </c>
      <c r="W17" s="3" t="n">
        <f>CC5mgmltable[[#This Row],[Closing balance ]]/CC5mgmltable[[#This Row],[Forecasted consumption]]</f>
        <v>5.7731119725599234</v>
      </c>
      <c r="X17" s="25"/>
    </row>
    <row r="18">
      <c r="B18" s="6" t="s">
        <v>28</v>
      </c>
      <c r="C18" s="17" t="s">
        <v>65</v>
      </c>
      <c r="D18" s="17" t="s">
        <v>66</v>
      </c>
      <c r="E18" s="18" t="s">
        <v>31</v>
      </c>
      <c r="F18" s="19" t="n">
        <v>46174</v>
      </c>
      <c r="G18" s="23" t="n">
        <f t="shared" si="0"/>
        <v>568894</v>
      </c>
      <c r="H18" s="23"/>
      <c r="I18" s="20" t="n">
        <v>98542</v>
      </c>
      <c r="J18" s="23" t="n">
        <f>MAX(CC5mgmltable[[#This Row],[Stock on hand(opening balance)]]+CC5mgmltable[[#This Row],[Quantity ]]-CC5mgmltable[[#This Row],[Forecasted consumption]],0)</f>
        <v>470352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CC5mgmltable[[#This Row],[Closing balance ]]/CC5mgmltable[[#This Row],[Forecasted consumption]]</f>
        <v>4.7731119725599234</v>
      </c>
      <c r="X18" s="25"/>
    </row>
  </sheetData>
  <dataValidations count="3">
    <dataValidation type="list" allowBlank="1" showInputMessage="1" showErrorMessage="1" sqref="M7:M18" xr:uid="{594CD1DD-0D81-44B1-8E4C-B2E7D27B4EDD}">
      <formula1>"Committed,  Placed, Expected Deliveries, Received, cancelled, Planned"</formula1>
    </dataValidation>
    <dataValidation type="list" allowBlank="1" showInputMessage="1" showErrorMessage="1" sqref="E7:E18" xr:uid="{CC9FD756-0184-43CE-A9D1-879105A17258}">
      <formula1>"All levels, Central, Central and Regional, Facilities "</formula1>
    </dataValidation>
    <dataValidation type="list" allowBlank="1" showInputMessage="1" showErrorMessage="1" sqref="M19:M109" xr:uid="{2CF0CD75-4212-4E2D-B91A-239A4C168332}">
      <formula1>"Committed, 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C01EC3-FEE8-4835-A3EA-28CC0FF8C134}">
          <x14:formula1>
            <xm:f>'product list '!$A$70</xm:f>
          </x14:formula1>
          <xm:sqref>C7:C18</xm:sqref>
        </x14:dataValidation>
        <x14:dataValidation type="list" allowBlank="1" showInputMessage="1" showErrorMessage="1" xr:uid="{ABF3FCD2-C18D-4E61-B2F0-ED394EB1B3C9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8.179687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65</v>
      </c>
      <c r="D7" s="17" t="s">
        <v>66</v>
      </c>
      <c r="E7" s="18" t="s">
        <v>31</v>
      </c>
      <c r="F7" s="19" t="n">
        <v>45839</v>
      </c>
      <c r="G7" s="20" t="n">
        <v>0</v>
      </c>
      <c r="H7" s="20"/>
      <c r="I7" s="20" t="n">
        <v>41583</v>
      </c>
      <c r="J7" s="20" t="n">
        <f>MAX(CC10mgml2table[[#This Row],[Stock on hand(opening balance)]]+CC10mgml2table[[#This Row],[Quantity ]]-CC10mgml2table[[#This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CC10mgml2table[[#This Row],[Closing balance ]]/CC10mgml2table[[#This Row],[Forecasted consumption]]</f>
        <v>0</v>
      </c>
      <c r="X7" s="22"/>
    </row>
    <row r="8">
      <c r="B8" s="6" t="s">
        <v>28</v>
      </c>
      <c r="C8" s="17" t="s">
        <v>65</v>
      </c>
      <c r="D8" s="17" t="s">
        <v>66</v>
      </c>
      <c r="E8" s="18" t="s">
        <v>31</v>
      </c>
      <c r="F8" s="19" t="n">
        <v>45870</v>
      </c>
      <c r="G8" s="23" t="n">
        <f>J7</f>
        <v>0</v>
      </c>
      <c r="H8" s="23"/>
      <c r="I8" s="20" t="n">
        <v>41583</v>
      </c>
      <c r="J8" s="23" t="n">
        <f>MAX(CC10mgml2table[[#This Row],[Stock on hand(opening balance)]]+CC10mgml2table[[#This Row],[Quantity ]]-CC10mgml2table[[#This Row],[Forecasted consumption]],0)</f>
        <v>180536</v>
      </c>
      <c r="K8" s="2" t="s">
        <v>2</v>
      </c>
      <c r="L8" s="2" t="s">
        <v>2</v>
      </c>
      <c r="M8" s="18" t="s">
        <v>4</v>
      </c>
      <c r="N8" s="23" t="n">
        <v>222119</v>
      </c>
      <c r="O8" s="2"/>
      <c r="P8" s="2" t="n">
        <v>84294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CC10mgml2table[[#This Row],[Closing balance ]]/CC10mgml2table[[#This Row],[Forecasted consumption]]</f>
        <v>4.3415818964480675</v>
      </c>
      <c r="X8" s="25"/>
    </row>
    <row r="9">
      <c r="B9" s="6" t="s">
        <v>28</v>
      </c>
      <c r="C9" s="17" t="s">
        <v>65</v>
      </c>
      <c r="D9" s="17" t="s">
        <v>66</v>
      </c>
      <c r="E9" s="18" t="s">
        <v>31</v>
      </c>
      <c r="F9" s="19" t="n">
        <v>45901</v>
      </c>
      <c r="G9" s="23" t="n">
        <f t="shared" ref="G9:G18" si="0">J8</f>
        <v>180536</v>
      </c>
      <c r="H9" s="23"/>
      <c r="I9" s="20" t="n">
        <v>41583</v>
      </c>
      <c r="J9" s="23" t="n">
        <f>MAX(CC10mgml2table[[#This Row],[Stock on hand(opening balance)]]+CC10mgml2table[[#This Row],[Quantity ]]-CC10mgml2table[[#This Row],[Forecasted consumption]],0)</f>
        <v>138953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CC10mgml2table[[#This Row],[Closing balance ]]/CC10mgml2table[[#This Row],[Forecasted consumption]]</f>
        <v>3.3415818964480679</v>
      </c>
      <c r="X9" s="25"/>
    </row>
    <row r="10">
      <c r="B10" s="6" t="s">
        <v>28</v>
      </c>
      <c r="C10" s="17" t="s">
        <v>65</v>
      </c>
      <c r="D10" s="17" t="s">
        <v>66</v>
      </c>
      <c r="E10" s="18" t="s">
        <v>31</v>
      </c>
      <c r="F10" s="19" t="n">
        <v>45931</v>
      </c>
      <c r="G10" s="23" t="n">
        <f t="shared" si="0"/>
        <v>138953</v>
      </c>
      <c r="H10" s="23"/>
      <c r="I10" s="20" t="n">
        <v>41583</v>
      </c>
      <c r="J10" s="23" t="n">
        <f>MAX(CC10mgml2table[[#This Row],[Stock on hand(opening balance)]]+CC10mgml2table[[#This Row],[Quantity ]]-CC10mgml2table[[#This Row],[Forecasted consumption]],0)</f>
        <v>97370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CC10mgml2table[[#This Row],[Closing balance ]]/CC10mgml2table[[#This Row],[Forecasted consumption]]</f>
        <v>2.3415818964480679</v>
      </c>
      <c r="X10" s="25"/>
    </row>
    <row r="11">
      <c r="B11" s="6" t="s">
        <v>28</v>
      </c>
      <c r="C11" s="17" t="s">
        <v>65</v>
      </c>
      <c r="D11" s="17" t="s">
        <v>66</v>
      </c>
      <c r="E11" s="18" t="s">
        <v>31</v>
      </c>
      <c r="F11" s="19" t="n">
        <v>45962</v>
      </c>
      <c r="G11" s="23" t="n">
        <f t="shared" si="0"/>
        <v>97370</v>
      </c>
      <c r="H11" s="23"/>
      <c r="I11" s="20" t="n">
        <v>41583</v>
      </c>
      <c r="J11" s="23" t="n">
        <f>MAX(CC10mgml2table[[#This Row],[Stock on hand(opening balance)]]+CC10mgml2table[[#This Row],[Quantity ]]-CC10mgml2table[[#This Row],[Forecasted consumption]],0)</f>
        <v>55787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CC10mgml2table[[#This Row],[Closing balance ]]/CC10mgml2table[[#This Row],[Forecasted consumption]]</f>
        <v>1.3415818964480677</v>
      </c>
      <c r="X11" s="25"/>
    </row>
    <row r="12">
      <c r="B12" s="6" t="s">
        <v>28</v>
      </c>
      <c r="C12" s="17" t="s">
        <v>65</v>
      </c>
      <c r="D12" s="17" t="s">
        <v>66</v>
      </c>
      <c r="E12" s="18" t="s">
        <v>31</v>
      </c>
      <c r="F12" s="19" t="n">
        <v>45992</v>
      </c>
      <c r="G12" s="23" t="n">
        <f t="shared" si="0"/>
        <v>55787</v>
      </c>
      <c r="H12" s="23"/>
      <c r="I12" s="20" t="n">
        <v>41583</v>
      </c>
      <c r="J12" s="23" t="n">
        <f>MAX(CC10mgml2table[[#This Row],[Stock on hand(opening balance)]]+CC10mgml2table[[#This Row],[Quantity ]]-CC10mgml2table[[#This Row],[Forecasted consumption]],0)</f>
        <v>14204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CC10mgml2table[[#This Row],[Closing balance ]]/CC10mgml2table[[#This Row],[Forecasted consumption]]</f>
        <v>0.34158189644806775</v>
      </c>
      <c r="X12" s="25"/>
    </row>
    <row r="13">
      <c r="B13" s="6" t="s">
        <v>28</v>
      </c>
      <c r="C13" s="17" t="s">
        <v>65</v>
      </c>
      <c r="D13" s="17" t="s">
        <v>66</v>
      </c>
      <c r="E13" s="18" t="s">
        <v>31</v>
      </c>
      <c r="F13" s="19" t="n">
        <v>46023</v>
      </c>
      <c r="G13" s="23" t="n">
        <f t="shared" si="0"/>
        <v>14204</v>
      </c>
      <c r="H13" s="23"/>
      <c r="I13" s="20" t="n">
        <v>41583</v>
      </c>
      <c r="J13" s="23" t="n">
        <f>MAX(CC10mgml2table[[#This Row],[Stock on hand(opening balance)]]+CC10mgml2table[[#This Row],[Quantity ]]-CC10mgml2table[[#This Row],[Forecasted consumption]],0)</f>
        <v>221175</v>
      </c>
      <c r="K13" s="2" t="s">
        <v>2</v>
      </c>
      <c r="L13" s="2" t="s">
        <v>2</v>
      </c>
      <c r="M13" s="33" t="s">
        <v>4</v>
      </c>
      <c r="N13" s="23" t="n">
        <v>248554</v>
      </c>
      <c r="O13" s="2"/>
      <c r="P13" s="2" t="n">
        <v>94326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CC10mgml2table[[#This Row],[Closing balance ]]/CC10mgml2table[[#This Row],[Forecasted consumption]]</f>
        <v>5.3188803116658248</v>
      </c>
      <c r="X13" s="25"/>
    </row>
    <row r="14">
      <c r="B14" s="6" t="s">
        <v>28</v>
      </c>
      <c r="C14" s="17" t="s">
        <v>65</v>
      </c>
      <c r="D14" s="17" t="s">
        <v>66</v>
      </c>
      <c r="E14" s="18" t="s">
        <v>31</v>
      </c>
      <c r="F14" s="19" t="n">
        <v>46054</v>
      </c>
      <c r="G14" s="23" t="n">
        <f t="shared" si="0"/>
        <v>221175</v>
      </c>
      <c r="H14" s="23"/>
      <c r="I14" s="20" t="n">
        <v>41583</v>
      </c>
      <c r="J14" s="23" t="n">
        <f>MAX(CC10mgml2table[[#This Row],[Stock on hand(opening balance)]]+CC10mgml2table[[#This Row],[Quantity ]]-CC10mgml2table[[#This Row],[Forecasted consumption]],0)</f>
        <v>179592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CC10mgml2table[[#This Row],[Closing balance ]]/CC10mgml2table[[#This Row],[Forecasted consumption]]</f>
        <v>4.3188803116658248</v>
      </c>
      <c r="X14" s="25"/>
    </row>
    <row r="15">
      <c r="B15" s="6" t="s">
        <v>28</v>
      </c>
      <c r="C15" s="17" t="s">
        <v>65</v>
      </c>
      <c r="D15" s="17" t="s">
        <v>66</v>
      </c>
      <c r="E15" s="18" t="s">
        <v>31</v>
      </c>
      <c r="F15" s="19" t="n">
        <v>46082</v>
      </c>
      <c r="G15" s="23" t="n">
        <f t="shared" si="0"/>
        <v>179592</v>
      </c>
      <c r="H15" s="23"/>
      <c r="I15" s="20" t="n">
        <v>41583</v>
      </c>
      <c r="J15" s="23" t="n">
        <f>MAX(CC10mgml2table[[#This Row],[Stock on hand(opening balance)]]+CC10mgml2table[[#This Row],[Quantity ]]-CC10mgml2table[[#This Row],[Forecasted consumption]],0)</f>
        <v>138009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CC10mgml2table[[#This Row],[Closing balance ]]/CC10mgml2table[[#This Row],[Forecasted consumption]]</f>
        <v>3.3188803116658248</v>
      </c>
      <c r="X15" s="25"/>
    </row>
    <row r="16">
      <c r="B16" s="6" t="s">
        <v>28</v>
      </c>
      <c r="C16" s="17" t="s">
        <v>65</v>
      </c>
      <c r="D16" s="17" t="s">
        <v>66</v>
      </c>
      <c r="E16" s="18" t="s">
        <v>31</v>
      </c>
      <c r="F16" s="19" t="n">
        <v>46113</v>
      </c>
      <c r="G16" s="23" t="n">
        <f t="shared" si="0"/>
        <v>138009</v>
      </c>
      <c r="H16" s="23"/>
      <c r="I16" s="20" t="n">
        <v>41583</v>
      </c>
      <c r="J16" s="23" t="n">
        <f>MAX(CC10mgml2table[[#This Row],[Stock on hand(opening balance)]]+CC10mgml2table[[#This Row],[Quantity ]]-CC10mgml2table[[#This Row],[Forecasted consumption]],0)</f>
        <v>96426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CC10mgml2table[[#This Row],[Closing balance ]]/CC10mgml2table[[#This Row],[Forecasted consumption]]</f>
        <v>2.3188803116658248</v>
      </c>
      <c r="X16" s="25"/>
    </row>
    <row r="17">
      <c r="B17" s="6" t="s">
        <v>28</v>
      </c>
      <c r="C17" s="17" t="s">
        <v>65</v>
      </c>
      <c r="D17" s="17" t="s">
        <v>66</v>
      </c>
      <c r="E17" s="18" t="s">
        <v>31</v>
      </c>
      <c r="F17" s="19" t="n">
        <v>46143</v>
      </c>
      <c r="G17" s="23" t="n">
        <f t="shared" si="0"/>
        <v>96426</v>
      </c>
      <c r="H17" s="23"/>
      <c r="I17" s="20" t="n">
        <v>41583</v>
      </c>
      <c r="J17" s="23" t="n">
        <f>MAX(CC10mgml2table[[#This Row],[Stock on hand(opening balance)]]+CC10mgml2table[[#This Row],[Quantity ]]-CC10mgml2table[[#This Row],[Forecasted consumption]],0)</f>
        <v>54843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CC10mgml2table[[#This Row],[Closing balance ]]/CC10mgml2table[[#This Row],[Forecasted consumption]]</f>
        <v>1.318880311665825</v>
      </c>
      <c r="X17" s="25"/>
    </row>
    <row r="18">
      <c r="B18" s="6" t="s">
        <v>28</v>
      </c>
      <c r="C18" s="17" t="s">
        <v>65</v>
      </c>
      <c r="D18" s="17" t="s">
        <v>66</v>
      </c>
      <c r="E18" s="18" t="s">
        <v>31</v>
      </c>
      <c r="F18" s="19" t="n">
        <v>46174</v>
      </c>
      <c r="G18" s="23" t="n">
        <f t="shared" si="0"/>
        <v>54843</v>
      </c>
      <c r="H18" s="23"/>
      <c r="I18" s="20" t="n">
        <v>41583</v>
      </c>
      <c r="J18" s="23" t="n">
        <f>MAX(CC10mgml2table[[#This Row],[Stock on hand(opening balance)]]+CC10mgml2table[[#This Row],[Quantity ]]-CC10mgml2table[[#This Row],[Forecasted consumption]],0)</f>
        <v>278069</v>
      </c>
      <c r="K18" s="2" t="s">
        <v>2</v>
      </c>
      <c r="L18" s="2" t="s">
        <v>2</v>
      </c>
      <c r="M18" s="33" t="s">
        <v>4</v>
      </c>
      <c r="N18" s="23" t="n">
        <v>264809</v>
      </c>
      <c r="O18" s="2"/>
      <c r="P18" s="2" t="n">
        <v>100495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CC10mgml2table[[#This Row],[Closing balance ]]/CC10mgml2table[[#This Row],[Forecasted consumption]]</f>
        <v>6.6870836639973064</v>
      </c>
      <c r="X18" s="25"/>
    </row>
  </sheetData>
  <dataValidations count="3">
    <dataValidation type="list" allowBlank="1" showInputMessage="1" showErrorMessage="1" sqref="M19:M109" xr:uid="{B65713DB-2B0F-417E-B506-D9B41CD29782}">
      <formula1>"Committed,  Placed, Expected Deliveries, Received, cancelled"</formula1>
    </dataValidation>
    <dataValidation type="list" allowBlank="1" showInputMessage="1" showErrorMessage="1" sqref="E7:E18" xr:uid="{B7E3B5C9-C67B-4B6E-8EAD-DD1FE77BD6D0}">
      <formula1>"All levels, Central, Central and Regional, Facilities "</formula1>
    </dataValidation>
    <dataValidation type="list" allowBlank="1" showInputMessage="1" showErrorMessage="1" sqref="M7:M18" xr:uid="{5935E364-BD04-46CD-8956-FD10E15F1BA0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ED2D75-6E91-4E16-B104-01065A27A7AA}">
          <x14:formula1>
            <xm:f>'choices countries '!$B$3:$B$12</xm:f>
          </x14:formula1>
          <xm:sqref>B7:B410</xm:sqref>
        </x14:dataValidation>
        <x14:dataValidation type="list" allowBlank="1" showInputMessage="1" showErrorMessage="1" xr:uid="{1B5029D8-C9C7-4E46-AF48-48E2FF9649FA}">
          <x14:formula1>
            <xm:f>'product list '!$A$70</xm:f>
          </x14:formula1>
          <xm:sqref>C7:C18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 t="s">
        <v>67</v>
      </c>
      <c r="D7" s="17"/>
      <c r="E7" s="18"/>
      <c r="F7" s="19" t="n">
        <v>45658</v>
      </c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1C4C06DB-E7C9-49C4-93AD-6211DED377A6}">
      <formula1>"All levels, Central, Central and Regional, Facilities "</formula1>
    </dataValidation>
    <dataValidation type="list" allowBlank="1" showInputMessage="1" showErrorMessage="1" sqref="M8:M98" xr:uid="{38CEB23A-C8DB-496E-95DE-C091BEF1323C}">
      <formula1>"Committed,  Placed, Expected Deliveries, Received, cancelled"</formula1>
    </dataValidation>
    <dataValidation type="list" allowBlank="1" showInputMessage="1" showErrorMessage="1" sqref="M7" xr:uid="{73EE9F79-B57C-4346-BC04-AF471A7D7158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40A102-2E87-4C9B-A9BB-7852214F0674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2F16F492-CBEC-4A95-9913-ACF0105E0DE9}">
          <x14:formula1>
            <xm:f>'product list '!$A$65</xm:f>
          </x14:formula1>
          <xm:sqref>C7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M8:M98" xr:uid="{D64049C3-04C9-43F1-ADD4-513C96EA7327}">
      <formula1>"Committed,  Placed, Expected Deliveries, Received, cancelled"</formula1>
    </dataValidation>
    <dataValidation type="list" allowBlank="1" showInputMessage="1" showErrorMessage="1" sqref="E7" xr:uid="{F7786116-044D-4A1F-8C9A-BD0521AC59B5}">
      <formula1>"All levels, Central, Central and Regional, Facilities "</formula1>
    </dataValidation>
    <dataValidation type="list" allowBlank="1" showInputMessage="1" showErrorMessage="1" sqref="M7" xr:uid="{A35CE1E4-0016-46EE-A123-07997C196B68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A7EB50-BC5B-4F15-94AA-E0997E7B83CA}">
          <x14:formula1>
            <xm:f>'product list '!$A$66</xm:f>
          </x14:formula1>
          <xm:sqref>C7</xm:sqref>
        </x14:dataValidation>
        <x14:dataValidation type="list" allowBlank="1" showInputMessage="1" showErrorMessage="1" xr:uid="{3CB4F3A1-A667-4E79-8289-D0151796A35B}">
          <x14:formula1>
            <xm:f>'choices countries '!$B$3:$B$12</xm:f>
          </x14:formula1>
          <xm:sqref>B7:B399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A3E0EDD1-0418-4E4D-A9D4-A6A12BB2E72E}">
      <formula1>"All levels, Central, Central and Regional, Facilities "</formula1>
    </dataValidation>
    <dataValidation type="list" allowBlank="1" showInputMessage="1" showErrorMessage="1" sqref="M8:M98" xr:uid="{88006EBE-0AAF-4C52-8849-923084002EC4}">
      <formula1>"Committed,  Placed, Expected Deliveries, Received, cancelled"</formula1>
    </dataValidation>
    <dataValidation type="list" allowBlank="1" showInputMessage="1" showErrorMessage="1" sqref="M7" xr:uid="{9DD969CD-5445-4FC4-B804-1C1320953D61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AB436F-99AE-44F9-951D-E31650D1EAF7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5E9B25E7-2860-441D-98A2-C82A3AEADEDA}">
          <x14:formula1>
            <xm:f>'product list '!$A$67</xm:f>
          </x14:formula1>
          <xm:sqref>C7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activeCell="C14" sqref="C14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M8:M98" xr:uid="{3CCE6F73-58B2-464C-953C-A7063682A267}">
      <formula1>"Committed,  Placed, Expected Deliveries, Received, cancelled"</formula1>
    </dataValidation>
    <dataValidation type="list" allowBlank="1" showInputMessage="1" showErrorMessage="1" sqref="E7" xr:uid="{AD1175AC-ED03-49E4-AAF8-A347A0FAAD8D}">
      <formula1>"All levels, Central, Central and Regional, Facilities "</formula1>
    </dataValidation>
    <dataValidation type="list" allowBlank="1" showInputMessage="1" showErrorMessage="1" sqref="M7" xr:uid="{73CE050E-75CA-4BFA-9CA6-BEC3E2E9B5B8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3DA43C-CA31-4F2E-9DBC-6E84D2469115}">
          <x14:formula1>
            <xm:f>'product list '!$A$68</xm:f>
          </x14:formula1>
          <xm:sqref>C7</xm:sqref>
        </x14:dataValidation>
        <x14:dataValidation type="list" allowBlank="1" showInputMessage="1" showErrorMessage="1" xr:uid="{63362B36-F6ED-4EE2-99D6-F228240F09B4}">
          <x14:formula1>
            <xm:f>'choices countries '!$B$3:$B$12</xm:f>
          </x14:formula1>
          <xm:sqref>B7:B399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1" sqref="B21"/>
    </sheetView>
  </sheetViews>
  <sheetFormatPr defaultRowHeight="15.0" baseColWidth="10"/>
  <cols>
    <col min="2" max="2" width="23.81640625" hidden="0" customWidth="1"/>
  </cols>
  <sheetData>
    <row r="2">
      <c r="A2" s="36" t="s">
        <v>71</v>
      </c>
      <c r="B2" s="36" t="s">
        <v>6</v>
      </c>
    </row>
    <row r="3">
      <c r="A3" s="36" t="n">
        <v>1</v>
      </c>
      <c r="B3" s="36" t="s">
        <v>72</v>
      </c>
    </row>
    <row r="4">
      <c r="A4" s="36" t="n">
        <v>2</v>
      </c>
      <c r="B4" s="36" t="s">
        <v>73</v>
      </c>
    </row>
    <row r="5">
      <c r="A5" s="36" t="n">
        <v>3</v>
      </c>
      <c r="B5" s="36" t="s">
        <v>74</v>
      </c>
    </row>
    <row r="6">
      <c r="A6" s="36" t="n">
        <v>4</v>
      </c>
      <c r="B6" s="36" t="s">
        <v>75</v>
      </c>
    </row>
    <row r="7">
      <c r="A7" s="36" t="n">
        <v>5</v>
      </c>
      <c r="B7" s="36" t="s">
        <v>76</v>
      </c>
    </row>
    <row r="8">
      <c r="A8" s="36" t="n">
        <v>6</v>
      </c>
      <c r="B8" s="36" t="s">
        <v>77</v>
      </c>
    </row>
    <row r="9">
      <c r="A9" s="36" t="n">
        <v>7</v>
      </c>
      <c r="B9" s="36" t="s">
        <v>78</v>
      </c>
    </row>
    <row r="10">
      <c r="A10" s="36" t="n">
        <v>8</v>
      </c>
      <c r="B10" s="36" t="s">
        <v>79</v>
      </c>
    </row>
    <row r="11">
      <c r="A11" s="36" t="n">
        <v>9</v>
      </c>
      <c r="B11" s="36" t="s">
        <v>28</v>
      </c>
    </row>
    <row r="12">
      <c r="A12" s="36" t="n">
        <v>10</v>
      </c>
      <c r="B12" s="36" t="s">
        <v>80</v>
      </c>
    </row>
    <row r="13">
      <c r="B13" s="36" t="s">
        <v>165</v>
      </c>
    </row>
    <row r="14">
      <c r="B14" s="36" t="s">
        <v>166</v>
      </c>
    </row>
    <row r="15">
      <c r="B15" s="36" t="s">
        <v>167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6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A58" sqref="A58"/>
    </sheetView>
  </sheetViews>
  <sheetFormatPr defaultRowHeight="15.0" baseColWidth="10"/>
  <cols>
    <col min="1" max="1" width="55.453125" hidden="0" customWidth="1"/>
    <col min="5" max="5" width="23.81640625" hidden="0" customWidth="1"/>
  </cols>
  <sheetData>
    <row r="1">
      <c r="A1" s="37" t="s">
        <v>81</v>
      </c>
      <c r="B1" s="37" t="s">
        <v>82</v>
      </c>
      <c r="C1" s="37" t="s">
        <v>83</v>
      </c>
      <c r="D1" s="37" t="s">
        <v>84</v>
      </c>
      <c r="E1" s="38" t="s">
        <v>85</v>
      </c>
    </row>
    <row r="2">
      <c r="A2" s="39" t="s">
        <v>86</v>
      </c>
      <c r="B2" s="39" t="n">
        <v>10001</v>
      </c>
      <c r="C2" s="39" t="n">
        <v>8.3000000000000001E-3</v>
      </c>
      <c r="D2" s="39" t="s">
        <v>87</v>
      </c>
      <c r="E2" s="39" t="n">
        <v>0.35970000000000002</v>
      </c>
    </row>
    <row r="3">
      <c r="A3" s="39" t="s">
        <v>88</v>
      </c>
      <c r="B3" s="39" t="n">
        <v>10002</v>
      </c>
      <c r="C3" s="39" t="n">
        <v>8.3000000000000001E-3</v>
      </c>
      <c r="D3" s="39" t="s">
        <v>87</v>
      </c>
      <c r="E3" s="39" t="n">
        <v>0.33</v>
      </c>
    </row>
    <row r="4">
      <c r="A4" s="39" t="s">
        <v>34</v>
      </c>
      <c r="B4" s="39" t="n">
        <v>10000</v>
      </c>
      <c r="C4" s="39" t="n">
        <v>8.3000000000000001E-3</v>
      </c>
      <c r="D4" s="39" t="s">
        <v>87</v>
      </c>
      <c r="E4" s="39" t="n">
        <v>0.502</v>
      </c>
    </row>
    <row r="5">
      <c r="A5" s="39" t="s">
        <v>89</v>
      </c>
      <c r="B5" s="39" t="n">
        <v>10003</v>
      </c>
      <c r="C5" s="39" t="n">
        <v>8.3000000000000001E-3</v>
      </c>
      <c r="D5" s="39" t="s">
        <v>87</v>
      </c>
      <c r="E5" s="39" t="n">
        <v>0.55000000000000004</v>
      </c>
    </row>
    <row r="6">
      <c r="A6" s="39" t="s">
        <v>90</v>
      </c>
      <c r="B6" s="39" t="n">
        <v>11000</v>
      </c>
      <c r="C6" s="39" t="n">
        <v>8.3000000000000001E-3</v>
      </c>
      <c r="D6" s="39" t="s">
        <v>87</v>
      </c>
      <c r="E6" s="39" t="n">
        <v>3.3599999999999998E-2</v>
      </c>
    </row>
    <row r="7">
      <c r="A7" s="39" t="s">
        <v>91</v>
      </c>
      <c r="B7" s="39" t="n">
        <v>11001</v>
      </c>
      <c r="C7" s="39" t="n">
        <v>8.3000000000000001E-3</v>
      </c>
      <c r="D7" s="39" t="s">
        <v>87</v>
      </c>
      <c r="E7" s="39" t="n">
        <v>2.1899999999999999E-2</v>
      </c>
    </row>
    <row r="8">
      <c r="A8" s="39" t="s">
        <v>92</v>
      </c>
      <c r="B8" s="39" t="n">
        <v>11002</v>
      </c>
      <c r="C8" s="39" t="n">
        <v>8.3000000000000001E-3</v>
      </c>
      <c r="D8" s="39" t="s">
        <v>87</v>
      </c>
      <c r="E8" s="39" t="n">
        <v>2.8500000000000001E-2</v>
      </c>
    </row>
    <row r="9">
      <c r="A9" s="39" t="s">
        <v>29</v>
      </c>
      <c r="B9" s="39" t="n">
        <v>11003</v>
      </c>
      <c r="C9" s="39" t="n">
        <v>8.3000000000000001E-3</v>
      </c>
      <c r="D9" s="39" t="s">
        <v>87</v>
      </c>
      <c r="E9" s="39" t="n">
        <v>3.2599999999999997E-2</v>
      </c>
    </row>
    <row r="10">
      <c r="A10" s="39" t="s">
        <v>93</v>
      </c>
      <c r="B10" s="39" t="n">
        <v>13033</v>
      </c>
      <c r="C10" s="39" t="n">
        <v>8.3000000000000001E-3</v>
      </c>
      <c r="D10" s="39" t="s">
        <v>94</v>
      </c>
      <c r="E10" s="39" t="n">
        <v>3.2599999999999997E-2</v>
      </c>
    </row>
    <row r="11">
      <c r="A11" s="39" t="s">
        <v>95</v>
      </c>
      <c r="B11" s="39" t="n">
        <v>13034</v>
      </c>
      <c r="C11" s="39" t="n">
        <v>8.3000000000000001E-3</v>
      </c>
      <c r="D11" s="39" t="s">
        <v>94</v>
      </c>
      <c r="E11" s="39" t="n">
        <v>3.2599999999999997E-2</v>
      </c>
    </row>
    <row r="12">
      <c r="A12" s="39" t="s">
        <v>96</v>
      </c>
      <c r="B12" s="39" t="n">
        <v>11012</v>
      </c>
      <c r="C12" s="39" t="n">
        <v>8.3000000000000001E-3</v>
      </c>
      <c r="D12" s="39" t="s">
        <v>87</v>
      </c>
      <c r="E12" s="39" t="n">
        <v>3.2599999999999997E-2</v>
      </c>
    </row>
    <row r="13">
      <c r="A13" s="39" t="s">
        <v>97</v>
      </c>
      <c r="B13" s="39" t="n">
        <v>11013</v>
      </c>
      <c r="C13" s="39" t="n">
        <v>8.3000000000000001E-3</v>
      </c>
      <c r="D13" s="39" t="s">
        <v>87</v>
      </c>
      <c r="E13" s="39" t="n">
        <v>3.2599999999999997E-2</v>
      </c>
    </row>
    <row r="14">
      <c r="A14" s="39" t="s">
        <v>98</v>
      </c>
      <c r="B14" s="39" t="n">
        <v>11011</v>
      </c>
      <c r="C14" s="39" t="n">
        <v>8.3000000000000001E-3</v>
      </c>
      <c r="D14" s="39" t="s">
        <v>87</v>
      </c>
      <c r="E14" s="39" t="n">
        <v>3.2599999999999997E-2</v>
      </c>
    </row>
    <row r="15">
      <c r="A15" s="39" t="s">
        <v>99</v>
      </c>
      <c r="B15" s="39" t="n">
        <v>13029</v>
      </c>
      <c r="C15" s="39" t="n">
        <v>8.3000000000000001E-3</v>
      </c>
      <c r="D15" s="39" t="s">
        <v>87</v>
      </c>
      <c r="E15" s="39" t="n">
        <v>3.2599999999999997E-2</v>
      </c>
    </row>
    <row r="16">
      <c r="A16" s="39" t="s">
        <v>100</v>
      </c>
      <c r="B16" s="39" t="n">
        <v>13030</v>
      </c>
      <c r="C16" s="39" t="n">
        <v>8.3000000000000001E-3</v>
      </c>
      <c r="D16" s="39" t="s">
        <v>87</v>
      </c>
      <c r="E16" s="39" t="n">
        <v>3.2599999999999997E-2</v>
      </c>
    </row>
    <row r="17">
      <c r="A17" s="39" t="s">
        <v>101</v>
      </c>
      <c r="B17" s="39" t="n">
        <v>13031</v>
      </c>
      <c r="C17" s="39" t="n">
        <v>8.3000000000000001E-3</v>
      </c>
      <c r="D17" s="39" t="s">
        <v>87</v>
      </c>
      <c r="E17" s="39" t="n">
        <v>3.2599999999999997E-2</v>
      </c>
    </row>
    <row r="18">
      <c r="A18" s="39" t="s">
        <v>102</v>
      </c>
      <c r="B18" s="39" t="n">
        <v>11008</v>
      </c>
      <c r="C18" s="39" t="n">
        <v>8.3000000000000001E-3</v>
      </c>
      <c r="D18" s="39" t="s">
        <v>87</v>
      </c>
      <c r="E18" s="39" t="n">
        <v>3.2599999999999997E-2</v>
      </c>
    </row>
    <row r="19">
      <c r="A19" s="39" t="s">
        <v>103</v>
      </c>
      <c r="B19" s="39" t="n">
        <v>11010</v>
      </c>
      <c r="C19" s="39" t="n">
        <v>8.3000000000000001E-3</v>
      </c>
      <c r="D19" s="39" t="s">
        <v>87</v>
      </c>
      <c r="E19" s="39" t="n">
        <v>3.2599999999999997E-2</v>
      </c>
    </row>
    <row r="20">
      <c r="A20" s="39" t="s">
        <v>104</v>
      </c>
      <c r="B20" s="39" t="n">
        <v>11007</v>
      </c>
      <c r="C20" s="39" t="n">
        <v>8.3000000000000001E-3</v>
      </c>
      <c r="D20" s="39" t="s">
        <v>87</v>
      </c>
      <c r="E20" s="39" t="n">
        <v>3.2599999999999997E-2</v>
      </c>
    </row>
    <row r="21">
      <c r="A21" s="39" t="s">
        <v>105</v>
      </c>
      <c r="B21" s="39" t="n">
        <v>11009</v>
      </c>
      <c r="C21" s="39" t="n">
        <v>8.3000000000000001E-3</v>
      </c>
      <c r="D21" s="39" t="s">
        <v>87</v>
      </c>
      <c r="E21" s="39" t="n">
        <v>3.2599999999999997E-2</v>
      </c>
    </row>
    <row r="22">
      <c r="A22" s="39" t="s">
        <v>106</v>
      </c>
      <c r="B22" s="39" t="n">
        <v>13026</v>
      </c>
      <c r="C22" s="39" t="n">
        <v>8.3000000000000001E-3</v>
      </c>
      <c r="D22" s="39" t="s">
        <v>87</v>
      </c>
      <c r="E22" s="39" t="n">
        <v>3.2599999999999997E-2</v>
      </c>
    </row>
    <row r="23">
      <c r="A23" s="39" t="s">
        <v>107</v>
      </c>
      <c r="B23" s="39" t="n">
        <v>11006</v>
      </c>
      <c r="C23" s="39" t="n">
        <v>8.3000000000000001E-3</v>
      </c>
      <c r="D23" s="39" t="s">
        <v>87</v>
      </c>
      <c r="E23" s="39" t="n">
        <v>3.2599999999999997E-2</v>
      </c>
    </row>
    <row r="24">
      <c r="A24" s="39" t="s">
        <v>108</v>
      </c>
      <c r="B24" s="39" t="n">
        <v>13035</v>
      </c>
      <c r="C24" s="39" t="n">
        <v>8.3000000000000001E-3</v>
      </c>
      <c r="D24" s="39" t="s">
        <v>94</v>
      </c>
      <c r="E24" s="39" t="n">
        <v>3.2599999999999997E-2</v>
      </c>
    </row>
    <row r="25">
      <c r="A25" s="39" t="s">
        <v>109</v>
      </c>
      <c r="B25" s="39" t="n">
        <v>13027</v>
      </c>
      <c r="C25" s="39" t="n">
        <v>8.3000000000000001E-3</v>
      </c>
      <c r="D25" s="39" t="s">
        <v>87</v>
      </c>
      <c r="E25" s="39" t="n">
        <v>3.2599999999999997E-2</v>
      </c>
    </row>
    <row r="26">
      <c r="A26" s="39" t="s">
        <v>110</v>
      </c>
      <c r="B26" s="39" t="n">
        <v>13028</v>
      </c>
      <c r="C26" s="39" t="n">
        <v>8.3000000000000001E-3</v>
      </c>
      <c r="D26" s="39" t="s">
        <v>87</v>
      </c>
      <c r="E26" s="39" t="n">
        <v>3.2599999999999997E-2</v>
      </c>
    </row>
    <row r="27">
      <c r="A27" s="39" t="s">
        <v>111</v>
      </c>
      <c r="B27" s="39" t="n">
        <v>11004</v>
      </c>
      <c r="C27" s="39" t="n">
        <v>8.3000000000000001E-3</v>
      </c>
      <c r="D27" s="39" t="s">
        <v>87</v>
      </c>
      <c r="E27" s="39" t="n">
        <v>3.1600000000000003E-2</v>
      </c>
    </row>
    <row r="28">
      <c r="A28" s="39" t="s">
        <v>112</v>
      </c>
      <c r="B28" s="39" t="n">
        <v>11005</v>
      </c>
      <c r="C28" s="39" t="n">
        <v>8.3000000000000001E-3</v>
      </c>
      <c r="D28" s="39" t="s">
        <v>87</v>
      </c>
      <c r="E28" s="39" t="n">
        <v>3.1600000000000003E-2</v>
      </c>
    </row>
    <row r="29">
      <c r="A29" s="39" t="s">
        <v>36</v>
      </c>
      <c r="B29" s="39" t="n">
        <v>7000</v>
      </c>
      <c r="C29" s="39" t="n">
        <v>1.5</v>
      </c>
      <c r="D29" s="39" t="s">
        <v>87</v>
      </c>
      <c r="E29" s="39" t="n">
        <v>1.5</v>
      </c>
    </row>
    <row r="30">
      <c r="A30" s="39" t="s">
        <v>38</v>
      </c>
      <c r="B30" s="39" t="n">
        <v>1000</v>
      </c>
      <c r="C30" s="39" t="n">
        <v>2.5</v>
      </c>
      <c r="D30" s="39" t="s">
        <v>113</v>
      </c>
      <c r="E30" s="39" t="n">
        <v>8.5</v>
      </c>
    </row>
    <row r="31">
      <c r="A31" s="39" t="s">
        <v>40</v>
      </c>
      <c r="B31" s="39" t="n">
        <v>1001</v>
      </c>
      <c r="C31" s="39" t="n">
        <v>2.5</v>
      </c>
      <c r="D31" s="39" t="s">
        <v>113</v>
      </c>
      <c r="E31" s="39" t="n">
        <v>6.7</v>
      </c>
    </row>
    <row r="32">
      <c r="A32" s="39" t="s">
        <v>41</v>
      </c>
      <c r="B32" s="39" t="n">
        <v>1002</v>
      </c>
      <c r="C32" s="39" t="n">
        <v>3.8</v>
      </c>
      <c r="D32" s="39" t="s">
        <v>113</v>
      </c>
      <c r="E32" s="39" t="n">
        <v>8.5</v>
      </c>
    </row>
    <row r="33">
      <c r="A33" s="39" t="s">
        <v>42</v>
      </c>
      <c r="B33" s="39" t="n">
        <v>5000</v>
      </c>
      <c r="C33" s="39" t="n">
        <v>0.25</v>
      </c>
      <c r="D33" s="39" t="s">
        <v>114</v>
      </c>
      <c r="E33" s="39" t="n">
        <v>0.85</v>
      </c>
    </row>
    <row r="34">
      <c r="A34" s="39" t="s">
        <v>44</v>
      </c>
      <c r="B34" s="39" t="n">
        <v>5001</v>
      </c>
      <c r="C34" s="39" t="n">
        <v>0.25</v>
      </c>
      <c r="D34" s="39" t="s">
        <v>115</v>
      </c>
      <c r="E34" s="39" t="n">
        <v>0.8</v>
      </c>
    </row>
    <row r="35">
      <c r="A35" s="39" t="s">
        <v>116</v>
      </c>
      <c r="B35" s="39" t="n">
        <v>5002</v>
      </c>
      <c r="C35" s="39" t="n">
        <v>0.16600000000000001</v>
      </c>
      <c r="D35" s="39" t="s">
        <v>117</v>
      </c>
      <c r="E35" s="39" t="n">
        <v>1.1499999999999999</v>
      </c>
    </row>
    <row r="36">
      <c r="A36" s="39" t="s">
        <v>118</v>
      </c>
      <c r="B36" s="39" t="n">
        <v>5003</v>
      </c>
      <c r="C36" s="39" t="n">
        <v>7.6899999999999996E-2</v>
      </c>
      <c r="D36" s="39" t="s">
        <v>117</v>
      </c>
      <c r="E36" s="39" t="n">
        <v>0.85</v>
      </c>
    </row>
    <row r="37">
      <c r="A37" s="39" t="s">
        <v>119</v>
      </c>
      <c r="B37" s="39" t="n">
        <v>6001</v>
      </c>
      <c r="C37" s="39" t="n">
        <v>4.5999999999999996</v>
      </c>
      <c r="D37" s="39" t="s">
        <v>87</v>
      </c>
      <c r="E37" s="39" t="n">
        <v>0.317</v>
      </c>
    </row>
    <row r="38">
      <c r="A38" s="39" t="s">
        <v>46</v>
      </c>
      <c r="B38" s="39" t="n">
        <v>6000</v>
      </c>
      <c r="C38" s="39" t="n">
        <v>4.5999999999999996</v>
      </c>
      <c r="D38" s="39" t="s">
        <v>87</v>
      </c>
      <c r="E38" s="39" t="n">
        <v>0.435</v>
      </c>
    </row>
    <row r="39">
      <c r="A39" s="39" t="s">
        <v>120</v>
      </c>
      <c r="B39" s="39" t="n">
        <v>13025</v>
      </c>
      <c r="C39" s="39" t="n">
        <v>4.5999999999999996</v>
      </c>
      <c r="D39" s="39" t="s">
        <v>87</v>
      </c>
      <c r="E39" s="39" t="n">
        <v>0.435</v>
      </c>
    </row>
    <row r="40">
      <c r="A40" s="39" t="s">
        <v>163</v>
      </c>
      <c r="B40" s="39"/>
      <c r="C40" s="39"/>
      <c r="D40" s="39"/>
      <c r="E40" s="39"/>
    </row>
    <row r="41">
      <c r="A41" s="39" t="s">
        <v>47</v>
      </c>
      <c r="B41" s="39" t="n">
        <v>12000</v>
      </c>
      <c r="C41" s="39" t="n">
        <v>4.8</v>
      </c>
      <c r="D41" s="39" t="s">
        <v>94</v>
      </c>
      <c r="E41" s="39" t="n">
        <v>10.9</v>
      </c>
    </row>
    <row r="42">
      <c r="A42" s="39" t="s">
        <v>121</v>
      </c>
      <c r="B42" s="39" t="n">
        <v>2000</v>
      </c>
      <c r="C42" s="39" t="n">
        <v>6.7000000000000004E-2</v>
      </c>
      <c r="D42" s="39" t="s">
        <v>122</v>
      </c>
      <c r="E42" s="39" t="n">
        <v>1.28</v>
      </c>
    </row>
    <row r="43">
      <c r="A43" s="39" t="s">
        <v>123</v>
      </c>
      <c r="B43" s="39" t="n">
        <v>2001</v>
      </c>
      <c r="C43" s="39" t="n">
        <v>6.7000000000000004E-2</v>
      </c>
      <c r="D43" s="39" t="s">
        <v>122</v>
      </c>
      <c r="E43" s="39" t="n">
        <v>0.83199999999999996</v>
      </c>
    </row>
    <row r="44">
      <c r="A44" s="39" t="s">
        <v>124</v>
      </c>
      <c r="B44" s="39" t="n">
        <v>2002</v>
      </c>
      <c r="C44" s="39" t="n">
        <v>6.7000000000000004E-2</v>
      </c>
      <c r="D44" s="39" t="s">
        <v>122</v>
      </c>
      <c r="E44" s="39" t="n">
        <v>0.55000000000000004</v>
      </c>
    </row>
    <row r="45">
      <c r="A45" s="39" t="s">
        <v>125</v>
      </c>
      <c r="B45" s="39" t="n">
        <v>2003</v>
      </c>
      <c r="C45" s="39" t="n">
        <v>6.7000000000000004E-2</v>
      </c>
      <c r="D45" s="39" t="s">
        <v>122</v>
      </c>
      <c r="E45" s="39" t="n">
        <v>0.22</v>
      </c>
    </row>
    <row r="46">
      <c r="A46" s="39" t="s">
        <v>49</v>
      </c>
      <c r="B46" s="39" t="n">
        <v>2004</v>
      </c>
      <c r="C46" s="39" t="n">
        <v>6.7000000000000004E-2</v>
      </c>
      <c r="D46" s="39" t="s">
        <v>122</v>
      </c>
      <c r="E46" s="39" t="n">
        <v>0.65</v>
      </c>
    </row>
    <row r="47">
      <c r="A47" s="39" t="s">
        <v>126</v>
      </c>
      <c r="B47" s="39" t="n">
        <v>2005</v>
      </c>
      <c r="C47" s="39" t="n">
        <v>6.7000000000000004E-2</v>
      </c>
      <c r="D47" s="39" t="s">
        <v>127</v>
      </c>
      <c r="E47" s="39" t="n">
        <v>0.42</v>
      </c>
    </row>
    <row r="48">
      <c r="A48" s="39" t="s">
        <v>128</v>
      </c>
      <c r="B48" s="39" t="n">
        <v>2006</v>
      </c>
      <c r="C48" s="39" t="n">
        <v>6.7000000000000004E-2</v>
      </c>
      <c r="D48" s="39" t="s">
        <v>127</v>
      </c>
      <c r="E48" s="39" t="n">
        <v>0.42</v>
      </c>
    </row>
    <row r="49">
      <c r="A49" s="39" t="s">
        <v>52</v>
      </c>
      <c r="B49" s="39" t="n">
        <v>3000</v>
      </c>
      <c r="C49" s="39" t="n">
        <v>0.05</v>
      </c>
      <c r="D49" s="39" t="s">
        <v>129</v>
      </c>
      <c r="E49" s="39" t="n">
        <v>0.34</v>
      </c>
      <c r="G49" s="41" t="n">
        <v>20000</v>
      </c>
      <c r="H49" s="41" t="n">
        <f>E49*G49</f>
        <v>6800.0000000000009</v>
      </c>
    </row>
    <row r="50">
      <c r="A50" s="39" t="s">
        <v>130</v>
      </c>
      <c r="B50" s="39" t="n">
        <v>3001</v>
      </c>
      <c r="C50" s="39" t="n">
        <v>0.05</v>
      </c>
      <c r="D50" s="39" t="s">
        <v>129</v>
      </c>
      <c r="E50" s="39" t="n">
        <v>0.59</v>
      </c>
    </row>
    <row r="51">
      <c r="A51" s="39" t="s">
        <v>131</v>
      </c>
      <c r="B51" s="39" t="n">
        <v>4004</v>
      </c>
      <c r="C51" s="39" t="n">
        <v>6.7000000000000004E-2</v>
      </c>
      <c r="D51" s="39" t="s">
        <v>122</v>
      </c>
      <c r="E51" s="39" t="n">
        <v>0.3</v>
      </c>
      <c r="G51" s="41" t="n">
        <v>300000</v>
      </c>
      <c r="H51" s="41" t="n">
        <f>E51*G51</f>
        <v>90000</v>
      </c>
    </row>
    <row r="52">
      <c r="A52" s="39" t="s">
        <v>54</v>
      </c>
      <c r="B52" s="39" t="n">
        <v>4000</v>
      </c>
      <c r="C52" s="39" t="n">
        <v>8.3299999999999999E-2</v>
      </c>
      <c r="D52" s="39" t="s">
        <v>122</v>
      </c>
      <c r="E52" s="39" t="n">
        <v>0.3</v>
      </c>
    </row>
    <row r="53">
      <c r="A53" s="39" t="s">
        <v>132</v>
      </c>
      <c r="B53" s="39" t="n">
        <v>4001</v>
      </c>
      <c r="C53" s="39" t="n">
        <v>6.7000000000000004E-2</v>
      </c>
      <c r="D53" s="39" t="s">
        <v>122</v>
      </c>
      <c r="E53" s="39" t="n">
        <v>0.56000000000000005</v>
      </c>
    </row>
    <row r="54">
      <c r="A54" s="39" t="s">
        <v>133</v>
      </c>
      <c r="B54" s="39" t="n">
        <v>4002</v>
      </c>
      <c r="C54" s="39" t="n">
        <v>6.7000000000000004E-2</v>
      </c>
      <c r="D54" s="39" t="s">
        <v>122</v>
      </c>
      <c r="E54" s="39" t="n">
        <v>0.71</v>
      </c>
    </row>
    <row r="55">
      <c r="A55" s="39" t="s">
        <v>134</v>
      </c>
      <c r="B55" s="39" t="n">
        <v>4003</v>
      </c>
      <c r="C55" s="39" t="n">
        <v>6.7000000000000004E-2</v>
      </c>
      <c r="D55" s="39" t="s">
        <v>122</v>
      </c>
      <c r="E55" s="39" t="n">
        <v>0.48</v>
      </c>
    </row>
    <row r="56">
      <c r="A56" s="36" t="s">
        <v>55</v>
      </c>
    </row>
    <row r="57">
      <c r="A57" s="36" t="s">
        <v>56</v>
      </c>
    </row>
    <row r="58">
      <c r="A58" s="36" t="s">
        <v>57</v>
      </c>
    </row>
    <row r="59">
      <c r="A59" s="36" t="s">
        <v>135</v>
      </c>
    </row>
    <row r="60">
      <c r="A60" s="36" t="s">
        <v>60</v>
      </c>
    </row>
    <row r="61">
      <c r="A61" s="36" t="s">
        <v>61</v>
      </c>
    </row>
    <row r="62">
      <c r="A62" s="36" t="s">
        <v>62</v>
      </c>
    </row>
    <row r="63">
      <c r="A63" s="36" t="s">
        <v>63</v>
      </c>
    </row>
    <row r="64">
      <c r="A64" s="36" t="s">
        <v>136</v>
      </c>
    </row>
    <row r="65">
      <c r="A65" s="36" t="s">
        <v>67</v>
      </c>
    </row>
    <row r="66">
      <c r="A66" s="36" t="s">
        <v>68</v>
      </c>
    </row>
    <row r="67">
      <c r="A67" s="36" t="s">
        <v>69</v>
      </c>
    </row>
    <row r="68">
      <c r="A68" s="36" t="s">
        <v>70</v>
      </c>
    </row>
    <row r="69">
      <c r="A69" s="40" t="s">
        <v>64</v>
      </c>
      <c r="B69" s="40" t="s">
        <v>137</v>
      </c>
    </row>
    <row r="70">
      <c r="A70" s="40" t="s">
        <v>65</v>
      </c>
      <c r="B70" s="40" t="s">
        <v>66</v>
      </c>
    </row>
    <row r="71">
      <c r="A71" s="40" t="s">
        <v>138</v>
      </c>
      <c r="B71" s="40" t="s">
        <v>137</v>
      </c>
    </row>
    <row r="72">
      <c r="A72" s="40" t="s">
        <v>139</v>
      </c>
      <c r="B72" s="40" t="s">
        <v>140</v>
      </c>
    </row>
    <row r="73">
      <c r="A73" s="40" t="s">
        <v>141</v>
      </c>
      <c r="B73" s="40" t="s">
        <v>137</v>
      </c>
    </row>
    <row r="74">
      <c r="A74" s="40" t="s">
        <v>142</v>
      </c>
      <c r="B74" s="40" t="s">
        <v>137</v>
      </c>
    </row>
    <row r="75">
      <c r="A75" s="40" t="s">
        <v>143</v>
      </c>
      <c r="B75" s="40" t="s">
        <v>59</v>
      </c>
    </row>
    <row r="76">
      <c r="A76" s="40" t="s">
        <v>58</v>
      </c>
      <c r="B76" s="40" t="s">
        <v>59</v>
      </c>
    </row>
    <row r="77">
      <c r="A77" s="40" t="s">
        <v>144</v>
      </c>
      <c r="B77" s="40" t="s">
        <v>137</v>
      </c>
    </row>
    <row r="78">
      <c r="A78" s="40" t="s">
        <v>145</v>
      </c>
      <c r="B78" s="40" t="s">
        <v>115</v>
      </c>
    </row>
  </sheetData>
  <pageMargins left="0.7" right="0.7" top="0.75" bottom="0.75" header="0.3" footer="0.3"/>
  <pageSetup paperSize="9"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  <c r="AA1" t="s">
        <v>207</v>
      </c>
      <c r="AB1" t="s">
        <v>208</v>
      </c>
      <c r="AC1" t="s">
        <v>209</v>
      </c>
      <c r="AD1" t="s">
        <v>201</v>
      </c>
      <c r="AE1" t="s">
        <v>202</v>
      </c>
      <c r="AF1" t="s">
        <v>203</v>
      </c>
      <c r="AG1" t="s">
        <v>204</v>
      </c>
      <c r="AH1" t="s">
        <v>205</v>
      </c>
      <c r="AI1" t="s">
        <v>206</v>
      </c>
      <c r="AJ1" t="s">
        <v>207</v>
      </c>
      <c r="AK1" t="s">
        <v>208</v>
      </c>
      <c r="AL1" t="s">
        <v>209</v>
      </c>
    </row>
    <row r="2">
      <c r="A2" t="s">
        <v>210</v>
      </c>
      <c r="B2" t="s">
        <v>211</v>
      </c>
      <c r="C2" t="s">
        <v>212</v>
      </c>
      <c r="D2" t="s">
        <v>213</v>
      </c>
      <c r="E2" t="s">
        <v>297</v>
      </c>
      <c r="F2" t="s">
        <v>298</v>
      </c>
      <c r="G2" t="s">
        <v>299</v>
      </c>
      <c r="H2" t="s">
        <v>300</v>
      </c>
      <c r="I2" t="s">
        <v>301</v>
      </c>
      <c r="J2" t="s">
        <v>302</v>
      </c>
      <c r="K2" t="s">
        <v>303</v>
      </c>
      <c r="L2" t="s">
        <v>304</v>
      </c>
      <c r="M2" t="s">
        <v>305</v>
      </c>
      <c r="N2" t="s">
        <v>306</v>
      </c>
      <c r="O2" t="s">
        <v>307</v>
      </c>
      <c r="P2" t="s">
        <v>308</v>
      </c>
      <c r="Q2" t="s">
        <v>309</v>
      </c>
      <c r="R2" t="s">
        <v>310</v>
      </c>
      <c r="S2" t="s">
        <v>311</v>
      </c>
      <c r="T2" t="s">
        <v>312</v>
      </c>
      <c r="U2" t="s">
        <v>313</v>
      </c>
      <c r="V2" t="s">
        <v>314</v>
      </c>
      <c r="W2" t="s">
        <v>315</v>
      </c>
      <c r="X2"/>
      <c r="Y2"/>
      <c r="Z2"/>
      <c r="AA2"/>
      <c r="AB2"/>
      <c r="AC2"/>
      <c r="AD2" t="n">
        <v>1739364</v>
      </c>
      <c r="AE2" t="n">
        <v>1455796</v>
      </c>
      <c r="AF2" t="n">
        <v>1172228</v>
      </c>
      <c r="AG2"/>
      <c r="AH2"/>
      <c r="AI2"/>
      <c r="AJ2"/>
      <c r="AK2"/>
      <c r="AL2"/>
    </row>
    <row r="3">
      <c r="A3" t="s">
        <v>210</v>
      </c>
      <c r="B3" t="s">
        <v>211</v>
      </c>
      <c r="C3" t="s">
        <v>212</v>
      </c>
      <c r="D3" t="s">
        <v>213</v>
      </c>
      <c r="E3" t="s">
        <v>316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>
      <c r="A4" t="s">
        <v>210</v>
      </c>
      <c r="B4" t="s">
        <v>211</v>
      </c>
      <c r="C4" t="s">
        <v>212</v>
      </c>
      <c r="D4" t="s">
        <v>213</v>
      </c>
      <c r="E4" t="s">
        <v>317</v>
      </c>
      <c r="F4" t="s">
        <v>318</v>
      </c>
      <c r="G4" t="s">
        <v>318</v>
      </c>
      <c r="H4" t="s">
        <v>318</v>
      </c>
      <c r="I4" t="s">
        <v>318</v>
      </c>
      <c r="J4" t="s">
        <v>318</v>
      </c>
      <c r="K4" t="s">
        <v>318</v>
      </c>
      <c r="L4" t="s">
        <v>319</v>
      </c>
      <c r="M4" t="s">
        <v>319</v>
      </c>
      <c r="N4" t="s">
        <v>319</v>
      </c>
      <c r="O4" t="s">
        <v>319</v>
      </c>
      <c r="P4" t="s">
        <v>319</v>
      </c>
      <c r="Q4" t="s">
        <v>319</v>
      </c>
      <c r="R4" t="s">
        <v>319</v>
      </c>
      <c r="S4" t="s">
        <v>319</v>
      </c>
      <c r="T4" t="s">
        <v>319</v>
      </c>
      <c r="U4" t="s">
        <v>319</v>
      </c>
      <c r="V4" t="s">
        <v>319</v>
      </c>
      <c r="W4" t="s">
        <v>319</v>
      </c>
      <c r="X4"/>
      <c r="Y4"/>
      <c r="Z4"/>
      <c r="AA4"/>
      <c r="AB4"/>
      <c r="AC4"/>
      <c r="AD4" t="n">
        <v>283568</v>
      </c>
      <c r="AE4" t="n">
        <v>283568</v>
      </c>
      <c r="AF4" t="n">
        <v>283568</v>
      </c>
      <c r="AG4"/>
      <c r="AH4"/>
      <c r="AI4"/>
      <c r="AJ4"/>
      <c r="AK4"/>
      <c r="AL4"/>
    </row>
    <row r="5">
      <c r="A5" t="s">
        <v>210</v>
      </c>
      <c r="B5" t="s">
        <v>211</v>
      </c>
      <c r="C5" t="s">
        <v>212</v>
      </c>
      <c r="D5" t="s">
        <v>213</v>
      </c>
      <c r="E5" t="s">
        <v>320</v>
      </c>
      <c r="F5" t="s">
        <v>299</v>
      </c>
      <c r="G5" t="s">
        <v>300</v>
      </c>
      <c r="H5" t="s">
        <v>301</v>
      </c>
      <c r="I5" t="s">
        <v>302</v>
      </c>
      <c r="J5" t="s">
        <v>303</v>
      </c>
      <c r="K5" t="s">
        <v>321</v>
      </c>
      <c r="L5" t="s">
        <v>305</v>
      </c>
      <c r="M5" t="s">
        <v>306</v>
      </c>
      <c r="N5" t="s">
        <v>307</v>
      </c>
      <c r="O5" t="s">
        <v>308</v>
      </c>
      <c r="P5" t="s">
        <v>309</v>
      </c>
      <c r="Q5" t="s">
        <v>310</v>
      </c>
      <c r="R5" t="s">
        <v>311</v>
      </c>
      <c r="S5" t="s">
        <v>312</v>
      </c>
      <c r="T5" t="s">
        <v>313</v>
      </c>
      <c r="U5" t="s">
        <v>314</v>
      </c>
      <c r="V5" t="s">
        <v>315</v>
      </c>
      <c r="W5" t="s">
        <v>322</v>
      </c>
      <c r="X5"/>
      <c r="Y5"/>
      <c r="Z5"/>
      <c r="AA5"/>
      <c r="AB5"/>
      <c r="AC5"/>
      <c r="AD5" t="n">
        <v>1455796</v>
      </c>
      <c r="AE5" t="n">
        <v>1172228</v>
      </c>
      <c r="AF5" t="n">
        <v>888660</v>
      </c>
      <c r="AG5"/>
      <c r="AH5"/>
      <c r="AI5"/>
      <c r="AJ5"/>
      <c r="AK5"/>
      <c r="AL5"/>
    </row>
    <row r="6">
      <c r="A6" t="s">
        <v>210</v>
      </c>
      <c r="B6" t="s">
        <v>211</v>
      </c>
      <c r="C6" t="s">
        <v>212</v>
      </c>
      <c r="D6" t="s">
        <v>213</v>
      </c>
      <c r="E6" t="s">
        <v>323</v>
      </c>
      <c r="F6"/>
      <c r="G6"/>
      <c r="H6"/>
      <c r="I6"/>
      <c r="J6"/>
      <c r="K6"/>
      <c r="L6"/>
      <c r="M6"/>
      <c r="N6" t="s">
        <v>236</v>
      </c>
      <c r="O6" t="s">
        <v>266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 t="n">
        <v>6</v>
      </c>
      <c r="AE6" t="n">
        <v>6</v>
      </c>
      <c r="AF6" t="n">
        <v>6</v>
      </c>
      <c r="AG6"/>
      <c r="AH6"/>
      <c r="AI6"/>
      <c r="AJ6"/>
      <c r="AK6"/>
      <c r="AL6"/>
    </row>
    <row r="7">
      <c r="A7" t="s">
        <v>210</v>
      </c>
      <c r="B7" t="s">
        <v>211</v>
      </c>
      <c r="C7" t="s">
        <v>212</v>
      </c>
      <c r="D7" t="s">
        <v>213</v>
      </c>
      <c r="E7" t="s">
        <v>324</v>
      </c>
      <c r="F7"/>
      <c r="G7"/>
      <c r="H7"/>
      <c r="I7"/>
      <c r="J7"/>
      <c r="K7"/>
      <c r="L7"/>
      <c r="M7"/>
      <c r="N7" t="s">
        <v>236</v>
      </c>
      <c r="O7" t="s">
        <v>266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 t="n">
        <v>12</v>
      </c>
      <c r="AE7" t="n">
        <v>12</v>
      </c>
      <c r="AF7" t="n">
        <v>12</v>
      </c>
      <c r="AG7"/>
      <c r="AH7"/>
      <c r="AI7"/>
      <c r="AJ7"/>
      <c r="AK7"/>
      <c r="AL7"/>
    </row>
    <row r="8">
      <c r="A8" t="s">
        <v>210</v>
      </c>
      <c r="B8" t="s">
        <v>211</v>
      </c>
      <c r="C8" t="s">
        <v>212</v>
      </c>
      <c r="D8" t="s">
        <v>213</v>
      </c>
      <c r="E8" t="s">
        <v>325</v>
      </c>
      <c r="F8"/>
      <c r="G8"/>
      <c r="H8"/>
      <c r="I8"/>
      <c r="J8"/>
      <c r="K8"/>
      <c r="L8"/>
      <c r="M8"/>
      <c r="N8" t="s">
        <v>254</v>
      </c>
      <c r="O8" t="s">
        <v>259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 t="n">
        <v>12</v>
      </c>
      <c r="AE8" t="n">
        <v>12</v>
      </c>
      <c r="AF8" t="n">
        <v>12</v>
      </c>
      <c r="AG8"/>
      <c r="AH8"/>
      <c r="AI8"/>
      <c r="AJ8"/>
      <c r="AK8"/>
      <c r="AL8"/>
    </row>
    <row r="9">
      <c r="A9" t="s">
        <v>210</v>
      </c>
      <c r="B9" t="s">
        <v>211</v>
      </c>
      <c r="C9" t="s">
        <v>212</v>
      </c>
      <c r="D9" t="s">
        <v>213</v>
      </c>
      <c r="E9" t="s">
        <v>326</v>
      </c>
      <c r="F9"/>
      <c r="G9"/>
      <c r="H9"/>
      <c r="I9"/>
      <c r="J9"/>
      <c r="K9"/>
      <c r="L9"/>
      <c r="M9"/>
      <c r="N9" t="s">
        <v>327</v>
      </c>
      <c r="O9" t="s">
        <v>328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 t="n">
        <v>5.13385149241099</v>
      </c>
      <c r="AE9" t="n">
        <v>4.13385149241099</v>
      </c>
      <c r="AF9" t="n">
        <v>3.13385149241099</v>
      </c>
      <c r="AG9"/>
      <c r="AH9"/>
      <c r="AI9"/>
      <c r="AJ9"/>
      <c r="AK9"/>
      <c r="AL9"/>
    </row>
    <row r="10">
      <c r="A10" t="s">
        <v>210</v>
      </c>
      <c r="B10" t="s">
        <v>211</v>
      </c>
      <c r="C10" t="s">
        <v>212</v>
      </c>
      <c r="D10" t="s">
        <v>213</v>
      </c>
      <c r="E10" t="s">
        <v>329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>
      <c r="A11" t="s">
        <v>210</v>
      </c>
      <c r="B11" t="s">
        <v>211</v>
      </c>
      <c r="C11" t="s">
        <v>212</v>
      </c>
      <c r="D11" t="s">
        <v>213</v>
      </c>
      <c r="E11" t="s">
        <v>330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>
      <c r="A12" t="s">
        <v>210</v>
      </c>
      <c r="B12" t="s">
        <v>211</v>
      </c>
      <c r="C12" t="s">
        <v>212</v>
      </c>
      <c r="D12" t="s">
        <v>213</v>
      </c>
      <c r="E12" t="s">
        <v>331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>
      <c r="A13" t="s">
        <v>210</v>
      </c>
      <c r="B13" t="s">
        <v>211</v>
      </c>
      <c r="C13" t="s">
        <v>212</v>
      </c>
      <c r="D13" t="s">
        <v>213</v>
      </c>
      <c r="E13" t="s">
        <v>332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>
      <c r="A14" t="s">
        <v>210</v>
      </c>
      <c r="B14" t="s">
        <v>211</v>
      </c>
      <c r="C14" t="s">
        <v>212</v>
      </c>
      <c r="D14" t="s">
        <v>213</v>
      </c>
      <c r="E14" t="s">
        <v>333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>
      <c r="A15" t="s">
        <v>210</v>
      </c>
      <c r="B15" t="s">
        <v>211</v>
      </c>
      <c r="C15" t="s">
        <v>212</v>
      </c>
      <c r="D15" t="s">
        <v>213</v>
      </c>
      <c r="E15" t="s">
        <v>334</v>
      </c>
      <c r="F15" t="s">
        <v>335</v>
      </c>
      <c r="G15" t="s">
        <v>335</v>
      </c>
      <c r="H15" t="s">
        <v>335</v>
      </c>
      <c r="I15" t="s">
        <v>335</v>
      </c>
      <c r="J15" t="s">
        <v>335</v>
      </c>
      <c r="K15" t="s">
        <v>335</v>
      </c>
      <c r="L15" t="s">
        <v>335</v>
      </c>
      <c r="M15" t="s">
        <v>335</v>
      </c>
      <c r="N15" t="s">
        <v>335</v>
      </c>
      <c r="O15" t="s">
        <v>335</v>
      </c>
      <c r="P15" t="s">
        <v>335</v>
      </c>
      <c r="Q15" t="s">
        <v>335</v>
      </c>
      <c r="R15" t="s">
        <v>335</v>
      </c>
      <c r="S15" t="s">
        <v>335</v>
      </c>
      <c r="T15" t="s">
        <v>335</v>
      </c>
      <c r="U15" t="s">
        <v>335</v>
      </c>
      <c r="V15" t="s">
        <v>335</v>
      </c>
      <c r="W15" t="s">
        <v>335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>
      <c r="A16" t="s">
        <v>210</v>
      </c>
      <c r="B16" t="s">
        <v>211</v>
      </c>
      <c r="C16" t="s">
        <v>212</v>
      </c>
      <c r="D16" t="s">
        <v>213</v>
      </c>
      <c r="E16" t="s">
        <v>336</v>
      </c>
      <c r="F16" t="s">
        <v>337</v>
      </c>
      <c r="G16" t="s">
        <v>337</v>
      </c>
      <c r="H16" t="s">
        <v>337</v>
      </c>
      <c r="I16" t="s">
        <v>337</v>
      </c>
      <c r="J16" t="s">
        <v>337</v>
      </c>
      <c r="K16" t="s">
        <v>337</v>
      </c>
      <c r="L16" t="s">
        <v>337</v>
      </c>
      <c r="M16" t="s">
        <v>337</v>
      </c>
      <c r="N16" t="s">
        <v>337</v>
      </c>
      <c r="O16" t="s">
        <v>337</v>
      </c>
      <c r="P16" t="s">
        <v>337</v>
      </c>
      <c r="Q16" t="s">
        <v>337</v>
      </c>
      <c r="R16" t="s">
        <v>337</v>
      </c>
      <c r="S16" t="s">
        <v>337</v>
      </c>
      <c r="T16" t="s">
        <v>337</v>
      </c>
      <c r="U16" t="s">
        <v>337</v>
      </c>
      <c r="V16" t="s">
        <v>337</v>
      </c>
      <c r="W16" t="s">
        <v>337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>
      <c r="A17" t="s">
        <v>210</v>
      </c>
      <c r="B17" t="s">
        <v>211</v>
      </c>
      <c r="C17" t="s">
        <v>212</v>
      </c>
      <c r="D17" t="s">
        <v>213</v>
      </c>
      <c r="E17" t="s">
        <v>338</v>
      </c>
      <c r="F17" t="s">
        <v>337</v>
      </c>
      <c r="G17" t="s">
        <v>337</v>
      </c>
      <c r="H17" t="s">
        <v>337</v>
      </c>
      <c r="I17" t="s">
        <v>337</v>
      </c>
      <c r="J17" t="s">
        <v>337</v>
      </c>
      <c r="K17" t="s">
        <v>337</v>
      </c>
      <c r="L17" t="s">
        <v>337</v>
      </c>
      <c r="M17" t="s">
        <v>337</v>
      </c>
      <c r="N17" t="s">
        <v>337</v>
      </c>
      <c r="O17" t="s">
        <v>337</v>
      </c>
      <c r="P17" t="s">
        <v>337</v>
      </c>
      <c r="Q17" t="s">
        <v>337</v>
      </c>
      <c r="R17" t="s">
        <v>337</v>
      </c>
      <c r="S17" t="s">
        <v>337</v>
      </c>
      <c r="T17" t="s">
        <v>337</v>
      </c>
      <c r="U17" t="s">
        <v>337</v>
      </c>
      <c r="V17" t="s">
        <v>337</v>
      </c>
      <c r="W17" t="s">
        <v>337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>
      <c r="A18" t="s">
        <v>210</v>
      </c>
      <c r="B18" t="s">
        <v>211</v>
      </c>
      <c r="C18" t="s">
        <v>212</v>
      </c>
      <c r="D18" t="s">
        <v>213</v>
      </c>
      <c r="E18" t="s">
        <v>339</v>
      </c>
      <c r="F18" t="s">
        <v>340</v>
      </c>
      <c r="G18" t="s">
        <v>341</v>
      </c>
      <c r="H18" t="s">
        <v>342</v>
      </c>
      <c r="I18" t="s">
        <v>343</v>
      </c>
      <c r="J18" t="s">
        <v>344</v>
      </c>
      <c r="K18" t="s">
        <v>345</v>
      </c>
      <c r="L18" t="s">
        <v>346</v>
      </c>
      <c r="M18" t="s">
        <v>347</v>
      </c>
      <c r="N18" t="s">
        <v>348</v>
      </c>
      <c r="O18" t="s">
        <v>349</v>
      </c>
      <c r="P18" t="s">
        <v>350</v>
      </c>
      <c r="Q18" t="s">
        <v>351</v>
      </c>
      <c r="R18" t="s">
        <v>352</v>
      </c>
      <c r="S18" t="s">
        <v>353</v>
      </c>
      <c r="T18" t="s">
        <v>354</v>
      </c>
      <c r="U18" t="s">
        <v>355</v>
      </c>
      <c r="V18" t="s">
        <v>356</v>
      </c>
      <c r="W18" t="s">
        <v>357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>
      <c r="A19" t="s">
        <v>210</v>
      </c>
      <c r="B19" t="s">
        <v>211</v>
      </c>
      <c r="C19" t="s">
        <v>212</v>
      </c>
      <c r="D19" t="s">
        <v>213</v>
      </c>
      <c r="E19" t="s">
        <v>358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>
      <c r="A20" t="s">
        <v>223</v>
      </c>
      <c r="B20" t="s">
        <v>224</v>
      </c>
      <c r="C20" t="s">
        <v>225</v>
      </c>
      <c r="D20" t="s">
        <v>213</v>
      </c>
      <c r="E20" t="s">
        <v>297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t="n">
        <v>86700</v>
      </c>
      <c r="AE20" t="n">
        <v>76700</v>
      </c>
      <c r="AF20"/>
      <c r="AG20" t="n">
        <v>67166</v>
      </c>
      <c r="AH20" t="n">
        <v>57166</v>
      </c>
      <c r="AI20"/>
      <c r="AJ20" t="n">
        <v>41166</v>
      </c>
      <c r="AK20" t="n">
        <v>31166</v>
      </c>
      <c r="AL20"/>
    </row>
    <row r="21">
      <c r="A21" t="s">
        <v>223</v>
      </c>
      <c r="B21" t="s">
        <v>224</v>
      </c>
      <c r="C21" t="s">
        <v>225</v>
      </c>
      <c r="D21" t="s">
        <v>213</v>
      </c>
      <c r="E21" t="s">
        <v>316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>
      <c r="A22" t="s">
        <v>223</v>
      </c>
      <c r="B22" t="s">
        <v>224</v>
      </c>
      <c r="C22" t="s">
        <v>225</v>
      </c>
      <c r="D22" t="s">
        <v>213</v>
      </c>
      <c r="E22" t="s">
        <v>317</v>
      </c>
      <c r="F22" t="s">
        <v>359</v>
      </c>
      <c r="G22" t="s">
        <v>359</v>
      </c>
      <c r="H22" t="s">
        <v>359</v>
      </c>
      <c r="I22" t="s">
        <v>359</v>
      </c>
      <c r="J22" t="s">
        <v>359</v>
      </c>
      <c r="K22" t="s">
        <v>359</v>
      </c>
      <c r="L22" t="s">
        <v>359</v>
      </c>
      <c r="M22" t="s">
        <v>359</v>
      </c>
      <c r="N22" t="s">
        <v>359</v>
      </c>
      <c r="O22" t="s">
        <v>359</v>
      </c>
      <c r="P22" t="s">
        <v>359</v>
      </c>
      <c r="Q22" t="s">
        <v>359</v>
      </c>
      <c r="R22"/>
      <c r="S22"/>
      <c r="T22"/>
      <c r="U22"/>
      <c r="V22"/>
      <c r="W22"/>
      <c r="X22"/>
      <c r="Y22"/>
      <c r="Z22"/>
      <c r="AA22"/>
      <c r="AB22"/>
      <c r="AC22"/>
      <c r="AD22" t="n">
        <v>10000</v>
      </c>
      <c r="AE22" t="n">
        <v>10000</v>
      </c>
      <c r="AF22"/>
      <c r="AG22" t="n">
        <v>10000</v>
      </c>
      <c r="AH22" t="n">
        <v>10000</v>
      </c>
      <c r="AI22"/>
      <c r="AJ22" t="n">
        <v>10000</v>
      </c>
      <c r="AK22" t="n">
        <v>10000</v>
      </c>
      <c r="AL22"/>
    </row>
    <row r="23">
      <c r="A23" t="s">
        <v>223</v>
      </c>
      <c r="B23" t="s">
        <v>224</v>
      </c>
      <c r="C23" t="s">
        <v>225</v>
      </c>
      <c r="D23" t="s">
        <v>213</v>
      </c>
      <c r="E23" t="s">
        <v>320</v>
      </c>
      <c r="F23" t="s">
        <v>360</v>
      </c>
      <c r="G23" t="s">
        <v>360</v>
      </c>
      <c r="H23" t="s">
        <v>360</v>
      </c>
      <c r="I23" t="s">
        <v>360</v>
      </c>
      <c r="J23" t="s">
        <v>360</v>
      </c>
      <c r="K23" t="s">
        <v>360</v>
      </c>
      <c r="L23" t="s">
        <v>360</v>
      </c>
      <c r="M23" t="s">
        <v>360</v>
      </c>
      <c r="N23" t="s">
        <v>360</v>
      </c>
      <c r="O23" t="s">
        <v>360</v>
      </c>
      <c r="P23" t="s">
        <v>360</v>
      </c>
      <c r="Q23" t="s">
        <v>360</v>
      </c>
      <c r="R23"/>
      <c r="S23"/>
      <c r="T23"/>
      <c r="U23"/>
      <c r="V23"/>
      <c r="W23"/>
      <c r="X23"/>
      <c r="Y23"/>
      <c r="Z23"/>
      <c r="AA23"/>
      <c r="AB23"/>
      <c r="AC23"/>
      <c r="AD23" t="n">
        <v>76700</v>
      </c>
      <c r="AE23" t="n">
        <v>66700</v>
      </c>
      <c r="AF23"/>
      <c r="AG23" t="n">
        <v>57166</v>
      </c>
      <c r="AH23" t="n">
        <v>47166</v>
      </c>
      <c r="AI23"/>
      <c r="AJ23" t="n">
        <v>31166</v>
      </c>
      <c r="AK23" t="n">
        <v>21166</v>
      </c>
      <c r="AL23"/>
    </row>
    <row r="24">
      <c r="A24" t="s">
        <v>223</v>
      </c>
      <c r="B24" t="s">
        <v>224</v>
      </c>
      <c r="C24" t="s">
        <v>225</v>
      </c>
      <c r="D24" t="s">
        <v>213</v>
      </c>
      <c r="E24" t="s">
        <v>323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t="n">
        <v>3</v>
      </c>
      <c r="AE24" t="n">
        <v>3</v>
      </c>
      <c r="AF24"/>
      <c r="AG24" t="n">
        <v>3</v>
      </c>
      <c r="AH24" t="n">
        <v>3</v>
      </c>
      <c r="AI24"/>
      <c r="AJ24" t="n">
        <v>3</v>
      </c>
      <c r="AK24" t="n">
        <v>3</v>
      </c>
      <c r="AL24"/>
    </row>
    <row r="25">
      <c r="A25" t="s">
        <v>223</v>
      </c>
      <c r="B25" t="s">
        <v>224</v>
      </c>
      <c r="C25" t="s">
        <v>225</v>
      </c>
      <c r="D25" t="s">
        <v>213</v>
      </c>
      <c r="E25" t="s">
        <v>324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t="n">
        <v>6</v>
      </c>
      <c r="AE25" t="n">
        <v>6</v>
      </c>
      <c r="AF25"/>
      <c r="AG25" t="n">
        <v>6</v>
      </c>
      <c r="AH25" t="n">
        <v>6</v>
      </c>
      <c r="AI25"/>
      <c r="AJ25" t="n">
        <v>6</v>
      </c>
      <c r="AK25" t="n">
        <v>6</v>
      </c>
      <c r="AL25"/>
    </row>
    <row r="26">
      <c r="A26" t="s">
        <v>223</v>
      </c>
      <c r="B26" t="s">
        <v>224</v>
      </c>
      <c r="C26" t="s">
        <v>225</v>
      </c>
      <c r="D26" t="s">
        <v>213</v>
      </c>
      <c r="E26" t="s">
        <v>325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 t="n">
        <v>6</v>
      </c>
      <c r="AE26" t="n">
        <v>6</v>
      </c>
      <c r="AF26"/>
      <c r="AG26" t="n">
        <v>6</v>
      </c>
      <c r="AH26" t="n">
        <v>6</v>
      </c>
      <c r="AI26"/>
      <c r="AJ26" t="n">
        <v>6</v>
      </c>
      <c r="AK26" t="n">
        <v>6</v>
      </c>
      <c r="AL26"/>
    </row>
    <row r="27">
      <c r="A27" t="s">
        <v>223</v>
      </c>
      <c r="B27" t="s">
        <v>224</v>
      </c>
      <c r="C27" t="s">
        <v>225</v>
      </c>
      <c r="D27" t="s">
        <v>213</v>
      </c>
      <c r="E27" t="s">
        <v>326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n">
        <v>7.67</v>
      </c>
      <c r="AE27" t="n">
        <v>6.67</v>
      </c>
      <c r="AF27"/>
      <c r="AG27" t="n">
        <v>5.7166</v>
      </c>
      <c r="AH27" t="n">
        <v>4.7166</v>
      </c>
      <c r="AI27"/>
      <c r="AJ27" t="n">
        <v>3.1166</v>
      </c>
      <c r="AK27" t="n">
        <v>2.1166</v>
      </c>
      <c r="AL27"/>
    </row>
    <row r="28">
      <c r="A28" t="s">
        <v>223</v>
      </c>
      <c r="B28" t="s">
        <v>224</v>
      </c>
      <c r="C28" t="s">
        <v>225</v>
      </c>
      <c r="D28" t="s">
        <v>213</v>
      </c>
      <c r="E28" t="s">
        <v>329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>
      <c r="A29" t="s">
        <v>223</v>
      </c>
      <c r="B29" t="s">
        <v>224</v>
      </c>
      <c r="C29" t="s">
        <v>225</v>
      </c>
      <c r="D29" t="s">
        <v>213</v>
      </c>
      <c r="E29" t="s">
        <v>330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>
      <c r="A30" t="s">
        <v>223</v>
      </c>
      <c r="B30" t="s">
        <v>224</v>
      </c>
      <c r="C30" t="s">
        <v>225</v>
      </c>
      <c r="D30" t="s">
        <v>213</v>
      </c>
      <c r="E30" t="s">
        <v>331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>
      <c r="A31" t="s">
        <v>223</v>
      </c>
      <c r="B31" t="s">
        <v>224</v>
      </c>
      <c r="C31" t="s">
        <v>225</v>
      </c>
      <c r="D31" t="s">
        <v>213</v>
      </c>
      <c r="E31" t="s">
        <v>332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>
      <c r="A32" t="s">
        <v>223</v>
      </c>
      <c r="B32" t="s">
        <v>224</v>
      </c>
      <c r="C32" t="s">
        <v>225</v>
      </c>
      <c r="D32" t="s">
        <v>213</v>
      </c>
      <c r="E32" t="s">
        <v>333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>
      <c r="A33" t="s">
        <v>223</v>
      </c>
      <c r="B33" t="s">
        <v>224</v>
      </c>
      <c r="C33" t="s">
        <v>225</v>
      </c>
      <c r="D33" t="s">
        <v>213</v>
      </c>
      <c r="E33" t="s">
        <v>334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>
      <c r="A34" t="s">
        <v>223</v>
      </c>
      <c r="B34" t="s">
        <v>224</v>
      </c>
      <c r="C34" t="s">
        <v>225</v>
      </c>
      <c r="D34" t="s">
        <v>213</v>
      </c>
      <c r="E34" t="s">
        <v>336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>
      <c r="A35" t="s">
        <v>223</v>
      </c>
      <c r="B35" t="s">
        <v>224</v>
      </c>
      <c r="C35" t="s">
        <v>225</v>
      </c>
      <c r="D35" t="s">
        <v>213</v>
      </c>
      <c r="E35" t="s">
        <v>338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>
      <c r="A36" t="s">
        <v>223</v>
      </c>
      <c r="B36" t="s">
        <v>224</v>
      </c>
      <c r="C36" t="s">
        <v>225</v>
      </c>
      <c r="D36" t="s">
        <v>213</v>
      </c>
      <c r="E36" t="s">
        <v>339</v>
      </c>
      <c r="F36" t="s">
        <v>360</v>
      </c>
      <c r="G36" t="s">
        <v>360</v>
      </c>
      <c r="H36" t="s">
        <v>360</v>
      </c>
      <c r="I36" t="s">
        <v>360</v>
      </c>
      <c r="J36" t="s">
        <v>360</v>
      </c>
      <c r="K36" t="s">
        <v>360</v>
      </c>
      <c r="L36" t="s">
        <v>360</v>
      </c>
      <c r="M36" t="s">
        <v>360</v>
      </c>
      <c r="N36" t="s">
        <v>360</v>
      </c>
      <c r="O36" t="s">
        <v>360</v>
      </c>
      <c r="P36" t="s">
        <v>360</v>
      </c>
      <c r="Q36" t="s">
        <v>360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>
      <c r="A37" t="s">
        <v>223</v>
      </c>
      <c r="B37" t="s">
        <v>224</v>
      </c>
      <c r="C37" t="s">
        <v>225</v>
      </c>
      <c r="D37" t="s">
        <v>213</v>
      </c>
      <c r="E37" t="s">
        <v>358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>
      <c r="A38" t="s">
        <v>226</v>
      </c>
      <c r="B38" t="s">
        <v>227</v>
      </c>
      <c r="C38" t="s">
        <v>228</v>
      </c>
      <c r="D38" t="s">
        <v>213</v>
      </c>
      <c r="E38" t="s">
        <v>297</v>
      </c>
      <c r="F38"/>
      <c r="G38"/>
      <c r="H38"/>
      <c r="I38" t="s">
        <v>361</v>
      </c>
      <c r="J38" t="s">
        <v>362</v>
      </c>
      <c r="K38" t="s">
        <v>363</v>
      </c>
      <c r="L38" t="s">
        <v>364</v>
      </c>
      <c r="M38" t="s">
        <v>365</v>
      </c>
      <c r="N38" t="s">
        <v>366</v>
      </c>
      <c r="O38" t="s">
        <v>367</v>
      </c>
      <c r="P38" t="s">
        <v>368</v>
      </c>
      <c r="Q38" t="s">
        <v>369</v>
      </c>
      <c r="R38" t="s">
        <v>370</v>
      </c>
      <c r="S38" t="s">
        <v>371</v>
      </c>
      <c r="T38" t="s">
        <v>372</v>
      </c>
      <c r="U38" t="s">
        <v>373</v>
      </c>
      <c r="V38" t="s">
        <v>374</v>
      </c>
      <c r="W38" t="s">
        <v>375</v>
      </c>
      <c r="X38" t="s">
        <v>376</v>
      </c>
      <c r="Y38" t="s">
        <v>377</v>
      </c>
      <c r="Z38" t="s">
        <v>378</v>
      </c>
      <c r="AA38" t="s">
        <v>379</v>
      </c>
      <c r="AB38" t="s">
        <v>380</v>
      </c>
      <c r="AC38" t="s">
        <v>381</v>
      </c>
      <c r="AD38" t="n">
        <v>89401314</v>
      </c>
      <c r="AE38" t="n">
        <v>72824416</v>
      </c>
      <c r="AF38" t="n">
        <v>56247518</v>
      </c>
      <c r="AG38" t="n">
        <v>39670620</v>
      </c>
      <c r="AH38" t="n">
        <v>23093722</v>
      </c>
      <c r="AI38" t="n">
        <v>6516824</v>
      </c>
      <c r="AJ38" t="n">
        <v>0</v>
      </c>
      <c r="AK38" t="n">
        <v>0</v>
      </c>
      <c r="AL38" t="n">
        <v>0</v>
      </c>
    </row>
    <row r="39">
      <c r="A39" t="s">
        <v>226</v>
      </c>
      <c r="B39" t="s">
        <v>227</v>
      </c>
      <c r="C39" t="s">
        <v>228</v>
      </c>
      <c r="D39" t="s">
        <v>213</v>
      </c>
      <c r="E39" t="s">
        <v>316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>
      <c r="A40" t="s">
        <v>226</v>
      </c>
      <c r="B40" t="s">
        <v>227</v>
      </c>
      <c r="C40" t="s">
        <v>228</v>
      </c>
      <c r="D40" t="s">
        <v>213</v>
      </c>
      <c r="E40" t="s">
        <v>317</v>
      </c>
      <c r="F40" t="s">
        <v>382</v>
      </c>
      <c r="G40" t="s">
        <v>382</v>
      </c>
      <c r="H40" t="s">
        <v>382</v>
      </c>
      <c r="I40" t="s">
        <v>382</v>
      </c>
      <c r="J40" t="s">
        <v>382</v>
      </c>
      <c r="K40" t="s">
        <v>382</v>
      </c>
      <c r="L40" t="s">
        <v>382</v>
      </c>
      <c r="M40" t="s">
        <v>382</v>
      </c>
      <c r="N40" t="s">
        <v>382</v>
      </c>
      <c r="O40" t="s">
        <v>382</v>
      </c>
      <c r="P40" t="s">
        <v>382</v>
      </c>
      <c r="Q40" t="s">
        <v>382</v>
      </c>
      <c r="R40" t="s">
        <v>382</v>
      </c>
      <c r="S40" t="s">
        <v>382</v>
      </c>
      <c r="T40" t="s">
        <v>382</v>
      </c>
      <c r="U40" t="s">
        <v>382</v>
      </c>
      <c r="V40" t="s">
        <v>382</v>
      </c>
      <c r="W40" t="s">
        <v>382</v>
      </c>
      <c r="X40" t="s">
        <v>382</v>
      </c>
      <c r="Y40" t="s">
        <v>382</v>
      </c>
      <c r="Z40" t="s">
        <v>382</v>
      </c>
      <c r="AA40" t="s">
        <v>382</v>
      </c>
      <c r="AB40" t="s">
        <v>382</v>
      </c>
      <c r="AC40" t="s">
        <v>382</v>
      </c>
      <c r="AD40" t="n">
        <v>16576898</v>
      </c>
      <c r="AE40" t="n">
        <v>16576898</v>
      </c>
      <c r="AF40" t="n">
        <v>16576898</v>
      </c>
      <c r="AG40" t="n">
        <v>16576898</v>
      </c>
      <c r="AH40" t="n">
        <v>16576898</v>
      </c>
      <c r="AI40" t="n">
        <v>16576898</v>
      </c>
      <c r="AJ40" t="n">
        <v>16576898</v>
      </c>
      <c r="AK40" t="n">
        <v>16576898</v>
      </c>
      <c r="AL40" t="n">
        <v>16576898</v>
      </c>
    </row>
    <row r="41">
      <c r="A41" t="s">
        <v>226</v>
      </c>
      <c r="B41" t="s">
        <v>227</v>
      </c>
      <c r="C41" t="s">
        <v>228</v>
      </c>
      <c r="D41" t="s">
        <v>213</v>
      </c>
      <c r="E41" t="s">
        <v>320</v>
      </c>
      <c r="F41" t="s">
        <v>360</v>
      </c>
      <c r="G41" t="s">
        <v>360</v>
      </c>
      <c r="H41" t="s">
        <v>360</v>
      </c>
      <c r="I41" t="s">
        <v>362</v>
      </c>
      <c r="J41" t="s">
        <v>363</v>
      </c>
      <c r="K41" t="s">
        <v>364</v>
      </c>
      <c r="L41" t="s">
        <v>365</v>
      </c>
      <c r="M41" t="s">
        <v>366</v>
      </c>
      <c r="N41" t="s">
        <v>367</v>
      </c>
      <c r="O41" t="s">
        <v>368</v>
      </c>
      <c r="P41" t="s">
        <v>369</v>
      </c>
      <c r="Q41" t="s">
        <v>370</v>
      </c>
      <c r="R41" t="s">
        <v>371</v>
      </c>
      <c r="S41" t="s">
        <v>372</v>
      </c>
      <c r="T41" t="s">
        <v>373</v>
      </c>
      <c r="U41" t="s">
        <v>374</v>
      </c>
      <c r="V41" t="s">
        <v>375</v>
      </c>
      <c r="W41" t="s">
        <v>376</v>
      </c>
      <c r="X41" t="s">
        <v>377</v>
      </c>
      <c r="Y41" t="s">
        <v>378</v>
      </c>
      <c r="Z41" t="s">
        <v>379</v>
      </c>
      <c r="AA41" t="s">
        <v>380</v>
      </c>
      <c r="AB41" t="s">
        <v>381</v>
      </c>
      <c r="AC41" t="s">
        <v>383</v>
      </c>
      <c r="AD41" t="n">
        <v>72824416</v>
      </c>
      <c r="AE41" t="n">
        <v>56247518</v>
      </c>
      <c r="AF41" t="n">
        <v>39670620</v>
      </c>
      <c r="AG41" t="n">
        <v>23093722</v>
      </c>
      <c r="AH41" t="n">
        <v>6516824</v>
      </c>
      <c r="AI41" t="n">
        <v>0</v>
      </c>
      <c r="AJ41" t="n">
        <v>0</v>
      </c>
      <c r="AK41" t="n">
        <v>0</v>
      </c>
      <c r="AL41" t="n">
        <v>0</v>
      </c>
    </row>
    <row r="42">
      <c r="A42" t="s">
        <v>226</v>
      </c>
      <c r="B42" t="s">
        <v>227</v>
      </c>
      <c r="C42" t="s">
        <v>228</v>
      </c>
      <c r="D42" t="s">
        <v>213</v>
      </c>
      <c r="E42" t="s">
        <v>323</v>
      </c>
      <c r="F42"/>
      <c r="G42"/>
      <c r="H42"/>
      <c r="I42"/>
      <c r="J42"/>
      <c r="K42"/>
      <c r="L42"/>
      <c r="M42"/>
      <c r="N42"/>
      <c r="O42"/>
      <c r="P42"/>
      <c r="Q42" t="s">
        <v>277</v>
      </c>
      <c r="R42"/>
      <c r="S42"/>
      <c r="T42"/>
      <c r="U42"/>
      <c r="V42"/>
      <c r="W42"/>
      <c r="X42"/>
      <c r="Y42"/>
      <c r="Z42"/>
      <c r="AA42"/>
      <c r="AB42"/>
      <c r="AC42"/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</row>
    <row r="43">
      <c r="A43" t="s">
        <v>226</v>
      </c>
      <c r="B43" t="s">
        <v>227</v>
      </c>
      <c r="C43" t="s">
        <v>228</v>
      </c>
      <c r="D43" t="s">
        <v>213</v>
      </c>
      <c r="E43" t="s">
        <v>324</v>
      </c>
      <c r="F43"/>
      <c r="G43"/>
      <c r="H43"/>
      <c r="I43"/>
      <c r="J43"/>
      <c r="K43"/>
      <c r="L43"/>
      <c r="M43"/>
      <c r="N43"/>
      <c r="O43"/>
      <c r="P43"/>
      <c r="Q43" t="s">
        <v>277</v>
      </c>
      <c r="R43"/>
      <c r="S43"/>
      <c r="T43"/>
      <c r="U43"/>
      <c r="V43"/>
      <c r="W43"/>
      <c r="X43"/>
      <c r="Y43"/>
      <c r="Z43"/>
      <c r="AA43"/>
      <c r="AB43"/>
      <c r="AC43"/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</row>
    <row r="44">
      <c r="A44" t="s">
        <v>226</v>
      </c>
      <c r="B44" t="s">
        <v>227</v>
      </c>
      <c r="C44" t="s">
        <v>228</v>
      </c>
      <c r="D44" t="s">
        <v>213</v>
      </c>
      <c r="E44" t="s">
        <v>325</v>
      </c>
      <c r="F44"/>
      <c r="G44"/>
      <c r="H44"/>
      <c r="I44"/>
      <c r="J44"/>
      <c r="K44"/>
      <c r="L44"/>
      <c r="M44"/>
      <c r="N44"/>
      <c r="O44"/>
      <c r="P44"/>
      <c r="Q44" t="s">
        <v>269</v>
      </c>
      <c r="R44"/>
      <c r="S44"/>
      <c r="T44"/>
      <c r="U44"/>
      <c r="V44"/>
      <c r="W44" t="s">
        <v>269</v>
      </c>
      <c r="X44"/>
      <c r="Y44"/>
      <c r="Z44" t="s">
        <v>269</v>
      </c>
      <c r="AA44"/>
      <c r="AB44"/>
      <c r="AC44" t="s">
        <v>269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</row>
    <row r="45">
      <c r="A45" t="s">
        <v>226</v>
      </c>
      <c r="B45" t="s">
        <v>227</v>
      </c>
      <c r="C45" t="s">
        <v>228</v>
      </c>
      <c r="D45" t="s">
        <v>213</v>
      </c>
      <c r="E45" t="s">
        <v>326</v>
      </c>
      <c r="F45"/>
      <c r="G45"/>
      <c r="H45"/>
      <c r="I45"/>
      <c r="J45"/>
      <c r="K45"/>
      <c r="L45"/>
      <c r="M45"/>
      <c r="N45"/>
      <c r="O45"/>
      <c r="P45"/>
      <c r="Q45" t="s">
        <v>384</v>
      </c>
      <c r="R45"/>
      <c r="S45"/>
      <c r="T45"/>
      <c r="U45"/>
      <c r="V45"/>
      <c r="W45" t="s">
        <v>385</v>
      </c>
      <c r="X45"/>
      <c r="Y45"/>
      <c r="Z45" t="s">
        <v>386</v>
      </c>
      <c r="AA45"/>
      <c r="AB45"/>
      <c r="AC45" t="s">
        <v>387</v>
      </c>
      <c r="AD45" t="n">
        <v>4.39312686848891</v>
      </c>
      <c r="AE45" t="n">
        <v>3.39312686848891</v>
      </c>
      <c r="AF45" t="n">
        <v>2.39312686848891</v>
      </c>
      <c r="AG45" t="n">
        <v>1.39312686848891</v>
      </c>
      <c r="AH45" t="n">
        <v>0.393126868488905</v>
      </c>
      <c r="AI45" t="n">
        <v>0</v>
      </c>
      <c r="AJ45" t="n">
        <v>0</v>
      </c>
      <c r="AK45" t="n">
        <v>0</v>
      </c>
      <c r="AL45" t="n">
        <v>0</v>
      </c>
    </row>
    <row r="46">
      <c r="A46" t="s">
        <v>226</v>
      </c>
      <c r="B46" t="s">
        <v>227</v>
      </c>
      <c r="C46" t="s">
        <v>228</v>
      </c>
      <c r="D46" t="s">
        <v>213</v>
      </c>
      <c r="E46" t="s">
        <v>329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>
      <c r="A47" t="s">
        <v>226</v>
      </c>
      <c r="B47" t="s">
        <v>227</v>
      </c>
      <c r="C47" t="s">
        <v>228</v>
      </c>
      <c r="D47" t="s">
        <v>213</v>
      </c>
      <c r="E47" t="s">
        <v>330</v>
      </c>
      <c r="F47"/>
      <c r="G47"/>
      <c r="H47"/>
      <c r="I47"/>
      <c r="J47"/>
      <c r="K47"/>
      <c r="L47"/>
      <c r="M47"/>
      <c r="N47"/>
      <c r="O47"/>
      <c r="P47"/>
      <c r="Q47" t="s">
        <v>388</v>
      </c>
      <c r="R47"/>
      <c r="S47"/>
      <c r="T47"/>
      <c r="U47"/>
      <c r="V47"/>
      <c r="W47" t="s">
        <v>389</v>
      </c>
      <c r="X47"/>
      <c r="Y47"/>
      <c r="Z47" t="s">
        <v>390</v>
      </c>
      <c r="AA47"/>
      <c r="AB47"/>
      <c r="AC47" t="s">
        <v>391</v>
      </c>
      <c r="AD47" t="n">
        <v>40714</v>
      </c>
      <c r="AE47" t="n">
        <v>12714</v>
      </c>
      <c r="AF47" t="n">
        <v>0</v>
      </c>
      <c r="AG47" t="n">
        <v>0</v>
      </c>
      <c r="AH47" t="n">
        <v>0</v>
      </c>
      <c r="AI47"/>
      <c r="AJ47"/>
      <c r="AK47"/>
      <c r="AL47"/>
    </row>
    <row r="48">
      <c r="A48" t="s">
        <v>226</v>
      </c>
      <c r="B48" t="s">
        <v>227</v>
      </c>
      <c r="C48" t="s">
        <v>228</v>
      </c>
      <c r="D48" t="s">
        <v>213</v>
      </c>
      <c r="E48" t="s">
        <v>331</v>
      </c>
      <c r="F48"/>
      <c r="G48"/>
      <c r="H48"/>
      <c r="I48"/>
      <c r="J48"/>
      <c r="K48"/>
      <c r="L48"/>
      <c r="M48"/>
      <c r="N48"/>
      <c r="O48"/>
      <c r="P48"/>
      <c r="Q48" t="s">
        <v>281</v>
      </c>
      <c r="R48"/>
      <c r="S48"/>
      <c r="T48"/>
      <c r="U48"/>
      <c r="V48"/>
      <c r="W48" t="s">
        <v>286</v>
      </c>
      <c r="X48"/>
      <c r="Y48"/>
      <c r="Z48" t="s">
        <v>288</v>
      </c>
      <c r="AA48"/>
      <c r="AB48"/>
      <c r="AC48" t="s">
        <v>291</v>
      </c>
      <c r="AD48"/>
      <c r="AE48"/>
      <c r="AF48"/>
      <c r="AG48"/>
      <c r="AH48"/>
      <c r="AI48"/>
      <c r="AJ48"/>
      <c r="AK48"/>
      <c r="AL48"/>
    </row>
    <row r="49">
      <c r="A49" t="s">
        <v>226</v>
      </c>
      <c r="B49" t="s">
        <v>227</v>
      </c>
      <c r="C49" t="s">
        <v>228</v>
      </c>
      <c r="D49" t="s">
        <v>213</v>
      </c>
      <c r="E49" t="s">
        <v>332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 t="n">
        <v>28000</v>
      </c>
      <c r="AE49" t="n">
        <v>28000</v>
      </c>
      <c r="AF49" t="n">
        <v>28000</v>
      </c>
      <c r="AG49" t="n">
        <v>28000</v>
      </c>
      <c r="AH49" t="n">
        <v>28000</v>
      </c>
      <c r="AI49"/>
      <c r="AJ49"/>
      <c r="AK49"/>
      <c r="AL49"/>
    </row>
    <row r="50">
      <c r="A50" t="s">
        <v>226</v>
      </c>
      <c r="B50" t="s">
        <v>227</v>
      </c>
      <c r="C50" t="s">
        <v>228</v>
      </c>
      <c r="D50" t="s">
        <v>213</v>
      </c>
      <c r="E50" t="s">
        <v>333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 t="n">
        <v>12714</v>
      </c>
      <c r="AE50" t="n">
        <v>0</v>
      </c>
      <c r="AF50" t="n">
        <v>0</v>
      </c>
      <c r="AG50" t="n">
        <v>0</v>
      </c>
      <c r="AH50" t="n">
        <v>0</v>
      </c>
      <c r="AI50"/>
      <c r="AJ50"/>
      <c r="AK50"/>
      <c r="AL50"/>
    </row>
    <row r="51">
      <c r="A51" t="s">
        <v>226</v>
      </c>
      <c r="B51" t="s">
        <v>227</v>
      </c>
      <c r="C51" t="s">
        <v>228</v>
      </c>
      <c r="D51" t="s">
        <v>213</v>
      </c>
      <c r="E51" t="s">
        <v>334</v>
      </c>
      <c r="F51" t="s">
        <v>392</v>
      </c>
      <c r="G51" t="s">
        <v>392</v>
      </c>
      <c r="H51" t="s">
        <v>392</v>
      </c>
      <c r="I51" t="s">
        <v>392</v>
      </c>
      <c r="J51" t="s">
        <v>392</v>
      </c>
      <c r="K51" t="s">
        <v>392</v>
      </c>
      <c r="L51" t="s">
        <v>392</v>
      </c>
      <c r="M51" t="s">
        <v>392</v>
      </c>
      <c r="N51" t="s">
        <v>392</v>
      </c>
      <c r="O51" t="s">
        <v>392</v>
      </c>
      <c r="P51" t="s">
        <v>392</v>
      </c>
      <c r="Q51" t="s">
        <v>392</v>
      </c>
      <c r="R51" t="s">
        <v>392</v>
      </c>
      <c r="S51" t="s">
        <v>392</v>
      </c>
      <c r="T51" t="s">
        <v>392</v>
      </c>
      <c r="U51" t="s">
        <v>392</v>
      </c>
      <c r="V51" t="s">
        <v>392</v>
      </c>
      <c r="W51" t="s">
        <v>392</v>
      </c>
      <c r="X51" t="s">
        <v>392</v>
      </c>
      <c r="Y51" t="s">
        <v>392</v>
      </c>
      <c r="Z51" t="s">
        <v>392</v>
      </c>
      <c r="AA51" t="s">
        <v>392</v>
      </c>
      <c r="AB51" t="s">
        <v>392</v>
      </c>
      <c r="AC51" t="s">
        <v>392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/>
      <c r="AJ51"/>
      <c r="AK51"/>
      <c r="AL51"/>
    </row>
    <row r="52">
      <c r="A52" t="s">
        <v>226</v>
      </c>
      <c r="B52" t="s">
        <v>227</v>
      </c>
      <c r="C52" t="s">
        <v>228</v>
      </c>
      <c r="D52" t="s">
        <v>213</v>
      </c>
      <c r="E52" t="s">
        <v>336</v>
      </c>
      <c r="F52" t="s">
        <v>335</v>
      </c>
      <c r="G52" t="s">
        <v>335</v>
      </c>
      <c r="H52" t="s">
        <v>335</v>
      </c>
      <c r="I52" t="s">
        <v>335</v>
      </c>
      <c r="J52" t="s">
        <v>335</v>
      </c>
      <c r="K52" t="s">
        <v>335</v>
      </c>
      <c r="L52" t="s">
        <v>335</v>
      </c>
      <c r="M52" t="s">
        <v>335</v>
      </c>
      <c r="N52" t="s">
        <v>335</v>
      </c>
      <c r="O52" t="s">
        <v>335</v>
      </c>
      <c r="P52" t="s">
        <v>335</v>
      </c>
      <c r="Q52" t="s">
        <v>335</v>
      </c>
      <c r="R52" t="s">
        <v>335</v>
      </c>
      <c r="S52" t="s">
        <v>335</v>
      </c>
      <c r="T52" t="s">
        <v>335</v>
      </c>
      <c r="U52" t="s">
        <v>335</v>
      </c>
      <c r="V52" t="s">
        <v>335</v>
      </c>
      <c r="W52" t="s">
        <v>335</v>
      </c>
      <c r="X52" t="s">
        <v>335</v>
      </c>
      <c r="Y52" t="s">
        <v>335</v>
      </c>
      <c r="Z52" t="s">
        <v>335</v>
      </c>
      <c r="AA52" t="s">
        <v>335</v>
      </c>
      <c r="AB52" t="s">
        <v>335</v>
      </c>
      <c r="AC52" t="s">
        <v>335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/>
      <c r="AJ52"/>
      <c r="AK52"/>
      <c r="AL52"/>
    </row>
    <row r="53">
      <c r="A53" t="s">
        <v>226</v>
      </c>
      <c r="B53" t="s">
        <v>227</v>
      </c>
      <c r="C53" t="s">
        <v>228</v>
      </c>
      <c r="D53" t="s">
        <v>213</v>
      </c>
      <c r="E53" t="s">
        <v>338</v>
      </c>
      <c r="F53" t="s">
        <v>335</v>
      </c>
      <c r="G53" t="s">
        <v>335</v>
      </c>
      <c r="H53" t="s">
        <v>335</v>
      </c>
      <c r="I53" t="s">
        <v>335</v>
      </c>
      <c r="J53" t="s">
        <v>335</v>
      </c>
      <c r="K53" t="s">
        <v>335</v>
      </c>
      <c r="L53" t="s">
        <v>335</v>
      </c>
      <c r="M53" t="s">
        <v>335</v>
      </c>
      <c r="N53" t="s">
        <v>335</v>
      </c>
      <c r="O53" t="s">
        <v>335</v>
      </c>
      <c r="P53" t="s">
        <v>335</v>
      </c>
      <c r="Q53" t="s">
        <v>335</v>
      </c>
      <c r="R53" t="s">
        <v>335</v>
      </c>
      <c r="S53" t="s">
        <v>335</v>
      </c>
      <c r="T53" t="s">
        <v>335</v>
      </c>
      <c r="U53" t="s">
        <v>335</v>
      </c>
      <c r="V53" t="s">
        <v>335</v>
      </c>
      <c r="W53" t="s">
        <v>335</v>
      </c>
      <c r="X53" t="s">
        <v>335</v>
      </c>
      <c r="Y53" t="s">
        <v>335</v>
      </c>
      <c r="Z53" t="s">
        <v>335</v>
      </c>
      <c r="AA53" t="s">
        <v>335</v>
      </c>
      <c r="AB53" t="s">
        <v>335</v>
      </c>
      <c r="AC53" t="s">
        <v>335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/>
      <c r="AJ53"/>
      <c r="AK53"/>
      <c r="AL53"/>
    </row>
    <row r="54">
      <c r="A54" t="s">
        <v>226</v>
      </c>
      <c r="B54" t="s">
        <v>227</v>
      </c>
      <c r="C54" t="s">
        <v>228</v>
      </c>
      <c r="D54" t="s">
        <v>213</v>
      </c>
      <c r="E54" t="s">
        <v>339</v>
      </c>
      <c r="F54" t="s">
        <v>360</v>
      </c>
      <c r="G54" t="s">
        <v>360</v>
      </c>
      <c r="H54" t="s">
        <v>360</v>
      </c>
      <c r="I54" t="s">
        <v>393</v>
      </c>
      <c r="J54" t="s">
        <v>394</v>
      </c>
      <c r="K54" t="s">
        <v>395</v>
      </c>
      <c r="L54" t="s">
        <v>396</v>
      </c>
      <c r="M54" t="s">
        <v>397</v>
      </c>
      <c r="N54" t="s">
        <v>398</v>
      </c>
      <c r="O54" t="s">
        <v>399</v>
      </c>
      <c r="P54" t="s">
        <v>400</v>
      </c>
      <c r="Q54" t="s">
        <v>401</v>
      </c>
      <c r="R54" t="s">
        <v>402</v>
      </c>
      <c r="S54" t="s">
        <v>403</v>
      </c>
      <c r="T54" t="s">
        <v>404</v>
      </c>
      <c r="U54" t="s">
        <v>405</v>
      </c>
      <c r="V54" t="s">
        <v>406</v>
      </c>
      <c r="W54" t="s">
        <v>407</v>
      </c>
      <c r="X54" t="s">
        <v>408</v>
      </c>
      <c r="Y54" t="s">
        <v>409</v>
      </c>
      <c r="Z54" t="s">
        <v>410</v>
      </c>
      <c r="AA54" t="s">
        <v>411</v>
      </c>
      <c r="AB54" t="s">
        <v>412</v>
      </c>
      <c r="AC54" t="s">
        <v>413</v>
      </c>
      <c r="AD54" t="n">
        <v>0.454071428571429</v>
      </c>
      <c r="AE54" t="n">
        <v>0</v>
      </c>
      <c r="AF54" t="n">
        <v>0</v>
      </c>
      <c r="AG54" t="n">
        <v>0</v>
      </c>
      <c r="AH54" t="n">
        <v>0</v>
      </c>
      <c r="AI54"/>
      <c r="AJ54"/>
      <c r="AK54"/>
      <c r="AL54"/>
    </row>
    <row r="55">
      <c r="A55" t="s">
        <v>226</v>
      </c>
      <c r="B55" t="s">
        <v>227</v>
      </c>
      <c r="C55" t="s">
        <v>228</v>
      </c>
      <c r="D55" t="s">
        <v>213</v>
      </c>
      <c r="E55" t="s">
        <v>358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</row>
    <row r="56">
      <c r="A56" t="s">
        <v>229</v>
      </c>
      <c r="B56" t="s">
        <v>230</v>
      </c>
      <c r="C56" t="s">
        <v>231</v>
      </c>
      <c r="D56" t="s">
        <v>213</v>
      </c>
      <c r="E56" t="s">
        <v>297</v>
      </c>
      <c r="F56"/>
      <c r="G56"/>
      <c r="H56"/>
      <c r="I56" t="s">
        <v>414</v>
      </c>
      <c r="J56" t="s">
        <v>360</v>
      </c>
      <c r="K56" t="s">
        <v>360</v>
      </c>
      <c r="L56" t="s">
        <v>360</v>
      </c>
      <c r="M56" t="s">
        <v>360</v>
      </c>
      <c r="N56" t="s">
        <v>360</v>
      </c>
      <c r="O56" t="s">
        <v>360</v>
      </c>
      <c r="P56" t="s">
        <v>360</v>
      </c>
      <c r="Q56" t="s">
        <v>360</v>
      </c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>
      <c r="A57" t="s">
        <v>229</v>
      </c>
      <c r="B57" t="s">
        <v>230</v>
      </c>
      <c r="C57" t="s">
        <v>231</v>
      </c>
      <c r="D57" t="s">
        <v>213</v>
      </c>
      <c r="E57" t="s">
        <v>316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>
      <c r="A58" t="s">
        <v>229</v>
      </c>
      <c r="B58" t="s">
        <v>230</v>
      </c>
      <c r="C58" t="s">
        <v>231</v>
      </c>
      <c r="D58" t="s">
        <v>213</v>
      </c>
      <c r="E58" t="s">
        <v>317</v>
      </c>
      <c r="F58" t="s">
        <v>415</v>
      </c>
      <c r="G58" t="s">
        <v>415</v>
      </c>
      <c r="H58" t="s">
        <v>415</v>
      </c>
      <c r="I58" t="s">
        <v>415</v>
      </c>
      <c r="J58" t="s">
        <v>415</v>
      </c>
      <c r="K58" t="s">
        <v>415</v>
      </c>
      <c r="L58" t="s">
        <v>415</v>
      </c>
      <c r="M58" t="s">
        <v>415</v>
      </c>
      <c r="N58" t="s">
        <v>415</v>
      </c>
      <c r="O58" t="s">
        <v>415</v>
      </c>
      <c r="P58" t="s">
        <v>415</v>
      </c>
      <c r="Q58" t="s">
        <v>415</v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</row>
    <row r="59">
      <c r="A59" t="s">
        <v>229</v>
      </c>
      <c r="B59" t="s">
        <v>230</v>
      </c>
      <c r="C59" t="s">
        <v>231</v>
      </c>
      <c r="D59" t="s">
        <v>213</v>
      </c>
      <c r="E59" t="s">
        <v>320</v>
      </c>
      <c r="F59" t="s">
        <v>360</v>
      </c>
      <c r="G59" t="s">
        <v>360</v>
      </c>
      <c r="H59" t="s">
        <v>360</v>
      </c>
      <c r="I59" t="s">
        <v>360</v>
      </c>
      <c r="J59" t="s">
        <v>360</v>
      </c>
      <c r="K59" t="s">
        <v>360</v>
      </c>
      <c r="L59" t="s">
        <v>360</v>
      </c>
      <c r="M59" t="s">
        <v>360</v>
      </c>
      <c r="N59" t="s">
        <v>360</v>
      </c>
      <c r="O59" t="s">
        <v>360</v>
      </c>
      <c r="P59" t="s">
        <v>360</v>
      </c>
      <c r="Q59" t="s">
        <v>360</v>
      </c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</row>
    <row r="60">
      <c r="A60" t="s">
        <v>229</v>
      </c>
      <c r="B60" t="s">
        <v>230</v>
      </c>
      <c r="C60" t="s">
        <v>231</v>
      </c>
      <c r="D60" t="s">
        <v>213</v>
      </c>
      <c r="E60" t="s">
        <v>323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>
      <c r="A61" t="s">
        <v>229</v>
      </c>
      <c r="B61" t="s">
        <v>230</v>
      </c>
      <c r="C61" t="s">
        <v>231</v>
      </c>
      <c r="D61" t="s">
        <v>213</v>
      </c>
      <c r="E61" t="s">
        <v>324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>
      <c r="A62" t="s">
        <v>229</v>
      </c>
      <c r="B62" t="s">
        <v>230</v>
      </c>
      <c r="C62" t="s">
        <v>231</v>
      </c>
      <c r="D62" t="s">
        <v>213</v>
      </c>
      <c r="E62" t="s">
        <v>325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>
      <c r="A63" t="s">
        <v>229</v>
      </c>
      <c r="B63" t="s">
        <v>230</v>
      </c>
      <c r="C63" t="s">
        <v>231</v>
      </c>
      <c r="D63" t="s">
        <v>213</v>
      </c>
      <c r="E63" t="s">
        <v>326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>
      <c r="A64" t="s">
        <v>229</v>
      </c>
      <c r="B64" t="s">
        <v>230</v>
      </c>
      <c r="C64" t="s">
        <v>231</v>
      </c>
      <c r="D64" t="s">
        <v>213</v>
      </c>
      <c r="E64" t="s">
        <v>329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>
      <c r="A65" t="s">
        <v>229</v>
      </c>
      <c r="B65" t="s">
        <v>230</v>
      </c>
      <c r="C65" t="s">
        <v>231</v>
      </c>
      <c r="D65" t="s">
        <v>213</v>
      </c>
      <c r="E65" t="s">
        <v>330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 t="n">
        <v>11642</v>
      </c>
      <c r="AE65"/>
      <c r="AF65" t="n">
        <v>20420</v>
      </c>
      <c r="AG65" t="n">
        <v>18635</v>
      </c>
      <c r="AH65" t="n">
        <v>16850</v>
      </c>
      <c r="AI65" t="n">
        <v>15065</v>
      </c>
      <c r="AJ65" t="n">
        <v>13280</v>
      </c>
      <c r="AK65"/>
      <c r="AL65" t="n">
        <v>21840</v>
      </c>
    </row>
    <row r="66">
      <c r="A66" t="s">
        <v>229</v>
      </c>
      <c r="B66" t="s">
        <v>230</v>
      </c>
      <c r="C66" t="s">
        <v>231</v>
      </c>
      <c r="D66" t="s">
        <v>213</v>
      </c>
      <c r="E66" t="s">
        <v>331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>
      <c r="A67" t="s">
        <v>229</v>
      </c>
      <c r="B67" t="s">
        <v>230</v>
      </c>
      <c r="C67" t="s">
        <v>231</v>
      </c>
      <c r="D67" t="s">
        <v>213</v>
      </c>
      <c r="E67" t="s">
        <v>332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 t="n">
        <v>1785</v>
      </c>
      <c r="AE67"/>
      <c r="AF67" t="n">
        <v>1785</v>
      </c>
      <c r="AG67" t="n">
        <v>1785</v>
      </c>
      <c r="AH67" t="n">
        <v>1785</v>
      </c>
      <c r="AI67" t="n">
        <v>1785</v>
      </c>
      <c r="AJ67" t="n">
        <v>1785</v>
      </c>
      <c r="AK67"/>
      <c r="AL67" t="n">
        <v>1785</v>
      </c>
    </row>
    <row r="68">
      <c r="A68" t="s">
        <v>229</v>
      </c>
      <c r="B68" t="s">
        <v>230</v>
      </c>
      <c r="C68" t="s">
        <v>231</v>
      </c>
      <c r="D68" t="s">
        <v>213</v>
      </c>
      <c r="E68" t="s">
        <v>333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 t="n">
        <v>9857</v>
      </c>
      <c r="AE68"/>
      <c r="AF68" t="n">
        <v>18635</v>
      </c>
      <c r="AG68" t="n">
        <v>16850</v>
      </c>
      <c r="AH68" t="n">
        <v>15065</v>
      </c>
      <c r="AI68" t="n">
        <v>13280</v>
      </c>
      <c r="AJ68" t="n">
        <v>11495</v>
      </c>
      <c r="AK68"/>
      <c r="AL68" t="n">
        <v>20055</v>
      </c>
    </row>
    <row r="69">
      <c r="A69" t="s">
        <v>229</v>
      </c>
      <c r="B69" t="s">
        <v>230</v>
      </c>
      <c r="C69" t="s">
        <v>231</v>
      </c>
      <c r="D69" t="s">
        <v>213</v>
      </c>
      <c r="E69" t="s">
        <v>334</v>
      </c>
      <c r="F69"/>
      <c r="G69"/>
      <c r="H69"/>
      <c r="I69" t="s">
        <v>416</v>
      </c>
      <c r="J69" t="s">
        <v>416</v>
      </c>
      <c r="K69" t="s">
        <v>416</v>
      </c>
      <c r="L69" t="s">
        <v>416</v>
      </c>
      <c r="M69" t="s">
        <v>416</v>
      </c>
      <c r="N69" t="s">
        <v>416</v>
      </c>
      <c r="O69" t="s">
        <v>416</v>
      </c>
      <c r="P69" t="s">
        <v>416</v>
      </c>
      <c r="Q69" t="s">
        <v>416</v>
      </c>
      <c r="R69"/>
      <c r="S69"/>
      <c r="T69"/>
      <c r="U69"/>
      <c r="V69"/>
      <c r="W69"/>
      <c r="X69"/>
      <c r="Y69"/>
      <c r="Z69"/>
      <c r="AA69"/>
      <c r="AB69"/>
      <c r="AC69"/>
      <c r="AD69" t="n">
        <v>6</v>
      </c>
      <c r="AE69"/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/>
      <c r="AL69" t="n">
        <v>6</v>
      </c>
    </row>
    <row r="70">
      <c r="A70" t="s">
        <v>229</v>
      </c>
      <c r="B70" t="s">
        <v>230</v>
      </c>
      <c r="C70" t="s">
        <v>231</v>
      </c>
      <c r="D70" t="s">
        <v>213</v>
      </c>
      <c r="E70" t="s">
        <v>336</v>
      </c>
      <c r="F70"/>
      <c r="G70"/>
      <c r="H70"/>
      <c r="I70" t="s">
        <v>417</v>
      </c>
      <c r="J70" t="s">
        <v>417</v>
      </c>
      <c r="K70" t="s">
        <v>417</v>
      </c>
      <c r="L70" t="s">
        <v>417</v>
      </c>
      <c r="M70" t="s">
        <v>417</v>
      </c>
      <c r="N70" t="s">
        <v>417</v>
      </c>
      <c r="O70" t="s">
        <v>417</v>
      </c>
      <c r="P70" t="s">
        <v>417</v>
      </c>
      <c r="Q70" t="s">
        <v>417</v>
      </c>
      <c r="R70"/>
      <c r="S70"/>
      <c r="T70"/>
      <c r="U70"/>
      <c r="V70"/>
      <c r="W70"/>
      <c r="X70"/>
      <c r="Y70"/>
      <c r="Z70"/>
      <c r="AA70"/>
      <c r="AB70"/>
      <c r="AC70"/>
      <c r="AD70" t="n">
        <v>12</v>
      </c>
      <c r="AE70"/>
      <c r="AF70" t="n">
        <v>12</v>
      </c>
      <c r="AG70" t="n">
        <v>12</v>
      </c>
      <c r="AH70" t="n">
        <v>12</v>
      </c>
      <c r="AI70" t="n">
        <v>12</v>
      </c>
      <c r="AJ70" t="n">
        <v>12</v>
      </c>
      <c r="AK70"/>
      <c r="AL70" t="n">
        <v>12</v>
      </c>
    </row>
    <row r="71">
      <c r="A71" t="s">
        <v>229</v>
      </c>
      <c r="B71" t="s">
        <v>230</v>
      </c>
      <c r="C71" t="s">
        <v>231</v>
      </c>
      <c r="D71" t="s">
        <v>213</v>
      </c>
      <c r="E71" t="s">
        <v>338</v>
      </c>
      <c r="F71"/>
      <c r="G71"/>
      <c r="H71"/>
      <c r="I71" t="s">
        <v>417</v>
      </c>
      <c r="J71" t="s">
        <v>417</v>
      </c>
      <c r="K71" t="s">
        <v>417</v>
      </c>
      <c r="L71" t="s">
        <v>417</v>
      </c>
      <c r="M71" t="s">
        <v>417</v>
      </c>
      <c r="N71" t="s">
        <v>417</v>
      </c>
      <c r="O71" t="s">
        <v>417</v>
      </c>
      <c r="P71" t="s">
        <v>417</v>
      </c>
      <c r="Q71" t="s">
        <v>417</v>
      </c>
      <c r="R71"/>
      <c r="S71"/>
      <c r="T71"/>
      <c r="U71"/>
      <c r="V71"/>
      <c r="W71"/>
      <c r="X71"/>
      <c r="Y71"/>
      <c r="Z71"/>
      <c r="AA71"/>
      <c r="AB71"/>
      <c r="AC71"/>
      <c r="AD71" t="n">
        <v>12</v>
      </c>
      <c r="AE71"/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/>
      <c r="AL71" t="n">
        <v>12</v>
      </c>
    </row>
    <row r="72">
      <c r="A72" t="s">
        <v>229</v>
      </c>
      <c r="B72" t="s">
        <v>230</v>
      </c>
      <c r="C72" t="s">
        <v>231</v>
      </c>
      <c r="D72" t="s">
        <v>213</v>
      </c>
      <c r="E72" t="s">
        <v>339</v>
      </c>
      <c r="F72" t="s">
        <v>360</v>
      </c>
      <c r="G72" t="s">
        <v>360</v>
      </c>
      <c r="H72" t="s">
        <v>360</v>
      </c>
      <c r="I72" t="s">
        <v>360</v>
      </c>
      <c r="J72" t="s">
        <v>360</v>
      </c>
      <c r="K72" t="s">
        <v>360</v>
      </c>
      <c r="L72" t="s">
        <v>360</v>
      </c>
      <c r="M72" t="s">
        <v>360</v>
      </c>
      <c r="N72" t="s">
        <v>360</v>
      </c>
      <c r="O72" t="s">
        <v>360</v>
      </c>
      <c r="P72" t="s">
        <v>360</v>
      </c>
      <c r="Q72" t="s">
        <v>360</v>
      </c>
      <c r="R72"/>
      <c r="S72"/>
      <c r="T72"/>
      <c r="U72"/>
      <c r="V72"/>
      <c r="W72"/>
      <c r="X72"/>
      <c r="Y72"/>
      <c r="Z72"/>
      <c r="AA72"/>
      <c r="AB72"/>
      <c r="AC72"/>
      <c r="AD72" t="n">
        <v>5.52212885154062</v>
      </c>
      <c r="AE72"/>
      <c r="AF72" t="n">
        <v>10.4397759103641</v>
      </c>
      <c r="AG72" t="n">
        <v>9.43977591036415</v>
      </c>
      <c r="AH72" t="n">
        <v>8.43977591036415</v>
      </c>
      <c r="AI72" t="n">
        <v>7.43977591036415</v>
      </c>
      <c r="AJ72" t="n">
        <v>6.43977591036415</v>
      </c>
      <c r="AK72"/>
      <c r="AL72" t="n">
        <v>11.2352941176471</v>
      </c>
    </row>
    <row r="73">
      <c r="A73" t="s">
        <v>229</v>
      </c>
      <c r="B73" t="s">
        <v>230</v>
      </c>
      <c r="C73" t="s">
        <v>231</v>
      </c>
      <c r="D73" t="s">
        <v>213</v>
      </c>
      <c r="E73" t="s">
        <v>358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>
      <c r="A74" t="s">
        <v>226</v>
      </c>
      <c r="B74" t="s">
        <v>232</v>
      </c>
      <c r="C74"/>
      <c r="D74" t="s">
        <v>213</v>
      </c>
      <c r="E74" t="s">
        <v>297</v>
      </c>
      <c r="F74"/>
      <c r="G74"/>
      <c r="H74"/>
      <c r="I74" t="s">
        <v>418</v>
      </c>
      <c r="J74" t="s">
        <v>419</v>
      </c>
      <c r="K74" t="s">
        <v>420</v>
      </c>
      <c r="L74" t="s">
        <v>421</v>
      </c>
      <c r="M74" t="s">
        <v>422</v>
      </c>
      <c r="N74" t="s">
        <v>423</v>
      </c>
      <c r="O74" t="s">
        <v>424</v>
      </c>
      <c r="P74" t="s">
        <v>425</v>
      </c>
      <c r="Q74" t="s">
        <v>426</v>
      </c>
      <c r="R74" t="s">
        <v>427</v>
      </c>
      <c r="S74" t="s">
        <v>428</v>
      </c>
      <c r="T74" t="s">
        <v>429</v>
      </c>
      <c r="U74" t="s">
        <v>430</v>
      </c>
      <c r="V74" t="s">
        <v>431</v>
      </c>
      <c r="W74" t="s">
        <v>432</v>
      </c>
      <c r="X74" t="s">
        <v>433</v>
      </c>
      <c r="Y74" t="s">
        <v>434</v>
      </c>
      <c r="Z74" t="s">
        <v>435</v>
      </c>
      <c r="AA74" t="s">
        <v>360</v>
      </c>
      <c r="AB74" t="s">
        <v>360</v>
      </c>
      <c r="AC74" t="s">
        <v>360</v>
      </c>
      <c r="AD74" t="n">
        <v>0</v>
      </c>
      <c r="AE74" t="n">
        <v>0</v>
      </c>
      <c r="AF74"/>
      <c r="AG74" t="n">
        <v>1906</v>
      </c>
      <c r="AH74" t="n">
        <v>1613</v>
      </c>
      <c r="AI74" t="n">
        <v>1320</v>
      </c>
      <c r="AJ74" t="n">
        <v>1027</v>
      </c>
      <c r="AK74" t="n">
        <v>734</v>
      </c>
      <c r="AL74"/>
    </row>
    <row r="75">
      <c r="A75" t="s">
        <v>226</v>
      </c>
      <c r="B75" t="s">
        <v>232</v>
      </c>
      <c r="C75"/>
      <c r="D75" t="s">
        <v>213</v>
      </c>
      <c r="E75" t="s">
        <v>316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>
      <c r="A76" t="s">
        <v>226</v>
      </c>
      <c r="B76" t="s">
        <v>232</v>
      </c>
      <c r="C76"/>
      <c r="D76" t="s">
        <v>213</v>
      </c>
      <c r="E76" t="s">
        <v>317</v>
      </c>
      <c r="F76" t="s">
        <v>436</v>
      </c>
      <c r="G76" t="s">
        <v>436</v>
      </c>
      <c r="H76" t="s">
        <v>436</v>
      </c>
      <c r="I76" t="s">
        <v>436</v>
      </c>
      <c r="J76" t="s">
        <v>436</v>
      </c>
      <c r="K76" t="s">
        <v>436</v>
      </c>
      <c r="L76" t="s">
        <v>436</v>
      </c>
      <c r="M76" t="s">
        <v>436</v>
      </c>
      <c r="N76" t="s">
        <v>436</v>
      </c>
      <c r="O76" t="s">
        <v>436</v>
      </c>
      <c r="P76" t="s">
        <v>436</v>
      </c>
      <c r="Q76" t="s">
        <v>436</v>
      </c>
      <c r="R76" t="s">
        <v>437</v>
      </c>
      <c r="S76" t="s">
        <v>437</v>
      </c>
      <c r="T76" t="s">
        <v>437</v>
      </c>
      <c r="U76" t="s">
        <v>437</v>
      </c>
      <c r="V76" t="s">
        <v>437</v>
      </c>
      <c r="W76" t="s">
        <v>437</v>
      </c>
      <c r="X76" t="s">
        <v>437</v>
      </c>
      <c r="Y76" t="s">
        <v>437</v>
      </c>
      <c r="Z76" t="s">
        <v>437</v>
      </c>
      <c r="AA76" t="s">
        <v>437</v>
      </c>
      <c r="AB76" t="s">
        <v>437</v>
      </c>
      <c r="AC76" t="s">
        <v>437</v>
      </c>
      <c r="AD76" t="n">
        <v>293</v>
      </c>
      <c r="AE76" t="n">
        <v>293</v>
      </c>
      <c r="AF76"/>
      <c r="AG76" t="n">
        <v>293</v>
      </c>
      <c r="AH76" t="n">
        <v>293</v>
      </c>
      <c r="AI76" t="n">
        <v>293</v>
      </c>
      <c r="AJ76" t="n">
        <v>293</v>
      </c>
      <c r="AK76" t="n">
        <v>293</v>
      </c>
      <c r="AL76"/>
    </row>
    <row r="77">
      <c r="A77" t="s">
        <v>226</v>
      </c>
      <c r="B77" t="s">
        <v>232</v>
      </c>
      <c r="C77"/>
      <c r="D77" t="s">
        <v>213</v>
      </c>
      <c r="E77" t="s">
        <v>320</v>
      </c>
      <c r="F77" t="s">
        <v>360</v>
      </c>
      <c r="G77" t="s">
        <v>360</v>
      </c>
      <c r="H77" t="s">
        <v>360</v>
      </c>
      <c r="I77" t="s">
        <v>419</v>
      </c>
      <c r="J77" t="s">
        <v>420</v>
      </c>
      <c r="K77" t="s">
        <v>421</v>
      </c>
      <c r="L77" t="s">
        <v>422</v>
      </c>
      <c r="M77" t="s">
        <v>423</v>
      </c>
      <c r="N77" t="s">
        <v>424</v>
      </c>
      <c r="O77" t="s">
        <v>425</v>
      </c>
      <c r="P77" t="s">
        <v>426</v>
      </c>
      <c r="Q77" t="s">
        <v>427</v>
      </c>
      <c r="R77" t="s">
        <v>428</v>
      </c>
      <c r="S77" t="s">
        <v>429</v>
      </c>
      <c r="T77" t="s">
        <v>430</v>
      </c>
      <c r="U77" t="s">
        <v>431</v>
      </c>
      <c r="V77" t="s">
        <v>432</v>
      </c>
      <c r="W77" t="s">
        <v>433</v>
      </c>
      <c r="X77" t="s">
        <v>434</v>
      </c>
      <c r="Y77" t="s">
        <v>435</v>
      </c>
      <c r="Z77" t="s">
        <v>360</v>
      </c>
      <c r="AA77" t="s">
        <v>360</v>
      </c>
      <c r="AB77" t="s">
        <v>360</v>
      </c>
      <c r="AC77" t="s">
        <v>360</v>
      </c>
      <c r="AD77" t="n">
        <v>0</v>
      </c>
      <c r="AE77" t="n">
        <v>0</v>
      </c>
      <c r="AF77"/>
      <c r="AG77" t="n">
        <v>1613</v>
      </c>
      <c r="AH77" t="n">
        <v>1320</v>
      </c>
      <c r="AI77" t="n">
        <v>1027</v>
      </c>
      <c r="AJ77" t="n">
        <v>734</v>
      </c>
      <c r="AK77" t="n">
        <v>441</v>
      </c>
      <c r="AL77"/>
    </row>
    <row r="78">
      <c r="A78" t="s">
        <v>226</v>
      </c>
      <c r="B78" t="s">
        <v>232</v>
      </c>
      <c r="C78"/>
      <c r="D78" t="s">
        <v>213</v>
      </c>
      <c r="E78" t="s">
        <v>323</v>
      </c>
      <c r="F78"/>
      <c r="G78"/>
      <c r="H78"/>
      <c r="I78"/>
      <c r="J78"/>
      <c r="K78"/>
      <c r="L78" t="s">
        <v>266</v>
      </c>
      <c r="M78"/>
      <c r="N78" t="s">
        <v>277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 t="n">
        <v>6</v>
      </c>
      <c r="AE78" t="n">
        <v>6</v>
      </c>
      <c r="AF78"/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/>
    </row>
    <row r="79">
      <c r="A79" t="s">
        <v>226</v>
      </c>
      <c r="B79" t="s">
        <v>232</v>
      </c>
      <c r="C79"/>
      <c r="D79" t="s">
        <v>213</v>
      </c>
      <c r="E79" t="s">
        <v>324</v>
      </c>
      <c r="F79"/>
      <c r="G79"/>
      <c r="H79"/>
      <c r="I79"/>
      <c r="J79"/>
      <c r="K79"/>
      <c r="L79" t="s">
        <v>266</v>
      </c>
      <c r="M79"/>
      <c r="N79" t="s">
        <v>277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 t="n">
        <v>12</v>
      </c>
      <c r="AE79" t="n">
        <v>12</v>
      </c>
      <c r="AF79"/>
      <c r="AG79" t="n">
        <v>12</v>
      </c>
      <c r="AH79" t="n">
        <v>12</v>
      </c>
      <c r="AI79" t="n">
        <v>12</v>
      </c>
      <c r="AJ79" t="n">
        <v>12</v>
      </c>
      <c r="AK79" t="n">
        <v>12</v>
      </c>
      <c r="AL79"/>
    </row>
    <row r="80">
      <c r="A80" t="s">
        <v>226</v>
      </c>
      <c r="B80" t="s">
        <v>232</v>
      </c>
      <c r="C80"/>
      <c r="D80" t="s">
        <v>213</v>
      </c>
      <c r="E80" t="s">
        <v>325</v>
      </c>
      <c r="F80"/>
      <c r="G80"/>
      <c r="H80"/>
      <c r="I80"/>
      <c r="J80"/>
      <c r="K80" t="s">
        <v>254</v>
      </c>
      <c r="L80" t="s">
        <v>259</v>
      </c>
      <c r="M80"/>
      <c r="N80" t="s">
        <v>259</v>
      </c>
      <c r="O80" t="s">
        <v>259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 t="n">
        <v>12</v>
      </c>
      <c r="AE80" t="n">
        <v>12</v>
      </c>
      <c r="AF80"/>
      <c r="AG80" t="n">
        <v>12</v>
      </c>
      <c r="AH80" t="n">
        <v>12</v>
      </c>
      <c r="AI80" t="n">
        <v>12</v>
      </c>
      <c r="AJ80" t="n">
        <v>12</v>
      </c>
      <c r="AK80" t="n">
        <v>12</v>
      </c>
      <c r="AL80"/>
    </row>
    <row r="81">
      <c r="A81" t="s">
        <v>226</v>
      </c>
      <c r="B81" t="s">
        <v>232</v>
      </c>
      <c r="C81"/>
      <c r="D81" t="s">
        <v>213</v>
      </c>
      <c r="E81" t="s">
        <v>326</v>
      </c>
      <c r="F81"/>
      <c r="G81"/>
      <c r="H81"/>
      <c r="I81"/>
      <c r="J81"/>
      <c r="K81" t="s">
        <v>438</v>
      </c>
      <c r="L81" t="s">
        <v>439</v>
      </c>
      <c r="M81"/>
      <c r="N81" t="s">
        <v>440</v>
      </c>
      <c r="O81" t="s">
        <v>441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 t="n">
        <v>0</v>
      </c>
      <c r="AE81" t="n">
        <v>0</v>
      </c>
      <c r="AF81"/>
      <c r="AG81" t="n">
        <v>5.50511945392492</v>
      </c>
      <c r="AH81" t="n">
        <v>4.50511945392492</v>
      </c>
      <c r="AI81" t="n">
        <v>3.50511945392491</v>
      </c>
      <c r="AJ81" t="n">
        <v>2.50511945392491</v>
      </c>
      <c r="AK81" t="n">
        <v>1.50511945392491</v>
      </c>
      <c r="AL81"/>
    </row>
    <row r="82">
      <c r="A82" t="s">
        <v>226</v>
      </c>
      <c r="B82" t="s">
        <v>232</v>
      </c>
      <c r="C82"/>
      <c r="D82" t="s">
        <v>213</v>
      </c>
      <c r="E82" t="s">
        <v>329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>
      <c r="A83" t="s">
        <v>226</v>
      </c>
      <c r="B83" t="s">
        <v>232</v>
      </c>
      <c r="C83"/>
      <c r="D83" t="s">
        <v>213</v>
      </c>
      <c r="E83" t="s">
        <v>330</v>
      </c>
      <c r="F83"/>
      <c r="G83"/>
      <c r="H83"/>
      <c r="I83"/>
      <c r="J83"/>
      <c r="K83" t="s">
        <v>442</v>
      </c>
      <c r="L83" t="s">
        <v>443</v>
      </c>
      <c r="M83"/>
      <c r="N83" t="s">
        <v>444</v>
      </c>
      <c r="O83" t="s">
        <v>445</v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>
      <c r="A84" t="s">
        <v>226</v>
      </c>
      <c r="B84" t="s">
        <v>232</v>
      </c>
      <c r="C84"/>
      <c r="D84" t="s">
        <v>213</v>
      </c>
      <c r="E84" t="s">
        <v>331</v>
      </c>
      <c r="F84"/>
      <c r="G84"/>
      <c r="H84"/>
      <c r="I84"/>
      <c r="J84"/>
      <c r="K84" t="s">
        <v>260</v>
      </c>
      <c r="L84" t="s">
        <v>267</v>
      </c>
      <c r="M84"/>
      <c r="N84" t="s">
        <v>276</v>
      </c>
      <c r="O84" t="s">
        <v>278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>
      <c r="A85" t="s">
        <v>226</v>
      </c>
      <c r="B85" t="s">
        <v>232</v>
      </c>
      <c r="C85"/>
      <c r="D85" t="s">
        <v>213</v>
      </c>
      <c r="E85" t="s">
        <v>332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>
      <c r="A86" t="s">
        <v>226</v>
      </c>
      <c r="B86" t="s">
        <v>232</v>
      </c>
      <c r="C86"/>
      <c r="D86" t="s">
        <v>213</v>
      </c>
      <c r="E86" t="s">
        <v>333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>
      <c r="A87" t="s">
        <v>226</v>
      </c>
      <c r="B87" t="s">
        <v>232</v>
      </c>
      <c r="C87"/>
      <c r="D87" t="s">
        <v>213</v>
      </c>
      <c r="E87" t="s">
        <v>334</v>
      </c>
      <c r="F87" t="s">
        <v>392</v>
      </c>
      <c r="G87" t="s">
        <v>392</v>
      </c>
      <c r="H87" t="s">
        <v>392</v>
      </c>
      <c r="I87" t="s">
        <v>392</v>
      </c>
      <c r="J87" t="s">
        <v>392</v>
      </c>
      <c r="K87" t="s">
        <v>392</v>
      </c>
      <c r="L87" t="s">
        <v>392</v>
      </c>
      <c r="M87" t="s">
        <v>392</v>
      </c>
      <c r="N87" t="s">
        <v>392</v>
      </c>
      <c r="O87" t="s">
        <v>392</v>
      </c>
      <c r="P87" t="s">
        <v>392</v>
      </c>
      <c r="Q87" t="s">
        <v>392</v>
      </c>
      <c r="R87" t="s">
        <v>392</v>
      </c>
      <c r="S87" t="s">
        <v>392</v>
      </c>
      <c r="T87" t="s">
        <v>392</v>
      </c>
      <c r="U87" t="s">
        <v>392</v>
      </c>
      <c r="V87" t="s">
        <v>392</v>
      </c>
      <c r="W87" t="s">
        <v>392</v>
      </c>
      <c r="X87" t="s">
        <v>392</v>
      </c>
      <c r="Y87" t="s">
        <v>392</v>
      </c>
      <c r="Z87" t="s">
        <v>392</v>
      </c>
      <c r="AA87" t="s">
        <v>392</v>
      </c>
      <c r="AB87" t="s">
        <v>392</v>
      </c>
      <c r="AC87" t="s">
        <v>392</v>
      </c>
      <c r="AD87"/>
      <c r="AE87"/>
      <c r="AF87"/>
      <c r="AG87"/>
      <c r="AH87"/>
      <c r="AI87"/>
      <c r="AJ87"/>
      <c r="AK87"/>
      <c r="AL87"/>
    </row>
    <row r="88">
      <c r="A88" t="s">
        <v>226</v>
      </c>
      <c r="B88" t="s">
        <v>232</v>
      </c>
      <c r="C88"/>
      <c r="D88" t="s">
        <v>213</v>
      </c>
      <c r="E88" t="s">
        <v>336</v>
      </c>
      <c r="F88" t="s">
        <v>335</v>
      </c>
      <c r="G88" t="s">
        <v>335</v>
      </c>
      <c r="H88" t="s">
        <v>335</v>
      </c>
      <c r="I88" t="s">
        <v>335</v>
      </c>
      <c r="J88" t="s">
        <v>335</v>
      </c>
      <c r="K88" t="s">
        <v>335</v>
      </c>
      <c r="L88" t="s">
        <v>335</v>
      </c>
      <c r="M88" t="s">
        <v>335</v>
      </c>
      <c r="N88" t="s">
        <v>335</v>
      </c>
      <c r="O88" t="s">
        <v>335</v>
      </c>
      <c r="P88" t="s">
        <v>335</v>
      </c>
      <c r="Q88" t="s">
        <v>335</v>
      </c>
      <c r="R88" t="s">
        <v>335</v>
      </c>
      <c r="S88" t="s">
        <v>335</v>
      </c>
      <c r="T88" t="s">
        <v>335</v>
      </c>
      <c r="U88" t="s">
        <v>335</v>
      </c>
      <c r="V88" t="s">
        <v>335</v>
      </c>
      <c r="W88" t="s">
        <v>335</v>
      </c>
      <c r="X88" t="s">
        <v>335</v>
      </c>
      <c r="Y88" t="s">
        <v>335</v>
      </c>
      <c r="Z88" t="s">
        <v>335</v>
      </c>
      <c r="AA88" t="s">
        <v>335</v>
      </c>
      <c r="AB88" t="s">
        <v>335</v>
      </c>
      <c r="AC88" t="s">
        <v>335</v>
      </c>
      <c r="AD88"/>
      <c r="AE88"/>
      <c r="AF88"/>
      <c r="AG88"/>
      <c r="AH88"/>
      <c r="AI88"/>
      <c r="AJ88"/>
      <c r="AK88"/>
      <c r="AL88"/>
    </row>
    <row r="89">
      <c r="A89" t="s">
        <v>226</v>
      </c>
      <c r="B89" t="s">
        <v>232</v>
      </c>
      <c r="C89"/>
      <c r="D89" t="s">
        <v>213</v>
      </c>
      <c r="E89" t="s">
        <v>338</v>
      </c>
      <c r="F89" t="s">
        <v>335</v>
      </c>
      <c r="G89" t="s">
        <v>335</v>
      </c>
      <c r="H89" t="s">
        <v>335</v>
      </c>
      <c r="I89" t="s">
        <v>335</v>
      </c>
      <c r="J89" t="s">
        <v>335</v>
      </c>
      <c r="K89" t="s">
        <v>335</v>
      </c>
      <c r="L89" t="s">
        <v>335</v>
      </c>
      <c r="M89" t="s">
        <v>335</v>
      </c>
      <c r="N89" t="s">
        <v>335</v>
      </c>
      <c r="O89" t="s">
        <v>335</v>
      </c>
      <c r="P89" t="s">
        <v>335</v>
      </c>
      <c r="Q89" t="s">
        <v>335</v>
      </c>
      <c r="R89" t="s">
        <v>335</v>
      </c>
      <c r="S89" t="s">
        <v>335</v>
      </c>
      <c r="T89" t="s">
        <v>335</v>
      </c>
      <c r="U89" t="s">
        <v>335</v>
      </c>
      <c r="V89" t="s">
        <v>335</v>
      </c>
      <c r="W89" t="s">
        <v>335</v>
      </c>
      <c r="X89" t="s">
        <v>335</v>
      </c>
      <c r="Y89" t="s">
        <v>335</v>
      </c>
      <c r="Z89" t="s">
        <v>335</v>
      </c>
      <c r="AA89" t="s">
        <v>335</v>
      </c>
      <c r="AB89" t="s">
        <v>335</v>
      </c>
      <c r="AC89" t="s">
        <v>335</v>
      </c>
      <c r="AD89"/>
      <c r="AE89"/>
      <c r="AF89"/>
      <c r="AG89"/>
      <c r="AH89"/>
      <c r="AI89"/>
      <c r="AJ89"/>
      <c r="AK89"/>
      <c r="AL89"/>
    </row>
    <row r="90">
      <c r="A90" t="s">
        <v>226</v>
      </c>
      <c r="B90" t="s">
        <v>232</v>
      </c>
      <c r="C90"/>
      <c r="D90" t="s">
        <v>213</v>
      </c>
      <c r="E90" t="s">
        <v>339</v>
      </c>
      <c r="F90" t="s">
        <v>360</v>
      </c>
      <c r="G90" t="s">
        <v>360</v>
      </c>
      <c r="H90" t="s">
        <v>360</v>
      </c>
      <c r="I90" t="s">
        <v>446</v>
      </c>
      <c r="J90" t="s">
        <v>447</v>
      </c>
      <c r="K90" t="s">
        <v>448</v>
      </c>
      <c r="L90" t="s">
        <v>449</v>
      </c>
      <c r="M90" t="s">
        <v>450</v>
      </c>
      <c r="N90" t="s">
        <v>451</v>
      </c>
      <c r="O90" t="s">
        <v>452</v>
      </c>
      <c r="P90" t="s">
        <v>453</v>
      </c>
      <c r="Q90" t="s">
        <v>454</v>
      </c>
      <c r="R90" t="s">
        <v>455</v>
      </c>
      <c r="S90" t="s">
        <v>456</v>
      </c>
      <c r="T90" t="s">
        <v>457</v>
      </c>
      <c r="U90" t="s">
        <v>458</v>
      </c>
      <c r="V90" t="s">
        <v>459</v>
      </c>
      <c r="W90" t="s">
        <v>460</v>
      </c>
      <c r="X90" t="s">
        <v>461</v>
      </c>
      <c r="Y90" t="s">
        <v>462</v>
      </c>
      <c r="Z90" t="s">
        <v>360</v>
      </c>
      <c r="AA90" t="s">
        <v>360</v>
      </c>
      <c r="AB90" t="s">
        <v>360</v>
      </c>
      <c r="AC90" t="s">
        <v>360</v>
      </c>
      <c r="AD90"/>
      <c r="AE90"/>
      <c r="AF90"/>
      <c r="AG90"/>
      <c r="AH90"/>
      <c r="AI90"/>
      <c r="AJ90"/>
      <c r="AK90"/>
      <c r="AL90"/>
    </row>
    <row r="91">
      <c r="A91" t="s">
        <v>226</v>
      </c>
      <c r="B91" t="s">
        <v>232</v>
      </c>
      <c r="C91"/>
      <c r="D91" t="s">
        <v>213</v>
      </c>
      <c r="E91" t="s">
        <v>358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>
      <c r="A92" t="s">
        <v>233</v>
      </c>
      <c r="B92" t="s">
        <v>234</v>
      </c>
      <c r="C92" t="s">
        <v>212</v>
      </c>
      <c r="D92" t="s">
        <v>213</v>
      </c>
      <c r="E92" t="s">
        <v>297</v>
      </c>
      <c r="F92"/>
      <c r="G92"/>
      <c r="H92"/>
      <c r="I92"/>
      <c r="J92"/>
      <c r="K92"/>
      <c r="L92"/>
      <c r="M92" t="s">
        <v>463</v>
      </c>
      <c r="N92" t="s">
        <v>360</v>
      </c>
      <c r="O92" t="s">
        <v>360</v>
      </c>
      <c r="P92" t="s">
        <v>360</v>
      </c>
      <c r="Q92" t="s">
        <v>360</v>
      </c>
      <c r="R92" t="s">
        <v>464</v>
      </c>
      <c r="S92" t="s">
        <v>465</v>
      </c>
      <c r="T92" t="s">
        <v>466</v>
      </c>
      <c r="U92" t="s">
        <v>467</v>
      </c>
      <c r="V92" t="s">
        <v>468</v>
      </c>
      <c r="W92" t="s">
        <v>360</v>
      </c>
      <c r="X92" t="s">
        <v>360</v>
      </c>
      <c r="Y92" t="s">
        <v>360</v>
      </c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>
      <c r="A93" t="s">
        <v>233</v>
      </c>
      <c r="B93" t="s">
        <v>234</v>
      </c>
      <c r="C93" t="s">
        <v>212</v>
      </c>
      <c r="D93" t="s">
        <v>213</v>
      </c>
      <c r="E93" t="s">
        <v>316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>
      <c r="A94" t="s">
        <v>233</v>
      </c>
      <c r="B94" t="s">
        <v>234</v>
      </c>
      <c r="C94" t="s">
        <v>212</v>
      </c>
      <c r="D94" t="s">
        <v>213</v>
      </c>
      <c r="E94" t="s">
        <v>317</v>
      </c>
      <c r="F94" t="s">
        <v>469</v>
      </c>
      <c r="G94" t="s">
        <v>469</v>
      </c>
      <c r="H94" t="s">
        <v>469</v>
      </c>
      <c r="I94" t="s">
        <v>469</v>
      </c>
      <c r="J94" t="s">
        <v>469</v>
      </c>
      <c r="K94" t="s">
        <v>469</v>
      </c>
      <c r="L94" t="s">
        <v>469</v>
      </c>
      <c r="M94" t="s">
        <v>469</v>
      </c>
      <c r="N94" t="s">
        <v>469</v>
      </c>
      <c r="O94" t="s">
        <v>469</v>
      </c>
      <c r="P94" t="s">
        <v>469</v>
      </c>
      <c r="Q94" t="s">
        <v>469</v>
      </c>
      <c r="R94" t="s">
        <v>469</v>
      </c>
      <c r="S94" t="s">
        <v>469</v>
      </c>
      <c r="T94" t="s">
        <v>469</v>
      </c>
      <c r="U94" t="s">
        <v>469</v>
      </c>
      <c r="V94" t="s">
        <v>469</v>
      </c>
      <c r="W94" t="s">
        <v>469</v>
      </c>
      <c r="X94" t="s">
        <v>469</v>
      </c>
      <c r="Y94" t="s">
        <v>469</v>
      </c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>
      <c r="A95" t="s">
        <v>233</v>
      </c>
      <c r="B95" t="s">
        <v>234</v>
      </c>
      <c r="C95" t="s">
        <v>212</v>
      </c>
      <c r="D95" t="s">
        <v>213</v>
      </c>
      <c r="E95" t="s">
        <v>320</v>
      </c>
      <c r="F95" t="s">
        <v>360</v>
      </c>
      <c r="G95" t="s">
        <v>360</v>
      </c>
      <c r="H95" t="s">
        <v>360</v>
      </c>
      <c r="I95" t="s">
        <v>360</v>
      </c>
      <c r="J95" t="s">
        <v>360</v>
      </c>
      <c r="K95" t="s">
        <v>360</v>
      </c>
      <c r="L95" t="s">
        <v>360</v>
      </c>
      <c r="M95" t="s">
        <v>360</v>
      </c>
      <c r="N95" t="s">
        <v>360</v>
      </c>
      <c r="O95" t="s">
        <v>360</v>
      </c>
      <c r="P95" t="s">
        <v>360</v>
      </c>
      <c r="Q95" t="s">
        <v>464</v>
      </c>
      <c r="R95" t="s">
        <v>465</v>
      </c>
      <c r="S95" t="s">
        <v>466</v>
      </c>
      <c r="T95" t="s">
        <v>467</v>
      </c>
      <c r="U95" t="s">
        <v>468</v>
      </c>
      <c r="V95" t="s">
        <v>360</v>
      </c>
      <c r="W95" t="s">
        <v>360</v>
      </c>
      <c r="X95" t="s">
        <v>360</v>
      </c>
      <c r="Y95" t="s">
        <v>360</v>
      </c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>
      <c r="A96" t="s">
        <v>233</v>
      </c>
      <c r="B96" t="s">
        <v>234</v>
      </c>
      <c r="C96" t="s">
        <v>212</v>
      </c>
      <c r="D96" t="s">
        <v>213</v>
      </c>
      <c r="E96" t="s">
        <v>323</v>
      </c>
      <c r="F96"/>
      <c r="G96"/>
      <c r="H96"/>
      <c r="I96"/>
      <c r="J96"/>
      <c r="K96"/>
      <c r="L96"/>
      <c r="M96"/>
      <c r="N96"/>
      <c r="O96"/>
      <c r="P96"/>
      <c r="Q96" t="s">
        <v>272</v>
      </c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>
      <c r="A97" t="s">
        <v>233</v>
      </c>
      <c r="B97" t="s">
        <v>234</v>
      </c>
      <c r="C97" t="s">
        <v>212</v>
      </c>
      <c r="D97" t="s">
        <v>213</v>
      </c>
      <c r="E97" t="s">
        <v>324</v>
      </c>
      <c r="F97"/>
      <c r="G97"/>
      <c r="H97"/>
      <c r="I97"/>
      <c r="J97"/>
      <c r="K97"/>
      <c r="L97"/>
      <c r="M97"/>
      <c r="N97"/>
      <c r="O97"/>
      <c r="P97"/>
      <c r="Q97" t="s">
        <v>272</v>
      </c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>
      <c r="A98" t="s">
        <v>233</v>
      </c>
      <c r="B98" t="s">
        <v>234</v>
      </c>
      <c r="C98" t="s">
        <v>212</v>
      </c>
      <c r="D98" t="s">
        <v>213</v>
      </c>
      <c r="E98" t="s">
        <v>325</v>
      </c>
      <c r="F98"/>
      <c r="G98"/>
      <c r="H98"/>
      <c r="I98"/>
      <c r="J98"/>
      <c r="K98"/>
      <c r="L98"/>
      <c r="M98"/>
      <c r="N98"/>
      <c r="O98"/>
      <c r="P98"/>
      <c r="Q98" t="s">
        <v>269</v>
      </c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>
      <c r="A99" t="s">
        <v>233</v>
      </c>
      <c r="B99" t="s">
        <v>234</v>
      </c>
      <c r="C99" t="s">
        <v>212</v>
      </c>
      <c r="D99" t="s">
        <v>213</v>
      </c>
      <c r="E99" t="s">
        <v>326</v>
      </c>
      <c r="F99"/>
      <c r="G99"/>
      <c r="H99"/>
      <c r="I99"/>
      <c r="J99"/>
      <c r="K99"/>
      <c r="L99"/>
      <c r="M99"/>
      <c r="N99"/>
      <c r="O99"/>
      <c r="P99"/>
      <c r="Q99" t="s">
        <v>470</v>
      </c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>
      <c r="A100" t="s">
        <v>233</v>
      </c>
      <c r="B100" t="s">
        <v>234</v>
      </c>
      <c r="C100" t="s">
        <v>212</v>
      </c>
      <c r="D100" t="s">
        <v>213</v>
      </c>
      <c r="E100" t="s">
        <v>329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>
      <c r="A101" t="s">
        <v>233</v>
      </c>
      <c r="B101" t="s">
        <v>234</v>
      </c>
      <c r="C101" t="s">
        <v>212</v>
      </c>
      <c r="D101" t="s">
        <v>213</v>
      </c>
      <c r="E101" t="s">
        <v>330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 t="n">
        <v>0</v>
      </c>
      <c r="AE101" t="n">
        <v>0</v>
      </c>
      <c r="AF101" t="n">
        <v>0</v>
      </c>
      <c r="AG101"/>
      <c r="AH101" t="n">
        <v>8538</v>
      </c>
      <c r="AI101" t="n">
        <v>722</v>
      </c>
      <c r="AJ101" t="n">
        <v>0</v>
      </c>
      <c r="AK101" t="n">
        <v>0</v>
      </c>
      <c r="AL101" t="n">
        <v>0</v>
      </c>
    </row>
    <row r="102">
      <c r="A102" t="s">
        <v>233</v>
      </c>
      <c r="B102" t="s">
        <v>234</v>
      </c>
      <c r="C102" t="s">
        <v>212</v>
      </c>
      <c r="D102" t="s">
        <v>213</v>
      </c>
      <c r="E102" t="s">
        <v>331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>
      <c r="A103" t="s">
        <v>233</v>
      </c>
      <c r="B103" t="s">
        <v>234</v>
      </c>
      <c r="C103" t="s">
        <v>212</v>
      </c>
      <c r="D103" t="s">
        <v>213</v>
      </c>
      <c r="E103" t="s">
        <v>332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 t="n">
        <v>7816</v>
      </c>
      <c r="AE103" t="n">
        <v>7816</v>
      </c>
      <c r="AF103" t="n">
        <v>7816</v>
      </c>
      <c r="AG103"/>
      <c r="AH103" t="n">
        <v>7816</v>
      </c>
      <c r="AI103" t="n">
        <v>7816</v>
      </c>
      <c r="AJ103" t="n">
        <v>7816</v>
      </c>
      <c r="AK103" t="n">
        <v>7816</v>
      </c>
      <c r="AL103" t="n">
        <v>7816</v>
      </c>
    </row>
    <row r="104">
      <c r="A104" t="s">
        <v>233</v>
      </c>
      <c r="B104" t="s">
        <v>234</v>
      </c>
      <c r="C104" t="s">
        <v>212</v>
      </c>
      <c r="D104" t="s">
        <v>213</v>
      </c>
      <c r="E104" t="s">
        <v>333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 t="n">
        <v>0</v>
      </c>
      <c r="AE104" t="n">
        <v>0</v>
      </c>
      <c r="AF104" t="n">
        <v>0</v>
      </c>
      <c r="AG104"/>
      <c r="AH104" t="n">
        <v>722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s">
        <v>233</v>
      </c>
      <c r="B105" t="s">
        <v>234</v>
      </c>
      <c r="C105" t="s">
        <v>212</v>
      </c>
      <c r="D105" t="s">
        <v>213</v>
      </c>
      <c r="E105" t="s">
        <v>334</v>
      </c>
      <c r="F105" t="s">
        <v>392</v>
      </c>
      <c r="G105" t="s">
        <v>392</v>
      </c>
      <c r="H105" t="s">
        <v>392</v>
      </c>
      <c r="I105" t="s">
        <v>392</v>
      </c>
      <c r="J105" t="s">
        <v>392</v>
      </c>
      <c r="K105" t="s">
        <v>392</v>
      </c>
      <c r="L105" t="s">
        <v>392</v>
      </c>
      <c r="M105" t="s">
        <v>392</v>
      </c>
      <c r="N105" t="s">
        <v>392</v>
      </c>
      <c r="O105" t="s">
        <v>392</v>
      </c>
      <c r="P105" t="s">
        <v>392</v>
      </c>
      <c r="Q105" t="s">
        <v>392</v>
      </c>
      <c r="R105" t="s">
        <v>392</v>
      </c>
      <c r="S105" t="s">
        <v>392</v>
      </c>
      <c r="T105" t="s">
        <v>392</v>
      </c>
      <c r="U105" t="s">
        <v>392</v>
      </c>
      <c r="V105" t="s">
        <v>392</v>
      </c>
      <c r="W105" t="s">
        <v>392</v>
      </c>
      <c r="X105" t="s">
        <v>392</v>
      </c>
      <c r="Y105" t="s">
        <v>392</v>
      </c>
      <c r="Z105"/>
      <c r="AA105"/>
      <c r="AB105"/>
      <c r="AC105"/>
      <c r="AD105" t="n">
        <v>6</v>
      </c>
      <c r="AE105" t="n">
        <v>6</v>
      </c>
      <c r="AF105" t="n">
        <v>6</v>
      </c>
      <c r="AG105"/>
      <c r="AH105" t="n">
        <v>6</v>
      </c>
      <c r="AI105" t="n">
        <v>6</v>
      </c>
      <c r="AJ105" t="n">
        <v>6</v>
      </c>
      <c r="AK105" t="n">
        <v>6</v>
      </c>
      <c r="AL105" t="n">
        <v>6</v>
      </c>
    </row>
    <row r="106">
      <c r="A106" t="s">
        <v>233</v>
      </c>
      <c r="B106" t="s">
        <v>234</v>
      </c>
      <c r="C106" t="s">
        <v>212</v>
      </c>
      <c r="D106" t="s">
        <v>213</v>
      </c>
      <c r="E106" t="s">
        <v>336</v>
      </c>
      <c r="F106" t="s">
        <v>335</v>
      </c>
      <c r="G106" t="s">
        <v>335</v>
      </c>
      <c r="H106" t="s">
        <v>335</v>
      </c>
      <c r="I106" t="s">
        <v>335</v>
      </c>
      <c r="J106" t="s">
        <v>335</v>
      </c>
      <c r="K106" t="s">
        <v>335</v>
      </c>
      <c r="L106" t="s">
        <v>335</v>
      </c>
      <c r="M106" t="s">
        <v>335</v>
      </c>
      <c r="N106" t="s">
        <v>335</v>
      </c>
      <c r="O106" t="s">
        <v>335</v>
      </c>
      <c r="P106" t="s">
        <v>335</v>
      </c>
      <c r="Q106" t="s">
        <v>335</v>
      </c>
      <c r="R106" t="s">
        <v>335</v>
      </c>
      <c r="S106" t="s">
        <v>335</v>
      </c>
      <c r="T106" t="s">
        <v>335</v>
      </c>
      <c r="U106" t="s">
        <v>335</v>
      </c>
      <c r="V106" t="s">
        <v>335</v>
      </c>
      <c r="W106" t="s">
        <v>335</v>
      </c>
      <c r="X106" t="s">
        <v>335</v>
      </c>
      <c r="Y106" t="s">
        <v>335</v>
      </c>
      <c r="Z106"/>
      <c r="AA106"/>
      <c r="AB106"/>
      <c r="AC106"/>
      <c r="AD106" t="n">
        <v>12</v>
      </c>
      <c r="AE106" t="n">
        <v>12</v>
      </c>
      <c r="AF106" t="n">
        <v>12</v>
      </c>
      <c r="AG106"/>
      <c r="AH106" t="n">
        <v>12</v>
      </c>
      <c r="AI106" t="n">
        <v>12</v>
      </c>
      <c r="AJ106" t="n">
        <v>12</v>
      </c>
      <c r="AK106" t="n">
        <v>12</v>
      </c>
      <c r="AL106" t="n">
        <v>12</v>
      </c>
    </row>
    <row r="107">
      <c r="A107" t="s">
        <v>233</v>
      </c>
      <c r="B107" t="s">
        <v>234</v>
      </c>
      <c r="C107" t="s">
        <v>212</v>
      </c>
      <c r="D107" t="s">
        <v>213</v>
      </c>
      <c r="E107" t="s">
        <v>338</v>
      </c>
      <c r="F107" t="s">
        <v>335</v>
      </c>
      <c r="G107" t="s">
        <v>335</v>
      </c>
      <c r="H107" t="s">
        <v>335</v>
      </c>
      <c r="I107" t="s">
        <v>335</v>
      </c>
      <c r="J107" t="s">
        <v>335</v>
      </c>
      <c r="K107" t="s">
        <v>335</v>
      </c>
      <c r="L107" t="s">
        <v>335</v>
      </c>
      <c r="M107" t="s">
        <v>335</v>
      </c>
      <c r="N107" t="s">
        <v>335</v>
      </c>
      <c r="O107" t="s">
        <v>335</v>
      </c>
      <c r="P107" t="s">
        <v>335</v>
      </c>
      <c r="Q107" t="s">
        <v>335</v>
      </c>
      <c r="R107" t="s">
        <v>335</v>
      </c>
      <c r="S107" t="s">
        <v>335</v>
      </c>
      <c r="T107" t="s">
        <v>335</v>
      </c>
      <c r="U107" t="s">
        <v>335</v>
      </c>
      <c r="V107" t="s">
        <v>335</v>
      </c>
      <c r="W107" t="s">
        <v>335</v>
      </c>
      <c r="X107" t="s">
        <v>335</v>
      </c>
      <c r="Y107" t="s">
        <v>335</v>
      </c>
      <c r="Z107"/>
      <c r="AA107"/>
      <c r="AB107"/>
      <c r="AC107"/>
      <c r="AD107" t="n">
        <v>12</v>
      </c>
      <c r="AE107" t="n">
        <v>12</v>
      </c>
      <c r="AF107" t="n">
        <v>12</v>
      </c>
      <c r="AG107"/>
      <c r="AH107" t="n">
        <v>12</v>
      </c>
      <c r="AI107" t="n">
        <v>12</v>
      </c>
      <c r="AJ107" t="n">
        <v>12</v>
      </c>
      <c r="AK107" t="n">
        <v>12</v>
      </c>
      <c r="AL107" t="n">
        <v>12</v>
      </c>
    </row>
    <row r="108">
      <c r="A108" t="s">
        <v>233</v>
      </c>
      <c r="B108" t="s">
        <v>234</v>
      </c>
      <c r="C108" t="s">
        <v>212</v>
      </c>
      <c r="D108" t="s">
        <v>213</v>
      </c>
      <c r="E108" t="s">
        <v>339</v>
      </c>
      <c r="F108" t="s">
        <v>360</v>
      </c>
      <c r="G108" t="s">
        <v>360</v>
      </c>
      <c r="H108" t="s">
        <v>360</v>
      </c>
      <c r="I108" t="s">
        <v>360</v>
      </c>
      <c r="J108" t="s">
        <v>360</v>
      </c>
      <c r="K108" t="s">
        <v>360</v>
      </c>
      <c r="L108" t="s">
        <v>360</v>
      </c>
      <c r="M108" t="s">
        <v>360</v>
      </c>
      <c r="N108" t="s">
        <v>360</v>
      </c>
      <c r="O108" t="s">
        <v>360</v>
      </c>
      <c r="P108" t="s">
        <v>360</v>
      </c>
      <c r="Q108" t="s">
        <v>471</v>
      </c>
      <c r="R108" t="s">
        <v>472</v>
      </c>
      <c r="S108" t="s">
        <v>473</v>
      </c>
      <c r="T108" t="s">
        <v>474</v>
      </c>
      <c r="U108" t="s">
        <v>475</v>
      </c>
      <c r="V108" t="s">
        <v>360</v>
      </c>
      <c r="W108" t="s">
        <v>360</v>
      </c>
      <c r="X108" t="s">
        <v>360</v>
      </c>
      <c r="Y108" t="s">
        <v>360</v>
      </c>
      <c r="Z108"/>
      <c r="AA108"/>
      <c r="AB108"/>
      <c r="AC108"/>
      <c r="AD108" t="n">
        <v>0</v>
      </c>
      <c r="AE108" t="n">
        <v>0</v>
      </c>
      <c r="AF108" t="n">
        <v>0</v>
      </c>
      <c r="AG108"/>
      <c r="AH108" t="n">
        <v>0.092374616171955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s">
        <v>233</v>
      </c>
      <c r="B109" t="s">
        <v>234</v>
      </c>
      <c r="C109" t="s">
        <v>212</v>
      </c>
      <c r="D109" t="s">
        <v>213</v>
      </c>
      <c r="E109" t="s">
        <v>358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</row>
    <row r="110">
      <c r="A110" t="s">
        <v>235</v>
      </c>
      <c r="B110" t="s">
        <v>211</v>
      </c>
      <c r="C110" t="s">
        <v>212</v>
      </c>
      <c r="D110" t="s">
        <v>213</v>
      </c>
      <c r="E110" t="s">
        <v>297</v>
      </c>
      <c r="F110"/>
      <c r="G110" t="s">
        <v>476</v>
      </c>
      <c r="H110" t="s">
        <v>477</v>
      </c>
      <c r="I110" t="s">
        <v>478</v>
      </c>
      <c r="J110" t="s">
        <v>479</v>
      </c>
      <c r="K110" t="s">
        <v>480</v>
      </c>
      <c r="L110" t="s">
        <v>481</v>
      </c>
      <c r="M110" t="s">
        <v>482</v>
      </c>
      <c r="N110" t="s">
        <v>483</v>
      </c>
      <c r="O110" t="s">
        <v>484</v>
      </c>
      <c r="P110" t="s">
        <v>485</v>
      </c>
      <c r="Q110" t="s">
        <v>486</v>
      </c>
      <c r="R110" t="s">
        <v>487</v>
      </c>
      <c r="S110" t="s">
        <v>488</v>
      </c>
      <c r="T110" t="s">
        <v>489</v>
      </c>
      <c r="U110" t="s">
        <v>490</v>
      </c>
      <c r="V110" t="s">
        <v>491</v>
      </c>
      <c r="W110" t="s">
        <v>492</v>
      </c>
      <c r="X110" t="s">
        <v>493</v>
      </c>
      <c r="Y110" t="s">
        <v>494</v>
      </c>
      <c r="Z110" t="s">
        <v>495</v>
      </c>
      <c r="AA110" t="s">
        <v>496</v>
      </c>
      <c r="AB110" t="s">
        <v>497</v>
      </c>
      <c r="AC110" t="s">
        <v>498</v>
      </c>
      <c r="AD110" t="n">
        <v>301733</v>
      </c>
      <c r="AE110" t="n">
        <v>287197</v>
      </c>
      <c r="AF110" t="n">
        <v>272661</v>
      </c>
      <c r="AG110" t="n">
        <v>258125</v>
      </c>
      <c r="AH110" t="n">
        <v>243589</v>
      </c>
      <c r="AI110" t="n">
        <v>229053</v>
      </c>
      <c r="AJ110" t="n">
        <v>214517</v>
      </c>
      <c r="AK110" t="n">
        <v>199981</v>
      </c>
      <c r="AL110"/>
    </row>
    <row r="111">
      <c r="A111" t="s">
        <v>235</v>
      </c>
      <c r="B111" t="s">
        <v>211</v>
      </c>
      <c r="C111" t="s">
        <v>212</v>
      </c>
      <c r="D111" t="s">
        <v>213</v>
      </c>
      <c r="E111" t="s">
        <v>316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</row>
    <row r="112">
      <c r="A112" t="s">
        <v>235</v>
      </c>
      <c r="B112" t="s">
        <v>211</v>
      </c>
      <c r="C112" t="s">
        <v>212</v>
      </c>
      <c r="D112" t="s">
        <v>213</v>
      </c>
      <c r="E112" t="s">
        <v>317</v>
      </c>
      <c r="F112"/>
      <c r="G112" t="s">
        <v>318</v>
      </c>
      <c r="H112" t="s">
        <v>318</v>
      </c>
      <c r="I112" t="s">
        <v>318</v>
      </c>
      <c r="J112" t="s">
        <v>318</v>
      </c>
      <c r="K112" t="s">
        <v>318</v>
      </c>
      <c r="L112" t="s">
        <v>318</v>
      </c>
      <c r="M112" t="s">
        <v>318</v>
      </c>
      <c r="N112" t="s">
        <v>318</v>
      </c>
      <c r="O112" t="s">
        <v>318</v>
      </c>
      <c r="P112" t="s">
        <v>318</v>
      </c>
      <c r="Q112" t="s">
        <v>318</v>
      </c>
      <c r="R112" t="s">
        <v>318</v>
      </c>
      <c r="S112" t="s">
        <v>318</v>
      </c>
      <c r="T112" t="s">
        <v>318</v>
      </c>
      <c r="U112" t="s">
        <v>318</v>
      </c>
      <c r="V112" t="s">
        <v>318</v>
      </c>
      <c r="W112" t="s">
        <v>318</v>
      </c>
      <c r="X112" t="s">
        <v>318</v>
      </c>
      <c r="Y112" t="s">
        <v>318</v>
      </c>
      <c r="Z112" t="s">
        <v>318</v>
      </c>
      <c r="AA112" t="s">
        <v>318</v>
      </c>
      <c r="AB112" t="s">
        <v>318</v>
      </c>
      <c r="AC112" t="s">
        <v>318</v>
      </c>
      <c r="AD112" t="n">
        <v>14536</v>
      </c>
      <c r="AE112" t="n">
        <v>14536</v>
      </c>
      <c r="AF112" t="n">
        <v>14536</v>
      </c>
      <c r="AG112" t="n">
        <v>14536</v>
      </c>
      <c r="AH112" t="n">
        <v>14536</v>
      </c>
      <c r="AI112" t="n">
        <v>14536</v>
      </c>
      <c r="AJ112" t="n">
        <v>14536</v>
      </c>
      <c r="AK112" t="n">
        <v>14536</v>
      </c>
      <c r="AL112"/>
    </row>
    <row r="113">
      <c r="A113" t="s">
        <v>235</v>
      </c>
      <c r="B113" t="s">
        <v>211</v>
      </c>
      <c r="C113" t="s">
        <v>212</v>
      </c>
      <c r="D113" t="s">
        <v>213</v>
      </c>
      <c r="E113" t="s">
        <v>320</v>
      </c>
      <c r="F113"/>
      <c r="G113" t="s">
        <v>477</v>
      </c>
      <c r="H113" t="s">
        <v>478</v>
      </c>
      <c r="I113" t="s">
        <v>479</v>
      </c>
      <c r="J113" t="s">
        <v>480</v>
      </c>
      <c r="K113" t="s">
        <v>481</v>
      </c>
      <c r="L113" t="s">
        <v>482</v>
      </c>
      <c r="M113" t="s">
        <v>483</v>
      </c>
      <c r="N113" t="s">
        <v>484</v>
      </c>
      <c r="O113" t="s">
        <v>485</v>
      </c>
      <c r="P113" t="s">
        <v>486</v>
      </c>
      <c r="Q113" t="s">
        <v>487</v>
      </c>
      <c r="R113" t="s">
        <v>488</v>
      </c>
      <c r="S113" t="s">
        <v>489</v>
      </c>
      <c r="T113" t="s">
        <v>490</v>
      </c>
      <c r="U113" t="s">
        <v>491</v>
      </c>
      <c r="V113" t="s">
        <v>492</v>
      </c>
      <c r="W113" t="s">
        <v>493</v>
      </c>
      <c r="X113" t="s">
        <v>494</v>
      </c>
      <c r="Y113" t="s">
        <v>495</v>
      </c>
      <c r="Z113" t="s">
        <v>496</v>
      </c>
      <c r="AA113" t="s">
        <v>497</v>
      </c>
      <c r="AB113" t="s">
        <v>498</v>
      </c>
      <c r="AC113" t="s">
        <v>298</v>
      </c>
      <c r="AD113" t="n">
        <v>287197</v>
      </c>
      <c r="AE113" t="n">
        <v>272661</v>
      </c>
      <c r="AF113" t="n">
        <v>258125</v>
      </c>
      <c r="AG113" t="n">
        <v>243589</v>
      </c>
      <c r="AH113" t="n">
        <v>229053</v>
      </c>
      <c r="AI113" t="n">
        <v>214517</v>
      </c>
      <c r="AJ113" t="n">
        <v>199981</v>
      </c>
      <c r="AK113" t="n">
        <v>185445</v>
      </c>
      <c r="AL113"/>
    </row>
    <row r="114">
      <c r="A114" t="s">
        <v>235</v>
      </c>
      <c r="B114" t="s">
        <v>211</v>
      </c>
      <c r="C114" t="s">
        <v>212</v>
      </c>
      <c r="D114" t="s">
        <v>213</v>
      </c>
      <c r="E114" t="s">
        <v>323</v>
      </c>
      <c r="F114"/>
      <c r="G114" t="s">
        <v>236</v>
      </c>
      <c r="H114"/>
      <c r="I114"/>
      <c r="J114"/>
      <c r="K114"/>
      <c r="L114"/>
      <c r="M114" t="s">
        <v>236</v>
      </c>
      <c r="N114" t="s">
        <v>236</v>
      </c>
      <c r="O114"/>
      <c r="P114"/>
      <c r="Q114"/>
      <c r="R114" t="s">
        <v>272</v>
      </c>
      <c r="S114"/>
      <c r="T114"/>
      <c r="U114"/>
      <c r="V114"/>
      <c r="W114"/>
      <c r="X114"/>
      <c r="Y114"/>
      <c r="Z114"/>
      <c r="AA114"/>
      <c r="AB114"/>
      <c r="AC114" t="s">
        <v>272</v>
      </c>
      <c r="AD114" t="n">
        <v>6</v>
      </c>
      <c r="AE114" t="n">
        <v>6</v>
      </c>
      <c r="AF114" t="n">
        <v>6</v>
      </c>
      <c r="AG114" t="n">
        <v>6</v>
      </c>
      <c r="AH114" t="n">
        <v>6</v>
      </c>
      <c r="AI114" t="n">
        <v>6</v>
      </c>
      <c r="AJ114" t="n">
        <v>6</v>
      </c>
      <c r="AK114" t="n">
        <v>6</v>
      </c>
      <c r="AL114"/>
    </row>
    <row r="115">
      <c r="A115" t="s">
        <v>235</v>
      </c>
      <c r="B115" t="s">
        <v>211</v>
      </c>
      <c r="C115" t="s">
        <v>212</v>
      </c>
      <c r="D115" t="s">
        <v>213</v>
      </c>
      <c r="E115" t="s">
        <v>324</v>
      </c>
      <c r="F115"/>
      <c r="G115" t="s">
        <v>236</v>
      </c>
      <c r="H115"/>
      <c r="I115"/>
      <c r="J115"/>
      <c r="K115"/>
      <c r="L115"/>
      <c r="M115" t="s">
        <v>236</v>
      </c>
      <c r="N115" t="s">
        <v>236</v>
      </c>
      <c r="O115"/>
      <c r="P115"/>
      <c r="Q115"/>
      <c r="R115" t="s">
        <v>272</v>
      </c>
      <c r="S115"/>
      <c r="T115"/>
      <c r="U115"/>
      <c r="V115"/>
      <c r="W115"/>
      <c r="X115"/>
      <c r="Y115"/>
      <c r="Z115"/>
      <c r="AA115"/>
      <c r="AB115"/>
      <c r="AC115" t="s">
        <v>272</v>
      </c>
      <c r="AD115" t="n">
        <v>12</v>
      </c>
      <c r="AE115" t="n">
        <v>12</v>
      </c>
      <c r="AF115" t="n">
        <v>12</v>
      </c>
      <c r="AG115" t="n">
        <v>12</v>
      </c>
      <c r="AH115" t="n">
        <v>12</v>
      </c>
      <c r="AI115" t="n">
        <v>12</v>
      </c>
      <c r="AJ115" t="n">
        <v>12</v>
      </c>
      <c r="AK115" t="n">
        <v>12</v>
      </c>
      <c r="AL115"/>
    </row>
    <row r="116">
      <c r="A116" t="s">
        <v>235</v>
      </c>
      <c r="B116" t="s">
        <v>211</v>
      </c>
      <c r="C116" t="s">
        <v>212</v>
      </c>
      <c r="D116" t="s">
        <v>213</v>
      </c>
      <c r="E116" t="s">
        <v>325</v>
      </c>
      <c r="F116"/>
      <c r="G116" t="s">
        <v>237</v>
      </c>
      <c r="H116"/>
      <c r="I116"/>
      <c r="J116"/>
      <c r="K116"/>
      <c r="L116"/>
      <c r="M116" t="s">
        <v>254</v>
      </c>
      <c r="N116" t="s">
        <v>254</v>
      </c>
      <c r="O116"/>
      <c r="P116"/>
      <c r="Q116"/>
      <c r="R116" t="s">
        <v>269</v>
      </c>
      <c r="S116"/>
      <c r="T116"/>
      <c r="U116"/>
      <c r="V116"/>
      <c r="W116"/>
      <c r="X116"/>
      <c r="Y116"/>
      <c r="Z116"/>
      <c r="AA116"/>
      <c r="AB116"/>
      <c r="AC116" t="s">
        <v>269</v>
      </c>
      <c r="AD116" t="n">
        <v>12</v>
      </c>
      <c r="AE116" t="n">
        <v>12</v>
      </c>
      <c r="AF116" t="n">
        <v>12</v>
      </c>
      <c r="AG116" t="n">
        <v>12</v>
      </c>
      <c r="AH116" t="n">
        <v>12</v>
      </c>
      <c r="AI116" t="n">
        <v>12</v>
      </c>
      <c r="AJ116" t="n">
        <v>12</v>
      </c>
      <c r="AK116" t="n">
        <v>12</v>
      </c>
      <c r="AL116"/>
    </row>
    <row r="117">
      <c r="A117" t="s">
        <v>235</v>
      </c>
      <c r="B117" t="s">
        <v>211</v>
      </c>
      <c r="C117" t="s">
        <v>212</v>
      </c>
      <c r="D117" t="s">
        <v>213</v>
      </c>
      <c r="E117" t="s">
        <v>326</v>
      </c>
      <c r="F117"/>
      <c r="G117" t="s">
        <v>499</v>
      </c>
      <c r="H117"/>
      <c r="I117"/>
      <c r="J117"/>
      <c r="K117"/>
      <c r="L117"/>
      <c r="M117" t="s">
        <v>500</v>
      </c>
      <c r="N117" t="s">
        <v>501</v>
      </c>
      <c r="O117"/>
      <c r="P117"/>
      <c r="Q117"/>
      <c r="R117" t="s">
        <v>502</v>
      </c>
      <c r="S117"/>
      <c r="T117"/>
      <c r="U117"/>
      <c r="V117"/>
      <c r="W117"/>
      <c r="X117"/>
      <c r="Y117"/>
      <c r="Z117"/>
      <c r="AA117"/>
      <c r="AB117"/>
      <c r="AC117" t="s">
        <v>503</v>
      </c>
      <c r="AD117" t="n">
        <v>19.7576362135388</v>
      </c>
      <c r="AE117" t="n">
        <v>18.7576362135388</v>
      </c>
      <c r="AF117" t="n">
        <v>17.7576362135388</v>
      </c>
      <c r="AG117" t="n">
        <v>16.7576362135388</v>
      </c>
      <c r="AH117" t="n">
        <v>15.7576362135388</v>
      </c>
      <c r="AI117" t="n">
        <v>14.7576362135388</v>
      </c>
      <c r="AJ117" t="n">
        <v>13.7576362135388</v>
      </c>
      <c r="AK117" t="n">
        <v>12.7576362135388</v>
      </c>
      <c r="AL117"/>
    </row>
    <row r="118">
      <c r="A118" t="s">
        <v>235</v>
      </c>
      <c r="B118" t="s">
        <v>211</v>
      </c>
      <c r="C118" t="s">
        <v>212</v>
      </c>
      <c r="D118" t="s">
        <v>213</v>
      </c>
      <c r="E118" t="s">
        <v>329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>
      <c r="A119" t="s">
        <v>235</v>
      </c>
      <c r="B119" t="s">
        <v>211</v>
      </c>
      <c r="C119" t="s">
        <v>212</v>
      </c>
      <c r="D119" t="s">
        <v>213</v>
      </c>
      <c r="E119" t="s">
        <v>330</v>
      </c>
      <c r="F119"/>
      <c r="G119" t="s">
        <v>504</v>
      </c>
      <c r="H119"/>
      <c r="I119"/>
      <c r="J119"/>
      <c r="K119"/>
      <c r="L119"/>
      <c r="M119" t="s">
        <v>505</v>
      </c>
      <c r="N119" t="s">
        <v>506</v>
      </c>
      <c r="O119"/>
      <c r="P119"/>
      <c r="Q119"/>
      <c r="R119" t="s">
        <v>507</v>
      </c>
      <c r="S119"/>
      <c r="T119"/>
      <c r="U119"/>
      <c r="V119"/>
      <c r="W119"/>
      <c r="X119"/>
      <c r="Y119"/>
      <c r="Z119"/>
      <c r="AA119"/>
      <c r="AB119"/>
      <c r="AC119" t="s">
        <v>508</v>
      </c>
      <c r="AD119"/>
      <c r="AE119"/>
      <c r="AF119"/>
      <c r="AG119"/>
      <c r="AH119"/>
      <c r="AI119"/>
      <c r="AJ119"/>
      <c r="AK119"/>
      <c r="AL119"/>
    </row>
    <row r="120">
      <c r="A120" t="s">
        <v>235</v>
      </c>
      <c r="B120" t="s">
        <v>211</v>
      </c>
      <c r="C120" t="s">
        <v>212</v>
      </c>
      <c r="D120" t="s">
        <v>213</v>
      </c>
      <c r="E120" t="s">
        <v>331</v>
      </c>
      <c r="F120"/>
      <c r="G120"/>
      <c r="H120"/>
      <c r="I120"/>
      <c r="J120"/>
      <c r="K120"/>
      <c r="L120"/>
      <c r="M120"/>
      <c r="N120"/>
      <c r="O120"/>
      <c r="P120"/>
      <c r="Q120"/>
      <c r="R120" t="s">
        <v>282</v>
      </c>
      <c r="S120"/>
      <c r="T120"/>
      <c r="U120"/>
      <c r="V120"/>
      <c r="W120"/>
      <c r="X120"/>
      <c r="Y120"/>
      <c r="Z120"/>
      <c r="AA120"/>
      <c r="AB120"/>
      <c r="AC120" t="s">
        <v>291</v>
      </c>
      <c r="AD120"/>
      <c r="AE120"/>
      <c r="AF120"/>
      <c r="AG120"/>
      <c r="AH120"/>
      <c r="AI120"/>
      <c r="AJ120"/>
      <c r="AK120"/>
      <c r="AL120"/>
    </row>
    <row r="121">
      <c r="A121" t="s">
        <v>235</v>
      </c>
      <c r="B121" t="s">
        <v>211</v>
      </c>
      <c r="C121" t="s">
        <v>212</v>
      </c>
      <c r="D121" t="s">
        <v>213</v>
      </c>
      <c r="E121" t="s">
        <v>332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>
      <c r="A122" t="s">
        <v>235</v>
      </c>
      <c r="B122" t="s">
        <v>211</v>
      </c>
      <c r="C122" t="s">
        <v>212</v>
      </c>
      <c r="D122" t="s">
        <v>213</v>
      </c>
      <c r="E122" t="s">
        <v>333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3">
      <c r="A123" t="s">
        <v>235</v>
      </c>
      <c r="B123" t="s">
        <v>211</v>
      </c>
      <c r="C123" t="s">
        <v>212</v>
      </c>
      <c r="D123" t="s">
        <v>213</v>
      </c>
      <c r="E123" t="s">
        <v>334</v>
      </c>
      <c r="F123"/>
      <c r="G123" t="s">
        <v>335</v>
      </c>
      <c r="H123" t="s">
        <v>335</v>
      </c>
      <c r="I123" t="s">
        <v>335</v>
      </c>
      <c r="J123" t="s">
        <v>335</v>
      </c>
      <c r="K123" t="s">
        <v>335</v>
      </c>
      <c r="L123" t="s">
        <v>335</v>
      </c>
      <c r="M123" t="s">
        <v>335</v>
      </c>
      <c r="N123" t="s">
        <v>335</v>
      </c>
      <c r="O123" t="s">
        <v>335</v>
      </c>
      <c r="P123" t="s">
        <v>335</v>
      </c>
      <c r="Q123" t="s">
        <v>335</v>
      </c>
      <c r="R123" t="s">
        <v>335</v>
      </c>
      <c r="S123" t="s">
        <v>335</v>
      </c>
      <c r="T123" t="s">
        <v>335</v>
      </c>
      <c r="U123" t="s">
        <v>335</v>
      </c>
      <c r="V123" t="s">
        <v>335</v>
      </c>
      <c r="W123" t="s">
        <v>335</v>
      </c>
      <c r="X123" t="s">
        <v>335</v>
      </c>
      <c r="Y123" t="s">
        <v>335</v>
      </c>
      <c r="Z123" t="s">
        <v>335</v>
      </c>
      <c r="AA123" t="s">
        <v>335</v>
      </c>
      <c r="AB123" t="s">
        <v>335</v>
      </c>
      <c r="AC123" t="s">
        <v>335</v>
      </c>
      <c r="AD123"/>
      <c r="AE123"/>
      <c r="AF123"/>
      <c r="AG123"/>
      <c r="AH123"/>
      <c r="AI123"/>
      <c r="AJ123"/>
      <c r="AK123"/>
      <c r="AL123"/>
    </row>
    <row r="124">
      <c r="A124" t="s">
        <v>235</v>
      </c>
      <c r="B124" t="s">
        <v>211</v>
      </c>
      <c r="C124" t="s">
        <v>212</v>
      </c>
      <c r="D124" t="s">
        <v>213</v>
      </c>
      <c r="E124" t="s">
        <v>336</v>
      </c>
      <c r="F124"/>
      <c r="G124" t="s">
        <v>337</v>
      </c>
      <c r="H124" t="s">
        <v>337</v>
      </c>
      <c r="I124" t="s">
        <v>337</v>
      </c>
      <c r="J124" t="s">
        <v>337</v>
      </c>
      <c r="K124" t="s">
        <v>337</v>
      </c>
      <c r="L124" t="s">
        <v>337</v>
      </c>
      <c r="M124" t="s">
        <v>337</v>
      </c>
      <c r="N124" t="s">
        <v>337</v>
      </c>
      <c r="O124" t="s">
        <v>337</v>
      </c>
      <c r="P124" t="s">
        <v>337</v>
      </c>
      <c r="Q124" t="s">
        <v>337</v>
      </c>
      <c r="R124" t="s">
        <v>337</v>
      </c>
      <c r="S124" t="s">
        <v>337</v>
      </c>
      <c r="T124" t="s">
        <v>337</v>
      </c>
      <c r="U124" t="s">
        <v>337</v>
      </c>
      <c r="V124" t="s">
        <v>337</v>
      </c>
      <c r="W124" t="s">
        <v>337</v>
      </c>
      <c r="X124" t="s">
        <v>337</v>
      </c>
      <c r="Y124" t="s">
        <v>337</v>
      </c>
      <c r="Z124" t="s">
        <v>337</v>
      </c>
      <c r="AA124" t="s">
        <v>337</v>
      </c>
      <c r="AB124" t="s">
        <v>337</v>
      </c>
      <c r="AC124" t="s">
        <v>337</v>
      </c>
      <c r="AD124"/>
      <c r="AE124"/>
      <c r="AF124"/>
      <c r="AG124"/>
      <c r="AH124"/>
      <c r="AI124"/>
      <c r="AJ124"/>
      <c r="AK124"/>
      <c r="AL124"/>
    </row>
    <row r="125">
      <c r="A125" t="s">
        <v>235</v>
      </c>
      <c r="B125" t="s">
        <v>211</v>
      </c>
      <c r="C125" t="s">
        <v>212</v>
      </c>
      <c r="D125" t="s">
        <v>213</v>
      </c>
      <c r="E125" t="s">
        <v>338</v>
      </c>
      <c r="F125"/>
      <c r="G125" t="s">
        <v>337</v>
      </c>
      <c r="H125" t="s">
        <v>337</v>
      </c>
      <c r="I125" t="s">
        <v>337</v>
      </c>
      <c r="J125" t="s">
        <v>337</v>
      </c>
      <c r="K125" t="s">
        <v>337</v>
      </c>
      <c r="L125" t="s">
        <v>337</v>
      </c>
      <c r="M125" t="s">
        <v>337</v>
      </c>
      <c r="N125" t="s">
        <v>337</v>
      </c>
      <c r="O125" t="s">
        <v>337</v>
      </c>
      <c r="P125" t="s">
        <v>337</v>
      </c>
      <c r="Q125" t="s">
        <v>337</v>
      </c>
      <c r="R125" t="s">
        <v>337</v>
      </c>
      <c r="S125" t="s">
        <v>337</v>
      </c>
      <c r="T125" t="s">
        <v>337</v>
      </c>
      <c r="U125" t="s">
        <v>337</v>
      </c>
      <c r="V125" t="s">
        <v>337</v>
      </c>
      <c r="W125" t="s">
        <v>337</v>
      </c>
      <c r="X125" t="s">
        <v>337</v>
      </c>
      <c r="Y125" t="s">
        <v>337</v>
      </c>
      <c r="Z125" t="s">
        <v>337</v>
      </c>
      <c r="AA125" t="s">
        <v>337</v>
      </c>
      <c r="AB125" t="s">
        <v>337</v>
      </c>
      <c r="AC125" t="s">
        <v>337</v>
      </c>
      <c r="AD125"/>
      <c r="AE125"/>
      <c r="AF125"/>
      <c r="AG125"/>
      <c r="AH125"/>
      <c r="AI125"/>
      <c r="AJ125"/>
      <c r="AK125"/>
      <c r="AL125"/>
    </row>
    <row r="126">
      <c r="A126" t="s">
        <v>235</v>
      </c>
      <c r="B126" t="s">
        <v>211</v>
      </c>
      <c r="C126" t="s">
        <v>212</v>
      </c>
      <c r="D126" t="s">
        <v>213</v>
      </c>
      <c r="E126" t="s">
        <v>339</v>
      </c>
      <c r="F126"/>
      <c r="G126" t="s">
        <v>509</v>
      </c>
      <c r="H126" t="s">
        <v>510</v>
      </c>
      <c r="I126" t="s">
        <v>511</v>
      </c>
      <c r="J126" t="s">
        <v>512</v>
      </c>
      <c r="K126" t="s">
        <v>513</v>
      </c>
      <c r="L126" t="s">
        <v>514</v>
      </c>
      <c r="M126" t="s">
        <v>515</v>
      </c>
      <c r="N126" t="s">
        <v>516</v>
      </c>
      <c r="O126" t="s">
        <v>517</v>
      </c>
      <c r="P126" t="s">
        <v>518</v>
      </c>
      <c r="Q126" t="s">
        <v>519</v>
      </c>
      <c r="R126" t="s">
        <v>520</v>
      </c>
      <c r="S126" t="s">
        <v>521</v>
      </c>
      <c r="T126" t="s">
        <v>522</v>
      </c>
      <c r="U126" t="s">
        <v>523</v>
      </c>
      <c r="V126" t="s">
        <v>524</v>
      </c>
      <c r="W126" t="s">
        <v>525</v>
      </c>
      <c r="X126" t="s">
        <v>526</v>
      </c>
      <c r="Y126" t="s">
        <v>527</v>
      </c>
      <c r="Z126" t="s">
        <v>528</v>
      </c>
      <c r="AA126" t="s">
        <v>529</v>
      </c>
      <c r="AB126" t="s">
        <v>530</v>
      </c>
      <c r="AC126" t="s">
        <v>531</v>
      </c>
      <c r="AD126"/>
      <c r="AE126"/>
      <c r="AF126"/>
      <c r="AG126"/>
      <c r="AH126"/>
      <c r="AI126"/>
      <c r="AJ126"/>
      <c r="AK126"/>
      <c r="AL126"/>
    </row>
    <row r="127">
      <c r="A127" t="s">
        <v>235</v>
      </c>
      <c r="B127" t="s">
        <v>211</v>
      </c>
      <c r="C127" t="s">
        <v>212</v>
      </c>
      <c r="D127" t="s">
        <v>213</v>
      </c>
      <c r="E127" t="s">
        <v>358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</row>
    <row r="128">
      <c r="A128" t="s">
        <v>235</v>
      </c>
      <c r="B128" t="s">
        <v>238</v>
      </c>
      <c r="C128" t="s">
        <v>231</v>
      </c>
      <c r="D128" t="s">
        <v>213</v>
      </c>
      <c r="E128" t="s">
        <v>297</v>
      </c>
      <c r="F128"/>
      <c r="G128" t="s">
        <v>532</v>
      </c>
      <c r="H128" t="s">
        <v>533</v>
      </c>
      <c r="I128" t="s">
        <v>534</v>
      </c>
      <c r="J128" t="s">
        <v>535</v>
      </c>
      <c r="K128" t="s">
        <v>536</v>
      </c>
      <c r="L128" t="s">
        <v>537</v>
      </c>
      <c r="M128" t="s">
        <v>538</v>
      </c>
      <c r="N128" t="s">
        <v>539</v>
      </c>
      <c r="O128" t="s">
        <v>540</v>
      </c>
      <c r="P128" t="s">
        <v>541</v>
      </c>
      <c r="Q128" t="s">
        <v>542</v>
      </c>
      <c r="R128" t="s">
        <v>543</v>
      </c>
      <c r="S128" t="s">
        <v>544</v>
      </c>
      <c r="T128" t="s">
        <v>545</v>
      </c>
      <c r="U128" t="s">
        <v>546</v>
      </c>
      <c r="V128" t="s">
        <v>547</v>
      </c>
      <c r="W128" t="s">
        <v>548</v>
      </c>
      <c r="X128" t="s">
        <v>549</v>
      </c>
      <c r="Y128" t="s">
        <v>550</v>
      </c>
      <c r="Z128" t="s">
        <v>551</v>
      </c>
      <c r="AA128" t="s">
        <v>552</v>
      </c>
      <c r="AB128" t="s">
        <v>553</v>
      </c>
      <c r="AC128" t="s">
        <v>554</v>
      </c>
      <c r="AD128"/>
      <c r="AE128"/>
      <c r="AF128"/>
      <c r="AG128"/>
      <c r="AH128"/>
      <c r="AI128"/>
      <c r="AJ128"/>
      <c r="AK128"/>
      <c r="AL128"/>
    </row>
    <row r="129">
      <c r="A129" t="s">
        <v>235</v>
      </c>
      <c r="B129" t="s">
        <v>238</v>
      </c>
      <c r="C129" t="s">
        <v>231</v>
      </c>
      <c r="D129" t="s">
        <v>213</v>
      </c>
      <c r="E129" t="s">
        <v>316</v>
      </c>
      <c r="F129"/>
      <c r="G129" t="s">
        <v>555</v>
      </c>
      <c r="H129" t="s">
        <v>556</v>
      </c>
      <c r="I129" t="s">
        <v>557</v>
      </c>
      <c r="J129" t="s">
        <v>558</v>
      </c>
      <c r="K129" t="s">
        <v>559</v>
      </c>
      <c r="L129" t="s">
        <v>560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>
      <c r="A130" t="s">
        <v>235</v>
      </c>
      <c r="B130" t="s">
        <v>238</v>
      </c>
      <c r="C130" t="s">
        <v>231</v>
      </c>
      <c r="D130" t="s">
        <v>213</v>
      </c>
      <c r="E130" t="s">
        <v>317</v>
      </c>
      <c r="F130"/>
      <c r="G130" t="s">
        <v>561</v>
      </c>
      <c r="H130" t="s">
        <v>561</v>
      </c>
      <c r="I130" t="s">
        <v>561</v>
      </c>
      <c r="J130" t="s">
        <v>561</v>
      </c>
      <c r="K130" t="s">
        <v>561</v>
      </c>
      <c r="L130" t="s">
        <v>561</v>
      </c>
      <c r="M130" t="s">
        <v>561</v>
      </c>
      <c r="N130" t="s">
        <v>561</v>
      </c>
      <c r="O130" t="s">
        <v>561</v>
      </c>
      <c r="P130" t="s">
        <v>561</v>
      </c>
      <c r="Q130" t="s">
        <v>561</v>
      </c>
      <c r="R130" t="s">
        <v>561</v>
      </c>
      <c r="S130" t="s">
        <v>561</v>
      </c>
      <c r="T130" t="s">
        <v>561</v>
      </c>
      <c r="U130" t="s">
        <v>561</v>
      </c>
      <c r="V130" t="s">
        <v>561</v>
      </c>
      <c r="W130" t="s">
        <v>561</v>
      </c>
      <c r="X130" t="s">
        <v>561</v>
      </c>
      <c r="Y130" t="s">
        <v>561</v>
      </c>
      <c r="Z130" t="s">
        <v>561</v>
      </c>
      <c r="AA130" t="s">
        <v>561</v>
      </c>
      <c r="AB130" t="s">
        <v>561</v>
      </c>
      <c r="AC130" t="s">
        <v>561</v>
      </c>
      <c r="AD130" t="n">
        <v>2556052</v>
      </c>
      <c r="AE130" t="n">
        <v>2556052</v>
      </c>
      <c r="AF130" t="n">
        <v>2556052</v>
      </c>
      <c r="AG130"/>
      <c r="AH130" t="n">
        <v>2556052</v>
      </c>
      <c r="AI130" t="n">
        <v>2556052</v>
      </c>
      <c r="AJ130" t="n">
        <v>2556052</v>
      </c>
      <c r="AK130" t="n">
        <v>2556052</v>
      </c>
      <c r="AL130"/>
    </row>
    <row r="131">
      <c r="A131" t="s">
        <v>235</v>
      </c>
      <c r="B131" t="s">
        <v>238</v>
      </c>
      <c r="C131" t="s">
        <v>231</v>
      </c>
      <c r="D131" t="s">
        <v>213</v>
      </c>
      <c r="E131" t="s">
        <v>320</v>
      </c>
      <c r="F131"/>
      <c r="G131" t="s">
        <v>533</v>
      </c>
      <c r="H131" t="s">
        <v>534</v>
      </c>
      <c r="I131" t="s">
        <v>535</v>
      </c>
      <c r="J131" t="s">
        <v>536</v>
      </c>
      <c r="K131" t="s">
        <v>537</v>
      </c>
      <c r="L131" t="s">
        <v>538</v>
      </c>
      <c r="M131" t="s">
        <v>539</v>
      </c>
      <c r="N131" t="s">
        <v>540</v>
      </c>
      <c r="O131" t="s">
        <v>541</v>
      </c>
      <c r="P131" t="s">
        <v>542</v>
      </c>
      <c r="Q131" t="s">
        <v>543</v>
      </c>
      <c r="R131" t="s">
        <v>544</v>
      </c>
      <c r="S131" t="s">
        <v>545</v>
      </c>
      <c r="T131" t="s">
        <v>546</v>
      </c>
      <c r="U131" t="s">
        <v>547</v>
      </c>
      <c r="V131" t="s">
        <v>548</v>
      </c>
      <c r="W131" t="s">
        <v>549</v>
      </c>
      <c r="X131" t="s">
        <v>550</v>
      </c>
      <c r="Y131" t="s">
        <v>551</v>
      </c>
      <c r="Z131" t="s">
        <v>552</v>
      </c>
      <c r="AA131" t="s">
        <v>553</v>
      </c>
      <c r="AB131" t="s">
        <v>554</v>
      </c>
      <c r="AC131" t="s">
        <v>562</v>
      </c>
      <c r="AD131" t="n">
        <v>0</v>
      </c>
      <c r="AE131" t="n">
        <v>0</v>
      </c>
      <c r="AF131" t="n">
        <v>0</v>
      </c>
      <c r="AG131"/>
      <c r="AH131" t="n">
        <v>0</v>
      </c>
      <c r="AI131" t="n">
        <v>0</v>
      </c>
      <c r="AJ131" t="n">
        <v>0</v>
      </c>
      <c r="AK131" t="n">
        <v>0</v>
      </c>
      <c r="AL131"/>
    </row>
    <row r="132">
      <c r="A132" t="s">
        <v>235</v>
      </c>
      <c r="B132" t="s">
        <v>238</v>
      </c>
      <c r="C132" t="s">
        <v>231</v>
      </c>
      <c r="D132" t="s">
        <v>213</v>
      </c>
      <c r="E132" t="s">
        <v>323</v>
      </c>
      <c r="F132"/>
      <c r="G132"/>
      <c r="H132"/>
      <c r="I132"/>
      <c r="J132"/>
      <c r="K132"/>
      <c r="L132"/>
      <c r="M132" t="s">
        <v>236</v>
      </c>
      <c r="N132"/>
      <c r="O132"/>
      <c r="P132"/>
      <c r="Q132"/>
      <c r="R132"/>
      <c r="S132"/>
      <c r="T132"/>
      <c r="U132"/>
      <c r="V132" t="s">
        <v>272</v>
      </c>
      <c r="W132"/>
      <c r="X132"/>
      <c r="Y132"/>
      <c r="Z132"/>
      <c r="AA132"/>
      <c r="AB132" t="s">
        <v>272</v>
      </c>
      <c r="AC132"/>
      <c r="AD132" t="n">
        <v>6</v>
      </c>
      <c r="AE132" t="n">
        <v>6</v>
      </c>
      <c r="AF132" t="n">
        <v>6</v>
      </c>
      <c r="AG132"/>
      <c r="AH132" t="n">
        <v>6</v>
      </c>
      <c r="AI132" t="n">
        <v>6</v>
      </c>
      <c r="AJ132" t="n">
        <v>6</v>
      </c>
      <c r="AK132" t="n">
        <v>6</v>
      </c>
      <c r="AL132"/>
    </row>
    <row r="133">
      <c r="A133" t="s">
        <v>235</v>
      </c>
      <c r="B133" t="s">
        <v>238</v>
      </c>
      <c r="C133" t="s">
        <v>231</v>
      </c>
      <c r="D133" t="s">
        <v>213</v>
      </c>
      <c r="E133" t="s">
        <v>324</v>
      </c>
      <c r="F133"/>
      <c r="G133"/>
      <c r="H133"/>
      <c r="I133"/>
      <c r="J133"/>
      <c r="K133"/>
      <c r="L133"/>
      <c r="M133" t="s">
        <v>236</v>
      </c>
      <c r="N133"/>
      <c r="O133"/>
      <c r="P133"/>
      <c r="Q133"/>
      <c r="R133"/>
      <c r="S133"/>
      <c r="T133"/>
      <c r="U133"/>
      <c r="V133" t="s">
        <v>272</v>
      </c>
      <c r="W133"/>
      <c r="X133"/>
      <c r="Y133"/>
      <c r="Z133"/>
      <c r="AA133"/>
      <c r="AB133" t="s">
        <v>272</v>
      </c>
      <c r="AC133"/>
      <c r="AD133" t="n">
        <v>12</v>
      </c>
      <c r="AE133" t="n">
        <v>12</v>
      </c>
      <c r="AF133" t="n">
        <v>12</v>
      </c>
      <c r="AG133"/>
      <c r="AH133" t="n">
        <v>12</v>
      </c>
      <c r="AI133" t="n">
        <v>12</v>
      </c>
      <c r="AJ133" t="n">
        <v>12</v>
      </c>
      <c r="AK133" t="n">
        <v>12</v>
      </c>
      <c r="AL133"/>
    </row>
    <row r="134">
      <c r="A134" t="s">
        <v>235</v>
      </c>
      <c r="B134" t="s">
        <v>238</v>
      </c>
      <c r="C134" t="s">
        <v>231</v>
      </c>
      <c r="D134" t="s">
        <v>213</v>
      </c>
      <c r="E134" t="s">
        <v>325</v>
      </c>
      <c r="F134"/>
      <c r="G134"/>
      <c r="H134"/>
      <c r="I134"/>
      <c r="J134"/>
      <c r="K134"/>
      <c r="L134"/>
      <c r="M134" t="s">
        <v>259</v>
      </c>
      <c r="N134"/>
      <c r="O134"/>
      <c r="P134"/>
      <c r="Q134"/>
      <c r="R134"/>
      <c r="S134"/>
      <c r="T134"/>
      <c r="U134"/>
      <c r="V134" t="s">
        <v>269</v>
      </c>
      <c r="W134"/>
      <c r="X134"/>
      <c r="Y134"/>
      <c r="Z134"/>
      <c r="AA134"/>
      <c r="AB134" t="s">
        <v>269</v>
      </c>
      <c r="AC134"/>
      <c r="AD134" t="n">
        <v>12</v>
      </c>
      <c r="AE134" t="n">
        <v>12</v>
      </c>
      <c r="AF134" t="n">
        <v>12</v>
      </c>
      <c r="AG134"/>
      <c r="AH134" t="n">
        <v>12</v>
      </c>
      <c r="AI134" t="n">
        <v>12</v>
      </c>
      <c r="AJ134" t="n">
        <v>12</v>
      </c>
      <c r="AK134" t="n">
        <v>12</v>
      </c>
      <c r="AL134"/>
    </row>
    <row r="135">
      <c r="A135" t="s">
        <v>235</v>
      </c>
      <c r="B135" t="s">
        <v>238</v>
      </c>
      <c r="C135" t="s">
        <v>231</v>
      </c>
      <c r="D135" t="s">
        <v>213</v>
      </c>
      <c r="E135" t="s">
        <v>326</v>
      </c>
      <c r="F135"/>
      <c r="G135"/>
      <c r="H135"/>
      <c r="I135"/>
      <c r="J135"/>
      <c r="K135"/>
      <c r="L135"/>
      <c r="M135" t="s">
        <v>563</v>
      </c>
      <c r="N135"/>
      <c r="O135"/>
      <c r="P135"/>
      <c r="Q135"/>
      <c r="R135"/>
      <c r="S135"/>
      <c r="T135"/>
      <c r="U135"/>
      <c r="V135" t="s">
        <v>564</v>
      </c>
      <c r="W135"/>
      <c r="X135"/>
      <c r="Y135"/>
      <c r="Z135"/>
      <c r="AA135"/>
      <c r="AB135" t="s">
        <v>565</v>
      </c>
      <c r="AC135"/>
      <c r="AD135" t="n">
        <v>0</v>
      </c>
      <c r="AE135" t="n">
        <v>0</v>
      </c>
      <c r="AF135" t="n">
        <v>0</v>
      </c>
      <c r="AG135"/>
      <c r="AH135" t="n">
        <v>0</v>
      </c>
      <c r="AI135" t="n">
        <v>0</v>
      </c>
      <c r="AJ135" t="n">
        <v>0</v>
      </c>
      <c r="AK135" t="n">
        <v>0</v>
      </c>
      <c r="AL135"/>
    </row>
    <row r="136">
      <c r="A136" t="s">
        <v>235</v>
      </c>
      <c r="B136" t="s">
        <v>238</v>
      </c>
      <c r="C136" t="s">
        <v>231</v>
      </c>
      <c r="D136" t="s">
        <v>213</v>
      </c>
      <c r="E136" t="s">
        <v>329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>
      <c r="A137" t="s">
        <v>235</v>
      </c>
      <c r="B137" t="s">
        <v>238</v>
      </c>
      <c r="C137" t="s">
        <v>231</v>
      </c>
      <c r="D137" t="s">
        <v>213</v>
      </c>
      <c r="E137" t="s">
        <v>330</v>
      </c>
      <c r="F137"/>
      <c r="G137"/>
      <c r="H137"/>
      <c r="I137"/>
      <c r="J137"/>
      <c r="K137"/>
      <c r="L137"/>
      <c r="M137" t="s">
        <v>566</v>
      </c>
      <c r="N137"/>
      <c r="O137"/>
      <c r="P137"/>
      <c r="Q137"/>
      <c r="R137"/>
      <c r="S137"/>
      <c r="T137"/>
      <c r="U137"/>
      <c r="V137" t="s">
        <v>567</v>
      </c>
      <c r="W137"/>
      <c r="X137"/>
      <c r="Y137"/>
      <c r="Z137"/>
      <c r="AA137"/>
      <c r="AB137" t="s">
        <v>568</v>
      </c>
      <c r="AC137"/>
      <c r="AD137" t="n">
        <v>0</v>
      </c>
      <c r="AE137"/>
      <c r="AF137" t="n">
        <v>23773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/>
    </row>
    <row r="138">
      <c r="A138" t="s">
        <v>235</v>
      </c>
      <c r="B138" t="s">
        <v>238</v>
      </c>
      <c r="C138" t="s">
        <v>231</v>
      </c>
      <c r="D138" t="s">
        <v>213</v>
      </c>
      <c r="E138" t="s">
        <v>331</v>
      </c>
      <c r="F138"/>
      <c r="G138"/>
      <c r="H138"/>
      <c r="I138"/>
      <c r="J138"/>
      <c r="K138"/>
      <c r="L138"/>
      <c r="M138" t="s">
        <v>270</v>
      </c>
      <c r="N138"/>
      <c r="O138"/>
      <c r="P138"/>
      <c r="Q138"/>
      <c r="R138"/>
      <c r="S138"/>
      <c r="T138"/>
      <c r="U138"/>
      <c r="V138" t="s">
        <v>285</v>
      </c>
      <c r="W138"/>
      <c r="X138"/>
      <c r="Y138"/>
      <c r="Z138"/>
      <c r="AA138"/>
      <c r="AB138" t="s">
        <v>290</v>
      </c>
      <c r="AC138"/>
      <c r="AD138"/>
      <c r="AE138"/>
      <c r="AF138"/>
      <c r="AG138"/>
      <c r="AH138"/>
      <c r="AI138"/>
      <c r="AJ138"/>
      <c r="AK138"/>
      <c r="AL138"/>
    </row>
    <row r="139">
      <c r="A139" t="s">
        <v>235</v>
      </c>
      <c r="B139" t="s">
        <v>238</v>
      </c>
      <c r="C139" t="s">
        <v>231</v>
      </c>
      <c r="D139" t="s">
        <v>213</v>
      </c>
      <c r="E139" t="s">
        <v>332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 t="n">
        <v>43147</v>
      </c>
      <c r="AE139"/>
      <c r="AF139" t="n">
        <v>43147</v>
      </c>
      <c r="AG139" t="n">
        <v>43147</v>
      </c>
      <c r="AH139" t="n">
        <v>43147</v>
      </c>
      <c r="AI139" t="n">
        <v>43147</v>
      </c>
      <c r="AJ139" t="n">
        <v>43147</v>
      </c>
      <c r="AK139" t="n">
        <v>43147</v>
      </c>
      <c r="AL139"/>
    </row>
    <row r="140">
      <c r="A140" t="s">
        <v>235</v>
      </c>
      <c r="B140" t="s">
        <v>238</v>
      </c>
      <c r="C140" t="s">
        <v>231</v>
      </c>
      <c r="D140" t="s">
        <v>213</v>
      </c>
      <c r="E140" t="s">
        <v>333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 t="n">
        <v>0</v>
      </c>
      <c r="AE140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/>
    </row>
    <row r="141">
      <c r="A141" t="s">
        <v>235</v>
      </c>
      <c r="B141" t="s">
        <v>238</v>
      </c>
      <c r="C141" t="s">
        <v>231</v>
      </c>
      <c r="D141" t="s">
        <v>213</v>
      </c>
      <c r="E141" t="s">
        <v>334</v>
      </c>
      <c r="F141"/>
      <c r="G141" t="s">
        <v>335</v>
      </c>
      <c r="H141" t="s">
        <v>335</v>
      </c>
      <c r="I141" t="s">
        <v>335</v>
      </c>
      <c r="J141" t="s">
        <v>335</v>
      </c>
      <c r="K141" t="s">
        <v>335</v>
      </c>
      <c r="L141" t="s">
        <v>335</v>
      </c>
      <c r="M141" t="s">
        <v>335</v>
      </c>
      <c r="N141" t="s">
        <v>335</v>
      </c>
      <c r="O141" t="s">
        <v>335</v>
      </c>
      <c r="P141" t="s">
        <v>335</v>
      </c>
      <c r="Q141" t="s">
        <v>335</v>
      </c>
      <c r="R141" t="s">
        <v>335</v>
      </c>
      <c r="S141" t="s">
        <v>335</v>
      </c>
      <c r="T141" t="s">
        <v>335</v>
      </c>
      <c r="U141" t="s">
        <v>335</v>
      </c>
      <c r="V141" t="s">
        <v>335</v>
      </c>
      <c r="W141" t="s">
        <v>335</v>
      </c>
      <c r="X141" t="s">
        <v>335</v>
      </c>
      <c r="Y141" t="s">
        <v>335</v>
      </c>
      <c r="Z141" t="s">
        <v>335</v>
      </c>
      <c r="AA141" t="s">
        <v>335</v>
      </c>
      <c r="AB141" t="s">
        <v>335</v>
      </c>
      <c r="AC141" t="s">
        <v>335</v>
      </c>
      <c r="AD141" t="n">
        <v>6</v>
      </c>
      <c r="AE141"/>
      <c r="AF141" t="n">
        <v>6</v>
      </c>
      <c r="AG141" t="n">
        <v>6</v>
      </c>
      <c r="AH141" t="n">
        <v>6</v>
      </c>
      <c r="AI141" t="n">
        <v>6</v>
      </c>
      <c r="AJ141" t="n">
        <v>6</v>
      </c>
      <c r="AK141" t="n">
        <v>6</v>
      </c>
      <c r="AL141"/>
    </row>
    <row r="142">
      <c r="A142" t="s">
        <v>235</v>
      </c>
      <c r="B142" t="s">
        <v>238</v>
      </c>
      <c r="C142" t="s">
        <v>231</v>
      </c>
      <c r="D142" t="s">
        <v>213</v>
      </c>
      <c r="E142" t="s">
        <v>336</v>
      </c>
      <c r="F142"/>
      <c r="G142" t="s">
        <v>337</v>
      </c>
      <c r="H142" t="s">
        <v>337</v>
      </c>
      <c r="I142" t="s">
        <v>337</v>
      </c>
      <c r="J142" t="s">
        <v>337</v>
      </c>
      <c r="K142" t="s">
        <v>337</v>
      </c>
      <c r="L142" t="s">
        <v>337</v>
      </c>
      <c r="M142" t="s">
        <v>337</v>
      </c>
      <c r="N142" t="s">
        <v>337</v>
      </c>
      <c r="O142" t="s">
        <v>337</v>
      </c>
      <c r="P142" t="s">
        <v>337</v>
      </c>
      <c r="Q142" t="s">
        <v>337</v>
      </c>
      <c r="R142" t="s">
        <v>337</v>
      </c>
      <c r="S142" t="s">
        <v>337</v>
      </c>
      <c r="T142" t="s">
        <v>337</v>
      </c>
      <c r="U142" t="s">
        <v>337</v>
      </c>
      <c r="V142" t="s">
        <v>337</v>
      </c>
      <c r="W142" t="s">
        <v>337</v>
      </c>
      <c r="X142" t="s">
        <v>337</v>
      </c>
      <c r="Y142" t="s">
        <v>337</v>
      </c>
      <c r="Z142" t="s">
        <v>337</v>
      </c>
      <c r="AA142" t="s">
        <v>337</v>
      </c>
      <c r="AB142" t="s">
        <v>337</v>
      </c>
      <c r="AC142" t="s">
        <v>337</v>
      </c>
      <c r="AD142" t="n">
        <v>12</v>
      </c>
      <c r="AE142"/>
      <c r="AF142" t="n">
        <v>12</v>
      </c>
      <c r="AG142" t="n">
        <v>12</v>
      </c>
      <c r="AH142" t="n">
        <v>12</v>
      </c>
      <c r="AI142" t="n">
        <v>12</v>
      </c>
      <c r="AJ142" t="n">
        <v>12</v>
      </c>
      <c r="AK142" t="n">
        <v>12</v>
      </c>
      <c r="AL142"/>
    </row>
    <row r="143">
      <c r="A143" t="s">
        <v>235</v>
      </c>
      <c r="B143" t="s">
        <v>238</v>
      </c>
      <c r="C143" t="s">
        <v>231</v>
      </c>
      <c r="D143" t="s">
        <v>213</v>
      </c>
      <c r="E143" t="s">
        <v>338</v>
      </c>
      <c r="F143"/>
      <c r="G143" t="s">
        <v>337</v>
      </c>
      <c r="H143" t="s">
        <v>337</v>
      </c>
      <c r="I143" t="s">
        <v>337</v>
      </c>
      <c r="J143" t="s">
        <v>337</v>
      </c>
      <c r="K143" t="s">
        <v>337</v>
      </c>
      <c r="L143" t="s">
        <v>337</v>
      </c>
      <c r="M143" t="s">
        <v>337</v>
      </c>
      <c r="N143" t="s">
        <v>337</v>
      </c>
      <c r="O143" t="s">
        <v>337</v>
      </c>
      <c r="P143" t="s">
        <v>337</v>
      </c>
      <c r="Q143" t="s">
        <v>337</v>
      </c>
      <c r="R143" t="s">
        <v>337</v>
      </c>
      <c r="S143" t="s">
        <v>337</v>
      </c>
      <c r="T143" t="s">
        <v>337</v>
      </c>
      <c r="U143" t="s">
        <v>337</v>
      </c>
      <c r="V143" t="s">
        <v>337</v>
      </c>
      <c r="W143" t="s">
        <v>337</v>
      </c>
      <c r="X143" t="s">
        <v>337</v>
      </c>
      <c r="Y143" t="s">
        <v>337</v>
      </c>
      <c r="Z143" t="s">
        <v>337</v>
      </c>
      <c r="AA143" t="s">
        <v>337</v>
      </c>
      <c r="AB143" t="s">
        <v>337</v>
      </c>
      <c r="AC143" t="s">
        <v>337</v>
      </c>
      <c r="AD143" t="n">
        <v>12</v>
      </c>
      <c r="AE143"/>
      <c r="AF143" t="n">
        <v>12</v>
      </c>
      <c r="AG143" t="n">
        <v>12</v>
      </c>
      <c r="AH143" t="n">
        <v>12</v>
      </c>
      <c r="AI143" t="n">
        <v>12</v>
      </c>
      <c r="AJ143" t="n">
        <v>12</v>
      </c>
      <c r="AK143" t="n">
        <v>12</v>
      </c>
      <c r="AL143"/>
    </row>
    <row r="144">
      <c r="A144" t="s">
        <v>235</v>
      </c>
      <c r="B144" t="s">
        <v>238</v>
      </c>
      <c r="C144" t="s">
        <v>231</v>
      </c>
      <c r="D144" t="s">
        <v>213</v>
      </c>
      <c r="E144" t="s">
        <v>339</v>
      </c>
      <c r="F144"/>
      <c r="G144" t="s">
        <v>569</v>
      </c>
      <c r="H144" t="s">
        <v>570</v>
      </c>
      <c r="I144" t="s">
        <v>571</v>
      </c>
      <c r="J144" t="s">
        <v>572</v>
      </c>
      <c r="K144" t="s">
        <v>573</v>
      </c>
      <c r="L144" t="s">
        <v>574</v>
      </c>
      <c r="M144" t="s">
        <v>575</v>
      </c>
      <c r="N144" t="s">
        <v>576</v>
      </c>
      <c r="O144" t="s">
        <v>577</v>
      </c>
      <c r="P144" t="s">
        <v>578</v>
      </c>
      <c r="Q144" t="s">
        <v>579</v>
      </c>
      <c r="R144" t="s">
        <v>580</v>
      </c>
      <c r="S144" t="s">
        <v>581</v>
      </c>
      <c r="T144" t="s">
        <v>582</v>
      </c>
      <c r="U144" t="s">
        <v>583</v>
      </c>
      <c r="V144" t="s">
        <v>584</v>
      </c>
      <c r="W144" t="s">
        <v>585</v>
      </c>
      <c r="X144" t="s">
        <v>586</v>
      </c>
      <c r="Y144" t="s">
        <v>587</v>
      </c>
      <c r="Z144" t="s">
        <v>588</v>
      </c>
      <c r="AA144" t="s">
        <v>589</v>
      </c>
      <c r="AB144" t="s">
        <v>590</v>
      </c>
      <c r="AC144" t="s">
        <v>591</v>
      </c>
      <c r="AD144" t="n">
        <v>0</v>
      </c>
      <c r="AE144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/>
    </row>
    <row r="145">
      <c r="A145" t="s">
        <v>235</v>
      </c>
      <c r="B145" t="s">
        <v>238</v>
      </c>
      <c r="C145" t="s">
        <v>231</v>
      </c>
      <c r="D145" t="s">
        <v>213</v>
      </c>
      <c r="E145" t="s">
        <v>358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</row>
    <row r="146">
      <c r="A146" t="s">
        <v>235</v>
      </c>
      <c r="B146" t="s">
        <v>239</v>
      </c>
      <c r="C146"/>
      <c r="D146" t="s">
        <v>213</v>
      </c>
      <c r="E146" t="s">
        <v>297</v>
      </c>
      <c r="F146"/>
      <c r="G146" t="s">
        <v>592</v>
      </c>
      <c r="H146" t="s">
        <v>593</v>
      </c>
      <c r="I146" t="s">
        <v>594</v>
      </c>
      <c r="J146" t="s">
        <v>595</v>
      </c>
      <c r="K146" t="s">
        <v>596</v>
      </c>
      <c r="L146" t="s">
        <v>597</v>
      </c>
      <c r="M146" t="s">
        <v>360</v>
      </c>
      <c r="N146" t="s">
        <v>360</v>
      </c>
      <c r="O146" t="s">
        <v>360</v>
      </c>
      <c r="P146" t="s">
        <v>360</v>
      </c>
      <c r="Q146" t="s">
        <v>360</v>
      </c>
      <c r="R146" t="s">
        <v>360</v>
      </c>
      <c r="S146" t="s">
        <v>360</v>
      </c>
      <c r="T146" t="s">
        <v>360</v>
      </c>
      <c r="U146" t="s">
        <v>360</v>
      </c>
      <c r="V146" t="s">
        <v>360</v>
      </c>
      <c r="W146" t="s">
        <v>360</v>
      </c>
      <c r="X146" t="s">
        <v>598</v>
      </c>
      <c r="Y146" t="s">
        <v>599</v>
      </c>
      <c r="Z146" t="s">
        <v>600</v>
      </c>
      <c r="AA146" t="s">
        <v>601</v>
      </c>
      <c r="AB146" t="s">
        <v>602</v>
      </c>
      <c r="AC146" t="s">
        <v>603</v>
      </c>
      <c r="AD146" t="n">
        <v>723421</v>
      </c>
      <c r="AE146" t="n">
        <v>680274</v>
      </c>
      <c r="AF146" t="n">
        <v>637127</v>
      </c>
      <c r="AG146" t="n">
        <v>593980</v>
      </c>
      <c r="AH146" t="n">
        <v>550833</v>
      </c>
      <c r="AI146" t="n">
        <v>507686</v>
      </c>
      <c r="AJ146" t="n">
        <v>464539</v>
      </c>
      <c r="AK146" t="n">
        <v>421392</v>
      </c>
      <c r="AL146"/>
    </row>
    <row r="147">
      <c r="A147" t="s">
        <v>235</v>
      </c>
      <c r="B147" t="s">
        <v>239</v>
      </c>
      <c r="C147"/>
      <c r="D147" t="s">
        <v>213</v>
      </c>
      <c r="E147" t="s">
        <v>316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>
      <c r="A148" t="s">
        <v>235</v>
      </c>
      <c r="B148" t="s">
        <v>239</v>
      </c>
      <c r="C148"/>
      <c r="D148" t="s">
        <v>213</v>
      </c>
      <c r="E148" t="s">
        <v>317</v>
      </c>
      <c r="F148"/>
      <c r="G148" t="s">
        <v>604</v>
      </c>
      <c r="H148" t="s">
        <v>604</v>
      </c>
      <c r="I148" t="s">
        <v>604</v>
      </c>
      <c r="J148" t="s">
        <v>604</v>
      </c>
      <c r="K148" t="s">
        <v>604</v>
      </c>
      <c r="L148" t="s">
        <v>604</v>
      </c>
      <c r="M148" t="s">
        <v>604</v>
      </c>
      <c r="N148" t="s">
        <v>604</v>
      </c>
      <c r="O148" t="s">
        <v>604</v>
      </c>
      <c r="P148" t="s">
        <v>604</v>
      </c>
      <c r="Q148" t="s">
        <v>604</v>
      </c>
      <c r="R148" t="s">
        <v>604</v>
      </c>
      <c r="S148" t="s">
        <v>604</v>
      </c>
      <c r="T148" t="s">
        <v>604</v>
      </c>
      <c r="U148" t="s">
        <v>604</v>
      </c>
      <c r="V148" t="s">
        <v>604</v>
      </c>
      <c r="W148" t="s">
        <v>604</v>
      </c>
      <c r="X148" t="s">
        <v>604</v>
      </c>
      <c r="Y148" t="s">
        <v>604</v>
      </c>
      <c r="Z148" t="s">
        <v>604</v>
      </c>
      <c r="AA148" t="s">
        <v>604</v>
      </c>
      <c r="AB148" t="s">
        <v>604</v>
      </c>
      <c r="AC148" t="s">
        <v>604</v>
      </c>
      <c r="AD148" t="n">
        <v>43147</v>
      </c>
      <c r="AE148" t="n">
        <v>43147</v>
      </c>
      <c r="AF148" t="n">
        <v>43147</v>
      </c>
      <c r="AG148" t="n">
        <v>43147</v>
      </c>
      <c r="AH148" t="n">
        <v>43147</v>
      </c>
      <c r="AI148" t="n">
        <v>43147</v>
      </c>
      <c r="AJ148" t="n">
        <v>43147</v>
      </c>
      <c r="AK148" t="n">
        <v>43147</v>
      </c>
      <c r="AL148"/>
    </row>
    <row r="149">
      <c r="A149" t="s">
        <v>235</v>
      </c>
      <c r="B149" t="s">
        <v>239</v>
      </c>
      <c r="C149"/>
      <c r="D149" t="s">
        <v>213</v>
      </c>
      <c r="E149" t="s">
        <v>320</v>
      </c>
      <c r="F149"/>
      <c r="G149" t="s">
        <v>593</v>
      </c>
      <c r="H149" t="s">
        <v>594</v>
      </c>
      <c r="I149" t="s">
        <v>595</v>
      </c>
      <c r="J149" t="s">
        <v>596</v>
      </c>
      <c r="K149" t="s">
        <v>597</v>
      </c>
      <c r="L149" t="s">
        <v>360</v>
      </c>
      <c r="M149" t="s">
        <v>360</v>
      </c>
      <c r="N149" t="s">
        <v>360</v>
      </c>
      <c r="O149" t="s">
        <v>360</v>
      </c>
      <c r="P149" t="s">
        <v>360</v>
      </c>
      <c r="Q149" t="s">
        <v>360</v>
      </c>
      <c r="R149" t="s">
        <v>360</v>
      </c>
      <c r="S149" t="s">
        <v>360</v>
      </c>
      <c r="T149" t="s">
        <v>360</v>
      </c>
      <c r="U149" t="s">
        <v>360</v>
      </c>
      <c r="V149" t="s">
        <v>360</v>
      </c>
      <c r="W149" t="s">
        <v>598</v>
      </c>
      <c r="X149" t="s">
        <v>599</v>
      </c>
      <c r="Y149" t="s">
        <v>600</v>
      </c>
      <c r="Z149" t="s">
        <v>601</v>
      </c>
      <c r="AA149" t="s">
        <v>602</v>
      </c>
      <c r="AB149" t="s">
        <v>603</v>
      </c>
      <c r="AC149" t="s">
        <v>605</v>
      </c>
      <c r="AD149" t="n">
        <v>680274</v>
      </c>
      <c r="AE149" t="n">
        <v>637127</v>
      </c>
      <c r="AF149" t="n">
        <v>593980</v>
      </c>
      <c r="AG149" t="n">
        <v>550833</v>
      </c>
      <c r="AH149" t="n">
        <v>507686</v>
      </c>
      <c r="AI149" t="n">
        <v>464539</v>
      </c>
      <c r="AJ149" t="n">
        <v>421392</v>
      </c>
      <c r="AK149" t="n">
        <v>378245</v>
      </c>
      <c r="AL149"/>
    </row>
    <row r="150">
      <c r="A150" t="s">
        <v>235</v>
      </c>
      <c r="B150" t="s">
        <v>239</v>
      </c>
      <c r="C150"/>
      <c r="D150" t="s">
        <v>213</v>
      </c>
      <c r="E150" t="s">
        <v>323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 t="s">
        <v>272</v>
      </c>
      <c r="X150"/>
      <c r="Y150"/>
      <c r="Z150"/>
      <c r="AA150"/>
      <c r="AB150"/>
      <c r="AC150" t="s">
        <v>272</v>
      </c>
      <c r="AD150" t="n">
        <v>6</v>
      </c>
      <c r="AE150" t="n">
        <v>6</v>
      </c>
      <c r="AF150" t="n">
        <v>6</v>
      </c>
      <c r="AG150" t="n">
        <v>6</v>
      </c>
      <c r="AH150" t="n">
        <v>6</v>
      </c>
      <c r="AI150" t="n">
        <v>6</v>
      </c>
      <c r="AJ150" t="n">
        <v>6</v>
      </c>
      <c r="AK150" t="n">
        <v>6</v>
      </c>
      <c r="AL150"/>
    </row>
    <row r="151">
      <c r="A151" t="s">
        <v>235</v>
      </c>
      <c r="B151" t="s">
        <v>239</v>
      </c>
      <c r="C151"/>
      <c r="D151" t="s">
        <v>213</v>
      </c>
      <c r="E151" t="s">
        <v>324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 t="s">
        <v>272</v>
      </c>
      <c r="X151"/>
      <c r="Y151"/>
      <c r="Z151"/>
      <c r="AA151"/>
      <c r="AB151"/>
      <c r="AC151" t="s">
        <v>272</v>
      </c>
      <c r="AD151" t="n">
        <v>12</v>
      </c>
      <c r="AE151" t="n">
        <v>12</v>
      </c>
      <c r="AF151" t="n">
        <v>12</v>
      </c>
      <c r="AG151" t="n">
        <v>12</v>
      </c>
      <c r="AH151" t="n">
        <v>12</v>
      </c>
      <c r="AI151" t="n">
        <v>12</v>
      </c>
      <c r="AJ151" t="n">
        <v>12</v>
      </c>
      <c r="AK151" t="n">
        <v>12</v>
      </c>
      <c r="AL151"/>
    </row>
    <row r="152">
      <c r="A152" t="s">
        <v>235</v>
      </c>
      <c r="B152" t="s">
        <v>239</v>
      </c>
      <c r="C152"/>
      <c r="D152" t="s">
        <v>213</v>
      </c>
      <c r="E152" t="s">
        <v>325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 t="s">
        <v>269</v>
      </c>
      <c r="X152"/>
      <c r="Y152"/>
      <c r="Z152"/>
      <c r="AA152"/>
      <c r="AB152"/>
      <c r="AC152" t="s">
        <v>269</v>
      </c>
      <c r="AD152" t="n">
        <v>12</v>
      </c>
      <c r="AE152" t="n">
        <v>12</v>
      </c>
      <c r="AF152" t="n">
        <v>12</v>
      </c>
      <c r="AG152" t="n">
        <v>12</v>
      </c>
      <c r="AH152" t="n">
        <v>12</v>
      </c>
      <c r="AI152" t="n">
        <v>12</v>
      </c>
      <c r="AJ152" t="n">
        <v>12</v>
      </c>
      <c r="AK152" t="n">
        <v>12</v>
      </c>
      <c r="AL152"/>
    </row>
    <row r="153">
      <c r="A153" t="s">
        <v>235</v>
      </c>
      <c r="B153" t="s">
        <v>239</v>
      </c>
      <c r="C153"/>
      <c r="D153" t="s">
        <v>213</v>
      </c>
      <c r="E153" t="s">
        <v>326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 t="s">
        <v>606</v>
      </c>
      <c r="X153"/>
      <c r="Y153"/>
      <c r="Z153"/>
      <c r="AA153"/>
      <c r="AB153"/>
      <c r="AC153" t="s">
        <v>607</v>
      </c>
      <c r="AD153" t="n">
        <v>15.7664264027626</v>
      </c>
      <c r="AE153" t="n">
        <v>14.7664264027626</v>
      </c>
      <c r="AF153" t="n">
        <v>13.7664264027626</v>
      </c>
      <c r="AG153" t="n">
        <v>12.7664264027626</v>
      </c>
      <c r="AH153" t="n">
        <v>11.7664264027626</v>
      </c>
      <c r="AI153" t="n">
        <v>10.7664264027626</v>
      </c>
      <c r="AJ153" t="n">
        <v>9.76642640276265</v>
      </c>
      <c r="AK153" t="n">
        <v>8.76642640276265</v>
      </c>
      <c r="AL153"/>
    </row>
    <row r="154">
      <c r="A154" t="s">
        <v>235</v>
      </c>
      <c r="B154" t="s">
        <v>239</v>
      </c>
      <c r="C154"/>
      <c r="D154" t="s">
        <v>213</v>
      </c>
      <c r="E154" t="s">
        <v>329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>
      <c r="A155" t="s">
        <v>235</v>
      </c>
      <c r="B155" t="s">
        <v>239</v>
      </c>
      <c r="C155"/>
      <c r="D155" t="s">
        <v>213</v>
      </c>
      <c r="E155" t="s">
        <v>330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 t="s">
        <v>608</v>
      </c>
      <c r="X155"/>
      <c r="Y155"/>
      <c r="Z155"/>
      <c r="AA155"/>
      <c r="AB155"/>
      <c r="AC155" t="s">
        <v>609</v>
      </c>
      <c r="AD155"/>
      <c r="AE155"/>
      <c r="AF155"/>
      <c r="AG155"/>
      <c r="AH155"/>
      <c r="AI155"/>
      <c r="AJ155"/>
      <c r="AK155"/>
      <c r="AL155"/>
    </row>
    <row r="156">
      <c r="A156" t="s">
        <v>235</v>
      </c>
      <c r="B156" t="s">
        <v>239</v>
      </c>
      <c r="C156"/>
      <c r="D156" t="s">
        <v>213</v>
      </c>
      <c r="E156" t="s">
        <v>331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 t="s">
        <v>286</v>
      </c>
      <c r="X156"/>
      <c r="Y156"/>
      <c r="Z156"/>
      <c r="AA156"/>
      <c r="AB156"/>
      <c r="AC156" t="s">
        <v>291</v>
      </c>
      <c r="AD156"/>
      <c r="AE156"/>
      <c r="AF156"/>
      <c r="AG156"/>
      <c r="AH156"/>
      <c r="AI156"/>
      <c r="AJ156"/>
      <c r="AK156"/>
      <c r="AL156"/>
    </row>
    <row r="157">
      <c r="A157" t="s">
        <v>235</v>
      </c>
      <c r="B157" t="s">
        <v>239</v>
      </c>
      <c r="C157"/>
      <c r="D157" t="s">
        <v>213</v>
      </c>
      <c r="E157" t="s">
        <v>332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</row>
    <row r="158">
      <c r="A158" t="s">
        <v>235</v>
      </c>
      <c r="B158" t="s">
        <v>239</v>
      </c>
      <c r="C158"/>
      <c r="D158" t="s">
        <v>213</v>
      </c>
      <c r="E158" t="s">
        <v>333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</row>
    <row r="159">
      <c r="A159" t="s">
        <v>235</v>
      </c>
      <c r="B159" t="s">
        <v>239</v>
      </c>
      <c r="C159"/>
      <c r="D159" t="s">
        <v>213</v>
      </c>
      <c r="E159" t="s">
        <v>334</v>
      </c>
      <c r="F159"/>
      <c r="G159" t="s">
        <v>335</v>
      </c>
      <c r="H159" t="s">
        <v>335</v>
      </c>
      <c r="I159" t="s">
        <v>335</v>
      </c>
      <c r="J159" t="s">
        <v>335</v>
      </c>
      <c r="K159" t="s">
        <v>335</v>
      </c>
      <c r="L159" t="s">
        <v>335</v>
      </c>
      <c r="M159" t="s">
        <v>335</v>
      </c>
      <c r="N159" t="s">
        <v>335</v>
      </c>
      <c r="O159" t="s">
        <v>335</v>
      </c>
      <c r="P159" t="s">
        <v>335</v>
      </c>
      <c r="Q159" t="s">
        <v>335</v>
      </c>
      <c r="R159" t="s">
        <v>335</v>
      </c>
      <c r="S159" t="s">
        <v>335</v>
      </c>
      <c r="T159" t="s">
        <v>335</v>
      </c>
      <c r="U159" t="s">
        <v>335</v>
      </c>
      <c r="V159" t="s">
        <v>335</v>
      </c>
      <c r="W159" t="s">
        <v>335</v>
      </c>
      <c r="X159" t="s">
        <v>335</v>
      </c>
      <c r="Y159" t="s">
        <v>335</v>
      </c>
      <c r="Z159" t="s">
        <v>335</v>
      </c>
      <c r="AA159" t="s">
        <v>335</v>
      </c>
      <c r="AB159" t="s">
        <v>335</v>
      </c>
      <c r="AC159" t="s">
        <v>335</v>
      </c>
      <c r="AD159"/>
      <c r="AE159"/>
      <c r="AF159"/>
      <c r="AG159"/>
      <c r="AH159"/>
      <c r="AI159"/>
      <c r="AJ159"/>
      <c r="AK159"/>
      <c r="AL159"/>
    </row>
    <row r="160">
      <c r="A160" t="s">
        <v>235</v>
      </c>
      <c r="B160" t="s">
        <v>239</v>
      </c>
      <c r="C160"/>
      <c r="D160" t="s">
        <v>213</v>
      </c>
      <c r="E160" t="s">
        <v>336</v>
      </c>
      <c r="F160"/>
      <c r="G160" t="s">
        <v>337</v>
      </c>
      <c r="H160" t="s">
        <v>337</v>
      </c>
      <c r="I160" t="s">
        <v>337</v>
      </c>
      <c r="J160" t="s">
        <v>337</v>
      </c>
      <c r="K160" t="s">
        <v>337</v>
      </c>
      <c r="L160" t="s">
        <v>337</v>
      </c>
      <c r="M160" t="s">
        <v>337</v>
      </c>
      <c r="N160" t="s">
        <v>337</v>
      </c>
      <c r="O160" t="s">
        <v>337</v>
      </c>
      <c r="P160" t="s">
        <v>337</v>
      </c>
      <c r="Q160" t="s">
        <v>337</v>
      </c>
      <c r="R160" t="s">
        <v>337</v>
      </c>
      <c r="S160" t="s">
        <v>337</v>
      </c>
      <c r="T160" t="s">
        <v>337</v>
      </c>
      <c r="U160" t="s">
        <v>337</v>
      </c>
      <c r="V160" t="s">
        <v>337</v>
      </c>
      <c r="W160" t="s">
        <v>337</v>
      </c>
      <c r="X160" t="s">
        <v>337</v>
      </c>
      <c r="Y160" t="s">
        <v>337</v>
      </c>
      <c r="Z160" t="s">
        <v>337</v>
      </c>
      <c r="AA160" t="s">
        <v>337</v>
      </c>
      <c r="AB160" t="s">
        <v>337</v>
      </c>
      <c r="AC160" t="s">
        <v>337</v>
      </c>
      <c r="AD160"/>
      <c r="AE160"/>
      <c r="AF160"/>
      <c r="AG160"/>
      <c r="AH160"/>
      <c r="AI160"/>
      <c r="AJ160"/>
      <c r="AK160"/>
      <c r="AL160"/>
    </row>
    <row r="161">
      <c r="A161" t="s">
        <v>235</v>
      </c>
      <c r="B161" t="s">
        <v>239</v>
      </c>
      <c r="C161"/>
      <c r="D161" t="s">
        <v>213</v>
      </c>
      <c r="E161" t="s">
        <v>338</v>
      </c>
      <c r="F161"/>
      <c r="G161" t="s">
        <v>337</v>
      </c>
      <c r="H161" t="s">
        <v>337</v>
      </c>
      <c r="I161" t="s">
        <v>337</v>
      </c>
      <c r="J161" t="s">
        <v>337</v>
      </c>
      <c r="K161" t="s">
        <v>337</v>
      </c>
      <c r="L161" t="s">
        <v>337</v>
      </c>
      <c r="M161" t="s">
        <v>337</v>
      </c>
      <c r="N161" t="s">
        <v>337</v>
      </c>
      <c r="O161" t="s">
        <v>337</v>
      </c>
      <c r="P161" t="s">
        <v>337</v>
      </c>
      <c r="Q161" t="s">
        <v>337</v>
      </c>
      <c r="R161" t="s">
        <v>337</v>
      </c>
      <c r="S161" t="s">
        <v>337</v>
      </c>
      <c r="T161" t="s">
        <v>337</v>
      </c>
      <c r="U161" t="s">
        <v>337</v>
      </c>
      <c r="V161" t="s">
        <v>337</v>
      </c>
      <c r="W161" t="s">
        <v>337</v>
      </c>
      <c r="X161" t="s">
        <v>337</v>
      </c>
      <c r="Y161" t="s">
        <v>337</v>
      </c>
      <c r="Z161" t="s">
        <v>337</v>
      </c>
      <c r="AA161" t="s">
        <v>337</v>
      </c>
      <c r="AB161" t="s">
        <v>337</v>
      </c>
      <c r="AC161" t="s">
        <v>337</v>
      </c>
      <c r="AD161"/>
      <c r="AE161"/>
      <c r="AF161"/>
      <c r="AG161"/>
      <c r="AH161"/>
      <c r="AI161"/>
      <c r="AJ161"/>
      <c r="AK161"/>
      <c r="AL161"/>
    </row>
    <row r="162">
      <c r="A162" t="s">
        <v>235</v>
      </c>
      <c r="B162" t="s">
        <v>239</v>
      </c>
      <c r="C162"/>
      <c r="D162" t="s">
        <v>213</v>
      </c>
      <c r="E162" t="s">
        <v>339</v>
      </c>
      <c r="F162"/>
      <c r="G162" t="s">
        <v>610</v>
      </c>
      <c r="H162" t="s">
        <v>611</v>
      </c>
      <c r="I162" t="s">
        <v>612</v>
      </c>
      <c r="J162" t="s">
        <v>613</v>
      </c>
      <c r="K162" t="s">
        <v>614</v>
      </c>
      <c r="L162" t="s">
        <v>360</v>
      </c>
      <c r="M162" t="s">
        <v>360</v>
      </c>
      <c r="N162" t="s">
        <v>360</v>
      </c>
      <c r="O162" t="s">
        <v>360</v>
      </c>
      <c r="P162" t="s">
        <v>360</v>
      </c>
      <c r="Q162" t="s">
        <v>360</v>
      </c>
      <c r="R162" t="s">
        <v>360</v>
      </c>
      <c r="S162" t="s">
        <v>360</v>
      </c>
      <c r="T162" t="s">
        <v>360</v>
      </c>
      <c r="U162" t="s">
        <v>360</v>
      </c>
      <c r="V162" t="s">
        <v>360</v>
      </c>
      <c r="W162" t="s">
        <v>615</v>
      </c>
      <c r="X162" t="s">
        <v>616</v>
      </c>
      <c r="Y162" t="s">
        <v>617</v>
      </c>
      <c r="Z162" t="s">
        <v>618</v>
      </c>
      <c r="AA162" t="s">
        <v>619</v>
      </c>
      <c r="AB162" t="s">
        <v>620</v>
      </c>
      <c r="AC162" t="s">
        <v>621</v>
      </c>
      <c r="AD162"/>
      <c r="AE162"/>
      <c r="AF162"/>
      <c r="AG162"/>
      <c r="AH162"/>
      <c r="AI162"/>
      <c r="AJ162"/>
      <c r="AK162"/>
      <c r="AL162"/>
    </row>
    <row r="163">
      <c r="A163" t="s">
        <v>235</v>
      </c>
      <c r="B163" t="s">
        <v>239</v>
      </c>
      <c r="C163"/>
      <c r="D163" t="s">
        <v>213</v>
      </c>
      <c r="E163" t="s">
        <v>358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>
      <c r="A164" t="s">
        <v>235</v>
      </c>
      <c r="B164" t="s">
        <v>240</v>
      </c>
      <c r="C164" t="s">
        <v>241</v>
      </c>
      <c r="D164" t="s">
        <v>213</v>
      </c>
      <c r="E164" t="s">
        <v>297</v>
      </c>
      <c r="F164"/>
      <c r="G164" t="s">
        <v>622</v>
      </c>
      <c r="H164" t="s">
        <v>623</v>
      </c>
      <c r="I164" t="s">
        <v>624</v>
      </c>
      <c r="J164" t="s">
        <v>625</v>
      </c>
      <c r="K164" t="s">
        <v>626</v>
      </c>
      <c r="L164" t="s">
        <v>627</v>
      </c>
      <c r="M164" t="s">
        <v>628</v>
      </c>
      <c r="N164" t="s">
        <v>629</v>
      </c>
      <c r="O164" t="s">
        <v>630</v>
      </c>
      <c r="P164" t="s">
        <v>631</v>
      </c>
      <c r="Q164" t="s">
        <v>632</v>
      </c>
      <c r="R164" t="s">
        <v>633</v>
      </c>
      <c r="S164" t="s">
        <v>634</v>
      </c>
      <c r="T164" t="s">
        <v>635</v>
      </c>
      <c r="U164" t="s">
        <v>636</v>
      </c>
      <c r="V164" t="s">
        <v>637</v>
      </c>
      <c r="W164" t="s">
        <v>638</v>
      </c>
      <c r="X164" t="s">
        <v>639</v>
      </c>
      <c r="Y164" t="s">
        <v>640</v>
      </c>
      <c r="Z164" t="s">
        <v>641</v>
      </c>
      <c r="AA164" t="s">
        <v>642</v>
      </c>
      <c r="AB164" t="s">
        <v>643</v>
      </c>
      <c r="AC164" t="s">
        <v>644</v>
      </c>
      <c r="AD164"/>
      <c r="AE164"/>
      <c r="AF164"/>
      <c r="AG164"/>
      <c r="AH164"/>
      <c r="AI164"/>
      <c r="AJ164"/>
      <c r="AK164"/>
      <c r="AL164"/>
    </row>
    <row r="165">
      <c r="A165" t="s">
        <v>235</v>
      </c>
      <c r="B165" t="s">
        <v>240</v>
      </c>
      <c r="C165" t="s">
        <v>241</v>
      </c>
      <c r="D165" t="s">
        <v>213</v>
      </c>
      <c r="E165" t="s">
        <v>316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>
      <c r="A166" t="s">
        <v>235</v>
      </c>
      <c r="B166" t="s">
        <v>240</v>
      </c>
      <c r="C166" t="s">
        <v>241</v>
      </c>
      <c r="D166" t="s">
        <v>213</v>
      </c>
      <c r="E166" t="s">
        <v>317</v>
      </c>
      <c r="F166"/>
      <c r="G166" t="s">
        <v>645</v>
      </c>
      <c r="H166" t="s">
        <v>645</v>
      </c>
      <c r="I166" t="s">
        <v>645</v>
      </c>
      <c r="J166" t="s">
        <v>645</v>
      </c>
      <c r="K166" t="s">
        <v>645</v>
      </c>
      <c r="L166" t="s">
        <v>645</v>
      </c>
      <c r="M166" t="s">
        <v>645</v>
      </c>
      <c r="N166" t="s">
        <v>645</v>
      </c>
      <c r="O166" t="s">
        <v>645</v>
      </c>
      <c r="P166" t="s">
        <v>645</v>
      </c>
      <c r="Q166" t="s">
        <v>645</v>
      </c>
      <c r="R166" t="s">
        <v>645</v>
      </c>
      <c r="S166" t="s">
        <v>645</v>
      </c>
      <c r="T166" t="s">
        <v>645</v>
      </c>
      <c r="U166" t="s">
        <v>645</v>
      </c>
      <c r="V166" t="s">
        <v>645</v>
      </c>
      <c r="W166" t="s">
        <v>645</v>
      </c>
      <c r="X166" t="s">
        <v>645</v>
      </c>
      <c r="Y166" t="s">
        <v>645</v>
      </c>
      <c r="Z166" t="s">
        <v>645</v>
      </c>
      <c r="AA166" t="s">
        <v>645</v>
      </c>
      <c r="AB166" t="s">
        <v>645</v>
      </c>
      <c r="AC166" t="s">
        <v>645</v>
      </c>
      <c r="AD166"/>
      <c r="AE166"/>
      <c r="AF166"/>
      <c r="AG166"/>
      <c r="AH166"/>
      <c r="AI166"/>
      <c r="AJ166"/>
      <c r="AK166"/>
      <c r="AL166"/>
    </row>
    <row r="167">
      <c r="A167" t="s">
        <v>235</v>
      </c>
      <c r="B167" t="s">
        <v>240</v>
      </c>
      <c r="C167" t="s">
        <v>241</v>
      </c>
      <c r="D167" t="s">
        <v>213</v>
      </c>
      <c r="E167" t="s">
        <v>320</v>
      </c>
      <c r="F167"/>
      <c r="G167" t="s">
        <v>623</v>
      </c>
      <c r="H167" t="s">
        <v>624</v>
      </c>
      <c r="I167" t="s">
        <v>625</v>
      </c>
      <c r="J167" t="s">
        <v>626</v>
      </c>
      <c r="K167" t="s">
        <v>627</v>
      </c>
      <c r="L167" t="s">
        <v>628</v>
      </c>
      <c r="M167" t="s">
        <v>629</v>
      </c>
      <c r="N167" t="s">
        <v>630</v>
      </c>
      <c r="O167" t="s">
        <v>631</v>
      </c>
      <c r="P167" t="s">
        <v>632</v>
      </c>
      <c r="Q167" t="s">
        <v>633</v>
      </c>
      <c r="R167" t="s">
        <v>634</v>
      </c>
      <c r="S167" t="s">
        <v>635</v>
      </c>
      <c r="T167" t="s">
        <v>636</v>
      </c>
      <c r="U167" t="s">
        <v>637</v>
      </c>
      <c r="V167" t="s">
        <v>638</v>
      </c>
      <c r="W167" t="s">
        <v>639</v>
      </c>
      <c r="X167" t="s">
        <v>640</v>
      </c>
      <c r="Y167" t="s">
        <v>641</v>
      </c>
      <c r="Z167" t="s">
        <v>642</v>
      </c>
      <c r="AA167" t="s">
        <v>643</v>
      </c>
      <c r="AB167" t="s">
        <v>644</v>
      </c>
      <c r="AC167" t="s">
        <v>646</v>
      </c>
      <c r="AD167"/>
      <c r="AE167"/>
      <c r="AF167"/>
      <c r="AG167"/>
      <c r="AH167"/>
      <c r="AI167"/>
      <c r="AJ167"/>
      <c r="AK167"/>
      <c r="AL167"/>
    </row>
    <row r="168">
      <c r="A168" t="s">
        <v>235</v>
      </c>
      <c r="B168" t="s">
        <v>240</v>
      </c>
      <c r="C168" t="s">
        <v>241</v>
      </c>
      <c r="D168" t="s">
        <v>213</v>
      </c>
      <c r="E168" t="s">
        <v>323</v>
      </c>
      <c r="F168"/>
      <c r="G168" t="s">
        <v>242</v>
      </c>
      <c r="H168" t="s">
        <v>236</v>
      </c>
      <c r="I168" t="s">
        <v>236</v>
      </c>
      <c r="J168" t="s">
        <v>242</v>
      </c>
      <c r="K168"/>
      <c r="L168"/>
      <c r="M168" t="s">
        <v>236</v>
      </c>
      <c r="N168"/>
      <c r="O168" t="s">
        <v>236</v>
      </c>
      <c r="P168" t="s">
        <v>236</v>
      </c>
      <c r="Q168"/>
      <c r="R168"/>
      <c r="S168"/>
      <c r="T168" t="s">
        <v>272</v>
      </c>
      <c r="U168"/>
      <c r="V168"/>
      <c r="W168"/>
      <c r="X168"/>
      <c r="Y168"/>
      <c r="Z168"/>
      <c r="AA168" t="s">
        <v>272</v>
      </c>
      <c r="AB168"/>
      <c r="AC168"/>
      <c r="AD168"/>
      <c r="AE168"/>
      <c r="AF168"/>
      <c r="AG168"/>
      <c r="AH168"/>
      <c r="AI168"/>
      <c r="AJ168"/>
      <c r="AK168"/>
      <c r="AL168"/>
    </row>
    <row r="169">
      <c r="A169" t="s">
        <v>235</v>
      </c>
      <c r="B169" t="s">
        <v>240</v>
      </c>
      <c r="C169" t="s">
        <v>241</v>
      </c>
      <c r="D169" t="s">
        <v>213</v>
      </c>
      <c r="E169" t="s">
        <v>324</v>
      </c>
      <c r="F169"/>
      <c r="G169" t="s">
        <v>243</v>
      </c>
      <c r="H169" t="s">
        <v>236</v>
      </c>
      <c r="I169" t="s">
        <v>252</v>
      </c>
      <c r="J169" t="s">
        <v>243</v>
      </c>
      <c r="K169"/>
      <c r="L169"/>
      <c r="M169" t="s">
        <v>236</v>
      </c>
      <c r="N169"/>
      <c r="O169" t="s">
        <v>236</v>
      </c>
      <c r="P169" t="s">
        <v>236</v>
      </c>
      <c r="Q169"/>
      <c r="R169"/>
      <c r="S169"/>
      <c r="T169" t="s">
        <v>272</v>
      </c>
      <c r="U169"/>
      <c r="V169"/>
      <c r="W169"/>
      <c r="X169"/>
      <c r="Y169"/>
      <c r="Z169"/>
      <c r="AA169" t="s">
        <v>272</v>
      </c>
      <c r="AB169"/>
      <c r="AC169"/>
      <c r="AD169"/>
      <c r="AE169"/>
      <c r="AF169"/>
      <c r="AG169"/>
      <c r="AH169"/>
      <c r="AI169"/>
      <c r="AJ169"/>
      <c r="AK169"/>
      <c r="AL169"/>
    </row>
    <row r="170">
      <c r="A170" t="s">
        <v>235</v>
      </c>
      <c r="B170" t="s">
        <v>240</v>
      </c>
      <c r="C170" t="s">
        <v>241</v>
      </c>
      <c r="D170" t="s">
        <v>213</v>
      </c>
      <c r="E170" t="s">
        <v>325</v>
      </c>
      <c r="F170"/>
      <c r="G170" t="s">
        <v>237</v>
      </c>
      <c r="H170" t="s">
        <v>237</v>
      </c>
      <c r="I170" t="s">
        <v>237</v>
      </c>
      <c r="J170" t="s">
        <v>237</v>
      </c>
      <c r="K170"/>
      <c r="L170"/>
      <c r="M170" t="s">
        <v>254</v>
      </c>
      <c r="N170"/>
      <c r="O170" t="s">
        <v>259</v>
      </c>
      <c r="P170" t="s">
        <v>259</v>
      </c>
      <c r="Q170"/>
      <c r="R170"/>
      <c r="S170"/>
      <c r="T170" t="s">
        <v>269</v>
      </c>
      <c r="U170"/>
      <c r="V170"/>
      <c r="W170"/>
      <c r="X170"/>
      <c r="Y170"/>
      <c r="Z170"/>
      <c r="AA170" t="s">
        <v>269</v>
      </c>
      <c r="AB170"/>
      <c r="AC170"/>
      <c r="AD170"/>
      <c r="AE170"/>
      <c r="AF170"/>
      <c r="AG170"/>
      <c r="AH170"/>
      <c r="AI170"/>
      <c r="AJ170"/>
      <c r="AK170"/>
      <c r="AL170"/>
    </row>
    <row r="171">
      <c r="A171" t="s">
        <v>235</v>
      </c>
      <c r="B171" t="s">
        <v>240</v>
      </c>
      <c r="C171" t="s">
        <v>241</v>
      </c>
      <c r="D171" t="s">
        <v>213</v>
      </c>
      <c r="E171" t="s">
        <v>326</v>
      </c>
      <c r="F171"/>
      <c r="G171" t="s">
        <v>647</v>
      </c>
      <c r="H171" t="s">
        <v>648</v>
      </c>
      <c r="I171" t="s">
        <v>649</v>
      </c>
      <c r="J171" t="s">
        <v>650</v>
      </c>
      <c r="K171"/>
      <c r="L171"/>
      <c r="M171" t="s">
        <v>651</v>
      </c>
      <c r="N171"/>
      <c r="O171" t="s">
        <v>652</v>
      </c>
      <c r="P171" t="s">
        <v>653</v>
      </c>
      <c r="Q171"/>
      <c r="R171"/>
      <c r="S171"/>
      <c r="T171" t="s">
        <v>654</v>
      </c>
      <c r="U171"/>
      <c r="V171"/>
      <c r="W171"/>
      <c r="X171"/>
      <c r="Y171"/>
      <c r="Z171"/>
      <c r="AA171" t="s">
        <v>655</v>
      </c>
      <c r="AB171"/>
      <c r="AC171"/>
      <c r="AD171"/>
      <c r="AE171"/>
      <c r="AF171"/>
      <c r="AG171"/>
      <c r="AH171"/>
      <c r="AI171"/>
      <c r="AJ171"/>
      <c r="AK171"/>
      <c r="AL171"/>
    </row>
    <row r="172">
      <c r="A172" t="s">
        <v>235</v>
      </c>
      <c r="B172" t="s">
        <v>240</v>
      </c>
      <c r="C172" t="s">
        <v>241</v>
      </c>
      <c r="D172" t="s">
        <v>213</v>
      </c>
      <c r="E172" t="s">
        <v>329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>
      <c r="A173" t="s">
        <v>235</v>
      </c>
      <c r="B173" t="s">
        <v>240</v>
      </c>
      <c r="C173" t="s">
        <v>241</v>
      </c>
      <c r="D173" t="s">
        <v>213</v>
      </c>
      <c r="E173" t="s">
        <v>330</v>
      </c>
      <c r="F173"/>
      <c r="G173" t="s">
        <v>656</v>
      </c>
      <c r="H173" t="s">
        <v>657</v>
      </c>
      <c r="I173" t="s">
        <v>658</v>
      </c>
      <c r="J173" t="s">
        <v>659</v>
      </c>
      <c r="K173"/>
      <c r="L173"/>
      <c r="M173" t="s">
        <v>660</v>
      </c>
      <c r="N173"/>
      <c r="O173" t="s">
        <v>661</v>
      </c>
      <c r="P173" t="s">
        <v>662</v>
      </c>
      <c r="Q173"/>
      <c r="R173"/>
      <c r="S173"/>
      <c r="T173" t="s">
        <v>663</v>
      </c>
      <c r="U173"/>
      <c r="V173"/>
      <c r="W173"/>
      <c r="X173"/>
      <c r="Y173"/>
      <c r="Z173"/>
      <c r="AA173" t="s">
        <v>664</v>
      </c>
      <c r="AB173"/>
      <c r="AC173"/>
      <c r="AD173"/>
      <c r="AE173"/>
      <c r="AF173"/>
      <c r="AG173"/>
      <c r="AH173"/>
      <c r="AI173"/>
      <c r="AJ173"/>
      <c r="AK173"/>
      <c r="AL173"/>
    </row>
    <row r="174">
      <c r="A174" t="s">
        <v>235</v>
      </c>
      <c r="B174" t="s">
        <v>240</v>
      </c>
      <c r="C174" t="s">
        <v>241</v>
      </c>
      <c r="D174" t="s">
        <v>213</v>
      </c>
      <c r="E174" t="s">
        <v>331</v>
      </c>
      <c r="F174"/>
      <c r="G174" t="s">
        <v>244</v>
      </c>
      <c r="H174" t="s">
        <v>249</v>
      </c>
      <c r="I174" t="s">
        <v>253</v>
      </c>
      <c r="J174" t="s">
        <v>258</v>
      </c>
      <c r="K174"/>
      <c r="L174"/>
      <c r="M174" t="s">
        <v>270</v>
      </c>
      <c r="N174"/>
      <c r="O174" t="s">
        <v>278</v>
      </c>
      <c r="P174" t="s">
        <v>280</v>
      </c>
      <c r="Q174"/>
      <c r="R174"/>
      <c r="S174"/>
      <c r="T174" t="s">
        <v>284</v>
      </c>
      <c r="U174"/>
      <c r="V174"/>
      <c r="W174"/>
      <c r="X174"/>
      <c r="Y174"/>
      <c r="Z174"/>
      <c r="AA174" t="s">
        <v>289</v>
      </c>
      <c r="AB174"/>
      <c r="AC174"/>
      <c r="AD174"/>
      <c r="AE174"/>
      <c r="AF174"/>
      <c r="AG174"/>
      <c r="AH174"/>
      <c r="AI174"/>
      <c r="AJ174"/>
      <c r="AK174"/>
      <c r="AL174"/>
    </row>
    <row r="175">
      <c r="A175" t="s">
        <v>235</v>
      </c>
      <c r="B175" t="s">
        <v>240</v>
      </c>
      <c r="C175" t="s">
        <v>241</v>
      </c>
      <c r="D175" t="s">
        <v>213</v>
      </c>
      <c r="E175" t="s">
        <v>332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</row>
    <row r="176">
      <c r="A176" t="s">
        <v>235</v>
      </c>
      <c r="B176" t="s">
        <v>240</v>
      </c>
      <c r="C176" t="s">
        <v>241</v>
      </c>
      <c r="D176" t="s">
        <v>213</v>
      </c>
      <c r="E176" t="s">
        <v>333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</row>
    <row r="177">
      <c r="A177" t="s">
        <v>235</v>
      </c>
      <c r="B177" t="s">
        <v>240</v>
      </c>
      <c r="C177" t="s">
        <v>241</v>
      </c>
      <c r="D177" t="s">
        <v>213</v>
      </c>
      <c r="E177" t="s">
        <v>334</v>
      </c>
      <c r="F177"/>
      <c r="G177" t="s">
        <v>335</v>
      </c>
      <c r="H177" t="s">
        <v>335</v>
      </c>
      <c r="I177" t="s">
        <v>335</v>
      </c>
      <c r="J177" t="s">
        <v>335</v>
      </c>
      <c r="K177" t="s">
        <v>335</v>
      </c>
      <c r="L177" t="s">
        <v>335</v>
      </c>
      <c r="M177" t="s">
        <v>335</v>
      </c>
      <c r="N177" t="s">
        <v>335</v>
      </c>
      <c r="O177" t="s">
        <v>335</v>
      </c>
      <c r="P177" t="s">
        <v>335</v>
      </c>
      <c r="Q177" t="s">
        <v>335</v>
      </c>
      <c r="R177" t="s">
        <v>335</v>
      </c>
      <c r="S177" t="s">
        <v>335</v>
      </c>
      <c r="T177" t="s">
        <v>335</v>
      </c>
      <c r="U177" t="s">
        <v>335</v>
      </c>
      <c r="V177" t="s">
        <v>335</v>
      </c>
      <c r="W177" t="s">
        <v>335</v>
      </c>
      <c r="X177" t="s">
        <v>335</v>
      </c>
      <c r="Y177" t="s">
        <v>335</v>
      </c>
      <c r="Z177" t="s">
        <v>335</v>
      </c>
      <c r="AA177" t="s">
        <v>335</v>
      </c>
      <c r="AB177" t="s">
        <v>335</v>
      </c>
      <c r="AC177" t="s">
        <v>335</v>
      </c>
      <c r="AD177"/>
      <c r="AE177"/>
      <c r="AF177"/>
      <c r="AG177"/>
      <c r="AH177"/>
      <c r="AI177"/>
      <c r="AJ177"/>
      <c r="AK177"/>
      <c r="AL177"/>
    </row>
    <row r="178">
      <c r="A178" t="s">
        <v>235</v>
      </c>
      <c r="B178" t="s">
        <v>240</v>
      </c>
      <c r="C178" t="s">
        <v>241</v>
      </c>
      <c r="D178" t="s">
        <v>213</v>
      </c>
      <c r="E178" t="s">
        <v>336</v>
      </c>
      <c r="F178"/>
      <c r="G178" t="s">
        <v>337</v>
      </c>
      <c r="H178" t="s">
        <v>337</v>
      </c>
      <c r="I178" t="s">
        <v>337</v>
      </c>
      <c r="J178" t="s">
        <v>337</v>
      </c>
      <c r="K178" t="s">
        <v>337</v>
      </c>
      <c r="L178" t="s">
        <v>337</v>
      </c>
      <c r="M178" t="s">
        <v>337</v>
      </c>
      <c r="N178" t="s">
        <v>337</v>
      </c>
      <c r="O178" t="s">
        <v>337</v>
      </c>
      <c r="P178" t="s">
        <v>337</v>
      </c>
      <c r="Q178" t="s">
        <v>337</v>
      </c>
      <c r="R178" t="s">
        <v>337</v>
      </c>
      <c r="S178" t="s">
        <v>337</v>
      </c>
      <c r="T178" t="s">
        <v>337</v>
      </c>
      <c r="U178" t="s">
        <v>337</v>
      </c>
      <c r="V178" t="s">
        <v>337</v>
      </c>
      <c r="W178" t="s">
        <v>337</v>
      </c>
      <c r="X178" t="s">
        <v>337</v>
      </c>
      <c r="Y178" t="s">
        <v>337</v>
      </c>
      <c r="Z178" t="s">
        <v>337</v>
      </c>
      <c r="AA178" t="s">
        <v>337</v>
      </c>
      <c r="AB178" t="s">
        <v>337</v>
      </c>
      <c r="AC178" t="s">
        <v>337</v>
      </c>
      <c r="AD178"/>
      <c r="AE178"/>
      <c r="AF178"/>
      <c r="AG178"/>
      <c r="AH178"/>
      <c r="AI178"/>
      <c r="AJ178"/>
      <c r="AK178"/>
      <c r="AL178"/>
    </row>
    <row r="179">
      <c r="A179" t="s">
        <v>235</v>
      </c>
      <c r="B179" t="s">
        <v>240</v>
      </c>
      <c r="C179" t="s">
        <v>241</v>
      </c>
      <c r="D179" t="s">
        <v>213</v>
      </c>
      <c r="E179" t="s">
        <v>338</v>
      </c>
      <c r="F179"/>
      <c r="G179" t="s">
        <v>337</v>
      </c>
      <c r="H179" t="s">
        <v>337</v>
      </c>
      <c r="I179" t="s">
        <v>337</v>
      </c>
      <c r="J179" t="s">
        <v>337</v>
      </c>
      <c r="K179" t="s">
        <v>337</v>
      </c>
      <c r="L179" t="s">
        <v>337</v>
      </c>
      <c r="M179" t="s">
        <v>337</v>
      </c>
      <c r="N179" t="s">
        <v>337</v>
      </c>
      <c r="O179" t="s">
        <v>337</v>
      </c>
      <c r="P179" t="s">
        <v>337</v>
      </c>
      <c r="Q179" t="s">
        <v>337</v>
      </c>
      <c r="R179" t="s">
        <v>337</v>
      </c>
      <c r="S179" t="s">
        <v>337</v>
      </c>
      <c r="T179" t="s">
        <v>337</v>
      </c>
      <c r="U179" t="s">
        <v>337</v>
      </c>
      <c r="V179" t="s">
        <v>337</v>
      </c>
      <c r="W179" t="s">
        <v>337</v>
      </c>
      <c r="X179" t="s">
        <v>337</v>
      </c>
      <c r="Y179" t="s">
        <v>337</v>
      </c>
      <c r="Z179" t="s">
        <v>337</v>
      </c>
      <c r="AA179" t="s">
        <v>337</v>
      </c>
      <c r="AB179" t="s">
        <v>337</v>
      </c>
      <c r="AC179" t="s">
        <v>337</v>
      </c>
      <c r="AD179"/>
      <c r="AE179"/>
      <c r="AF179"/>
      <c r="AG179"/>
      <c r="AH179"/>
      <c r="AI179"/>
      <c r="AJ179"/>
      <c r="AK179"/>
      <c r="AL179"/>
    </row>
    <row r="180">
      <c r="A180" t="s">
        <v>235</v>
      </c>
      <c r="B180" t="s">
        <v>240</v>
      </c>
      <c r="C180" t="s">
        <v>241</v>
      </c>
      <c r="D180" t="s">
        <v>213</v>
      </c>
      <c r="E180" t="s">
        <v>339</v>
      </c>
      <c r="F180"/>
      <c r="G180" t="s">
        <v>665</v>
      </c>
      <c r="H180" t="s">
        <v>666</v>
      </c>
      <c r="I180" t="s">
        <v>667</v>
      </c>
      <c r="J180" t="s">
        <v>668</v>
      </c>
      <c r="K180" t="s">
        <v>669</v>
      </c>
      <c r="L180" t="s">
        <v>670</v>
      </c>
      <c r="M180" t="s">
        <v>671</v>
      </c>
      <c r="N180" t="s">
        <v>672</v>
      </c>
      <c r="O180" t="s">
        <v>673</v>
      </c>
      <c r="P180" t="s">
        <v>674</v>
      </c>
      <c r="Q180" t="s">
        <v>675</v>
      </c>
      <c r="R180" t="s">
        <v>676</v>
      </c>
      <c r="S180" t="s">
        <v>677</v>
      </c>
      <c r="T180" t="s">
        <v>678</v>
      </c>
      <c r="U180" t="s">
        <v>679</v>
      </c>
      <c r="V180" t="s">
        <v>680</v>
      </c>
      <c r="W180" t="s">
        <v>681</v>
      </c>
      <c r="X180" t="s">
        <v>682</v>
      </c>
      <c r="Y180" t="s">
        <v>683</v>
      </c>
      <c r="Z180" t="s">
        <v>684</v>
      </c>
      <c r="AA180" t="s">
        <v>685</v>
      </c>
      <c r="AB180" t="s">
        <v>686</v>
      </c>
      <c r="AC180" t="s">
        <v>687</v>
      </c>
      <c r="AD180"/>
      <c r="AE180"/>
      <c r="AF180"/>
      <c r="AG180"/>
      <c r="AH180"/>
      <c r="AI180"/>
      <c r="AJ180"/>
      <c r="AK180"/>
      <c r="AL180"/>
    </row>
    <row r="181">
      <c r="A181" t="s">
        <v>235</v>
      </c>
      <c r="B181" t="s">
        <v>240</v>
      </c>
      <c r="C181" t="s">
        <v>241</v>
      </c>
      <c r="D181" t="s">
        <v>213</v>
      </c>
      <c r="E181" t="s">
        <v>358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>
      <c r="A182" t="s">
        <v>235</v>
      </c>
      <c r="B182" t="s">
        <v>245</v>
      </c>
      <c r="C182" t="s">
        <v>246</v>
      </c>
      <c r="D182" t="s">
        <v>213</v>
      </c>
      <c r="E182" t="s">
        <v>297</v>
      </c>
      <c r="F182"/>
      <c r="G182" t="s">
        <v>688</v>
      </c>
      <c r="H182" t="s">
        <v>689</v>
      </c>
      <c r="I182" t="s">
        <v>690</v>
      </c>
      <c r="J182" t="s">
        <v>691</v>
      </c>
      <c r="K182" t="s">
        <v>692</v>
      </c>
      <c r="L182" t="s">
        <v>693</v>
      </c>
      <c r="M182" t="s">
        <v>694</v>
      </c>
      <c r="N182" t="s">
        <v>695</v>
      </c>
      <c r="O182" t="s">
        <v>696</v>
      </c>
      <c r="P182" t="s">
        <v>697</v>
      </c>
      <c r="Q182" t="s">
        <v>698</v>
      </c>
      <c r="R182" t="s">
        <v>699</v>
      </c>
      <c r="S182" t="s">
        <v>700</v>
      </c>
      <c r="T182" t="s">
        <v>701</v>
      </c>
      <c r="U182" t="s">
        <v>702</v>
      </c>
      <c r="V182" t="s">
        <v>703</v>
      </c>
      <c r="W182" t="s">
        <v>704</v>
      </c>
      <c r="X182" t="s">
        <v>705</v>
      </c>
      <c r="Y182" t="s">
        <v>706</v>
      </c>
      <c r="Z182" t="s">
        <v>707</v>
      </c>
      <c r="AA182" t="s">
        <v>708</v>
      </c>
      <c r="AB182" t="s">
        <v>709</v>
      </c>
      <c r="AC182" t="s">
        <v>710</v>
      </c>
      <c r="AD182"/>
      <c r="AE182"/>
      <c r="AF182"/>
      <c r="AG182"/>
      <c r="AH182"/>
      <c r="AI182"/>
      <c r="AJ182"/>
      <c r="AK182"/>
      <c r="AL182"/>
    </row>
    <row r="183">
      <c r="A183" t="s">
        <v>235</v>
      </c>
      <c r="B183" t="s">
        <v>245</v>
      </c>
      <c r="C183" t="s">
        <v>246</v>
      </c>
      <c r="D183" t="s">
        <v>213</v>
      </c>
      <c r="E183" t="s">
        <v>316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>
      <c r="A184" t="s">
        <v>235</v>
      </c>
      <c r="B184" t="s">
        <v>245</v>
      </c>
      <c r="C184" t="s">
        <v>246</v>
      </c>
      <c r="D184" t="s">
        <v>213</v>
      </c>
      <c r="E184" t="s">
        <v>317</v>
      </c>
      <c r="F184"/>
      <c r="G184" t="s">
        <v>711</v>
      </c>
      <c r="H184" t="s">
        <v>711</v>
      </c>
      <c r="I184" t="s">
        <v>711</v>
      </c>
      <c r="J184" t="s">
        <v>711</v>
      </c>
      <c r="K184" t="s">
        <v>711</v>
      </c>
      <c r="L184" t="s">
        <v>711</v>
      </c>
      <c r="M184" t="s">
        <v>711</v>
      </c>
      <c r="N184" t="s">
        <v>711</v>
      </c>
      <c r="O184" t="s">
        <v>711</v>
      </c>
      <c r="P184" t="s">
        <v>711</v>
      </c>
      <c r="Q184" t="s">
        <v>711</v>
      </c>
      <c r="R184" t="s">
        <v>711</v>
      </c>
      <c r="S184" t="s">
        <v>711</v>
      </c>
      <c r="T184" t="s">
        <v>711</v>
      </c>
      <c r="U184" t="s">
        <v>711</v>
      </c>
      <c r="V184" t="s">
        <v>711</v>
      </c>
      <c r="W184" t="s">
        <v>711</v>
      </c>
      <c r="X184" t="s">
        <v>711</v>
      </c>
      <c r="Y184" t="s">
        <v>711</v>
      </c>
      <c r="Z184" t="s">
        <v>711</v>
      </c>
      <c r="AA184" t="s">
        <v>711</v>
      </c>
      <c r="AB184" t="s">
        <v>711</v>
      </c>
      <c r="AC184" t="s">
        <v>711</v>
      </c>
      <c r="AD184"/>
      <c r="AE184"/>
      <c r="AF184"/>
      <c r="AG184"/>
      <c r="AH184"/>
      <c r="AI184"/>
      <c r="AJ184"/>
      <c r="AK184"/>
      <c r="AL184"/>
    </row>
    <row r="185">
      <c r="A185" t="s">
        <v>235</v>
      </c>
      <c r="B185" t="s">
        <v>245</v>
      </c>
      <c r="C185" t="s">
        <v>246</v>
      </c>
      <c r="D185" t="s">
        <v>213</v>
      </c>
      <c r="E185" t="s">
        <v>320</v>
      </c>
      <c r="F185"/>
      <c r="G185" t="s">
        <v>689</v>
      </c>
      <c r="H185" t="s">
        <v>690</v>
      </c>
      <c r="I185" t="s">
        <v>691</v>
      </c>
      <c r="J185" t="s">
        <v>692</v>
      </c>
      <c r="K185" t="s">
        <v>693</v>
      </c>
      <c r="L185" t="s">
        <v>694</v>
      </c>
      <c r="M185" t="s">
        <v>695</v>
      </c>
      <c r="N185" t="s">
        <v>696</v>
      </c>
      <c r="O185" t="s">
        <v>697</v>
      </c>
      <c r="P185" t="s">
        <v>698</v>
      </c>
      <c r="Q185" t="s">
        <v>699</v>
      </c>
      <c r="R185" t="s">
        <v>700</v>
      </c>
      <c r="S185" t="s">
        <v>701</v>
      </c>
      <c r="T185" t="s">
        <v>702</v>
      </c>
      <c r="U185" t="s">
        <v>703</v>
      </c>
      <c r="V185" t="s">
        <v>704</v>
      </c>
      <c r="W185" t="s">
        <v>705</v>
      </c>
      <c r="X185" t="s">
        <v>706</v>
      </c>
      <c r="Y185" t="s">
        <v>707</v>
      </c>
      <c r="Z185" t="s">
        <v>708</v>
      </c>
      <c r="AA185" t="s">
        <v>709</v>
      </c>
      <c r="AB185" t="s">
        <v>710</v>
      </c>
      <c r="AC185" t="s">
        <v>712</v>
      </c>
      <c r="AD185"/>
      <c r="AE185"/>
      <c r="AF185"/>
      <c r="AG185"/>
      <c r="AH185"/>
      <c r="AI185"/>
      <c r="AJ185"/>
      <c r="AK185"/>
      <c r="AL185"/>
    </row>
    <row r="186">
      <c r="A186" t="s">
        <v>235</v>
      </c>
      <c r="B186" t="s">
        <v>245</v>
      </c>
      <c r="C186" t="s">
        <v>246</v>
      </c>
      <c r="D186" t="s">
        <v>213</v>
      </c>
      <c r="E186" t="s">
        <v>323</v>
      </c>
      <c r="F186"/>
      <c r="G186" t="s">
        <v>236</v>
      </c>
      <c r="H186" t="s">
        <v>236</v>
      </c>
      <c r="I186"/>
      <c r="J186"/>
      <c r="K186"/>
      <c r="L186"/>
      <c r="M186"/>
      <c r="N186" t="s">
        <v>236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>
      <c r="A187" t="s">
        <v>235</v>
      </c>
      <c r="B187" t="s">
        <v>245</v>
      </c>
      <c r="C187" t="s">
        <v>246</v>
      </c>
      <c r="D187" t="s">
        <v>213</v>
      </c>
      <c r="E187" t="s">
        <v>324</v>
      </c>
      <c r="F187"/>
      <c r="G187" t="s">
        <v>236</v>
      </c>
      <c r="H187" t="s">
        <v>236</v>
      </c>
      <c r="I187"/>
      <c r="J187"/>
      <c r="K187"/>
      <c r="L187"/>
      <c r="M187"/>
      <c r="N187" t="s">
        <v>236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>
      <c r="A188" t="s">
        <v>235</v>
      </c>
      <c r="B188" t="s">
        <v>245</v>
      </c>
      <c r="C188" t="s">
        <v>246</v>
      </c>
      <c r="D188" t="s">
        <v>213</v>
      </c>
      <c r="E188" t="s">
        <v>325</v>
      </c>
      <c r="F188"/>
      <c r="G188" t="s">
        <v>237</v>
      </c>
      <c r="H188" t="s">
        <v>237</v>
      </c>
      <c r="I188"/>
      <c r="J188"/>
      <c r="K188"/>
      <c r="L188"/>
      <c r="M188"/>
      <c r="N188" t="s">
        <v>259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>
      <c r="A189" t="s">
        <v>235</v>
      </c>
      <c r="B189" t="s">
        <v>245</v>
      </c>
      <c r="C189" t="s">
        <v>246</v>
      </c>
      <c r="D189" t="s">
        <v>213</v>
      </c>
      <c r="E189" t="s">
        <v>326</v>
      </c>
      <c r="F189"/>
      <c r="G189" t="s">
        <v>649</v>
      </c>
      <c r="H189" t="s">
        <v>648</v>
      </c>
      <c r="I189"/>
      <c r="J189"/>
      <c r="K189"/>
      <c r="L189"/>
      <c r="M189"/>
      <c r="N189" t="s">
        <v>713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>
      <c r="A190" t="s">
        <v>235</v>
      </c>
      <c r="B190" t="s">
        <v>245</v>
      </c>
      <c r="C190" t="s">
        <v>246</v>
      </c>
      <c r="D190" t="s">
        <v>213</v>
      </c>
      <c r="E190" t="s">
        <v>329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1">
      <c r="A191" t="s">
        <v>235</v>
      </c>
      <c r="B191" t="s">
        <v>245</v>
      </c>
      <c r="C191" t="s">
        <v>246</v>
      </c>
      <c r="D191" t="s">
        <v>213</v>
      </c>
      <c r="E191" t="s">
        <v>330</v>
      </c>
      <c r="F191"/>
      <c r="G191" t="s">
        <v>714</v>
      </c>
      <c r="H191" t="s">
        <v>715</v>
      </c>
      <c r="I191"/>
      <c r="J191"/>
      <c r="K191"/>
      <c r="L191"/>
      <c r="M191"/>
      <c r="N191" t="s">
        <v>716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 t="n">
        <v>1512930</v>
      </c>
      <c r="AE191" t="n">
        <v>1357620</v>
      </c>
      <c r="AF191"/>
      <c r="AG191" t="n">
        <v>2332740</v>
      </c>
      <c r="AH191" t="n">
        <v>2176194</v>
      </c>
      <c r="AI191" t="n">
        <v>2019236</v>
      </c>
      <c r="AJ191"/>
      <c r="AK191"/>
      <c r="AL191"/>
    </row>
    <row r="192">
      <c r="A192" t="s">
        <v>235</v>
      </c>
      <c r="B192" t="s">
        <v>245</v>
      </c>
      <c r="C192" t="s">
        <v>246</v>
      </c>
      <c r="D192" t="s">
        <v>213</v>
      </c>
      <c r="E192" t="s">
        <v>331</v>
      </c>
      <c r="F192"/>
      <c r="G192" t="s">
        <v>244</v>
      </c>
      <c r="H192" t="s">
        <v>249</v>
      </c>
      <c r="I192"/>
      <c r="J192"/>
      <c r="K192"/>
      <c r="L192"/>
      <c r="M192"/>
      <c r="N192" t="s">
        <v>276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</row>
    <row r="193">
      <c r="A193" t="s">
        <v>235</v>
      </c>
      <c r="B193" t="s">
        <v>245</v>
      </c>
      <c r="C193" t="s">
        <v>246</v>
      </c>
      <c r="D193" t="s">
        <v>213</v>
      </c>
      <c r="E193" t="s">
        <v>332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 t="n">
        <v>155310</v>
      </c>
      <c r="AE193" t="n">
        <v>155722</v>
      </c>
      <c r="AF193"/>
      <c r="AG193" t="n">
        <v>156546</v>
      </c>
      <c r="AH193" t="n">
        <v>156958</v>
      </c>
      <c r="AI193" t="n">
        <v>157370</v>
      </c>
      <c r="AJ193"/>
      <c r="AK193"/>
      <c r="AL193"/>
    </row>
    <row r="194">
      <c r="A194" t="s">
        <v>235</v>
      </c>
      <c r="B194" t="s">
        <v>245</v>
      </c>
      <c r="C194" t="s">
        <v>246</v>
      </c>
      <c r="D194" t="s">
        <v>213</v>
      </c>
      <c r="E194" t="s">
        <v>333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 t="n">
        <v>1357620</v>
      </c>
      <c r="AE194" t="n">
        <v>1201898</v>
      </c>
      <c r="AF194"/>
      <c r="AG194" t="n">
        <v>2176194</v>
      </c>
      <c r="AH194" t="n">
        <v>2019236</v>
      </c>
      <c r="AI194" t="n">
        <v>1861866</v>
      </c>
      <c r="AJ194"/>
      <c r="AK194"/>
      <c r="AL194"/>
    </row>
    <row r="195">
      <c r="A195" t="s">
        <v>235</v>
      </c>
      <c r="B195" t="s">
        <v>245</v>
      </c>
      <c r="C195" t="s">
        <v>246</v>
      </c>
      <c r="D195" t="s">
        <v>213</v>
      </c>
      <c r="E195" t="s">
        <v>334</v>
      </c>
      <c r="F195"/>
      <c r="G195" t="s">
        <v>335</v>
      </c>
      <c r="H195" t="s">
        <v>335</v>
      </c>
      <c r="I195" t="s">
        <v>335</v>
      </c>
      <c r="J195" t="s">
        <v>335</v>
      </c>
      <c r="K195" t="s">
        <v>335</v>
      </c>
      <c r="L195" t="s">
        <v>335</v>
      </c>
      <c r="M195" t="s">
        <v>335</v>
      </c>
      <c r="N195" t="s">
        <v>335</v>
      </c>
      <c r="O195" t="s">
        <v>335</v>
      </c>
      <c r="P195" t="s">
        <v>335</v>
      </c>
      <c r="Q195" t="s">
        <v>335</v>
      </c>
      <c r="R195" t="s">
        <v>335</v>
      </c>
      <c r="S195" t="s">
        <v>335</v>
      </c>
      <c r="T195" t="s">
        <v>335</v>
      </c>
      <c r="U195" t="s">
        <v>335</v>
      </c>
      <c r="V195" t="s">
        <v>335</v>
      </c>
      <c r="W195" t="s">
        <v>335</v>
      </c>
      <c r="X195" t="s">
        <v>335</v>
      </c>
      <c r="Y195" t="s">
        <v>335</v>
      </c>
      <c r="Z195" t="s">
        <v>335</v>
      </c>
      <c r="AA195" t="s">
        <v>335</v>
      </c>
      <c r="AB195" t="s">
        <v>335</v>
      </c>
      <c r="AC195" t="s">
        <v>335</v>
      </c>
      <c r="AD195" t="n">
        <v>7</v>
      </c>
      <c r="AE195" t="n">
        <v>7</v>
      </c>
      <c r="AF195"/>
      <c r="AG195" t="n">
        <v>7</v>
      </c>
      <c r="AH195" t="n">
        <v>7</v>
      </c>
      <c r="AI195" t="n">
        <v>7</v>
      </c>
      <c r="AJ195"/>
      <c r="AK195"/>
      <c r="AL195"/>
    </row>
    <row r="196">
      <c r="A196" t="s">
        <v>235</v>
      </c>
      <c r="B196" t="s">
        <v>245</v>
      </c>
      <c r="C196" t="s">
        <v>246</v>
      </c>
      <c r="D196" t="s">
        <v>213</v>
      </c>
      <c r="E196" t="s">
        <v>336</v>
      </c>
      <c r="F196"/>
      <c r="G196" t="s">
        <v>337</v>
      </c>
      <c r="H196" t="s">
        <v>337</v>
      </c>
      <c r="I196" t="s">
        <v>337</v>
      </c>
      <c r="J196" t="s">
        <v>337</v>
      </c>
      <c r="K196" t="s">
        <v>337</v>
      </c>
      <c r="L196" t="s">
        <v>337</v>
      </c>
      <c r="M196" t="s">
        <v>337</v>
      </c>
      <c r="N196" t="s">
        <v>337</v>
      </c>
      <c r="O196" t="s">
        <v>337</v>
      </c>
      <c r="P196" t="s">
        <v>337</v>
      </c>
      <c r="Q196" t="s">
        <v>337</v>
      </c>
      <c r="R196" t="s">
        <v>337</v>
      </c>
      <c r="S196" t="s">
        <v>337</v>
      </c>
      <c r="T196" t="s">
        <v>337</v>
      </c>
      <c r="U196" t="s">
        <v>337</v>
      </c>
      <c r="V196" t="s">
        <v>337</v>
      </c>
      <c r="W196" t="s">
        <v>337</v>
      </c>
      <c r="X196" t="s">
        <v>337</v>
      </c>
      <c r="Y196" t="s">
        <v>337</v>
      </c>
      <c r="Z196" t="s">
        <v>337</v>
      </c>
      <c r="AA196" t="s">
        <v>337</v>
      </c>
      <c r="AB196" t="s">
        <v>337</v>
      </c>
      <c r="AC196" t="s">
        <v>337</v>
      </c>
      <c r="AD196" t="n">
        <v>15</v>
      </c>
      <c r="AE196" t="n">
        <v>15</v>
      </c>
      <c r="AF196"/>
      <c r="AG196" t="n">
        <v>15</v>
      </c>
      <c r="AH196" t="n">
        <v>15</v>
      </c>
      <c r="AI196" t="n">
        <v>15</v>
      </c>
      <c r="AJ196"/>
      <c r="AK196"/>
      <c r="AL196"/>
    </row>
    <row r="197">
      <c r="A197" t="s">
        <v>235</v>
      </c>
      <c r="B197" t="s">
        <v>245</v>
      </c>
      <c r="C197" t="s">
        <v>246</v>
      </c>
      <c r="D197" t="s">
        <v>213</v>
      </c>
      <c r="E197" t="s">
        <v>338</v>
      </c>
      <c r="F197"/>
      <c r="G197" t="s">
        <v>337</v>
      </c>
      <c r="H197" t="s">
        <v>337</v>
      </c>
      <c r="I197" t="s">
        <v>337</v>
      </c>
      <c r="J197" t="s">
        <v>337</v>
      </c>
      <c r="K197" t="s">
        <v>337</v>
      </c>
      <c r="L197" t="s">
        <v>337</v>
      </c>
      <c r="M197" t="s">
        <v>337</v>
      </c>
      <c r="N197" t="s">
        <v>337</v>
      </c>
      <c r="O197" t="s">
        <v>337</v>
      </c>
      <c r="P197" t="s">
        <v>337</v>
      </c>
      <c r="Q197" t="s">
        <v>337</v>
      </c>
      <c r="R197" t="s">
        <v>337</v>
      </c>
      <c r="S197" t="s">
        <v>337</v>
      </c>
      <c r="T197" t="s">
        <v>337</v>
      </c>
      <c r="U197" t="s">
        <v>337</v>
      </c>
      <c r="V197" t="s">
        <v>337</v>
      </c>
      <c r="W197" t="s">
        <v>337</v>
      </c>
      <c r="X197" t="s">
        <v>337</v>
      </c>
      <c r="Y197" t="s">
        <v>337</v>
      </c>
      <c r="Z197" t="s">
        <v>337</v>
      </c>
      <c r="AA197" t="s">
        <v>337</v>
      </c>
      <c r="AB197" t="s">
        <v>337</v>
      </c>
      <c r="AC197" t="s">
        <v>337</v>
      </c>
      <c r="AD197" t="n">
        <v>15</v>
      </c>
      <c r="AE197" t="n">
        <v>15</v>
      </c>
      <c r="AF197"/>
      <c r="AG197" t="n">
        <v>15</v>
      </c>
      <c r="AH197" t="n">
        <v>15</v>
      </c>
      <c r="AI197" t="n">
        <v>15</v>
      </c>
      <c r="AJ197"/>
      <c r="AK197"/>
      <c r="AL197"/>
    </row>
    <row r="198">
      <c r="A198" t="s">
        <v>235</v>
      </c>
      <c r="B198" t="s">
        <v>245</v>
      </c>
      <c r="C198" t="s">
        <v>246</v>
      </c>
      <c r="D198" t="s">
        <v>213</v>
      </c>
      <c r="E198" t="s">
        <v>339</v>
      </c>
      <c r="F198"/>
      <c r="G198" t="s">
        <v>717</v>
      </c>
      <c r="H198" t="s">
        <v>718</v>
      </c>
      <c r="I198" t="s">
        <v>719</v>
      </c>
      <c r="J198" t="s">
        <v>720</v>
      </c>
      <c r="K198" t="s">
        <v>721</v>
      </c>
      <c r="L198" t="s">
        <v>722</v>
      </c>
      <c r="M198" t="s">
        <v>723</v>
      </c>
      <c r="N198" t="s">
        <v>724</v>
      </c>
      <c r="O198" t="s">
        <v>725</v>
      </c>
      <c r="P198" t="s">
        <v>726</v>
      </c>
      <c r="Q198" t="s">
        <v>727</v>
      </c>
      <c r="R198" t="s">
        <v>728</v>
      </c>
      <c r="S198" t="s">
        <v>729</v>
      </c>
      <c r="T198" t="s">
        <v>730</v>
      </c>
      <c r="U198" t="s">
        <v>731</v>
      </c>
      <c r="V198" t="s">
        <v>732</v>
      </c>
      <c r="W198" t="s">
        <v>733</v>
      </c>
      <c r="X198" t="s">
        <v>734</v>
      </c>
      <c r="Y198" t="s">
        <v>735</v>
      </c>
      <c r="Z198" t="s">
        <v>736</v>
      </c>
      <c r="AA198" t="s">
        <v>737</v>
      </c>
      <c r="AB198" t="s">
        <v>738</v>
      </c>
      <c r="AC198" t="s">
        <v>739</v>
      </c>
      <c r="AD198" t="n">
        <v>8.74135599768205</v>
      </c>
      <c r="AE198" t="n">
        <v>7.71822863821425</v>
      </c>
      <c r="AF198"/>
      <c r="AG198" t="n">
        <v>13.9013069640872</v>
      </c>
      <c r="AH198" t="n">
        <v>12.8648173396705</v>
      </c>
      <c r="AI198" t="n">
        <v>11.8311368113363</v>
      </c>
      <c r="AJ198"/>
      <c r="AK198"/>
      <c r="AL198"/>
    </row>
    <row r="199">
      <c r="A199" t="s">
        <v>235</v>
      </c>
      <c r="B199" t="s">
        <v>245</v>
      </c>
      <c r="C199" t="s">
        <v>246</v>
      </c>
      <c r="D199" t="s">
        <v>213</v>
      </c>
      <c r="E199" t="s">
        <v>358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>
      <c r="A200" t="s">
        <v>235</v>
      </c>
      <c r="B200" t="s">
        <v>227</v>
      </c>
      <c r="C200" t="s">
        <v>228</v>
      </c>
      <c r="D200" t="s">
        <v>213</v>
      </c>
      <c r="E200" t="s">
        <v>297</v>
      </c>
      <c r="F200"/>
      <c r="G200" t="s">
        <v>360</v>
      </c>
      <c r="H200" t="s">
        <v>360</v>
      </c>
      <c r="I200" t="s">
        <v>360</v>
      </c>
      <c r="J200" t="s">
        <v>360</v>
      </c>
      <c r="K200" t="s">
        <v>360</v>
      </c>
      <c r="L200" t="s">
        <v>360</v>
      </c>
      <c r="M200" t="s">
        <v>360</v>
      </c>
      <c r="N200" t="s">
        <v>360</v>
      </c>
      <c r="O200" t="s">
        <v>360</v>
      </c>
      <c r="P200" t="s">
        <v>740</v>
      </c>
      <c r="Q200" t="s">
        <v>741</v>
      </c>
      <c r="R200" t="s">
        <v>360</v>
      </c>
      <c r="S200" t="s">
        <v>742</v>
      </c>
      <c r="T200" t="s">
        <v>743</v>
      </c>
      <c r="U200" t="s">
        <v>360</v>
      </c>
      <c r="V200" t="s">
        <v>360</v>
      </c>
      <c r="W200" t="s">
        <v>360</v>
      </c>
      <c r="X200" t="s">
        <v>360</v>
      </c>
      <c r="Y200" t="s">
        <v>744</v>
      </c>
      <c r="Z200" t="s">
        <v>745</v>
      </c>
      <c r="AA200" t="s">
        <v>360</v>
      </c>
      <c r="AB200" t="s">
        <v>360</v>
      </c>
      <c r="AC200" t="s">
        <v>360</v>
      </c>
      <c r="AD200" t="n">
        <v>948276</v>
      </c>
      <c r="AE200" t="n">
        <v>843351</v>
      </c>
      <c r="AF200" t="n">
        <v>738426</v>
      </c>
      <c r="AG200" t="n">
        <v>633501</v>
      </c>
      <c r="AH200" t="n">
        <v>528576</v>
      </c>
      <c r="AI200" t="n">
        <v>423651</v>
      </c>
      <c r="AJ200" t="n">
        <v>318726</v>
      </c>
      <c r="AK200" t="n">
        <v>213801</v>
      </c>
      <c r="AL200" t="n">
        <v>108876</v>
      </c>
    </row>
    <row r="201">
      <c r="A201" t="s">
        <v>235</v>
      </c>
      <c r="B201" t="s">
        <v>227</v>
      </c>
      <c r="C201" t="s">
        <v>228</v>
      </c>
      <c r="D201" t="s">
        <v>213</v>
      </c>
      <c r="E201" t="s">
        <v>316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>
      <c r="A202" t="s">
        <v>235</v>
      </c>
      <c r="B202" t="s">
        <v>227</v>
      </c>
      <c r="C202" t="s">
        <v>228</v>
      </c>
      <c r="D202" t="s">
        <v>213</v>
      </c>
      <c r="E202" t="s">
        <v>317</v>
      </c>
      <c r="F202"/>
      <c r="G202" t="s">
        <v>746</v>
      </c>
      <c r="H202" t="s">
        <v>746</v>
      </c>
      <c r="I202" t="s">
        <v>746</v>
      </c>
      <c r="J202" t="s">
        <v>746</v>
      </c>
      <c r="K202" t="s">
        <v>746</v>
      </c>
      <c r="L202" t="s">
        <v>746</v>
      </c>
      <c r="M202" t="s">
        <v>746</v>
      </c>
      <c r="N202" t="s">
        <v>746</v>
      </c>
      <c r="O202" t="s">
        <v>746</v>
      </c>
      <c r="P202" t="s">
        <v>746</v>
      </c>
      <c r="Q202" t="s">
        <v>746</v>
      </c>
      <c r="R202" t="s">
        <v>746</v>
      </c>
      <c r="S202" t="s">
        <v>746</v>
      </c>
      <c r="T202" t="s">
        <v>746</v>
      </c>
      <c r="U202" t="s">
        <v>746</v>
      </c>
      <c r="V202" t="s">
        <v>746</v>
      </c>
      <c r="W202" t="s">
        <v>746</v>
      </c>
      <c r="X202" t="s">
        <v>746</v>
      </c>
      <c r="Y202" t="s">
        <v>746</v>
      </c>
      <c r="Z202" t="s">
        <v>746</v>
      </c>
      <c r="AA202" t="s">
        <v>746</v>
      </c>
      <c r="AB202" t="s">
        <v>746</v>
      </c>
      <c r="AC202" t="s">
        <v>746</v>
      </c>
      <c r="AD202" t="n">
        <v>104925</v>
      </c>
      <c r="AE202" t="n">
        <v>104925</v>
      </c>
      <c r="AF202" t="n">
        <v>104925</v>
      </c>
      <c r="AG202" t="n">
        <v>104925</v>
      </c>
      <c r="AH202" t="n">
        <v>104925</v>
      </c>
      <c r="AI202" t="n">
        <v>104925</v>
      </c>
      <c r="AJ202" t="n">
        <v>104925</v>
      </c>
      <c r="AK202" t="n">
        <v>104925</v>
      </c>
      <c r="AL202" t="n">
        <v>104925</v>
      </c>
    </row>
    <row r="203">
      <c r="A203" t="s">
        <v>235</v>
      </c>
      <c r="B203" t="s">
        <v>227</v>
      </c>
      <c r="C203" t="s">
        <v>228</v>
      </c>
      <c r="D203" t="s">
        <v>213</v>
      </c>
      <c r="E203" t="s">
        <v>320</v>
      </c>
      <c r="F203"/>
      <c r="G203" t="s">
        <v>360</v>
      </c>
      <c r="H203" t="s">
        <v>360</v>
      </c>
      <c r="I203" t="s">
        <v>360</v>
      </c>
      <c r="J203" t="s">
        <v>360</v>
      </c>
      <c r="K203" t="s">
        <v>360</v>
      </c>
      <c r="L203" t="s">
        <v>360</v>
      </c>
      <c r="M203" t="s">
        <v>360</v>
      </c>
      <c r="N203" t="s">
        <v>360</v>
      </c>
      <c r="O203" t="s">
        <v>740</v>
      </c>
      <c r="P203" t="s">
        <v>741</v>
      </c>
      <c r="Q203" t="s">
        <v>360</v>
      </c>
      <c r="R203" t="s">
        <v>742</v>
      </c>
      <c r="S203" t="s">
        <v>743</v>
      </c>
      <c r="T203" t="s">
        <v>360</v>
      </c>
      <c r="U203" t="s">
        <v>360</v>
      </c>
      <c r="V203" t="s">
        <v>360</v>
      </c>
      <c r="W203" t="s">
        <v>360</v>
      </c>
      <c r="X203" t="s">
        <v>744</v>
      </c>
      <c r="Y203" t="s">
        <v>745</v>
      </c>
      <c r="Z203" t="s">
        <v>360</v>
      </c>
      <c r="AA203" t="s">
        <v>360</v>
      </c>
      <c r="AB203" t="s">
        <v>360</v>
      </c>
      <c r="AC203" t="s">
        <v>360</v>
      </c>
      <c r="AD203" t="n">
        <v>843351</v>
      </c>
      <c r="AE203" t="n">
        <v>738426</v>
      </c>
      <c r="AF203" t="n">
        <v>633501</v>
      </c>
      <c r="AG203" t="n">
        <v>528576</v>
      </c>
      <c r="AH203" t="n">
        <v>423651</v>
      </c>
      <c r="AI203" t="n">
        <v>318726</v>
      </c>
      <c r="AJ203" t="n">
        <v>213801</v>
      </c>
      <c r="AK203" t="n">
        <v>108876</v>
      </c>
      <c r="AL203" t="n">
        <v>3951</v>
      </c>
    </row>
    <row r="204">
      <c r="A204" t="s">
        <v>235</v>
      </c>
      <c r="B204" t="s">
        <v>227</v>
      </c>
      <c r="C204" t="s">
        <v>228</v>
      </c>
      <c r="D204" t="s">
        <v>213</v>
      </c>
      <c r="E204" t="s">
        <v>323</v>
      </c>
      <c r="F204"/>
      <c r="G204"/>
      <c r="H204"/>
      <c r="I204"/>
      <c r="J204"/>
      <c r="K204"/>
      <c r="L204"/>
      <c r="M204"/>
      <c r="N204"/>
      <c r="O204" t="s">
        <v>236</v>
      </c>
      <c r="P204"/>
      <c r="Q204"/>
      <c r="R204" t="s">
        <v>272</v>
      </c>
      <c r="S204"/>
      <c r="T204"/>
      <c r="U204"/>
      <c r="V204"/>
      <c r="W204"/>
      <c r="X204" t="s">
        <v>272</v>
      </c>
      <c r="Y204"/>
      <c r="Z204"/>
      <c r="AA204"/>
      <c r="AB204"/>
      <c r="AC204"/>
      <c r="AD204" t="n">
        <v>3</v>
      </c>
      <c r="AE204" t="n">
        <v>3</v>
      </c>
      <c r="AF204" t="n">
        <v>3</v>
      </c>
      <c r="AG204" t="n">
        <v>3</v>
      </c>
      <c r="AH204" t="n">
        <v>3</v>
      </c>
      <c r="AI204" t="n">
        <v>3</v>
      </c>
      <c r="AJ204" t="n">
        <v>3</v>
      </c>
      <c r="AK204" t="n">
        <v>3</v>
      </c>
      <c r="AL204" t="n">
        <v>3</v>
      </c>
    </row>
    <row r="205">
      <c r="A205" t="s">
        <v>235</v>
      </c>
      <c r="B205" t="s">
        <v>227</v>
      </c>
      <c r="C205" t="s">
        <v>228</v>
      </c>
      <c r="D205" t="s">
        <v>213</v>
      </c>
      <c r="E205" t="s">
        <v>324</v>
      </c>
      <c r="F205"/>
      <c r="G205"/>
      <c r="H205"/>
      <c r="I205"/>
      <c r="J205"/>
      <c r="K205"/>
      <c r="L205"/>
      <c r="M205"/>
      <c r="N205"/>
      <c r="O205" t="s">
        <v>236</v>
      </c>
      <c r="P205"/>
      <c r="Q205"/>
      <c r="R205" t="s">
        <v>272</v>
      </c>
      <c r="S205"/>
      <c r="T205"/>
      <c r="U205"/>
      <c r="V205"/>
      <c r="W205"/>
      <c r="X205" t="s">
        <v>272</v>
      </c>
      <c r="Y205"/>
      <c r="Z205"/>
      <c r="AA205"/>
      <c r="AB205"/>
      <c r="AC205"/>
      <c r="AD205" t="n">
        <v>6</v>
      </c>
      <c r="AE205" t="n">
        <v>6</v>
      </c>
      <c r="AF205" t="n">
        <v>6</v>
      </c>
      <c r="AG205" t="n">
        <v>6</v>
      </c>
      <c r="AH205" t="n">
        <v>6</v>
      </c>
      <c r="AI205" t="n">
        <v>6</v>
      </c>
      <c r="AJ205" t="n">
        <v>6</v>
      </c>
      <c r="AK205" t="n">
        <v>6</v>
      </c>
      <c r="AL205" t="n">
        <v>6</v>
      </c>
    </row>
    <row r="206">
      <c r="A206" t="s">
        <v>235</v>
      </c>
      <c r="B206" t="s">
        <v>227</v>
      </c>
      <c r="C206" t="s">
        <v>228</v>
      </c>
      <c r="D206" t="s">
        <v>213</v>
      </c>
      <c r="E206" t="s">
        <v>325</v>
      </c>
      <c r="F206"/>
      <c r="G206"/>
      <c r="H206"/>
      <c r="I206"/>
      <c r="J206"/>
      <c r="K206"/>
      <c r="L206"/>
      <c r="M206"/>
      <c r="N206"/>
      <c r="O206" t="s">
        <v>259</v>
      </c>
      <c r="P206"/>
      <c r="Q206"/>
      <c r="R206" t="s">
        <v>269</v>
      </c>
      <c r="S206"/>
      <c r="T206"/>
      <c r="U206"/>
      <c r="V206"/>
      <c r="W206"/>
      <c r="X206" t="s">
        <v>269</v>
      </c>
      <c r="Y206"/>
      <c r="Z206"/>
      <c r="AA206"/>
      <c r="AB206"/>
      <c r="AC206"/>
      <c r="AD206" t="n">
        <v>6</v>
      </c>
      <c r="AE206" t="n">
        <v>6</v>
      </c>
      <c r="AF206" t="n">
        <v>6</v>
      </c>
      <c r="AG206" t="n">
        <v>6</v>
      </c>
      <c r="AH206" t="n">
        <v>6</v>
      </c>
      <c r="AI206" t="n">
        <v>6</v>
      </c>
      <c r="AJ206" t="n">
        <v>6</v>
      </c>
      <c r="AK206" t="n">
        <v>6</v>
      </c>
      <c r="AL206" t="n">
        <v>6</v>
      </c>
    </row>
    <row r="207">
      <c r="A207" t="s">
        <v>235</v>
      </c>
      <c r="B207" t="s">
        <v>227</v>
      </c>
      <c r="C207" t="s">
        <v>228</v>
      </c>
      <c r="D207" t="s">
        <v>213</v>
      </c>
      <c r="E207" t="s">
        <v>326</v>
      </c>
      <c r="F207"/>
      <c r="G207"/>
      <c r="H207"/>
      <c r="I207"/>
      <c r="J207"/>
      <c r="K207"/>
      <c r="L207"/>
      <c r="M207"/>
      <c r="N207"/>
      <c r="O207" t="s">
        <v>563</v>
      </c>
      <c r="P207"/>
      <c r="Q207"/>
      <c r="R207" t="s">
        <v>747</v>
      </c>
      <c r="S207"/>
      <c r="T207"/>
      <c r="U207"/>
      <c r="V207"/>
      <c r="W207"/>
      <c r="X207" t="s">
        <v>748</v>
      </c>
      <c r="Y207"/>
      <c r="Z207"/>
      <c r="AA207"/>
      <c r="AB207"/>
      <c r="AC207"/>
      <c r="AD207" t="n">
        <v>8.03765546819156</v>
      </c>
      <c r="AE207" t="n">
        <v>7.03765546819157</v>
      </c>
      <c r="AF207" t="n">
        <v>6.03765546819157</v>
      </c>
      <c r="AG207" t="n">
        <v>5.03765546819157</v>
      </c>
      <c r="AH207" t="n">
        <v>4.03765546819157</v>
      </c>
      <c r="AI207" t="n">
        <v>3.03765546819157</v>
      </c>
      <c r="AJ207" t="n">
        <v>2.03765546819157</v>
      </c>
      <c r="AK207" t="n">
        <v>1.03765546819157</v>
      </c>
      <c r="AL207" t="n">
        <v>0.0376554681915654</v>
      </c>
    </row>
    <row r="208">
      <c r="A208" t="s">
        <v>235</v>
      </c>
      <c r="B208" t="s">
        <v>227</v>
      </c>
      <c r="C208" t="s">
        <v>228</v>
      </c>
      <c r="D208" t="s">
        <v>213</v>
      </c>
      <c r="E208" t="s">
        <v>329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</row>
    <row r="209">
      <c r="A209" t="s">
        <v>235</v>
      </c>
      <c r="B209" t="s">
        <v>227</v>
      </c>
      <c r="C209" t="s">
        <v>228</v>
      </c>
      <c r="D209" t="s">
        <v>213</v>
      </c>
      <c r="E209" t="s">
        <v>330</v>
      </c>
      <c r="F209"/>
      <c r="G209"/>
      <c r="H209"/>
      <c r="I209"/>
      <c r="J209"/>
      <c r="K209"/>
      <c r="L209"/>
      <c r="M209"/>
      <c r="N209"/>
      <c r="O209" t="s">
        <v>749</v>
      </c>
      <c r="P209"/>
      <c r="Q209"/>
      <c r="R209" t="s">
        <v>750</v>
      </c>
      <c r="S209"/>
      <c r="T209"/>
      <c r="U209"/>
      <c r="V209"/>
      <c r="W209"/>
      <c r="X209" t="s">
        <v>751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</row>
    <row r="210">
      <c r="A210" t="s">
        <v>235</v>
      </c>
      <c r="B210" t="s">
        <v>227</v>
      </c>
      <c r="C210" t="s">
        <v>228</v>
      </c>
      <c r="D210" t="s">
        <v>213</v>
      </c>
      <c r="E210" t="s">
        <v>331</v>
      </c>
      <c r="F210"/>
      <c r="G210"/>
      <c r="H210"/>
      <c r="I210"/>
      <c r="J210"/>
      <c r="K210"/>
      <c r="L210"/>
      <c r="M210"/>
      <c r="N210"/>
      <c r="O210" t="s">
        <v>278</v>
      </c>
      <c r="P210"/>
      <c r="Q210"/>
      <c r="R210" t="s">
        <v>282</v>
      </c>
      <c r="S210"/>
      <c r="T210"/>
      <c r="U210"/>
      <c r="V210"/>
      <c r="W210"/>
      <c r="X210" t="s">
        <v>287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</row>
    <row r="211">
      <c r="A211" t="s">
        <v>235</v>
      </c>
      <c r="B211" t="s">
        <v>227</v>
      </c>
      <c r="C211" t="s">
        <v>228</v>
      </c>
      <c r="D211" t="s">
        <v>213</v>
      </c>
      <c r="E211" t="s">
        <v>332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</row>
    <row r="212">
      <c r="A212" t="s">
        <v>235</v>
      </c>
      <c r="B212" t="s">
        <v>227</v>
      </c>
      <c r="C212" t="s">
        <v>228</v>
      </c>
      <c r="D212" t="s">
        <v>213</v>
      </c>
      <c r="E212" t="s">
        <v>333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</row>
    <row r="213">
      <c r="A213" t="s">
        <v>235</v>
      </c>
      <c r="B213" t="s">
        <v>227</v>
      </c>
      <c r="C213" t="s">
        <v>228</v>
      </c>
      <c r="D213" t="s">
        <v>213</v>
      </c>
      <c r="E213" t="s">
        <v>334</v>
      </c>
      <c r="F213"/>
      <c r="G213" t="s">
        <v>335</v>
      </c>
      <c r="H213" t="s">
        <v>335</v>
      </c>
      <c r="I213" t="s">
        <v>335</v>
      </c>
      <c r="J213" t="s">
        <v>335</v>
      </c>
      <c r="K213" t="s">
        <v>335</v>
      </c>
      <c r="L213" t="s">
        <v>335</v>
      </c>
      <c r="M213" t="s">
        <v>335</v>
      </c>
      <c r="N213" t="s">
        <v>335</v>
      </c>
      <c r="O213" t="s">
        <v>335</v>
      </c>
      <c r="P213" t="s">
        <v>335</v>
      </c>
      <c r="Q213" t="s">
        <v>335</v>
      </c>
      <c r="R213" t="s">
        <v>335</v>
      </c>
      <c r="S213" t="s">
        <v>335</v>
      </c>
      <c r="T213" t="s">
        <v>335</v>
      </c>
      <c r="U213" t="s">
        <v>335</v>
      </c>
      <c r="V213" t="s">
        <v>335</v>
      </c>
      <c r="W213" t="s">
        <v>335</v>
      </c>
      <c r="X213" t="s">
        <v>335</v>
      </c>
      <c r="Y213" t="s">
        <v>335</v>
      </c>
      <c r="Z213" t="s">
        <v>335</v>
      </c>
      <c r="AA213" t="s">
        <v>335</v>
      </c>
      <c r="AB213" t="s">
        <v>335</v>
      </c>
      <c r="AC213" t="s">
        <v>335</v>
      </c>
      <c r="AD213"/>
      <c r="AE213"/>
      <c r="AF213"/>
      <c r="AG213"/>
      <c r="AH213"/>
      <c r="AI213"/>
      <c r="AJ213"/>
      <c r="AK213"/>
      <c r="AL213"/>
    </row>
    <row r="214">
      <c r="A214" t="s">
        <v>235</v>
      </c>
      <c r="B214" t="s">
        <v>227</v>
      </c>
      <c r="C214" t="s">
        <v>228</v>
      </c>
      <c r="D214" t="s">
        <v>213</v>
      </c>
      <c r="E214" t="s">
        <v>336</v>
      </c>
      <c r="F214"/>
      <c r="G214" t="s">
        <v>337</v>
      </c>
      <c r="H214" t="s">
        <v>337</v>
      </c>
      <c r="I214" t="s">
        <v>337</v>
      </c>
      <c r="J214" t="s">
        <v>337</v>
      </c>
      <c r="K214" t="s">
        <v>337</v>
      </c>
      <c r="L214" t="s">
        <v>337</v>
      </c>
      <c r="M214" t="s">
        <v>337</v>
      </c>
      <c r="N214" t="s">
        <v>337</v>
      </c>
      <c r="O214" t="s">
        <v>337</v>
      </c>
      <c r="P214" t="s">
        <v>337</v>
      </c>
      <c r="Q214" t="s">
        <v>337</v>
      </c>
      <c r="R214" t="s">
        <v>337</v>
      </c>
      <c r="S214" t="s">
        <v>337</v>
      </c>
      <c r="T214" t="s">
        <v>337</v>
      </c>
      <c r="U214" t="s">
        <v>337</v>
      </c>
      <c r="V214" t="s">
        <v>337</v>
      </c>
      <c r="W214" t="s">
        <v>337</v>
      </c>
      <c r="X214" t="s">
        <v>337</v>
      </c>
      <c r="Y214" t="s">
        <v>337</v>
      </c>
      <c r="Z214" t="s">
        <v>337</v>
      </c>
      <c r="AA214" t="s">
        <v>337</v>
      </c>
      <c r="AB214" t="s">
        <v>337</v>
      </c>
      <c r="AC214" t="s">
        <v>337</v>
      </c>
      <c r="AD214"/>
      <c r="AE214"/>
      <c r="AF214"/>
      <c r="AG214"/>
      <c r="AH214"/>
      <c r="AI214"/>
      <c r="AJ214"/>
      <c r="AK214"/>
      <c r="AL214"/>
    </row>
    <row r="215">
      <c r="A215" t="s">
        <v>235</v>
      </c>
      <c r="B215" t="s">
        <v>227</v>
      </c>
      <c r="C215" t="s">
        <v>228</v>
      </c>
      <c r="D215" t="s">
        <v>213</v>
      </c>
      <c r="E215" t="s">
        <v>338</v>
      </c>
      <c r="F215"/>
      <c r="G215" t="s">
        <v>337</v>
      </c>
      <c r="H215" t="s">
        <v>337</v>
      </c>
      <c r="I215" t="s">
        <v>337</v>
      </c>
      <c r="J215" t="s">
        <v>337</v>
      </c>
      <c r="K215" t="s">
        <v>337</v>
      </c>
      <c r="L215" t="s">
        <v>337</v>
      </c>
      <c r="M215" t="s">
        <v>337</v>
      </c>
      <c r="N215" t="s">
        <v>337</v>
      </c>
      <c r="O215" t="s">
        <v>337</v>
      </c>
      <c r="P215" t="s">
        <v>337</v>
      </c>
      <c r="Q215" t="s">
        <v>337</v>
      </c>
      <c r="R215" t="s">
        <v>337</v>
      </c>
      <c r="S215" t="s">
        <v>337</v>
      </c>
      <c r="T215" t="s">
        <v>337</v>
      </c>
      <c r="U215" t="s">
        <v>337</v>
      </c>
      <c r="V215" t="s">
        <v>337</v>
      </c>
      <c r="W215" t="s">
        <v>337</v>
      </c>
      <c r="X215" t="s">
        <v>337</v>
      </c>
      <c r="Y215" t="s">
        <v>337</v>
      </c>
      <c r="Z215" t="s">
        <v>337</v>
      </c>
      <c r="AA215" t="s">
        <v>337</v>
      </c>
      <c r="AB215" t="s">
        <v>337</v>
      </c>
      <c r="AC215" t="s">
        <v>337</v>
      </c>
      <c r="AD215"/>
      <c r="AE215"/>
      <c r="AF215"/>
      <c r="AG215"/>
      <c r="AH215"/>
      <c r="AI215"/>
      <c r="AJ215"/>
      <c r="AK215"/>
      <c r="AL215"/>
    </row>
    <row r="216">
      <c r="A216" t="s">
        <v>235</v>
      </c>
      <c r="B216" t="s">
        <v>227</v>
      </c>
      <c r="C216" t="s">
        <v>228</v>
      </c>
      <c r="D216" t="s">
        <v>213</v>
      </c>
      <c r="E216" t="s">
        <v>339</v>
      </c>
      <c r="F216"/>
      <c r="G216" t="s">
        <v>360</v>
      </c>
      <c r="H216" t="s">
        <v>360</v>
      </c>
      <c r="I216" t="s">
        <v>360</v>
      </c>
      <c r="J216" t="s">
        <v>360</v>
      </c>
      <c r="K216" t="s">
        <v>360</v>
      </c>
      <c r="L216" t="s">
        <v>360</v>
      </c>
      <c r="M216" t="s">
        <v>360</v>
      </c>
      <c r="N216" t="s">
        <v>360</v>
      </c>
      <c r="O216" t="s">
        <v>752</v>
      </c>
      <c r="P216" t="s">
        <v>753</v>
      </c>
      <c r="Q216" t="s">
        <v>360</v>
      </c>
      <c r="R216" t="s">
        <v>754</v>
      </c>
      <c r="S216" t="s">
        <v>755</v>
      </c>
      <c r="T216" t="s">
        <v>360</v>
      </c>
      <c r="U216" t="s">
        <v>360</v>
      </c>
      <c r="V216" t="s">
        <v>360</v>
      </c>
      <c r="W216" t="s">
        <v>360</v>
      </c>
      <c r="X216" t="s">
        <v>756</v>
      </c>
      <c r="Y216" t="s">
        <v>757</v>
      </c>
      <c r="Z216" t="s">
        <v>360</v>
      </c>
      <c r="AA216" t="s">
        <v>360</v>
      </c>
      <c r="AB216" t="s">
        <v>360</v>
      </c>
      <c r="AC216" t="s">
        <v>360</v>
      </c>
      <c r="AD216"/>
      <c r="AE216"/>
      <c r="AF216"/>
      <c r="AG216"/>
      <c r="AH216"/>
      <c r="AI216"/>
      <c r="AJ216"/>
      <c r="AK216"/>
      <c r="AL216"/>
    </row>
    <row r="217">
      <c r="A217" t="s">
        <v>235</v>
      </c>
      <c r="B217" t="s">
        <v>227</v>
      </c>
      <c r="C217" t="s">
        <v>228</v>
      </c>
      <c r="D217" t="s">
        <v>213</v>
      </c>
      <c r="E217" t="s">
        <v>358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>
      <c r="A218" t="s">
        <v>235</v>
      </c>
      <c r="B218" t="s">
        <v>247</v>
      </c>
      <c r="C218" t="s">
        <v>231</v>
      </c>
      <c r="D218" t="s">
        <v>213</v>
      </c>
      <c r="E218" t="s">
        <v>297</v>
      </c>
      <c r="F218"/>
      <c r="G218" t="s">
        <v>758</v>
      </c>
      <c r="H218" t="s">
        <v>759</v>
      </c>
      <c r="I218" t="s">
        <v>760</v>
      </c>
      <c r="J218" t="s">
        <v>761</v>
      </c>
      <c r="K218" t="s">
        <v>762</v>
      </c>
      <c r="L218" t="s">
        <v>763</v>
      </c>
      <c r="M218" t="s">
        <v>764</v>
      </c>
      <c r="N218" t="s">
        <v>765</v>
      </c>
      <c r="O218" t="s">
        <v>766</v>
      </c>
      <c r="P218" t="s">
        <v>767</v>
      </c>
      <c r="Q218" t="s">
        <v>768</v>
      </c>
      <c r="R218" t="s">
        <v>769</v>
      </c>
      <c r="S218" t="s">
        <v>770</v>
      </c>
      <c r="T218" t="s">
        <v>771</v>
      </c>
      <c r="U218" t="s">
        <v>772</v>
      </c>
      <c r="V218" t="s">
        <v>773</v>
      </c>
      <c r="W218" t="s">
        <v>774</v>
      </c>
      <c r="X218" t="s">
        <v>775</v>
      </c>
      <c r="Y218" t="s">
        <v>776</v>
      </c>
      <c r="Z218" t="s">
        <v>777</v>
      </c>
      <c r="AA218" t="s">
        <v>778</v>
      </c>
      <c r="AB218" t="s">
        <v>779</v>
      </c>
      <c r="AC218" t="s">
        <v>780</v>
      </c>
      <c r="AD218" t="n">
        <v>20075</v>
      </c>
      <c r="AE218" t="n">
        <v>18390</v>
      </c>
      <c r="AF218" t="n">
        <v>16705</v>
      </c>
      <c r="AG218" t="n">
        <v>15020</v>
      </c>
      <c r="AH218"/>
      <c r="AI218" t="n">
        <v>25275</v>
      </c>
      <c r="AJ218"/>
      <c r="AK218"/>
      <c r="AL218"/>
    </row>
    <row r="219">
      <c r="A219" t="s">
        <v>235</v>
      </c>
      <c r="B219" t="s">
        <v>247</v>
      </c>
      <c r="C219" t="s">
        <v>231</v>
      </c>
      <c r="D219" t="s">
        <v>213</v>
      </c>
      <c r="E219" t="s">
        <v>316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>
      <c r="A220" t="s">
        <v>235</v>
      </c>
      <c r="B220" t="s">
        <v>247</v>
      </c>
      <c r="C220" t="s">
        <v>231</v>
      </c>
      <c r="D220" t="s">
        <v>213</v>
      </c>
      <c r="E220" t="s">
        <v>317</v>
      </c>
      <c r="F220"/>
      <c r="G220" t="s">
        <v>781</v>
      </c>
      <c r="H220" t="s">
        <v>781</v>
      </c>
      <c r="I220" t="s">
        <v>781</v>
      </c>
      <c r="J220" t="s">
        <v>781</v>
      </c>
      <c r="K220" t="s">
        <v>781</v>
      </c>
      <c r="L220" t="s">
        <v>781</v>
      </c>
      <c r="M220" t="s">
        <v>781</v>
      </c>
      <c r="N220" t="s">
        <v>781</v>
      </c>
      <c r="O220" t="s">
        <v>781</v>
      </c>
      <c r="P220" t="s">
        <v>781</v>
      </c>
      <c r="Q220" t="s">
        <v>781</v>
      </c>
      <c r="R220" t="s">
        <v>781</v>
      </c>
      <c r="S220" t="s">
        <v>781</v>
      </c>
      <c r="T220" t="s">
        <v>781</v>
      </c>
      <c r="U220" t="s">
        <v>781</v>
      </c>
      <c r="V220" t="s">
        <v>781</v>
      </c>
      <c r="W220" t="s">
        <v>781</v>
      </c>
      <c r="X220" t="s">
        <v>781</v>
      </c>
      <c r="Y220" t="s">
        <v>781</v>
      </c>
      <c r="Z220" t="s">
        <v>781</v>
      </c>
      <c r="AA220" t="s">
        <v>781</v>
      </c>
      <c r="AB220" t="s">
        <v>781</v>
      </c>
      <c r="AC220" t="s">
        <v>781</v>
      </c>
      <c r="AD220" t="n">
        <v>1685</v>
      </c>
      <c r="AE220" t="n">
        <v>1685</v>
      </c>
      <c r="AF220" t="n">
        <v>1685</v>
      </c>
      <c r="AG220" t="n">
        <v>1685</v>
      </c>
      <c r="AH220"/>
      <c r="AI220" t="n">
        <v>1685</v>
      </c>
      <c r="AJ220"/>
      <c r="AK220"/>
      <c r="AL220"/>
    </row>
    <row r="221">
      <c r="A221" t="s">
        <v>235</v>
      </c>
      <c r="B221" t="s">
        <v>247</v>
      </c>
      <c r="C221" t="s">
        <v>231</v>
      </c>
      <c r="D221" t="s">
        <v>213</v>
      </c>
      <c r="E221" t="s">
        <v>320</v>
      </c>
      <c r="F221"/>
      <c r="G221" t="s">
        <v>759</v>
      </c>
      <c r="H221" t="s">
        <v>760</v>
      </c>
      <c r="I221" t="s">
        <v>761</v>
      </c>
      <c r="J221" t="s">
        <v>762</v>
      </c>
      <c r="K221" t="s">
        <v>763</v>
      </c>
      <c r="L221" t="s">
        <v>764</v>
      </c>
      <c r="M221" t="s">
        <v>765</v>
      </c>
      <c r="N221" t="s">
        <v>766</v>
      </c>
      <c r="O221" t="s">
        <v>767</v>
      </c>
      <c r="P221" t="s">
        <v>768</v>
      </c>
      <c r="Q221" t="s">
        <v>769</v>
      </c>
      <c r="R221" t="s">
        <v>770</v>
      </c>
      <c r="S221" t="s">
        <v>771</v>
      </c>
      <c r="T221" t="s">
        <v>772</v>
      </c>
      <c r="U221" t="s">
        <v>773</v>
      </c>
      <c r="V221" t="s">
        <v>774</v>
      </c>
      <c r="W221" t="s">
        <v>775</v>
      </c>
      <c r="X221" t="s">
        <v>776</v>
      </c>
      <c r="Y221" t="s">
        <v>777</v>
      </c>
      <c r="Z221" t="s">
        <v>778</v>
      </c>
      <c r="AA221" t="s">
        <v>779</v>
      </c>
      <c r="AB221" t="s">
        <v>780</v>
      </c>
      <c r="AC221" t="s">
        <v>782</v>
      </c>
      <c r="AD221" t="n">
        <v>18390</v>
      </c>
      <c r="AE221" t="n">
        <v>16705</v>
      </c>
      <c r="AF221" t="n">
        <v>15020</v>
      </c>
      <c r="AG221" t="n">
        <v>13335</v>
      </c>
      <c r="AH221"/>
      <c r="AI221" t="n">
        <v>23590</v>
      </c>
      <c r="AJ221"/>
      <c r="AK221"/>
      <c r="AL221"/>
    </row>
    <row r="222">
      <c r="A222" t="s">
        <v>235</v>
      </c>
      <c r="B222" t="s">
        <v>247</v>
      </c>
      <c r="C222" t="s">
        <v>231</v>
      </c>
      <c r="D222" t="s">
        <v>213</v>
      </c>
      <c r="E222" t="s">
        <v>323</v>
      </c>
      <c r="F222"/>
      <c r="G222"/>
      <c r="H222"/>
      <c r="I222" t="s">
        <v>236</v>
      </c>
      <c r="J222" t="s">
        <v>236</v>
      </c>
      <c r="K222"/>
      <c r="L222"/>
      <c r="M222"/>
      <c r="N222" t="s">
        <v>236</v>
      </c>
      <c r="O222"/>
      <c r="P222"/>
      <c r="Q222" t="s">
        <v>272</v>
      </c>
      <c r="R222" t="s">
        <v>272</v>
      </c>
      <c r="S222"/>
      <c r="T222"/>
      <c r="U222"/>
      <c r="V222"/>
      <c r="W222"/>
      <c r="X222"/>
      <c r="Y222"/>
      <c r="Z222"/>
      <c r="AA222"/>
      <c r="AB222"/>
      <c r="AC222" t="s">
        <v>272</v>
      </c>
      <c r="AD222" t="n">
        <v>7</v>
      </c>
      <c r="AE222" t="n">
        <v>7</v>
      </c>
      <c r="AF222" t="n">
        <v>7</v>
      </c>
      <c r="AG222" t="n">
        <v>7</v>
      </c>
      <c r="AH222"/>
      <c r="AI222" t="n">
        <v>7</v>
      </c>
      <c r="AJ222"/>
      <c r="AK222"/>
      <c r="AL222"/>
    </row>
    <row r="223">
      <c r="A223" t="s">
        <v>235</v>
      </c>
      <c r="B223" t="s">
        <v>247</v>
      </c>
      <c r="C223" t="s">
        <v>231</v>
      </c>
      <c r="D223" t="s">
        <v>213</v>
      </c>
      <c r="E223" t="s">
        <v>324</v>
      </c>
      <c r="F223"/>
      <c r="G223"/>
      <c r="H223"/>
      <c r="I223" t="s">
        <v>236</v>
      </c>
      <c r="J223" t="s">
        <v>236</v>
      </c>
      <c r="K223"/>
      <c r="L223"/>
      <c r="M223"/>
      <c r="N223" t="s">
        <v>236</v>
      </c>
      <c r="O223"/>
      <c r="P223"/>
      <c r="Q223" t="s">
        <v>272</v>
      </c>
      <c r="R223" t="s">
        <v>272</v>
      </c>
      <c r="S223"/>
      <c r="T223"/>
      <c r="U223"/>
      <c r="V223"/>
      <c r="W223"/>
      <c r="X223"/>
      <c r="Y223"/>
      <c r="Z223"/>
      <c r="AA223"/>
      <c r="AB223"/>
      <c r="AC223" t="s">
        <v>272</v>
      </c>
      <c r="AD223" t="n">
        <v>15</v>
      </c>
      <c r="AE223" t="n">
        <v>15</v>
      </c>
      <c r="AF223" t="n">
        <v>15</v>
      </c>
      <c r="AG223" t="n">
        <v>15</v>
      </c>
      <c r="AH223"/>
      <c r="AI223" t="n">
        <v>15</v>
      </c>
      <c r="AJ223"/>
      <c r="AK223"/>
      <c r="AL223"/>
    </row>
    <row r="224">
      <c r="A224" t="s">
        <v>235</v>
      </c>
      <c r="B224" t="s">
        <v>247</v>
      </c>
      <c r="C224" t="s">
        <v>231</v>
      </c>
      <c r="D224" t="s">
        <v>213</v>
      </c>
      <c r="E224" t="s">
        <v>325</v>
      </c>
      <c r="F224"/>
      <c r="G224"/>
      <c r="H224"/>
      <c r="I224" t="s">
        <v>237</v>
      </c>
      <c r="J224" t="s">
        <v>237</v>
      </c>
      <c r="K224"/>
      <c r="L224"/>
      <c r="M224"/>
      <c r="N224" t="s">
        <v>259</v>
      </c>
      <c r="O224"/>
      <c r="P224"/>
      <c r="Q224" t="s">
        <v>269</v>
      </c>
      <c r="R224" t="s">
        <v>269</v>
      </c>
      <c r="S224"/>
      <c r="T224"/>
      <c r="U224"/>
      <c r="V224"/>
      <c r="W224"/>
      <c r="X224"/>
      <c r="Y224"/>
      <c r="Z224"/>
      <c r="AA224"/>
      <c r="AB224"/>
      <c r="AC224" t="s">
        <v>269</v>
      </c>
      <c r="AD224" t="n">
        <v>15</v>
      </c>
      <c r="AE224" t="n">
        <v>15</v>
      </c>
      <c r="AF224" t="n">
        <v>15</v>
      </c>
      <c r="AG224" t="n">
        <v>15</v>
      </c>
      <c r="AH224"/>
      <c r="AI224" t="n">
        <v>15</v>
      </c>
      <c r="AJ224"/>
      <c r="AK224"/>
      <c r="AL224"/>
    </row>
    <row r="225">
      <c r="A225" t="s">
        <v>235</v>
      </c>
      <c r="B225" t="s">
        <v>247</v>
      </c>
      <c r="C225" t="s">
        <v>231</v>
      </c>
      <c r="D225" t="s">
        <v>213</v>
      </c>
      <c r="E225" t="s">
        <v>326</v>
      </c>
      <c r="F225"/>
      <c r="G225"/>
      <c r="H225"/>
      <c r="I225" t="s">
        <v>783</v>
      </c>
      <c r="J225" t="s">
        <v>784</v>
      </c>
      <c r="K225"/>
      <c r="L225"/>
      <c r="M225"/>
      <c r="N225" t="s">
        <v>785</v>
      </c>
      <c r="O225"/>
      <c r="P225"/>
      <c r="Q225" t="s">
        <v>786</v>
      </c>
      <c r="R225" t="s">
        <v>787</v>
      </c>
      <c r="S225"/>
      <c r="T225"/>
      <c r="U225"/>
      <c r="V225"/>
      <c r="W225"/>
      <c r="X225"/>
      <c r="Y225"/>
      <c r="Z225"/>
      <c r="AA225"/>
      <c r="AB225"/>
      <c r="AC225" t="s">
        <v>788</v>
      </c>
      <c r="AD225" t="n">
        <v>10.9139465875371</v>
      </c>
      <c r="AE225" t="n">
        <v>9.91394658753709</v>
      </c>
      <c r="AF225" t="n">
        <v>8.91394658753709</v>
      </c>
      <c r="AG225" t="n">
        <v>7.91394658753709</v>
      </c>
      <c r="AH225"/>
      <c r="AI225" t="n">
        <v>14</v>
      </c>
      <c r="AJ225"/>
      <c r="AK225"/>
      <c r="AL225"/>
    </row>
    <row r="226">
      <c r="A226" t="s">
        <v>235</v>
      </c>
      <c r="B226" t="s">
        <v>247</v>
      </c>
      <c r="C226" t="s">
        <v>231</v>
      </c>
      <c r="D226" t="s">
        <v>213</v>
      </c>
      <c r="E226" t="s">
        <v>329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</row>
    <row r="227">
      <c r="A227" t="s">
        <v>235</v>
      </c>
      <c r="B227" t="s">
        <v>247</v>
      </c>
      <c r="C227" t="s">
        <v>231</v>
      </c>
      <c r="D227" t="s">
        <v>213</v>
      </c>
      <c r="E227" t="s">
        <v>330</v>
      </c>
      <c r="F227"/>
      <c r="G227"/>
      <c r="H227"/>
      <c r="I227" t="s">
        <v>789</v>
      </c>
      <c r="J227" t="s">
        <v>790</v>
      </c>
      <c r="K227"/>
      <c r="L227"/>
      <c r="M227"/>
      <c r="N227" t="s">
        <v>791</v>
      </c>
      <c r="O227"/>
      <c r="P227"/>
      <c r="Q227" t="s">
        <v>792</v>
      </c>
      <c r="R227" t="s">
        <v>793</v>
      </c>
      <c r="S227"/>
      <c r="T227"/>
      <c r="U227"/>
      <c r="V227"/>
      <c r="W227"/>
      <c r="X227"/>
      <c r="Y227"/>
      <c r="Z227"/>
      <c r="AA227"/>
      <c r="AB227"/>
      <c r="AC227" t="s">
        <v>794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s">
        <v>235</v>
      </c>
      <c r="B228" t="s">
        <v>247</v>
      </c>
      <c r="C228" t="s">
        <v>231</v>
      </c>
      <c r="D228" t="s">
        <v>213</v>
      </c>
      <c r="E228" t="s">
        <v>331</v>
      </c>
      <c r="F228"/>
      <c r="G228"/>
      <c r="H228"/>
      <c r="I228" t="s">
        <v>257</v>
      </c>
      <c r="J228" t="s">
        <v>257</v>
      </c>
      <c r="K228"/>
      <c r="L228"/>
      <c r="M228"/>
      <c r="N228" t="s">
        <v>276</v>
      </c>
      <c r="O228"/>
      <c r="P228"/>
      <c r="Q228" t="s">
        <v>281</v>
      </c>
      <c r="R228" t="s">
        <v>282</v>
      </c>
      <c r="S228"/>
      <c r="T228"/>
      <c r="U228"/>
      <c r="V228"/>
      <c r="W228"/>
      <c r="X228"/>
      <c r="Y228"/>
      <c r="Z228"/>
      <c r="AA228"/>
      <c r="AB228"/>
      <c r="AC228" t="s">
        <v>291</v>
      </c>
      <c r="AD228"/>
      <c r="AE228"/>
      <c r="AF228"/>
      <c r="AG228"/>
      <c r="AH228"/>
      <c r="AI228"/>
      <c r="AJ228"/>
      <c r="AK228"/>
      <c r="AL228"/>
    </row>
    <row r="229">
      <c r="A229" t="s">
        <v>235</v>
      </c>
      <c r="B229" t="s">
        <v>247</v>
      </c>
      <c r="C229" t="s">
        <v>231</v>
      </c>
      <c r="D229" t="s">
        <v>213</v>
      </c>
      <c r="E229" t="s">
        <v>332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 t="n">
        <v>14161</v>
      </c>
      <c r="AE229" t="n">
        <v>14161</v>
      </c>
      <c r="AF229" t="n">
        <v>14161</v>
      </c>
      <c r="AG229" t="n">
        <v>14161</v>
      </c>
      <c r="AH229" t="n">
        <v>14161</v>
      </c>
      <c r="AI229" t="n">
        <v>14161</v>
      </c>
      <c r="AJ229" t="n">
        <v>14161</v>
      </c>
      <c r="AK229" t="n">
        <v>14161</v>
      </c>
      <c r="AL229" t="n">
        <v>14161</v>
      </c>
    </row>
    <row r="230">
      <c r="A230" t="s">
        <v>235</v>
      </c>
      <c r="B230" t="s">
        <v>247</v>
      </c>
      <c r="C230" t="s">
        <v>231</v>
      </c>
      <c r="D230" t="s">
        <v>213</v>
      </c>
      <c r="E230" t="s">
        <v>333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s">
        <v>235</v>
      </c>
      <c r="B231" t="s">
        <v>247</v>
      </c>
      <c r="C231" t="s">
        <v>231</v>
      </c>
      <c r="D231" t="s">
        <v>213</v>
      </c>
      <c r="E231" t="s">
        <v>334</v>
      </c>
      <c r="F231"/>
      <c r="G231" t="s">
        <v>335</v>
      </c>
      <c r="H231" t="s">
        <v>335</v>
      </c>
      <c r="I231" t="s">
        <v>335</v>
      </c>
      <c r="J231" t="s">
        <v>335</v>
      </c>
      <c r="K231" t="s">
        <v>335</v>
      </c>
      <c r="L231" t="s">
        <v>335</v>
      </c>
      <c r="M231" t="s">
        <v>335</v>
      </c>
      <c r="N231" t="s">
        <v>335</v>
      </c>
      <c r="O231" t="s">
        <v>335</v>
      </c>
      <c r="P231" t="s">
        <v>335</v>
      </c>
      <c r="Q231" t="s">
        <v>335</v>
      </c>
      <c r="R231" t="s">
        <v>335</v>
      </c>
      <c r="S231" t="s">
        <v>335</v>
      </c>
      <c r="T231" t="s">
        <v>335</v>
      </c>
      <c r="U231" t="s">
        <v>335</v>
      </c>
      <c r="V231" t="s">
        <v>335</v>
      </c>
      <c r="W231" t="s">
        <v>335</v>
      </c>
      <c r="X231" t="s">
        <v>335</v>
      </c>
      <c r="Y231" t="s">
        <v>335</v>
      </c>
      <c r="Z231" t="s">
        <v>335</v>
      </c>
      <c r="AA231" t="s">
        <v>335</v>
      </c>
      <c r="AB231" t="s">
        <v>335</v>
      </c>
      <c r="AC231" t="s">
        <v>335</v>
      </c>
      <c r="AD231" t="n">
        <v>3</v>
      </c>
      <c r="AE231" t="n">
        <v>3</v>
      </c>
      <c r="AF231" t="n">
        <v>3</v>
      </c>
      <c r="AG231" t="n">
        <v>3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</row>
    <row r="232">
      <c r="A232" t="s">
        <v>235</v>
      </c>
      <c r="B232" t="s">
        <v>247</v>
      </c>
      <c r="C232" t="s">
        <v>231</v>
      </c>
      <c r="D232" t="s">
        <v>213</v>
      </c>
      <c r="E232" t="s">
        <v>336</v>
      </c>
      <c r="F232"/>
      <c r="G232" t="s">
        <v>337</v>
      </c>
      <c r="H232" t="s">
        <v>337</v>
      </c>
      <c r="I232" t="s">
        <v>337</v>
      </c>
      <c r="J232" t="s">
        <v>337</v>
      </c>
      <c r="K232" t="s">
        <v>337</v>
      </c>
      <c r="L232" t="s">
        <v>337</v>
      </c>
      <c r="M232" t="s">
        <v>337</v>
      </c>
      <c r="N232" t="s">
        <v>337</v>
      </c>
      <c r="O232" t="s">
        <v>337</v>
      </c>
      <c r="P232" t="s">
        <v>337</v>
      </c>
      <c r="Q232" t="s">
        <v>337</v>
      </c>
      <c r="R232" t="s">
        <v>337</v>
      </c>
      <c r="S232" t="s">
        <v>337</v>
      </c>
      <c r="T232" t="s">
        <v>337</v>
      </c>
      <c r="U232" t="s">
        <v>337</v>
      </c>
      <c r="V232" t="s">
        <v>337</v>
      </c>
      <c r="W232" t="s">
        <v>337</v>
      </c>
      <c r="X232" t="s">
        <v>337</v>
      </c>
      <c r="Y232" t="s">
        <v>337</v>
      </c>
      <c r="Z232" t="s">
        <v>337</v>
      </c>
      <c r="AA232" t="s">
        <v>337</v>
      </c>
      <c r="AB232" t="s">
        <v>337</v>
      </c>
      <c r="AC232" t="s">
        <v>337</v>
      </c>
      <c r="AD232" t="n">
        <v>6</v>
      </c>
      <c r="AE232" t="n">
        <v>6</v>
      </c>
      <c r="AF232" t="n">
        <v>6</v>
      </c>
      <c r="AG232" t="n">
        <v>6</v>
      </c>
      <c r="AH232" t="n">
        <v>6</v>
      </c>
      <c r="AI232" t="n">
        <v>6</v>
      </c>
      <c r="AJ232" t="n">
        <v>6</v>
      </c>
      <c r="AK232" t="n">
        <v>6</v>
      </c>
      <c r="AL232" t="n">
        <v>6</v>
      </c>
    </row>
    <row r="233">
      <c r="A233" t="s">
        <v>235</v>
      </c>
      <c r="B233" t="s">
        <v>247</v>
      </c>
      <c r="C233" t="s">
        <v>231</v>
      </c>
      <c r="D233" t="s">
        <v>213</v>
      </c>
      <c r="E233" t="s">
        <v>338</v>
      </c>
      <c r="F233"/>
      <c r="G233" t="s">
        <v>337</v>
      </c>
      <c r="H233" t="s">
        <v>337</v>
      </c>
      <c r="I233" t="s">
        <v>337</v>
      </c>
      <c r="J233" t="s">
        <v>337</v>
      </c>
      <c r="K233" t="s">
        <v>337</v>
      </c>
      <c r="L233" t="s">
        <v>337</v>
      </c>
      <c r="M233" t="s">
        <v>337</v>
      </c>
      <c r="N233" t="s">
        <v>337</v>
      </c>
      <c r="O233" t="s">
        <v>337</v>
      </c>
      <c r="P233" t="s">
        <v>337</v>
      </c>
      <c r="Q233" t="s">
        <v>337</v>
      </c>
      <c r="R233" t="s">
        <v>337</v>
      </c>
      <c r="S233" t="s">
        <v>337</v>
      </c>
      <c r="T233" t="s">
        <v>337</v>
      </c>
      <c r="U233" t="s">
        <v>337</v>
      </c>
      <c r="V233" t="s">
        <v>337</v>
      </c>
      <c r="W233" t="s">
        <v>337</v>
      </c>
      <c r="X233" t="s">
        <v>337</v>
      </c>
      <c r="Y233" t="s">
        <v>337</v>
      </c>
      <c r="Z233" t="s">
        <v>337</v>
      </c>
      <c r="AA233" t="s">
        <v>337</v>
      </c>
      <c r="AB233" t="s">
        <v>337</v>
      </c>
      <c r="AC233" t="s">
        <v>337</v>
      </c>
      <c r="AD233" t="n">
        <v>6</v>
      </c>
      <c r="AE233" t="n">
        <v>6</v>
      </c>
      <c r="AF233" t="n">
        <v>6</v>
      </c>
      <c r="AG233" t="n">
        <v>6</v>
      </c>
      <c r="AH233" t="n">
        <v>6</v>
      </c>
      <c r="AI233" t="n">
        <v>6</v>
      </c>
      <c r="AJ233" t="n">
        <v>6</v>
      </c>
      <c r="AK233" t="n">
        <v>6</v>
      </c>
      <c r="AL233" t="n">
        <v>6</v>
      </c>
    </row>
    <row r="234">
      <c r="A234" t="s">
        <v>235</v>
      </c>
      <c r="B234" t="s">
        <v>247</v>
      </c>
      <c r="C234" t="s">
        <v>231</v>
      </c>
      <c r="D234" t="s">
        <v>213</v>
      </c>
      <c r="E234" t="s">
        <v>339</v>
      </c>
      <c r="F234"/>
      <c r="G234" t="s">
        <v>795</v>
      </c>
      <c r="H234" t="s">
        <v>796</v>
      </c>
      <c r="I234" t="s">
        <v>797</v>
      </c>
      <c r="J234" t="s">
        <v>798</v>
      </c>
      <c r="K234" t="s">
        <v>799</v>
      </c>
      <c r="L234" t="s">
        <v>800</v>
      </c>
      <c r="M234" t="s">
        <v>801</v>
      </c>
      <c r="N234" t="s">
        <v>802</v>
      </c>
      <c r="O234" t="s">
        <v>803</v>
      </c>
      <c r="P234" t="s">
        <v>804</v>
      </c>
      <c r="Q234" t="s">
        <v>805</v>
      </c>
      <c r="R234" t="s">
        <v>806</v>
      </c>
      <c r="S234" t="s">
        <v>807</v>
      </c>
      <c r="T234" t="s">
        <v>808</v>
      </c>
      <c r="U234" t="s">
        <v>809</v>
      </c>
      <c r="V234" t="s">
        <v>810</v>
      </c>
      <c r="W234" t="s">
        <v>811</v>
      </c>
      <c r="X234" t="s">
        <v>812</v>
      </c>
      <c r="Y234" t="s">
        <v>813</v>
      </c>
      <c r="Z234" t="s">
        <v>814</v>
      </c>
      <c r="AA234" t="s">
        <v>815</v>
      </c>
      <c r="AB234" t="s">
        <v>816</v>
      </c>
      <c r="AC234" t="s">
        <v>817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s">
        <v>235</v>
      </c>
      <c r="B235" t="s">
        <v>247</v>
      </c>
      <c r="C235" t="s">
        <v>231</v>
      </c>
      <c r="D235" t="s">
        <v>213</v>
      </c>
      <c r="E235" t="s">
        <v>358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>
      <c r="A236" t="s">
        <v>235</v>
      </c>
      <c r="B236" t="s">
        <v>248</v>
      </c>
      <c r="C236"/>
      <c r="D236" t="s">
        <v>213</v>
      </c>
      <c r="E236" t="s">
        <v>297</v>
      </c>
      <c r="F236"/>
      <c r="G236" t="s">
        <v>818</v>
      </c>
      <c r="H236" t="s">
        <v>819</v>
      </c>
      <c r="I236" t="s">
        <v>820</v>
      </c>
      <c r="J236" t="s">
        <v>821</v>
      </c>
      <c r="K236" t="s">
        <v>822</v>
      </c>
      <c r="L236" t="s">
        <v>823</v>
      </c>
      <c r="M236" t="s">
        <v>824</v>
      </c>
      <c r="N236" t="s">
        <v>825</v>
      </c>
      <c r="O236" t="s">
        <v>826</v>
      </c>
      <c r="P236" t="s">
        <v>827</v>
      </c>
      <c r="Q236" t="s">
        <v>828</v>
      </c>
      <c r="R236" t="s">
        <v>829</v>
      </c>
      <c r="S236" t="s">
        <v>830</v>
      </c>
      <c r="T236" t="s">
        <v>831</v>
      </c>
      <c r="U236" t="s">
        <v>832</v>
      </c>
      <c r="V236" t="s">
        <v>833</v>
      </c>
      <c r="W236" t="s">
        <v>834</v>
      </c>
      <c r="X236" t="s">
        <v>835</v>
      </c>
      <c r="Y236" t="s">
        <v>836</v>
      </c>
      <c r="Z236" t="s">
        <v>837</v>
      </c>
      <c r="AA236" t="s">
        <v>838</v>
      </c>
      <c r="AB236" t="s">
        <v>839</v>
      </c>
      <c r="AC236" t="s">
        <v>840</v>
      </c>
      <c r="AD236"/>
      <c r="AE236"/>
      <c r="AF236"/>
      <c r="AG236"/>
      <c r="AH236"/>
      <c r="AI236"/>
      <c r="AJ236"/>
      <c r="AK236"/>
      <c r="AL236"/>
    </row>
    <row r="237">
      <c r="A237" t="s">
        <v>235</v>
      </c>
      <c r="B237" t="s">
        <v>248</v>
      </c>
      <c r="C237"/>
      <c r="D237" t="s">
        <v>213</v>
      </c>
      <c r="E237" t="s">
        <v>316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>
      <c r="A238" t="s">
        <v>235</v>
      </c>
      <c r="B238" t="s">
        <v>248</v>
      </c>
      <c r="C238"/>
      <c r="D238" t="s">
        <v>213</v>
      </c>
      <c r="E238" t="s">
        <v>317</v>
      </c>
      <c r="F238"/>
      <c r="G238" t="s">
        <v>841</v>
      </c>
      <c r="H238" t="s">
        <v>841</v>
      </c>
      <c r="I238" t="s">
        <v>841</v>
      </c>
      <c r="J238" t="s">
        <v>841</v>
      </c>
      <c r="K238" t="s">
        <v>841</v>
      </c>
      <c r="L238" t="s">
        <v>841</v>
      </c>
      <c r="M238" t="s">
        <v>841</v>
      </c>
      <c r="N238" t="s">
        <v>841</v>
      </c>
      <c r="O238" t="s">
        <v>841</v>
      </c>
      <c r="P238" t="s">
        <v>841</v>
      </c>
      <c r="Q238" t="s">
        <v>841</v>
      </c>
      <c r="R238" t="s">
        <v>841</v>
      </c>
      <c r="S238" t="s">
        <v>841</v>
      </c>
      <c r="T238" t="s">
        <v>841</v>
      </c>
      <c r="U238" t="s">
        <v>841</v>
      </c>
      <c r="V238" t="s">
        <v>841</v>
      </c>
      <c r="W238" t="s">
        <v>841</v>
      </c>
      <c r="X238" t="s">
        <v>841</v>
      </c>
      <c r="Y238" t="s">
        <v>841</v>
      </c>
      <c r="Z238" t="s">
        <v>841</v>
      </c>
      <c r="AA238" t="s">
        <v>841</v>
      </c>
      <c r="AB238" t="s">
        <v>841</v>
      </c>
      <c r="AC238" t="s">
        <v>841</v>
      </c>
      <c r="AD238"/>
      <c r="AE238"/>
      <c r="AF238"/>
      <c r="AG238"/>
      <c r="AH238"/>
      <c r="AI238"/>
      <c r="AJ238"/>
      <c r="AK238"/>
      <c r="AL238"/>
    </row>
    <row r="239">
      <c r="A239" t="s">
        <v>235</v>
      </c>
      <c r="B239" t="s">
        <v>248</v>
      </c>
      <c r="C239"/>
      <c r="D239" t="s">
        <v>213</v>
      </c>
      <c r="E239" t="s">
        <v>320</v>
      </c>
      <c r="F239"/>
      <c r="G239" t="s">
        <v>819</v>
      </c>
      <c r="H239" t="s">
        <v>820</v>
      </c>
      <c r="I239" t="s">
        <v>821</v>
      </c>
      <c r="J239" t="s">
        <v>822</v>
      </c>
      <c r="K239" t="s">
        <v>823</v>
      </c>
      <c r="L239" t="s">
        <v>824</v>
      </c>
      <c r="M239" t="s">
        <v>825</v>
      </c>
      <c r="N239" t="s">
        <v>826</v>
      </c>
      <c r="O239" t="s">
        <v>827</v>
      </c>
      <c r="P239" t="s">
        <v>828</v>
      </c>
      <c r="Q239" t="s">
        <v>829</v>
      </c>
      <c r="R239" t="s">
        <v>830</v>
      </c>
      <c r="S239" t="s">
        <v>831</v>
      </c>
      <c r="T239" t="s">
        <v>832</v>
      </c>
      <c r="U239" t="s">
        <v>833</v>
      </c>
      <c r="V239" t="s">
        <v>834</v>
      </c>
      <c r="W239" t="s">
        <v>835</v>
      </c>
      <c r="X239" t="s">
        <v>836</v>
      </c>
      <c r="Y239" t="s">
        <v>837</v>
      </c>
      <c r="Z239" t="s">
        <v>838</v>
      </c>
      <c r="AA239" t="s">
        <v>839</v>
      </c>
      <c r="AB239" t="s">
        <v>840</v>
      </c>
      <c r="AC239" t="s">
        <v>842</v>
      </c>
      <c r="AD239"/>
      <c r="AE239"/>
      <c r="AF239"/>
      <c r="AG239"/>
      <c r="AH239"/>
      <c r="AI239"/>
      <c r="AJ239"/>
      <c r="AK239"/>
      <c r="AL239"/>
    </row>
    <row r="240">
      <c r="A240" t="s">
        <v>235</v>
      </c>
      <c r="B240" t="s">
        <v>248</v>
      </c>
      <c r="C240"/>
      <c r="D240" t="s">
        <v>213</v>
      </c>
      <c r="E240" t="s">
        <v>323</v>
      </c>
      <c r="F240"/>
      <c r="G240" t="s">
        <v>236</v>
      </c>
      <c r="H240" t="s">
        <v>236</v>
      </c>
      <c r="I240" t="s">
        <v>236</v>
      </c>
      <c r="J240"/>
      <c r="K240"/>
      <c r="L240"/>
      <c r="M240"/>
      <c r="N240"/>
      <c r="O240" t="s">
        <v>279</v>
      </c>
      <c r="P240" t="s">
        <v>279</v>
      </c>
      <c r="Q240" t="s">
        <v>272</v>
      </c>
      <c r="R240"/>
      <c r="S240"/>
      <c r="T240"/>
      <c r="U240"/>
      <c r="V240"/>
      <c r="W240" t="s">
        <v>272</v>
      </c>
      <c r="X240"/>
      <c r="Y240"/>
      <c r="Z240"/>
      <c r="AA240"/>
      <c r="AB240"/>
      <c r="AC240" t="s">
        <v>272</v>
      </c>
      <c r="AD240"/>
      <c r="AE240"/>
      <c r="AF240"/>
      <c r="AG240"/>
      <c r="AH240"/>
      <c r="AI240"/>
      <c r="AJ240"/>
      <c r="AK240"/>
      <c r="AL240"/>
    </row>
    <row r="241">
      <c r="A241" t="s">
        <v>235</v>
      </c>
      <c r="B241" t="s">
        <v>248</v>
      </c>
      <c r="C241"/>
      <c r="D241" t="s">
        <v>213</v>
      </c>
      <c r="E241" t="s">
        <v>324</v>
      </c>
      <c r="F241"/>
      <c r="G241" t="s">
        <v>236</v>
      </c>
      <c r="H241" t="s">
        <v>236</v>
      </c>
      <c r="I241" t="s">
        <v>236</v>
      </c>
      <c r="J241"/>
      <c r="K241"/>
      <c r="L241"/>
      <c r="M241"/>
      <c r="N241"/>
      <c r="O241" t="s">
        <v>236</v>
      </c>
      <c r="P241" t="s">
        <v>236</v>
      </c>
      <c r="Q241" t="s">
        <v>272</v>
      </c>
      <c r="R241"/>
      <c r="S241"/>
      <c r="T241"/>
      <c r="U241"/>
      <c r="V241"/>
      <c r="W241" t="s">
        <v>272</v>
      </c>
      <c r="X241"/>
      <c r="Y241"/>
      <c r="Z241"/>
      <c r="AA241"/>
      <c r="AB241"/>
      <c r="AC241" t="s">
        <v>272</v>
      </c>
      <c r="AD241"/>
      <c r="AE241"/>
      <c r="AF241"/>
      <c r="AG241"/>
      <c r="AH241"/>
      <c r="AI241"/>
      <c r="AJ241"/>
      <c r="AK241"/>
      <c r="AL241"/>
    </row>
    <row r="242">
      <c r="A242" t="s">
        <v>235</v>
      </c>
      <c r="B242" t="s">
        <v>248</v>
      </c>
      <c r="C242"/>
      <c r="D242" t="s">
        <v>213</v>
      </c>
      <c r="E242" t="s">
        <v>325</v>
      </c>
      <c r="F242"/>
      <c r="G242" t="s">
        <v>237</v>
      </c>
      <c r="H242" t="s">
        <v>237</v>
      </c>
      <c r="I242" t="s">
        <v>237</v>
      </c>
      <c r="J242"/>
      <c r="K242"/>
      <c r="L242"/>
      <c r="M242"/>
      <c r="N242"/>
      <c r="O242" t="s">
        <v>259</v>
      </c>
      <c r="P242" t="s">
        <v>259</v>
      </c>
      <c r="Q242" t="s">
        <v>269</v>
      </c>
      <c r="R242"/>
      <c r="S242"/>
      <c r="T242"/>
      <c r="U242"/>
      <c r="V242"/>
      <c r="W242" t="s">
        <v>269</v>
      </c>
      <c r="X242"/>
      <c r="Y242"/>
      <c r="Z242"/>
      <c r="AA242"/>
      <c r="AB242"/>
      <c r="AC242" t="s">
        <v>269</v>
      </c>
      <c r="AD242"/>
      <c r="AE242"/>
      <c r="AF242"/>
      <c r="AG242"/>
      <c r="AH242"/>
      <c r="AI242"/>
      <c r="AJ242"/>
      <c r="AK242"/>
      <c r="AL242"/>
    </row>
    <row r="243">
      <c r="A243" t="s">
        <v>235</v>
      </c>
      <c r="B243" t="s">
        <v>248</v>
      </c>
      <c r="C243"/>
      <c r="D243" t="s">
        <v>213</v>
      </c>
      <c r="E243" t="s">
        <v>326</v>
      </c>
      <c r="F243"/>
      <c r="G243" t="s">
        <v>843</v>
      </c>
      <c r="H243" t="s">
        <v>844</v>
      </c>
      <c r="I243" t="s">
        <v>845</v>
      </c>
      <c r="J243"/>
      <c r="K243"/>
      <c r="L243"/>
      <c r="M243"/>
      <c r="N243"/>
      <c r="O243" t="s">
        <v>382</v>
      </c>
      <c r="P243" t="s">
        <v>843</v>
      </c>
      <c r="Q243" t="s">
        <v>846</v>
      </c>
      <c r="R243"/>
      <c r="S243"/>
      <c r="T243"/>
      <c r="U243"/>
      <c r="V243"/>
      <c r="W243" t="s">
        <v>847</v>
      </c>
      <c r="X243"/>
      <c r="Y243"/>
      <c r="Z243"/>
      <c r="AA243"/>
      <c r="AB243"/>
      <c r="AC243" t="s">
        <v>848</v>
      </c>
      <c r="AD243"/>
      <c r="AE243"/>
      <c r="AF243"/>
      <c r="AG243"/>
      <c r="AH243"/>
      <c r="AI243"/>
      <c r="AJ243"/>
      <c r="AK243"/>
      <c r="AL243"/>
    </row>
    <row r="244">
      <c r="A244" t="s">
        <v>235</v>
      </c>
      <c r="B244" t="s">
        <v>248</v>
      </c>
      <c r="C244"/>
      <c r="D244" t="s">
        <v>213</v>
      </c>
      <c r="E244" t="s">
        <v>329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>
      <c r="A245" t="s">
        <v>235</v>
      </c>
      <c r="B245" t="s">
        <v>248</v>
      </c>
      <c r="C245"/>
      <c r="D245" t="s">
        <v>213</v>
      </c>
      <c r="E245" t="s">
        <v>330</v>
      </c>
      <c r="F245"/>
      <c r="G245" t="s">
        <v>849</v>
      </c>
      <c r="H245" t="s">
        <v>850</v>
      </c>
      <c r="I245" t="s">
        <v>851</v>
      </c>
      <c r="J245"/>
      <c r="K245"/>
      <c r="L245"/>
      <c r="M245"/>
      <c r="N245"/>
      <c r="O245" t="s">
        <v>660</v>
      </c>
      <c r="P245" t="s">
        <v>852</v>
      </c>
      <c r="Q245" t="s">
        <v>853</v>
      </c>
      <c r="R245"/>
      <c r="S245"/>
      <c r="T245"/>
      <c r="U245"/>
      <c r="V245"/>
      <c r="W245" t="s">
        <v>854</v>
      </c>
      <c r="X245"/>
      <c r="Y245"/>
      <c r="Z245"/>
      <c r="AA245"/>
      <c r="AB245"/>
      <c r="AC245" t="s">
        <v>855</v>
      </c>
      <c r="AD245"/>
      <c r="AE245" t="n">
        <v>4212570</v>
      </c>
      <c r="AF245" t="n">
        <v>3851470</v>
      </c>
      <c r="AG245" t="n">
        <v>3486349</v>
      </c>
      <c r="AH245" t="n">
        <v>3117206</v>
      </c>
      <c r="AI245" t="n">
        <v>2744042</v>
      </c>
      <c r="AJ245"/>
      <c r="AK245"/>
      <c r="AL245"/>
    </row>
    <row r="246">
      <c r="A246" t="s">
        <v>235</v>
      </c>
      <c r="B246" t="s">
        <v>248</v>
      </c>
      <c r="C246"/>
      <c r="D246" t="s">
        <v>213</v>
      </c>
      <c r="E246" t="s">
        <v>331</v>
      </c>
      <c r="F246"/>
      <c r="G246" t="s">
        <v>244</v>
      </c>
      <c r="H246" t="s">
        <v>249</v>
      </c>
      <c r="I246" t="s">
        <v>253</v>
      </c>
      <c r="J246"/>
      <c r="K246"/>
      <c r="L246"/>
      <c r="M246"/>
      <c r="N246"/>
      <c r="O246" t="s">
        <v>278</v>
      </c>
      <c r="P246" t="s">
        <v>280</v>
      </c>
      <c r="Q246" t="s">
        <v>281</v>
      </c>
      <c r="R246"/>
      <c r="S246"/>
      <c r="T246"/>
      <c r="U246"/>
      <c r="V246"/>
      <c r="W246" t="s">
        <v>286</v>
      </c>
      <c r="X246"/>
      <c r="Y246"/>
      <c r="Z246"/>
      <c r="AA246"/>
      <c r="AB246"/>
      <c r="AC246" t="s">
        <v>291</v>
      </c>
      <c r="AD246"/>
      <c r="AE246"/>
      <c r="AF246"/>
      <c r="AG246"/>
      <c r="AH246"/>
      <c r="AI246"/>
      <c r="AJ246"/>
      <c r="AK246"/>
      <c r="AL246"/>
    </row>
    <row r="247">
      <c r="A247" t="s">
        <v>235</v>
      </c>
      <c r="B247" t="s">
        <v>248</v>
      </c>
      <c r="C247"/>
      <c r="D247" t="s">
        <v>213</v>
      </c>
      <c r="E247" t="s">
        <v>332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 t="n">
        <v>361100</v>
      </c>
      <c r="AF247" t="n">
        <v>365121</v>
      </c>
      <c r="AG247" t="n">
        <v>369143</v>
      </c>
      <c r="AH247" t="n">
        <v>373164</v>
      </c>
      <c r="AI247" t="n">
        <v>377185</v>
      </c>
      <c r="AJ247"/>
      <c r="AK247"/>
      <c r="AL247"/>
    </row>
    <row r="248">
      <c r="A248" t="s">
        <v>235</v>
      </c>
      <c r="B248" t="s">
        <v>248</v>
      </c>
      <c r="C248"/>
      <c r="D248" t="s">
        <v>213</v>
      </c>
      <c r="E248" t="s">
        <v>333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 t="n">
        <v>3851470</v>
      </c>
      <c r="AF248" t="n">
        <v>3486349</v>
      </c>
      <c r="AG248" t="n">
        <v>3117206</v>
      </c>
      <c r="AH248" t="n">
        <v>2744042</v>
      </c>
      <c r="AI248" t="n">
        <v>2366857</v>
      </c>
      <c r="AJ248"/>
      <c r="AK248"/>
      <c r="AL248"/>
    </row>
    <row r="249">
      <c r="A249" t="s">
        <v>235</v>
      </c>
      <c r="B249" t="s">
        <v>248</v>
      </c>
      <c r="C249"/>
      <c r="D249" t="s">
        <v>213</v>
      </c>
      <c r="E249" t="s">
        <v>334</v>
      </c>
      <c r="F249"/>
      <c r="G249" t="s">
        <v>335</v>
      </c>
      <c r="H249" t="s">
        <v>335</v>
      </c>
      <c r="I249" t="s">
        <v>335</v>
      </c>
      <c r="J249" t="s">
        <v>335</v>
      </c>
      <c r="K249" t="s">
        <v>335</v>
      </c>
      <c r="L249" t="s">
        <v>335</v>
      </c>
      <c r="M249" t="s">
        <v>335</v>
      </c>
      <c r="N249" t="s">
        <v>335</v>
      </c>
      <c r="O249" t="s">
        <v>335</v>
      </c>
      <c r="P249" t="s">
        <v>335</v>
      </c>
      <c r="Q249" t="s">
        <v>335</v>
      </c>
      <c r="R249" t="s">
        <v>335</v>
      </c>
      <c r="S249" t="s">
        <v>335</v>
      </c>
      <c r="T249" t="s">
        <v>335</v>
      </c>
      <c r="U249" t="s">
        <v>335</v>
      </c>
      <c r="V249" t="s">
        <v>335</v>
      </c>
      <c r="W249" t="s">
        <v>335</v>
      </c>
      <c r="X249" t="s">
        <v>335</v>
      </c>
      <c r="Y249" t="s">
        <v>335</v>
      </c>
      <c r="Z249" t="s">
        <v>335</v>
      </c>
      <c r="AA249" t="s">
        <v>335</v>
      </c>
      <c r="AB249" t="s">
        <v>335</v>
      </c>
      <c r="AC249" t="s">
        <v>335</v>
      </c>
      <c r="AD249"/>
      <c r="AE249" t="n">
        <v>6</v>
      </c>
      <c r="AF249" t="n">
        <v>6</v>
      </c>
      <c r="AG249" t="n">
        <v>6</v>
      </c>
      <c r="AH249" t="n">
        <v>6</v>
      </c>
      <c r="AI249" t="n">
        <v>6</v>
      </c>
      <c r="AJ249"/>
      <c r="AK249"/>
      <c r="AL249"/>
    </row>
    <row r="250">
      <c r="A250" t="s">
        <v>235</v>
      </c>
      <c r="B250" t="s">
        <v>248</v>
      </c>
      <c r="C250"/>
      <c r="D250" t="s">
        <v>213</v>
      </c>
      <c r="E250" t="s">
        <v>336</v>
      </c>
      <c r="F250"/>
      <c r="G250" t="s">
        <v>337</v>
      </c>
      <c r="H250" t="s">
        <v>337</v>
      </c>
      <c r="I250" t="s">
        <v>337</v>
      </c>
      <c r="J250" t="s">
        <v>337</v>
      </c>
      <c r="K250" t="s">
        <v>337</v>
      </c>
      <c r="L250" t="s">
        <v>337</v>
      </c>
      <c r="M250" t="s">
        <v>337</v>
      </c>
      <c r="N250" t="s">
        <v>337</v>
      </c>
      <c r="O250" t="s">
        <v>337</v>
      </c>
      <c r="P250" t="s">
        <v>337</v>
      </c>
      <c r="Q250" t="s">
        <v>337</v>
      </c>
      <c r="R250" t="s">
        <v>337</v>
      </c>
      <c r="S250" t="s">
        <v>337</v>
      </c>
      <c r="T250" t="s">
        <v>337</v>
      </c>
      <c r="U250" t="s">
        <v>337</v>
      </c>
      <c r="V250" t="s">
        <v>337</v>
      </c>
      <c r="W250" t="s">
        <v>337</v>
      </c>
      <c r="X250" t="s">
        <v>337</v>
      </c>
      <c r="Y250" t="s">
        <v>337</v>
      </c>
      <c r="Z250" t="s">
        <v>337</v>
      </c>
      <c r="AA250" t="s">
        <v>337</v>
      </c>
      <c r="AB250" t="s">
        <v>337</v>
      </c>
      <c r="AC250" t="s">
        <v>337</v>
      </c>
      <c r="AD250"/>
      <c r="AE250" t="n">
        <v>12</v>
      </c>
      <c r="AF250" t="n">
        <v>12</v>
      </c>
      <c r="AG250" t="n">
        <v>12</v>
      </c>
      <c r="AH250" t="n">
        <v>12</v>
      </c>
      <c r="AI250" t="n">
        <v>12</v>
      </c>
      <c r="AJ250"/>
      <c r="AK250"/>
      <c r="AL250"/>
    </row>
    <row r="251">
      <c r="A251" t="s">
        <v>235</v>
      </c>
      <c r="B251" t="s">
        <v>248</v>
      </c>
      <c r="C251"/>
      <c r="D251" t="s">
        <v>213</v>
      </c>
      <c r="E251" t="s">
        <v>338</v>
      </c>
      <c r="F251"/>
      <c r="G251" t="s">
        <v>337</v>
      </c>
      <c r="H251" t="s">
        <v>337</v>
      </c>
      <c r="I251" t="s">
        <v>337</v>
      </c>
      <c r="J251" t="s">
        <v>337</v>
      </c>
      <c r="K251" t="s">
        <v>337</v>
      </c>
      <c r="L251" t="s">
        <v>337</v>
      </c>
      <c r="M251" t="s">
        <v>337</v>
      </c>
      <c r="N251" t="s">
        <v>337</v>
      </c>
      <c r="O251" t="s">
        <v>337</v>
      </c>
      <c r="P251" t="s">
        <v>337</v>
      </c>
      <c r="Q251" t="s">
        <v>337</v>
      </c>
      <c r="R251" t="s">
        <v>337</v>
      </c>
      <c r="S251" t="s">
        <v>337</v>
      </c>
      <c r="T251" t="s">
        <v>337</v>
      </c>
      <c r="U251" t="s">
        <v>337</v>
      </c>
      <c r="V251" t="s">
        <v>337</v>
      </c>
      <c r="W251" t="s">
        <v>337</v>
      </c>
      <c r="X251" t="s">
        <v>337</v>
      </c>
      <c r="Y251" t="s">
        <v>337</v>
      </c>
      <c r="Z251" t="s">
        <v>337</v>
      </c>
      <c r="AA251" t="s">
        <v>337</v>
      </c>
      <c r="AB251" t="s">
        <v>337</v>
      </c>
      <c r="AC251" t="s">
        <v>337</v>
      </c>
      <c r="AD251"/>
      <c r="AE251" t="n">
        <v>12</v>
      </c>
      <c r="AF251" t="n">
        <v>12</v>
      </c>
      <c r="AG251" t="n">
        <v>12</v>
      </c>
      <c r="AH251" t="n">
        <v>12</v>
      </c>
      <c r="AI251" t="n">
        <v>12</v>
      </c>
      <c r="AJ251"/>
      <c r="AK251"/>
      <c r="AL251"/>
    </row>
    <row r="252">
      <c r="A252" t="s">
        <v>235</v>
      </c>
      <c r="B252" t="s">
        <v>248</v>
      </c>
      <c r="C252"/>
      <c r="D252" t="s">
        <v>213</v>
      </c>
      <c r="E252" t="s">
        <v>339</v>
      </c>
      <c r="F252"/>
      <c r="G252" t="s">
        <v>856</v>
      </c>
      <c r="H252" t="s">
        <v>857</v>
      </c>
      <c r="I252" t="s">
        <v>858</v>
      </c>
      <c r="J252" t="s">
        <v>859</v>
      </c>
      <c r="K252" t="s">
        <v>860</v>
      </c>
      <c r="L252" t="s">
        <v>861</v>
      </c>
      <c r="M252" t="s">
        <v>862</v>
      </c>
      <c r="N252" t="s">
        <v>863</v>
      </c>
      <c r="O252" t="s">
        <v>864</v>
      </c>
      <c r="P252" t="s">
        <v>865</v>
      </c>
      <c r="Q252" t="s">
        <v>866</v>
      </c>
      <c r="R252" t="s">
        <v>867</v>
      </c>
      <c r="S252" t="s">
        <v>868</v>
      </c>
      <c r="T252" t="s">
        <v>869</v>
      </c>
      <c r="U252" t="s">
        <v>870</v>
      </c>
      <c r="V252" t="s">
        <v>871</v>
      </c>
      <c r="W252" t="s">
        <v>872</v>
      </c>
      <c r="X252" t="s">
        <v>873</v>
      </c>
      <c r="Y252" t="s">
        <v>874</v>
      </c>
      <c r="Z252" t="s">
        <v>875</v>
      </c>
      <c r="AA252" t="s">
        <v>876</v>
      </c>
      <c r="AB252" t="s">
        <v>877</v>
      </c>
      <c r="AC252" t="s">
        <v>878</v>
      </c>
      <c r="AD252"/>
      <c r="AE252" t="n">
        <v>10.6659374134589</v>
      </c>
      <c r="AF252" t="n">
        <v>9.54847571079176</v>
      </c>
      <c r="AG252" t="n">
        <v>8.44444023047979</v>
      </c>
      <c r="AH252" t="n">
        <v>7.35344781382984</v>
      </c>
      <c r="AI252" t="n">
        <v>6.27505600699922</v>
      </c>
      <c r="AJ252"/>
      <c r="AK252"/>
      <c r="AL252"/>
    </row>
    <row r="253">
      <c r="A253" t="s">
        <v>235</v>
      </c>
      <c r="B253" t="s">
        <v>248</v>
      </c>
      <c r="C253"/>
      <c r="D253" t="s">
        <v>213</v>
      </c>
      <c r="E253" t="s">
        <v>358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>
      <c r="A254" t="s">
        <v>235</v>
      </c>
      <c r="B254" t="s">
        <v>232</v>
      </c>
      <c r="C254"/>
      <c r="D254" t="s">
        <v>213</v>
      </c>
      <c r="E254" t="s">
        <v>297</v>
      </c>
      <c r="F254"/>
      <c r="G254" t="s">
        <v>879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s">
        <v>235</v>
      </c>
      <c r="B255" t="s">
        <v>232</v>
      </c>
      <c r="C255"/>
      <c r="D255" t="s">
        <v>213</v>
      </c>
      <c r="E255" t="s">
        <v>316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>
      <c r="A256" t="s">
        <v>235</v>
      </c>
      <c r="B256" t="s">
        <v>232</v>
      </c>
      <c r="C256"/>
      <c r="D256" t="s">
        <v>213</v>
      </c>
      <c r="E256" t="s">
        <v>317</v>
      </c>
      <c r="F256"/>
      <c r="G256" t="s">
        <v>880</v>
      </c>
      <c r="H256" t="s">
        <v>880</v>
      </c>
      <c r="I256" t="s">
        <v>880</v>
      </c>
      <c r="J256" t="s">
        <v>880</v>
      </c>
      <c r="K256" t="s">
        <v>880</v>
      </c>
      <c r="L256" t="s">
        <v>880</v>
      </c>
      <c r="M256" t="s">
        <v>880</v>
      </c>
      <c r="N256" t="s">
        <v>880</v>
      </c>
      <c r="O256" t="s">
        <v>880</v>
      </c>
      <c r="P256" t="s">
        <v>880</v>
      </c>
      <c r="Q256" t="s">
        <v>880</v>
      </c>
      <c r="R256" t="s">
        <v>880</v>
      </c>
      <c r="S256" t="s">
        <v>880</v>
      </c>
      <c r="T256" t="s">
        <v>880</v>
      </c>
      <c r="U256" t="s">
        <v>880</v>
      </c>
      <c r="V256" t="s">
        <v>880</v>
      </c>
      <c r="W256" t="s">
        <v>880</v>
      </c>
      <c r="X256" t="s">
        <v>880</v>
      </c>
      <c r="Y256" t="s">
        <v>880</v>
      </c>
      <c r="Z256" t="s">
        <v>880</v>
      </c>
      <c r="AA256" t="s">
        <v>880</v>
      </c>
      <c r="AB256" t="s">
        <v>880</v>
      </c>
      <c r="AC256" t="s">
        <v>880</v>
      </c>
      <c r="AD256" t="n">
        <v>140803</v>
      </c>
      <c r="AE256" t="n">
        <v>140803</v>
      </c>
      <c r="AF256" t="n">
        <v>140803</v>
      </c>
      <c r="AG256" t="n">
        <v>140803</v>
      </c>
      <c r="AH256" t="n">
        <v>140803</v>
      </c>
      <c r="AI256" t="n">
        <v>140803</v>
      </c>
      <c r="AJ256" t="n">
        <v>140803</v>
      </c>
      <c r="AK256" t="n">
        <v>140803</v>
      </c>
      <c r="AL256" t="n">
        <v>140803</v>
      </c>
    </row>
    <row r="257">
      <c r="A257" t="s">
        <v>235</v>
      </c>
      <c r="B257" t="s">
        <v>232</v>
      </c>
      <c r="C257"/>
      <c r="D257" t="s">
        <v>213</v>
      </c>
      <c r="E257" t="s">
        <v>320</v>
      </c>
      <c r="F257"/>
      <c r="G257" t="s">
        <v>881</v>
      </c>
      <c r="H257" t="s">
        <v>360</v>
      </c>
      <c r="I257" t="s">
        <v>882</v>
      </c>
      <c r="J257" t="s">
        <v>360</v>
      </c>
      <c r="K257" t="s">
        <v>360</v>
      </c>
      <c r="L257" t="s">
        <v>360</v>
      </c>
      <c r="M257" t="s">
        <v>360</v>
      </c>
      <c r="N257" t="s">
        <v>360</v>
      </c>
      <c r="O257" t="s">
        <v>360</v>
      </c>
      <c r="P257" t="s">
        <v>360</v>
      </c>
      <c r="Q257" t="s">
        <v>360</v>
      </c>
      <c r="R257" t="s">
        <v>883</v>
      </c>
      <c r="S257" t="s">
        <v>360</v>
      </c>
      <c r="T257" t="s">
        <v>360</v>
      </c>
      <c r="U257" t="s">
        <v>360</v>
      </c>
      <c r="V257" t="s">
        <v>360</v>
      </c>
      <c r="W257" t="s">
        <v>360</v>
      </c>
      <c r="X257" t="s">
        <v>884</v>
      </c>
      <c r="Y257" t="s">
        <v>360</v>
      </c>
      <c r="Z257" t="s">
        <v>360</v>
      </c>
      <c r="AA257" t="s">
        <v>360</v>
      </c>
      <c r="AB257" t="s">
        <v>360</v>
      </c>
      <c r="AC257" t="s">
        <v>885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s">
        <v>235</v>
      </c>
      <c r="B258" t="s">
        <v>232</v>
      </c>
      <c r="C258"/>
      <c r="D258" t="s">
        <v>213</v>
      </c>
      <c r="E258" t="s">
        <v>323</v>
      </c>
      <c r="F258"/>
      <c r="G258"/>
      <c r="H258"/>
      <c r="I258" t="s">
        <v>242</v>
      </c>
      <c r="J258"/>
      <c r="K258"/>
      <c r="L258"/>
      <c r="M258" t="s">
        <v>236</v>
      </c>
      <c r="N258"/>
      <c r="O258"/>
      <c r="P258"/>
      <c r="Q258"/>
      <c r="R258" t="s">
        <v>272</v>
      </c>
      <c r="S258"/>
      <c r="T258"/>
      <c r="U258"/>
      <c r="V258"/>
      <c r="W258"/>
      <c r="X258" t="s">
        <v>272</v>
      </c>
      <c r="Y258"/>
      <c r="Z258"/>
      <c r="AA258"/>
      <c r="AB258"/>
      <c r="AC258" t="s">
        <v>292</v>
      </c>
      <c r="AD258" t="n">
        <v>3</v>
      </c>
      <c r="AE258" t="n">
        <v>3</v>
      </c>
      <c r="AF258" t="n">
        <v>3</v>
      </c>
      <c r="AG258" t="n">
        <v>3</v>
      </c>
      <c r="AH258" t="n">
        <v>3</v>
      </c>
      <c r="AI258" t="n">
        <v>3</v>
      </c>
      <c r="AJ258" t="n">
        <v>3</v>
      </c>
      <c r="AK258" t="n">
        <v>3</v>
      </c>
      <c r="AL258" t="n">
        <v>3</v>
      </c>
    </row>
    <row r="259">
      <c r="A259" t="s">
        <v>235</v>
      </c>
      <c r="B259" t="s">
        <v>232</v>
      </c>
      <c r="C259"/>
      <c r="D259" t="s">
        <v>213</v>
      </c>
      <c r="E259" t="s">
        <v>324</v>
      </c>
      <c r="F259"/>
      <c r="G259"/>
      <c r="H259"/>
      <c r="I259" t="s">
        <v>243</v>
      </c>
      <c r="J259"/>
      <c r="K259"/>
      <c r="L259"/>
      <c r="M259" t="s">
        <v>274</v>
      </c>
      <c r="N259"/>
      <c r="O259"/>
      <c r="P259"/>
      <c r="Q259"/>
      <c r="R259" t="s">
        <v>272</v>
      </c>
      <c r="S259"/>
      <c r="T259"/>
      <c r="U259"/>
      <c r="V259"/>
      <c r="W259"/>
      <c r="X259" t="s">
        <v>272</v>
      </c>
      <c r="Y259"/>
      <c r="Z259"/>
      <c r="AA259"/>
      <c r="AB259"/>
      <c r="AC259" t="s">
        <v>292</v>
      </c>
      <c r="AD259" t="n">
        <v>6</v>
      </c>
      <c r="AE259" t="n">
        <v>6</v>
      </c>
      <c r="AF259" t="n">
        <v>6</v>
      </c>
      <c r="AG259" t="n">
        <v>6</v>
      </c>
      <c r="AH259" t="n">
        <v>6</v>
      </c>
      <c r="AI259" t="n">
        <v>6</v>
      </c>
      <c r="AJ259" t="n">
        <v>6</v>
      </c>
      <c r="AK259" t="n">
        <v>6</v>
      </c>
      <c r="AL259" t="n">
        <v>6</v>
      </c>
    </row>
    <row r="260">
      <c r="A260" t="s">
        <v>235</v>
      </c>
      <c r="B260" t="s">
        <v>232</v>
      </c>
      <c r="C260"/>
      <c r="D260" t="s">
        <v>213</v>
      </c>
      <c r="E260" t="s">
        <v>325</v>
      </c>
      <c r="F260"/>
      <c r="G260"/>
      <c r="H260"/>
      <c r="I260" t="s">
        <v>237</v>
      </c>
      <c r="J260"/>
      <c r="K260"/>
      <c r="L260"/>
      <c r="M260" t="s">
        <v>254</v>
      </c>
      <c r="N260"/>
      <c r="O260"/>
      <c r="P260"/>
      <c r="Q260"/>
      <c r="R260" t="s">
        <v>269</v>
      </c>
      <c r="S260"/>
      <c r="T260"/>
      <c r="U260"/>
      <c r="V260"/>
      <c r="W260"/>
      <c r="X260" t="s">
        <v>269</v>
      </c>
      <c r="Y260"/>
      <c r="Z260"/>
      <c r="AA260"/>
      <c r="AB260"/>
      <c r="AC260" t="s">
        <v>259</v>
      </c>
      <c r="AD260" t="n">
        <v>6</v>
      </c>
      <c r="AE260" t="n">
        <v>6</v>
      </c>
      <c r="AF260" t="n">
        <v>6</v>
      </c>
      <c r="AG260" t="n">
        <v>6</v>
      </c>
      <c r="AH260" t="n">
        <v>6</v>
      </c>
      <c r="AI260" t="n">
        <v>6</v>
      </c>
      <c r="AJ260" t="n">
        <v>6</v>
      </c>
      <c r="AK260" t="n">
        <v>6</v>
      </c>
      <c r="AL260" t="n">
        <v>6</v>
      </c>
    </row>
    <row r="261">
      <c r="A261" t="s">
        <v>235</v>
      </c>
      <c r="B261" t="s">
        <v>232</v>
      </c>
      <c r="C261"/>
      <c r="D261" t="s">
        <v>213</v>
      </c>
      <c r="E261" t="s">
        <v>326</v>
      </c>
      <c r="F261"/>
      <c r="G261"/>
      <c r="H261"/>
      <c r="I261" t="s">
        <v>886</v>
      </c>
      <c r="J261"/>
      <c r="K261"/>
      <c r="L261"/>
      <c r="M261" t="s">
        <v>887</v>
      </c>
      <c r="N261"/>
      <c r="O261"/>
      <c r="P261"/>
      <c r="Q261"/>
      <c r="R261" t="s">
        <v>888</v>
      </c>
      <c r="S261"/>
      <c r="T261"/>
      <c r="U261"/>
      <c r="V261"/>
      <c r="W261"/>
      <c r="X261" t="s">
        <v>889</v>
      </c>
      <c r="Y261"/>
      <c r="Z261"/>
      <c r="AA261"/>
      <c r="AB261"/>
      <c r="AC261" t="s">
        <v>890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s">
        <v>235</v>
      </c>
      <c r="B262" t="s">
        <v>232</v>
      </c>
      <c r="C262"/>
      <c r="D262" t="s">
        <v>213</v>
      </c>
      <c r="E262" t="s">
        <v>329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</row>
    <row r="263">
      <c r="A263" t="s">
        <v>235</v>
      </c>
      <c r="B263" t="s">
        <v>232</v>
      </c>
      <c r="C263"/>
      <c r="D263" t="s">
        <v>213</v>
      </c>
      <c r="E263" t="s">
        <v>330</v>
      </c>
      <c r="F263"/>
      <c r="G263"/>
      <c r="H263"/>
      <c r="I263" t="s">
        <v>891</v>
      </c>
      <c r="J263"/>
      <c r="K263"/>
      <c r="L263"/>
      <c r="M263" t="s">
        <v>892</v>
      </c>
      <c r="N263"/>
      <c r="O263"/>
      <c r="P263"/>
      <c r="Q263"/>
      <c r="R263" t="s">
        <v>893</v>
      </c>
      <c r="S263"/>
      <c r="T263"/>
      <c r="U263"/>
      <c r="V263"/>
      <c r="W263"/>
      <c r="X263" t="s">
        <v>894</v>
      </c>
      <c r="Y263"/>
      <c r="Z263"/>
      <c r="AA263"/>
      <c r="AB263"/>
      <c r="AC263" t="s">
        <v>895</v>
      </c>
      <c r="AD263"/>
      <c r="AE263"/>
      <c r="AF263"/>
      <c r="AG263"/>
      <c r="AH263"/>
      <c r="AI263"/>
      <c r="AJ263"/>
      <c r="AK263"/>
      <c r="AL263"/>
    </row>
    <row r="264">
      <c r="A264" t="s">
        <v>235</v>
      </c>
      <c r="B264" t="s">
        <v>232</v>
      </c>
      <c r="C264"/>
      <c r="D264" t="s">
        <v>213</v>
      </c>
      <c r="E264" t="s">
        <v>331</v>
      </c>
      <c r="F264"/>
      <c r="G264"/>
      <c r="H264"/>
      <c r="I264" t="s">
        <v>253</v>
      </c>
      <c r="J264"/>
      <c r="K264"/>
      <c r="L264"/>
      <c r="M264" t="s">
        <v>270</v>
      </c>
      <c r="N264"/>
      <c r="O264"/>
      <c r="P264"/>
      <c r="Q264"/>
      <c r="R264" t="s">
        <v>282</v>
      </c>
      <c r="S264"/>
      <c r="T264"/>
      <c r="U264"/>
      <c r="V264"/>
      <c r="W264"/>
      <c r="X264" t="s">
        <v>287</v>
      </c>
      <c r="Y264"/>
      <c r="Z264"/>
      <c r="AA264"/>
      <c r="AB264"/>
      <c r="AC264" t="s">
        <v>291</v>
      </c>
      <c r="AD264"/>
      <c r="AE264"/>
      <c r="AF264"/>
      <c r="AG264"/>
      <c r="AH264"/>
      <c r="AI264"/>
      <c r="AJ264"/>
      <c r="AK264"/>
      <c r="AL264"/>
    </row>
    <row r="265">
      <c r="A265" t="s">
        <v>235</v>
      </c>
      <c r="B265" t="s">
        <v>232</v>
      </c>
      <c r="C265"/>
      <c r="D265" t="s">
        <v>213</v>
      </c>
      <c r="E265" t="s">
        <v>332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>
      <c r="A266" t="s">
        <v>235</v>
      </c>
      <c r="B266" t="s">
        <v>232</v>
      </c>
      <c r="C266"/>
      <c r="D266" t="s">
        <v>213</v>
      </c>
      <c r="E266" t="s">
        <v>333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>
      <c r="A267" t="s">
        <v>235</v>
      </c>
      <c r="B267" t="s">
        <v>232</v>
      </c>
      <c r="C267"/>
      <c r="D267" t="s">
        <v>213</v>
      </c>
      <c r="E267" t="s">
        <v>334</v>
      </c>
      <c r="F267"/>
      <c r="G267" t="s">
        <v>335</v>
      </c>
      <c r="H267" t="s">
        <v>335</v>
      </c>
      <c r="I267" t="s">
        <v>335</v>
      </c>
      <c r="J267" t="s">
        <v>335</v>
      </c>
      <c r="K267" t="s">
        <v>335</v>
      </c>
      <c r="L267" t="s">
        <v>335</v>
      </c>
      <c r="M267" t="s">
        <v>335</v>
      </c>
      <c r="N267" t="s">
        <v>335</v>
      </c>
      <c r="O267" t="s">
        <v>335</v>
      </c>
      <c r="P267" t="s">
        <v>335</v>
      </c>
      <c r="Q267" t="s">
        <v>335</v>
      </c>
      <c r="R267" t="s">
        <v>335</v>
      </c>
      <c r="S267" t="s">
        <v>335</v>
      </c>
      <c r="T267" t="s">
        <v>335</v>
      </c>
      <c r="U267" t="s">
        <v>335</v>
      </c>
      <c r="V267" t="s">
        <v>335</v>
      </c>
      <c r="W267" t="s">
        <v>335</v>
      </c>
      <c r="X267" t="s">
        <v>335</v>
      </c>
      <c r="Y267" t="s">
        <v>335</v>
      </c>
      <c r="Z267" t="s">
        <v>335</v>
      </c>
      <c r="AA267" t="s">
        <v>335</v>
      </c>
      <c r="AB267" t="s">
        <v>335</v>
      </c>
      <c r="AC267" t="s">
        <v>335</v>
      </c>
      <c r="AD267"/>
      <c r="AE267"/>
      <c r="AF267"/>
      <c r="AG267"/>
      <c r="AH267"/>
      <c r="AI267"/>
      <c r="AJ267"/>
      <c r="AK267"/>
      <c r="AL267"/>
    </row>
    <row r="268">
      <c r="A268" t="s">
        <v>235</v>
      </c>
      <c r="B268" t="s">
        <v>232</v>
      </c>
      <c r="C268"/>
      <c r="D268" t="s">
        <v>213</v>
      </c>
      <c r="E268" t="s">
        <v>336</v>
      </c>
      <c r="F268"/>
      <c r="G268" t="s">
        <v>337</v>
      </c>
      <c r="H268" t="s">
        <v>337</v>
      </c>
      <c r="I268" t="s">
        <v>337</v>
      </c>
      <c r="J268" t="s">
        <v>337</v>
      </c>
      <c r="K268" t="s">
        <v>337</v>
      </c>
      <c r="L268" t="s">
        <v>337</v>
      </c>
      <c r="M268" t="s">
        <v>337</v>
      </c>
      <c r="N268" t="s">
        <v>337</v>
      </c>
      <c r="O268" t="s">
        <v>337</v>
      </c>
      <c r="P268" t="s">
        <v>337</v>
      </c>
      <c r="Q268" t="s">
        <v>337</v>
      </c>
      <c r="R268" t="s">
        <v>337</v>
      </c>
      <c r="S268" t="s">
        <v>337</v>
      </c>
      <c r="T268" t="s">
        <v>337</v>
      </c>
      <c r="U268" t="s">
        <v>337</v>
      </c>
      <c r="V268" t="s">
        <v>337</v>
      </c>
      <c r="W268" t="s">
        <v>337</v>
      </c>
      <c r="X268" t="s">
        <v>337</v>
      </c>
      <c r="Y268" t="s">
        <v>337</v>
      </c>
      <c r="Z268" t="s">
        <v>337</v>
      </c>
      <c r="AA268" t="s">
        <v>337</v>
      </c>
      <c r="AB268" t="s">
        <v>337</v>
      </c>
      <c r="AC268" t="s">
        <v>337</v>
      </c>
      <c r="AD268"/>
      <c r="AE268"/>
      <c r="AF268"/>
      <c r="AG268"/>
      <c r="AH268"/>
      <c r="AI268"/>
      <c r="AJ268"/>
      <c r="AK268"/>
      <c r="AL268"/>
    </row>
    <row r="269">
      <c r="A269" t="s">
        <v>235</v>
      </c>
      <c r="B269" t="s">
        <v>232</v>
      </c>
      <c r="C269"/>
      <c r="D269" t="s">
        <v>213</v>
      </c>
      <c r="E269" t="s">
        <v>338</v>
      </c>
      <c r="F269"/>
      <c r="G269" t="s">
        <v>337</v>
      </c>
      <c r="H269" t="s">
        <v>337</v>
      </c>
      <c r="I269" t="s">
        <v>337</v>
      </c>
      <c r="J269" t="s">
        <v>337</v>
      </c>
      <c r="K269" t="s">
        <v>337</v>
      </c>
      <c r="L269" t="s">
        <v>337</v>
      </c>
      <c r="M269" t="s">
        <v>337</v>
      </c>
      <c r="N269" t="s">
        <v>337</v>
      </c>
      <c r="O269" t="s">
        <v>337</v>
      </c>
      <c r="P269" t="s">
        <v>337</v>
      </c>
      <c r="Q269" t="s">
        <v>337</v>
      </c>
      <c r="R269" t="s">
        <v>337</v>
      </c>
      <c r="S269" t="s">
        <v>337</v>
      </c>
      <c r="T269" t="s">
        <v>337</v>
      </c>
      <c r="U269" t="s">
        <v>337</v>
      </c>
      <c r="V269" t="s">
        <v>337</v>
      </c>
      <c r="W269" t="s">
        <v>337</v>
      </c>
      <c r="X269" t="s">
        <v>337</v>
      </c>
      <c r="Y269" t="s">
        <v>337</v>
      </c>
      <c r="Z269" t="s">
        <v>337</v>
      </c>
      <c r="AA269" t="s">
        <v>337</v>
      </c>
      <c r="AB269" t="s">
        <v>337</v>
      </c>
      <c r="AC269" t="s">
        <v>337</v>
      </c>
      <c r="AD269"/>
      <c r="AE269"/>
      <c r="AF269"/>
      <c r="AG269"/>
      <c r="AH269"/>
      <c r="AI269"/>
      <c r="AJ269"/>
      <c r="AK269"/>
      <c r="AL269"/>
    </row>
    <row r="270">
      <c r="A270" t="s">
        <v>235</v>
      </c>
      <c r="B270" t="s">
        <v>232</v>
      </c>
      <c r="C270"/>
      <c r="D270" t="s">
        <v>213</v>
      </c>
      <c r="E270" t="s">
        <v>339</v>
      </c>
      <c r="F270"/>
      <c r="G270" t="s">
        <v>896</v>
      </c>
      <c r="H270" t="s">
        <v>360</v>
      </c>
      <c r="I270" t="s">
        <v>897</v>
      </c>
      <c r="J270" t="s">
        <v>360</v>
      </c>
      <c r="K270" t="s">
        <v>360</v>
      </c>
      <c r="L270" t="s">
        <v>360</v>
      </c>
      <c r="M270" t="s">
        <v>360</v>
      </c>
      <c r="N270" t="s">
        <v>360</v>
      </c>
      <c r="O270" t="s">
        <v>360</v>
      </c>
      <c r="P270" t="s">
        <v>360</v>
      </c>
      <c r="Q270" t="s">
        <v>360</v>
      </c>
      <c r="R270" t="s">
        <v>898</v>
      </c>
      <c r="S270" t="s">
        <v>360</v>
      </c>
      <c r="T270" t="s">
        <v>360</v>
      </c>
      <c r="U270" t="s">
        <v>360</v>
      </c>
      <c r="V270" t="s">
        <v>360</v>
      </c>
      <c r="W270" t="s">
        <v>360</v>
      </c>
      <c r="X270" t="s">
        <v>899</v>
      </c>
      <c r="Y270" t="s">
        <v>360</v>
      </c>
      <c r="Z270" t="s">
        <v>360</v>
      </c>
      <c r="AA270" t="s">
        <v>360</v>
      </c>
      <c r="AB270" t="s">
        <v>360</v>
      </c>
      <c r="AC270" t="s">
        <v>900</v>
      </c>
      <c r="AD270"/>
      <c r="AE270"/>
      <c r="AF270"/>
      <c r="AG270"/>
      <c r="AH270"/>
      <c r="AI270"/>
      <c r="AJ270"/>
      <c r="AK270"/>
      <c r="AL270"/>
    </row>
    <row r="271">
      <c r="A271" t="s">
        <v>235</v>
      </c>
      <c r="B271" t="s">
        <v>232</v>
      </c>
      <c r="C271"/>
      <c r="D271" t="s">
        <v>213</v>
      </c>
      <c r="E271" t="s">
        <v>358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>
      <c r="A272" t="s">
        <v>235</v>
      </c>
      <c r="B272" t="s">
        <v>234</v>
      </c>
      <c r="C272"/>
      <c r="D272" t="s">
        <v>213</v>
      </c>
      <c r="E272" t="s">
        <v>297</v>
      </c>
      <c r="F272"/>
      <c r="G272" t="s">
        <v>901</v>
      </c>
      <c r="H272" t="s">
        <v>902</v>
      </c>
      <c r="I272" t="s">
        <v>903</v>
      </c>
      <c r="J272" t="s">
        <v>904</v>
      </c>
      <c r="K272" t="s">
        <v>360</v>
      </c>
      <c r="L272" t="s">
        <v>360</v>
      </c>
      <c r="M272" t="s">
        <v>360</v>
      </c>
      <c r="N272" t="s">
        <v>360</v>
      </c>
      <c r="O272" t="s">
        <v>360</v>
      </c>
      <c r="P272" t="s">
        <v>905</v>
      </c>
      <c r="Q272" t="s">
        <v>360</v>
      </c>
      <c r="R272" t="s">
        <v>360</v>
      </c>
      <c r="S272" t="s">
        <v>360</v>
      </c>
      <c r="T272" t="s">
        <v>360</v>
      </c>
      <c r="U272" t="s">
        <v>360</v>
      </c>
      <c r="V272" t="s">
        <v>360</v>
      </c>
      <c r="W272" t="s">
        <v>906</v>
      </c>
      <c r="X272" t="s">
        <v>360</v>
      </c>
      <c r="Y272" t="s">
        <v>360</v>
      </c>
      <c r="Z272" t="s">
        <v>360</v>
      </c>
      <c r="AA272" t="s">
        <v>360</v>
      </c>
      <c r="AB272" t="s">
        <v>360</v>
      </c>
      <c r="AC272" t="s">
        <v>360</v>
      </c>
      <c r="AD272"/>
      <c r="AE272"/>
      <c r="AF272"/>
      <c r="AG272"/>
      <c r="AH272"/>
      <c r="AI272"/>
      <c r="AJ272"/>
      <c r="AK272"/>
      <c r="AL272"/>
    </row>
    <row r="273">
      <c r="A273" t="s">
        <v>235</v>
      </c>
      <c r="B273" t="s">
        <v>234</v>
      </c>
      <c r="C273"/>
      <c r="D273" t="s">
        <v>213</v>
      </c>
      <c r="E273" t="s">
        <v>316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>
      <c r="A274" t="s">
        <v>235</v>
      </c>
      <c r="B274" t="s">
        <v>234</v>
      </c>
      <c r="C274"/>
      <c r="D274" t="s">
        <v>213</v>
      </c>
      <c r="E274" t="s">
        <v>317</v>
      </c>
      <c r="F274"/>
      <c r="G274" t="s">
        <v>318</v>
      </c>
      <c r="H274" t="s">
        <v>318</v>
      </c>
      <c r="I274" t="s">
        <v>318</v>
      </c>
      <c r="J274" t="s">
        <v>318</v>
      </c>
      <c r="K274" t="s">
        <v>318</v>
      </c>
      <c r="L274" t="s">
        <v>318</v>
      </c>
      <c r="M274" t="s">
        <v>318</v>
      </c>
      <c r="N274" t="s">
        <v>318</v>
      </c>
      <c r="O274" t="s">
        <v>318</v>
      </c>
      <c r="P274" t="s">
        <v>318</v>
      </c>
      <c r="Q274" t="s">
        <v>318</v>
      </c>
      <c r="R274" t="s">
        <v>318</v>
      </c>
      <c r="S274" t="s">
        <v>318</v>
      </c>
      <c r="T274" t="s">
        <v>318</v>
      </c>
      <c r="U274" t="s">
        <v>318</v>
      </c>
      <c r="V274" t="s">
        <v>318</v>
      </c>
      <c r="W274" t="s">
        <v>318</v>
      </c>
      <c r="X274" t="s">
        <v>318</v>
      </c>
      <c r="Y274" t="s">
        <v>318</v>
      </c>
      <c r="Z274" t="s">
        <v>318</v>
      </c>
      <c r="AA274" t="s">
        <v>318</v>
      </c>
      <c r="AB274" t="s">
        <v>318</v>
      </c>
      <c r="AC274" t="s">
        <v>318</v>
      </c>
      <c r="AD274"/>
      <c r="AE274"/>
      <c r="AF274"/>
      <c r="AG274"/>
      <c r="AH274"/>
      <c r="AI274"/>
      <c r="AJ274"/>
      <c r="AK274"/>
      <c r="AL274"/>
    </row>
    <row r="275">
      <c r="A275" t="s">
        <v>235</v>
      </c>
      <c r="B275" t="s">
        <v>234</v>
      </c>
      <c r="C275"/>
      <c r="D275" t="s">
        <v>213</v>
      </c>
      <c r="E275" t="s">
        <v>320</v>
      </c>
      <c r="F275"/>
      <c r="G275" t="s">
        <v>902</v>
      </c>
      <c r="H275" t="s">
        <v>903</v>
      </c>
      <c r="I275" t="s">
        <v>904</v>
      </c>
      <c r="J275" t="s">
        <v>360</v>
      </c>
      <c r="K275" t="s">
        <v>360</v>
      </c>
      <c r="L275" t="s">
        <v>360</v>
      </c>
      <c r="M275" t="s">
        <v>360</v>
      </c>
      <c r="N275" t="s">
        <v>360</v>
      </c>
      <c r="O275" t="s">
        <v>905</v>
      </c>
      <c r="P275" t="s">
        <v>360</v>
      </c>
      <c r="Q275" t="s">
        <v>360</v>
      </c>
      <c r="R275" t="s">
        <v>360</v>
      </c>
      <c r="S275" t="s">
        <v>360</v>
      </c>
      <c r="T275" t="s">
        <v>360</v>
      </c>
      <c r="U275" t="s">
        <v>360</v>
      </c>
      <c r="V275" t="s">
        <v>906</v>
      </c>
      <c r="W275" t="s">
        <v>360</v>
      </c>
      <c r="X275" t="s">
        <v>360</v>
      </c>
      <c r="Y275" t="s">
        <v>360</v>
      </c>
      <c r="Z275" t="s">
        <v>360</v>
      </c>
      <c r="AA275" t="s">
        <v>360</v>
      </c>
      <c r="AB275" t="s">
        <v>360</v>
      </c>
      <c r="AC275" t="s">
        <v>907</v>
      </c>
      <c r="AD275"/>
      <c r="AE275"/>
      <c r="AF275"/>
      <c r="AG275"/>
      <c r="AH275"/>
      <c r="AI275"/>
      <c r="AJ275"/>
      <c r="AK275"/>
      <c r="AL275"/>
    </row>
    <row r="276">
      <c r="A276" t="s">
        <v>235</v>
      </c>
      <c r="B276" t="s">
        <v>234</v>
      </c>
      <c r="C276"/>
      <c r="D276" t="s">
        <v>213</v>
      </c>
      <c r="E276" t="s">
        <v>323</v>
      </c>
      <c r="F276"/>
      <c r="G276"/>
      <c r="H276" t="s">
        <v>242</v>
      </c>
      <c r="I276"/>
      <c r="J276"/>
      <c r="K276"/>
      <c r="L276"/>
      <c r="M276"/>
      <c r="N276"/>
      <c r="O276" t="s">
        <v>272</v>
      </c>
      <c r="P276"/>
      <c r="Q276"/>
      <c r="R276"/>
      <c r="S276"/>
      <c r="T276"/>
      <c r="U276"/>
      <c r="V276" t="s">
        <v>272</v>
      </c>
      <c r="W276"/>
      <c r="X276"/>
      <c r="Y276"/>
      <c r="Z276"/>
      <c r="AA276"/>
      <c r="AB276"/>
      <c r="AC276" t="s">
        <v>272</v>
      </c>
      <c r="AD276"/>
      <c r="AE276"/>
      <c r="AF276"/>
      <c r="AG276"/>
      <c r="AH276"/>
      <c r="AI276"/>
      <c r="AJ276"/>
      <c r="AK276"/>
      <c r="AL276"/>
    </row>
    <row r="277">
      <c r="A277" t="s">
        <v>235</v>
      </c>
      <c r="B277" t="s">
        <v>234</v>
      </c>
      <c r="C277"/>
      <c r="D277" t="s">
        <v>213</v>
      </c>
      <c r="E277" t="s">
        <v>324</v>
      </c>
      <c r="F277"/>
      <c r="G277"/>
      <c r="H277" t="s">
        <v>243</v>
      </c>
      <c r="I277"/>
      <c r="J277"/>
      <c r="K277"/>
      <c r="L277"/>
      <c r="M277"/>
      <c r="N277"/>
      <c r="O277" t="s">
        <v>272</v>
      </c>
      <c r="P277"/>
      <c r="Q277"/>
      <c r="R277"/>
      <c r="S277"/>
      <c r="T277"/>
      <c r="U277"/>
      <c r="V277" t="s">
        <v>272</v>
      </c>
      <c r="W277"/>
      <c r="X277"/>
      <c r="Y277"/>
      <c r="Z277"/>
      <c r="AA277"/>
      <c r="AB277"/>
      <c r="AC277" t="s">
        <v>272</v>
      </c>
      <c r="AD277"/>
      <c r="AE277"/>
      <c r="AF277"/>
      <c r="AG277"/>
      <c r="AH277"/>
      <c r="AI277"/>
      <c r="AJ277"/>
      <c r="AK277"/>
      <c r="AL277"/>
    </row>
    <row r="278">
      <c r="A278" t="s">
        <v>235</v>
      </c>
      <c r="B278" t="s">
        <v>234</v>
      </c>
      <c r="C278"/>
      <c r="D278" t="s">
        <v>213</v>
      </c>
      <c r="E278" t="s">
        <v>325</v>
      </c>
      <c r="F278"/>
      <c r="G278"/>
      <c r="H278" t="s">
        <v>237</v>
      </c>
      <c r="I278"/>
      <c r="J278"/>
      <c r="K278"/>
      <c r="L278"/>
      <c r="M278"/>
      <c r="N278"/>
      <c r="O278" t="s">
        <v>269</v>
      </c>
      <c r="P278"/>
      <c r="Q278"/>
      <c r="R278"/>
      <c r="S278"/>
      <c r="T278"/>
      <c r="U278"/>
      <c r="V278" t="s">
        <v>269</v>
      </c>
      <c r="W278"/>
      <c r="X278"/>
      <c r="Y278"/>
      <c r="Z278"/>
      <c r="AA278"/>
      <c r="AB278"/>
      <c r="AC278" t="s">
        <v>269</v>
      </c>
      <c r="AD278"/>
      <c r="AE278"/>
      <c r="AF278"/>
      <c r="AG278"/>
      <c r="AH278"/>
      <c r="AI278"/>
      <c r="AJ278"/>
      <c r="AK278"/>
      <c r="AL278"/>
    </row>
    <row r="279">
      <c r="A279" t="s">
        <v>235</v>
      </c>
      <c r="B279" t="s">
        <v>234</v>
      </c>
      <c r="C279"/>
      <c r="D279" t="s">
        <v>213</v>
      </c>
      <c r="E279" t="s">
        <v>326</v>
      </c>
      <c r="F279"/>
      <c r="G279"/>
      <c r="H279" t="s">
        <v>908</v>
      </c>
      <c r="I279"/>
      <c r="J279"/>
      <c r="K279"/>
      <c r="L279"/>
      <c r="M279"/>
      <c r="N279"/>
      <c r="O279" t="s">
        <v>909</v>
      </c>
      <c r="P279"/>
      <c r="Q279"/>
      <c r="R279"/>
      <c r="S279"/>
      <c r="T279"/>
      <c r="U279"/>
      <c r="V279" t="s">
        <v>910</v>
      </c>
      <c r="W279"/>
      <c r="X279"/>
      <c r="Y279"/>
      <c r="Z279"/>
      <c r="AA279"/>
      <c r="AB279"/>
      <c r="AC279" t="s">
        <v>911</v>
      </c>
      <c r="AD279"/>
      <c r="AE279"/>
      <c r="AF279"/>
      <c r="AG279"/>
      <c r="AH279"/>
      <c r="AI279"/>
      <c r="AJ279"/>
      <c r="AK279"/>
      <c r="AL279"/>
    </row>
    <row r="280">
      <c r="A280" t="s">
        <v>235</v>
      </c>
      <c r="B280" t="s">
        <v>234</v>
      </c>
      <c r="C280"/>
      <c r="D280" t="s">
        <v>213</v>
      </c>
      <c r="E280" t="s">
        <v>329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</row>
    <row r="281">
      <c r="A281" t="s">
        <v>235</v>
      </c>
      <c r="B281" t="s">
        <v>234</v>
      </c>
      <c r="C281"/>
      <c r="D281" t="s">
        <v>213</v>
      </c>
      <c r="E281" t="s">
        <v>330</v>
      </c>
      <c r="F281"/>
      <c r="G281"/>
      <c r="H281" t="s">
        <v>912</v>
      </c>
      <c r="I281"/>
      <c r="J281"/>
      <c r="K281"/>
      <c r="L281"/>
      <c r="M281"/>
      <c r="N281"/>
      <c r="O281" t="s">
        <v>913</v>
      </c>
      <c r="P281"/>
      <c r="Q281"/>
      <c r="R281"/>
      <c r="S281"/>
      <c r="T281"/>
      <c r="U281"/>
      <c r="V281" t="s">
        <v>914</v>
      </c>
      <c r="W281"/>
      <c r="X281"/>
      <c r="Y281"/>
      <c r="Z281"/>
      <c r="AA281"/>
      <c r="AB281"/>
      <c r="AC281" t="s">
        <v>915</v>
      </c>
      <c r="AD281"/>
      <c r="AE281" t="n">
        <v>4212570</v>
      </c>
      <c r="AF281" t="n">
        <v>3851470</v>
      </c>
      <c r="AG281" t="n">
        <v>3486349</v>
      </c>
      <c r="AH281" t="n">
        <v>3117206</v>
      </c>
      <c r="AI281" t="n">
        <v>2744042</v>
      </c>
      <c r="AJ281"/>
      <c r="AK281"/>
      <c r="AL281"/>
    </row>
    <row r="282">
      <c r="A282" t="s">
        <v>235</v>
      </c>
      <c r="B282" t="s">
        <v>234</v>
      </c>
      <c r="C282"/>
      <c r="D282" t="s">
        <v>213</v>
      </c>
      <c r="E282" t="s">
        <v>331</v>
      </c>
      <c r="F282"/>
      <c r="G282"/>
      <c r="H282" t="s">
        <v>249</v>
      </c>
      <c r="I282"/>
      <c r="J282"/>
      <c r="K282"/>
      <c r="L282"/>
      <c r="M282"/>
      <c r="N282"/>
      <c r="O282" t="s">
        <v>278</v>
      </c>
      <c r="P282"/>
      <c r="Q282"/>
      <c r="R282"/>
      <c r="S282"/>
      <c r="T282"/>
      <c r="U282"/>
      <c r="V282" t="s">
        <v>285</v>
      </c>
      <c r="W282"/>
      <c r="X282"/>
      <c r="Y282"/>
      <c r="Z282"/>
      <c r="AA282"/>
      <c r="AB282"/>
      <c r="AC282" t="s">
        <v>291</v>
      </c>
      <c r="AD282"/>
      <c r="AE282"/>
      <c r="AF282"/>
      <c r="AG282"/>
      <c r="AH282"/>
      <c r="AI282"/>
      <c r="AJ282"/>
      <c r="AK282"/>
      <c r="AL282"/>
    </row>
    <row r="283">
      <c r="A283" t="s">
        <v>235</v>
      </c>
      <c r="B283" t="s">
        <v>234</v>
      </c>
      <c r="C283"/>
      <c r="D283" t="s">
        <v>213</v>
      </c>
      <c r="E283" t="s">
        <v>332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 t="n">
        <v>361100</v>
      </c>
      <c r="AF283" t="n">
        <v>365121</v>
      </c>
      <c r="AG283" t="n">
        <v>369143</v>
      </c>
      <c r="AH283" t="n">
        <v>373164</v>
      </c>
      <c r="AI283" t="n">
        <v>377185</v>
      </c>
      <c r="AJ283"/>
      <c r="AK283"/>
      <c r="AL283"/>
    </row>
    <row r="284">
      <c r="A284" t="s">
        <v>235</v>
      </c>
      <c r="B284" t="s">
        <v>234</v>
      </c>
      <c r="C284"/>
      <c r="D284" t="s">
        <v>213</v>
      </c>
      <c r="E284" t="s">
        <v>333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 t="n">
        <v>3851470</v>
      </c>
      <c r="AF284" t="n">
        <v>3486349</v>
      </c>
      <c r="AG284" t="n">
        <v>3117206</v>
      </c>
      <c r="AH284" t="n">
        <v>2744042</v>
      </c>
      <c r="AI284" t="n">
        <v>2366857</v>
      </c>
      <c r="AJ284"/>
      <c r="AK284"/>
      <c r="AL284"/>
    </row>
    <row r="285">
      <c r="A285" t="s">
        <v>235</v>
      </c>
      <c r="B285" t="s">
        <v>234</v>
      </c>
      <c r="C285"/>
      <c r="D285" t="s">
        <v>213</v>
      </c>
      <c r="E285" t="s">
        <v>334</v>
      </c>
      <c r="F285"/>
      <c r="G285" t="s">
        <v>335</v>
      </c>
      <c r="H285" t="s">
        <v>335</v>
      </c>
      <c r="I285" t="s">
        <v>335</v>
      </c>
      <c r="J285" t="s">
        <v>335</v>
      </c>
      <c r="K285" t="s">
        <v>335</v>
      </c>
      <c r="L285" t="s">
        <v>335</v>
      </c>
      <c r="M285" t="s">
        <v>335</v>
      </c>
      <c r="N285" t="s">
        <v>335</v>
      </c>
      <c r="O285" t="s">
        <v>335</v>
      </c>
      <c r="P285" t="s">
        <v>335</v>
      </c>
      <c r="Q285" t="s">
        <v>335</v>
      </c>
      <c r="R285" t="s">
        <v>335</v>
      </c>
      <c r="S285" t="s">
        <v>335</v>
      </c>
      <c r="T285" t="s">
        <v>335</v>
      </c>
      <c r="U285" t="s">
        <v>335</v>
      </c>
      <c r="V285" t="s">
        <v>335</v>
      </c>
      <c r="W285" t="s">
        <v>335</v>
      </c>
      <c r="X285" t="s">
        <v>335</v>
      </c>
      <c r="Y285" t="s">
        <v>335</v>
      </c>
      <c r="Z285" t="s">
        <v>335</v>
      </c>
      <c r="AA285" t="s">
        <v>335</v>
      </c>
      <c r="AB285" t="s">
        <v>335</v>
      </c>
      <c r="AC285" t="s">
        <v>335</v>
      </c>
      <c r="AD285"/>
      <c r="AE285" t="n">
        <v>6</v>
      </c>
      <c r="AF285" t="n">
        <v>6</v>
      </c>
      <c r="AG285" t="n">
        <v>6</v>
      </c>
      <c r="AH285" t="n">
        <v>6</v>
      </c>
      <c r="AI285" t="n">
        <v>6</v>
      </c>
      <c r="AJ285"/>
      <c r="AK285"/>
      <c r="AL285"/>
    </row>
    <row r="286">
      <c r="A286" t="s">
        <v>235</v>
      </c>
      <c r="B286" t="s">
        <v>234</v>
      </c>
      <c r="C286"/>
      <c r="D286" t="s">
        <v>213</v>
      </c>
      <c r="E286" t="s">
        <v>336</v>
      </c>
      <c r="F286"/>
      <c r="G286" t="s">
        <v>337</v>
      </c>
      <c r="H286" t="s">
        <v>337</v>
      </c>
      <c r="I286" t="s">
        <v>337</v>
      </c>
      <c r="J286" t="s">
        <v>337</v>
      </c>
      <c r="K286" t="s">
        <v>337</v>
      </c>
      <c r="L286" t="s">
        <v>337</v>
      </c>
      <c r="M286" t="s">
        <v>337</v>
      </c>
      <c r="N286" t="s">
        <v>337</v>
      </c>
      <c r="O286" t="s">
        <v>337</v>
      </c>
      <c r="P286" t="s">
        <v>337</v>
      </c>
      <c r="Q286" t="s">
        <v>337</v>
      </c>
      <c r="R286" t="s">
        <v>337</v>
      </c>
      <c r="S286" t="s">
        <v>337</v>
      </c>
      <c r="T286" t="s">
        <v>337</v>
      </c>
      <c r="U286" t="s">
        <v>337</v>
      </c>
      <c r="V286" t="s">
        <v>337</v>
      </c>
      <c r="W286" t="s">
        <v>337</v>
      </c>
      <c r="X286" t="s">
        <v>337</v>
      </c>
      <c r="Y286" t="s">
        <v>337</v>
      </c>
      <c r="Z286" t="s">
        <v>337</v>
      </c>
      <c r="AA286" t="s">
        <v>337</v>
      </c>
      <c r="AB286" t="s">
        <v>337</v>
      </c>
      <c r="AC286" t="s">
        <v>337</v>
      </c>
      <c r="AD286"/>
      <c r="AE286" t="n">
        <v>12</v>
      </c>
      <c r="AF286" t="n">
        <v>12</v>
      </c>
      <c r="AG286" t="n">
        <v>12</v>
      </c>
      <c r="AH286" t="n">
        <v>12</v>
      </c>
      <c r="AI286" t="n">
        <v>12</v>
      </c>
      <c r="AJ286"/>
      <c r="AK286"/>
      <c r="AL286"/>
    </row>
    <row r="287">
      <c r="A287" t="s">
        <v>235</v>
      </c>
      <c r="B287" t="s">
        <v>234</v>
      </c>
      <c r="C287"/>
      <c r="D287" t="s">
        <v>213</v>
      </c>
      <c r="E287" t="s">
        <v>338</v>
      </c>
      <c r="F287"/>
      <c r="G287" t="s">
        <v>337</v>
      </c>
      <c r="H287" t="s">
        <v>337</v>
      </c>
      <c r="I287" t="s">
        <v>337</v>
      </c>
      <c r="J287" t="s">
        <v>337</v>
      </c>
      <c r="K287" t="s">
        <v>337</v>
      </c>
      <c r="L287" t="s">
        <v>337</v>
      </c>
      <c r="M287" t="s">
        <v>337</v>
      </c>
      <c r="N287" t="s">
        <v>337</v>
      </c>
      <c r="O287" t="s">
        <v>337</v>
      </c>
      <c r="P287" t="s">
        <v>337</v>
      </c>
      <c r="Q287" t="s">
        <v>337</v>
      </c>
      <c r="R287" t="s">
        <v>337</v>
      </c>
      <c r="S287" t="s">
        <v>337</v>
      </c>
      <c r="T287" t="s">
        <v>337</v>
      </c>
      <c r="U287" t="s">
        <v>337</v>
      </c>
      <c r="V287" t="s">
        <v>337</v>
      </c>
      <c r="W287" t="s">
        <v>337</v>
      </c>
      <c r="X287" t="s">
        <v>337</v>
      </c>
      <c r="Y287" t="s">
        <v>337</v>
      </c>
      <c r="Z287" t="s">
        <v>337</v>
      </c>
      <c r="AA287" t="s">
        <v>337</v>
      </c>
      <c r="AB287" t="s">
        <v>337</v>
      </c>
      <c r="AC287" t="s">
        <v>337</v>
      </c>
      <c r="AD287"/>
      <c r="AE287" t="n">
        <v>12</v>
      </c>
      <c r="AF287" t="n">
        <v>12</v>
      </c>
      <c r="AG287" t="n">
        <v>12</v>
      </c>
      <c r="AH287" t="n">
        <v>12</v>
      </c>
      <c r="AI287" t="n">
        <v>12</v>
      </c>
      <c r="AJ287"/>
      <c r="AK287"/>
      <c r="AL287"/>
    </row>
    <row r="288">
      <c r="A288" t="s">
        <v>235</v>
      </c>
      <c r="B288" t="s">
        <v>234</v>
      </c>
      <c r="C288"/>
      <c r="D288" t="s">
        <v>213</v>
      </c>
      <c r="E288" t="s">
        <v>339</v>
      </c>
      <c r="F288"/>
      <c r="G288" t="s">
        <v>916</v>
      </c>
      <c r="H288" t="s">
        <v>917</v>
      </c>
      <c r="I288" t="s">
        <v>918</v>
      </c>
      <c r="J288" t="s">
        <v>360</v>
      </c>
      <c r="K288" t="s">
        <v>360</v>
      </c>
      <c r="L288" t="s">
        <v>360</v>
      </c>
      <c r="M288" t="s">
        <v>360</v>
      </c>
      <c r="N288" t="s">
        <v>360</v>
      </c>
      <c r="O288" t="s">
        <v>919</v>
      </c>
      <c r="P288" t="s">
        <v>360</v>
      </c>
      <c r="Q288" t="s">
        <v>360</v>
      </c>
      <c r="R288" t="s">
        <v>360</v>
      </c>
      <c r="S288" t="s">
        <v>360</v>
      </c>
      <c r="T288" t="s">
        <v>360</v>
      </c>
      <c r="U288" t="s">
        <v>360</v>
      </c>
      <c r="V288" t="s">
        <v>920</v>
      </c>
      <c r="W288" t="s">
        <v>360</v>
      </c>
      <c r="X288" t="s">
        <v>360</v>
      </c>
      <c r="Y288" t="s">
        <v>360</v>
      </c>
      <c r="Z288" t="s">
        <v>360</v>
      </c>
      <c r="AA288" t="s">
        <v>360</v>
      </c>
      <c r="AB288" t="s">
        <v>360</v>
      </c>
      <c r="AC288" t="s">
        <v>921</v>
      </c>
      <c r="AD288"/>
      <c r="AE288" t="n">
        <v>10.6659374134589</v>
      </c>
      <c r="AF288" t="n">
        <v>9.54847571079176</v>
      </c>
      <c r="AG288" t="n">
        <v>8.44444023047979</v>
      </c>
      <c r="AH288" t="n">
        <v>7.35344781382984</v>
      </c>
      <c r="AI288" t="n">
        <v>6.27505600699922</v>
      </c>
      <c r="AJ288"/>
      <c r="AK288"/>
      <c r="AL288"/>
    </row>
    <row r="289">
      <c r="A289" t="s">
        <v>235</v>
      </c>
      <c r="B289" t="s">
        <v>234</v>
      </c>
      <c r="C289"/>
      <c r="D289" t="s">
        <v>213</v>
      </c>
      <c r="E289" t="s">
        <v>358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</row>
    <row r="290">
      <c r="A290" t="s">
        <v>250</v>
      </c>
      <c r="B290" t="s">
        <v>211</v>
      </c>
      <c r="C290" t="s">
        <v>212</v>
      </c>
      <c r="D290" t="s">
        <v>213</v>
      </c>
      <c r="E290" t="s">
        <v>297</v>
      </c>
      <c r="F290"/>
      <c r="G290"/>
      <c r="H290"/>
      <c r="I290" t="s">
        <v>922</v>
      </c>
      <c r="J290" t="s">
        <v>923</v>
      </c>
      <c r="K290" t="s">
        <v>924</v>
      </c>
      <c r="L290" t="s">
        <v>925</v>
      </c>
      <c r="M290" t="s">
        <v>926</v>
      </c>
      <c r="N290" t="s">
        <v>927</v>
      </c>
      <c r="O290" t="s">
        <v>928</v>
      </c>
      <c r="P290" t="s">
        <v>929</v>
      </c>
      <c r="Q290" t="s">
        <v>930</v>
      </c>
      <c r="R290" t="s">
        <v>931</v>
      </c>
      <c r="S290" t="s">
        <v>932</v>
      </c>
      <c r="T290" t="s">
        <v>933</v>
      </c>
      <c r="U290" t="s">
        <v>934</v>
      </c>
      <c r="V290" t="s">
        <v>935</v>
      </c>
      <c r="W290" t="s">
        <v>936</v>
      </c>
      <c r="X290" t="s">
        <v>937</v>
      </c>
      <c r="Y290" t="s">
        <v>938</v>
      </c>
      <c r="Z290" t="s">
        <v>939</v>
      </c>
      <c r="AA290"/>
      <c r="AB290"/>
      <c r="AC290"/>
      <c r="AD290" t="n">
        <v>258958</v>
      </c>
      <c r="AE290" t="n">
        <v>258958</v>
      </c>
      <c r="AF290" t="n">
        <v>258958</v>
      </c>
      <c r="AG290" t="n">
        <v>258958</v>
      </c>
      <c r="AH290" t="n">
        <v>258958</v>
      </c>
      <c r="AI290" t="n">
        <v>258958</v>
      </c>
      <c r="AJ290" t="n">
        <v>258958</v>
      </c>
      <c r="AK290" t="n">
        <v>258958</v>
      </c>
      <c r="AL290" t="n">
        <v>258958</v>
      </c>
    </row>
    <row r="291">
      <c r="A291" t="s">
        <v>250</v>
      </c>
      <c r="B291" t="s">
        <v>211</v>
      </c>
      <c r="C291" t="s">
        <v>212</v>
      </c>
      <c r="D291" t="s">
        <v>213</v>
      </c>
      <c r="E291" t="s">
        <v>316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</row>
    <row r="292">
      <c r="A292" t="s">
        <v>250</v>
      </c>
      <c r="B292" t="s">
        <v>211</v>
      </c>
      <c r="C292" t="s">
        <v>212</v>
      </c>
      <c r="D292" t="s">
        <v>213</v>
      </c>
      <c r="E292" t="s">
        <v>317</v>
      </c>
      <c r="F292"/>
      <c r="G292"/>
      <c r="H292"/>
      <c r="I292" t="s">
        <v>940</v>
      </c>
      <c r="J292" t="s">
        <v>941</v>
      </c>
      <c r="K292" t="s">
        <v>942</v>
      </c>
      <c r="L292" t="s">
        <v>943</v>
      </c>
      <c r="M292" t="s">
        <v>944</v>
      </c>
      <c r="N292" t="s">
        <v>945</v>
      </c>
      <c r="O292" t="s">
        <v>946</v>
      </c>
      <c r="P292" t="s">
        <v>947</v>
      </c>
      <c r="Q292" t="s">
        <v>948</v>
      </c>
      <c r="R292" t="s">
        <v>949</v>
      </c>
      <c r="S292" t="s">
        <v>950</v>
      </c>
      <c r="T292" t="s">
        <v>951</v>
      </c>
      <c r="U292" t="s">
        <v>952</v>
      </c>
      <c r="V292" t="s">
        <v>953</v>
      </c>
      <c r="W292" t="s">
        <v>954</v>
      </c>
      <c r="X292" t="s">
        <v>955</v>
      </c>
      <c r="Y292" t="s">
        <v>956</v>
      </c>
      <c r="Z292" t="s">
        <v>957</v>
      </c>
      <c r="AA292"/>
      <c r="AB292"/>
      <c r="AC292"/>
      <c r="AD292" t="n">
        <v>258958</v>
      </c>
      <c r="AE292" t="n">
        <v>258958</v>
      </c>
      <c r="AF292" t="n">
        <v>258958</v>
      </c>
      <c r="AG292" t="n">
        <v>258958</v>
      </c>
      <c r="AH292" t="n">
        <v>258958</v>
      </c>
      <c r="AI292" t="n">
        <v>258958</v>
      </c>
      <c r="AJ292" t="n">
        <v>258958</v>
      </c>
      <c r="AK292" t="n">
        <v>258958</v>
      </c>
      <c r="AL292" t="n">
        <v>258958</v>
      </c>
    </row>
    <row r="293">
      <c r="A293" t="s">
        <v>250</v>
      </c>
      <c r="B293" t="s">
        <v>211</v>
      </c>
      <c r="C293" t="s">
        <v>212</v>
      </c>
      <c r="D293" t="s">
        <v>213</v>
      </c>
      <c r="E293" t="s">
        <v>320</v>
      </c>
      <c r="F293"/>
      <c r="G293"/>
      <c r="H293"/>
      <c r="I293" t="s">
        <v>923</v>
      </c>
      <c r="J293" t="s">
        <v>924</v>
      </c>
      <c r="K293" t="s">
        <v>925</v>
      </c>
      <c r="L293" t="s">
        <v>926</v>
      </c>
      <c r="M293" t="s">
        <v>927</v>
      </c>
      <c r="N293" t="s">
        <v>928</v>
      </c>
      <c r="O293" t="s">
        <v>929</v>
      </c>
      <c r="P293" t="s">
        <v>930</v>
      </c>
      <c r="Q293" t="s">
        <v>931</v>
      </c>
      <c r="R293" t="s">
        <v>932</v>
      </c>
      <c r="S293" t="s">
        <v>933</v>
      </c>
      <c r="T293" t="s">
        <v>934</v>
      </c>
      <c r="U293" t="s">
        <v>935</v>
      </c>
      <c r="V293" t="s">
        <v>936</v>
      </c>
      <c r="W293" t="s">
        <v>937</v>
      </c>
      <c r="X293" t="s">
        <v>938</v>
      </c>
      <c r="Y293" t="s">
        <v>939</v>
      </c>
      <c r="Z293" t="s">
        <v>958</v>
      </c>
      <c r="AA293"/>
      <c r="AB293"/>
      <c r="AC293"/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s">
        <v>250</v>
      </c>
      <c r="B294" t="s">
        <v>211</v>
      </c>
      <c r="C294" t="s">
        <v>212</v>
      </c>
      <c r="D294" t="s">
        <v>213</v>
      </c>
      <c r="E294" t="s">
        <v>323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 t="n">
        <v>3</v>
      </c>
      <c r="AE294" t="n">
        <v>3</v>
      </c>
      <c r="AF294" t="n">
        <v>3</v>
      </c>
      <c r="AG294" t="n">
        <v>3</v>
      </c>
      <c r="AH294" t="n">
        <v>3</v>
      </c>
      <c r="AI294" t="n">
        <v>3</v>
      </c>
      <c r="AJ294" t="n">
        <v>3</v>
      </c>
      <c r="AK294" t="n">
        <v>3</v>
      </c>
      <c r="AL294" t="n">
        <v>3</v>
      </c>
    </row>
    <row r="295">
      <c r="A295" t="s">
        <v>250</v>
      </c>
      <c r="B295" t="s">
        <v>211</v>
      </c>
      <c r="C295" t="s">
        <v>212</v>
      </c>
      <c r="D295" t="s">
        <v>213</v>
      </c>
      <c r="E295" t="s">
        <v>324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 t="n">
        <v>6</v>
      </c>
      <c r="AE295" t="n">
        <v>6</v>
      </c>
      <c r="AF295" t="n">
        <v>6</v>
      </c>
      <c r="AG295" t="n">
        <v>6</v>
      </c>
      <c r="AH295" t="n">
        <v>6</v>
      </c>
      <c r="AI295" t="n">
        <v>6</v>
      </c>
      <c r="AJ295" t="n">
        <v>6</v>
      </c>
      <c r="AK295" t="n">
        <v>6</v>
      </c>
      <c r="AL295" t="n">
        <v>6</v>
      </c>
    </row>
    <row r="296">
      <c r="A296" t="s">
        <v>250</v>
      </c>
      <c r="B296" t="s">
        <v>211</v>
      </c>
      <c r="C296" t="s">
        <v>212</v>
      </c>
      <c r="D296" t="s">
        <v>213</v>
      </c>
      <c r="E296" t="s">
        <v>325</v>
      </c>
      <c r="F296"/>
      <c r="G296"/>
      <c r="H296"/>
      <c r="I296"/>
      <c r="J296"/>
      <c r="K296"/>
      <c r="L296"/>
      <c r="M296"/>
      <c r="N296"/>
      <c r="O296" t="s">
        <v>269</v>
      </c>
      <c r="P296"/>
      <c r="Q296"/>
      <c r="R296"/>
      <c r="S296"/>
      <c r="T296"/>
      <c r="U296"/>
      <c r="V296"/>
      <c r="W296" t="s">
        <v>269</v>
      </c>
      <c r="X296"/>
      <c r="Y296"/>
      <c r="Z296"/>
      <c r="AA296"/>
      <c r="AB296"/>
      <c r="AC296"/>
      <c r="AD296" t="n">
        <v>6</v>
      </c>
      <c r="AE296" t="n">
        <v>6</v>
      </c>
      <c r="AF296" t="n">
        <v>6</v>
      </c>
      <c r="AG296" t="n">
        <v>6</v>
      </c>
      <c r="AH296" t="n">
        <v>6</v>
      </c>
      <c r="AI296" t="n">
        <v>6</v>
      </c>
      <c r="AJ296" t="n">
        <v>6</v>
      </c>
      <c r="AK296" t="n">
        <v>6</v>
      </c>
      <c r="AL296" t="n">
        <v>6</v>
      </c>
    </row>
    <row r="297">
      <c r="A297" t="s">
        <v>250</v>
      </c>
      <c r="B297" t="s">
        <v>211</v>
      </c>
      <c r="C297" t="s">
        <v>212</v>
      </c>
      <c r="D297" t="s">
        <v>213</v>
      </c>
      <c r="E297" t="s">
        <v>326</v>
      </c>
      <c r="F297"/>
      <c r="G297"/>
      <c r="H297"/>
      <c r="I297"/>
      <c r="J297"/>
      <c r="K297"/>
      <c r="L297"/>
      <c r="M297"/>
      <c r="N297"/>
      <c r="O297" t="s">
        <v>959</v>
      </c>
      <c r="P297"/>
      <c r="Q297"/>
      <c r="R297"/>
      <c r="S297"/>
      <c r="T297"/>
      <c r="U297"/>
      <c r="V297"/>
      <c r="W297" t="s">
        <v>960</v>
      </c>
      <c r="X297"/>
      <c r="Y297"/>
      <c r="Z297"/>
      <c r="AA297"/>
      <c r="AB297"/>
      <c r="AC297"/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s">
        <v>250</v>
      </c>
      <c r="B298" t="s">
        <v>211</v>
      </c>
      <c r="C298" t="s">
        <v>212</v>
      </c>
      <c r="D298" t="s">
        <v>213</v>
      </c>
      <c r="E298" t="s">
        <v>329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>
      <c r="A299" t="s">
        <v>250</v>
      </c>
      <c r="B299" t="s">
        <v>211</v>
      </c>
      <c r="C299" t="s">
        <v>212</v>
      </c>
      <c r="D299" t="s">
        <v>213</v>
      </c>
      <c r="E299" t="s">
        <v>330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 t="n">
        <v>782848</v>
      </c>
      <c r="AE299" t="n">
        <v>748230</v>
      </c>
      <c r="AF299" t="n">
        <v>713612</v>
      </c>
      <c r="AG299" t="n">
        <v>678994</v>
      </c>
      <c r="AH299" t="n">
        <v>644376</v>
      </c>
      <c r="AI299" t="n">
        <v>609758</v>
      </c>
      <c r="AJ299" t="n">
        <v>575140</v>
      </c>
      <c r="AK299" t="n">
        <v>540522</v>
      </c>
      <c r="AL299" t="n">
        <v>505904</v>
      </c>
    </row>
    <row r="300">
      <c r="A300" t="s">
        <v>250</v>
      </c>
      <c r="B300" t="s">
        <v>211</v>
      </c>
      <c r="C300" t="s">
        <v>212</v>
      </c>
      <c r="D300" t="s">
        <v>213</v>
      </c>
      <c r="E300" t="s">
        <v>331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>
      <c r="A301" t="s">
        <v>250</v>
      </c>
      <c r="B301" t="s">
        <v>211</v>
      </c>
      <c r="C301" t="s">
        <v>212</v>
      </c>
      <c r="D301" t="s">
        <v>213</v>
      </c>
      <c r="E301" t="s">
        <v>332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 t="n">
        <v>34618</v>
      </c>
      <c r="AE301" t="n">
        <v>34618</v>
      </c>
      <c r="AF301" t="n">
        <v>34618</v>
      </c>
      <c r="AG301" t="n">
        <v>34618</v>
      </c>
      <c r="AH301" t="n">
        <v>34618</v>
      </c>
      <c r="AI301" t="n">
        <v>34618</v>
      </c>
      <c r="AJ301" t="n">
        <v>34618</v>
      </c>
      <c r="AK301" t="n">
        <v>34618</v>
      </c>
      <c r="AL301" t="n">
        <v>34618</v>
      </c>
    </row>
    <row r="302">
      <c r="A302" t="s">
        <v>250</v>
      </c>
      <c r="B302" t="s">
        <v>211</v>
      </c>
      <c r="C302" t="s">
        <v>212</v>
      </c>
      <c r="D302" t="s">
        <v>213</v>
      </c>
      <c r="E302" t="s">
        <v>333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 t="n">
        <v>748230</v>
      </c>
      <c r="AE302" t="n">
        <v>713612</v>
      </c>
      <c r="AF302" t="n">
        <v>678994</v>
      </c>
      <c r="AG302" t="n">
        <v>644376</v>
      </c>
      <c r="AH302" t="n">
        <v>609758</v>
      </c>
      <c r="AI302" t="n">
        <v>575140</v>
      </c>
      <c r="AJ302" t="n">
        <v>540522</v>
      </c>
      <c r="AK302" t="n">
        <v>505904</v>
      </c>
      <c r="AL302" t="n">
        <v>471286</v>
      </c>
    </row>
    <row r="303">
      <c r="A303" t="s">
        <v>250</v>
      </c>
      <c r="B303" t="s">
        <v>211</v>
      </c>
      <c r="C303" t="s">
        <v>212</v>
      </c>
      <c r="D303" t="s">
        <v>213</v>
      </c>
      <c r="E303" t="s">
        <v>334</v>
      </c>
      <c r="F303"/>
      <c r="G303"/>
      <c r="H303"/>
      <c r="I303" t="s">
        <v>961</v>
      </c>
      <c r="J303" t="s">
        <v>961</v>
      </c>
      <c r="K303" t="s">
        <v>961</v>
      </c>
      <c r="L303" t="s">
        <v>961</v>
      </c>
      <c r="M303" t="s">
        <v>961</v>
      </c>
      <c r="N303" t="s">
        <v>961</v>
      </c>
      <c r="O303" t="s">
        <v>961</v>
      </c>
      <c r="P303" t="s">
        <v>961</v>
      </c>
      <c r="Q303" t="s">
        <v>961</v>
      </c>
      <c r="R303" t="s">
        <v>961</v>
      </c>
      <c r="S303" t="s">
        <v>961</v>
      </c>
      <c r="T303" t="s">
        <v>961</v>
      </c>
      <c r="U303" t="s">
        <v>961</v>
      </c>
      <c r="V303" t="s">
        <v>961</v>
      </c>
      <c r="W303" t="s">
        <v>961</v>
      </c>
      <c r="X303" t="s">
        <v>961</v>
      </c>
      <c r="Y303" t="s">
        <v>961</v>
      </c>
      <c r="Z303" t="s">
        <v>961</v>
      </c>
      <c r="AA303"/>
      <c r="AB303"/>
      <c r="AC303"/>
      <c r="AD303" t="n">
        <v>6</v>
      </c>
      <c r="AE303" t="n">
        <v>6</v>
      </c>
      <c r="AF303" t="n">
        <v>6</v>
      </c>
      <c r="AG303" t="n">
        <v>6</v>
      </c>
      <c r="AH303" t="n">
        <v>6</v>
      </c>
      <c r="AI303" t="n">
        <v>6</v>
      </c>
      <c r="AJ303" t="n">
        <v>6</v>
      </c>
      <c r="AK303" t="n">
        <v>6</v>
      </c>
      <c r="AL303" t="n">
        <v>6</v>
      </c>
    </row>
    <row r="304">
      <c r="A304" t="s">
        <v>250</v>
      </c>
      <c r="B304" t="s">
        <v>211</v>
      </c>
      <c r="C304" t="s">
        <v>212</v>
      </c>
      <c r="D304" t="s">
        <v>213</v>
      </c>
      <c r="E304" t="s">
        <v>336</v>
      </c>
      <c r="F304"/>
      <c r="G304"/>
      <c r="H304"/>
      <c r="I304" t="s">
        <v>417</v>
      </c>
      <c r="J304" t="s">
        <v>417</v>
      </c>
      <c r="K304" t="s">
        <v>417</v>
      </c>
      <c r="L304" t="s">
        <v>417</v>
      </c>
      <c r="M304" t="s">
        <v>417</v>
      </c>
      <c r="N304" t="s">
        <v>417</v>
      </c>
      <c r="O304" t="s">
        <v>417</v>
      </c>
      <c r="P304" t="s">
        <v>417</v>
      </c>
      <c r="Q304" t="s">
        <v>417</v>
      </c>
      <c r="R304" t="s">
        <v>417</v>
      </c>
      <c r="S304" t="s">
        <v>417</v>
      </c>
      <c r="T304" t="s">
        <v>417</v>
      </c>
      <c r="U304" t="s">
        <v>417</v>
      </c>
      <c r="V304" t="s">
        <v>417</v>
      </c>
      <c r="W304" t="s">
        <v>417</v>
      </c>
      <c r="X304" t="s">
        <v>417</v>
      </c>
      <c r="Y304" t="s">
        <v>417</v>
      </c>
      <c r="Z304" t="s">
        <v>417</v>
      </c>
      <c r="AA304"/>
      <c r="AB304"/>
      <c r="AC304"/>
      <c r="AD304" t="n">
        <v>12</v>
      </c>
      <c r="AE304" t="n">
        <v>12</v>
      </c>
      <c r="AF304" t="n">
        <v>12</v>
      </c>
      <c r="AG304" t="n">
        <v>12</v>
      </c>
      <c r="AH304" t="n">
        <v>12</v>
      </c>
      <c r="AI304" t="n">
        <v>12</v>
      </c>
      <c r="AJ304" t="n">
        <v>12</v>
      </c>
      <c r="AK304" t="n">
        <v>12</v>
      </c>
      <c r="AL304" t="n">
        <v>12</v>
      </c>
    </row>
    <row r="305">
      <c r="A305" t="s">
        <v>250</v>
      </c>
      <c r="B305" t="s">
        <v>211</v>
      </c>
      <c r="C305" t="s">
        <v>212</v>
      </c>
      <c r="D305" t="s">
        <v>213</v>
      </c>
      <c r="E305" t="s">
        <v>338</v>
      </c>
      <c r="F305"/>
      <c r="G305"/>
      <c r="H305"/>
      <c r="I305" t="s">
        <v>417</v>
      </c>
      <c r="J305" t="s">
        <v>417</v>
      </c>
      <c r="K305" t="s">
        <v>417</v>
      </c>
      <c r="L305" t="s">
        <v>417</v>
      </c>
      <c r="M305" t="s">
        <v>417</v>
      </c>
      <c r="N305" t="s">
        <v>417</v>
      </c>
      <c r="O305" t="s">
        <v>417</v>
      </c>
      <c r="P305" t="s">
        <v>417</v>
      </c>
      <c r="Q305" t="s">
        <v>417</v>
      </c>
      <c r="R305" t="s">
        <v>417</v>
      </c>
      <c r="S305" t="s">
        <v>417</v>
      </c>
      <c r="T305" t="s">
        <v>417</v>
      </c>
      <c r="U305" t="s">
        <v>417</v>
      </c>
      <c r="V305" t="s">
        <v>417</v>
      </c>
      <c r="W305" t="s">
        <v>417</v>
      </c>
      <c r="X305" t="s">
        <v>417</v>
      </c>
      <c r="Y305" t="s">
        <v>417</v>
      </c>
      <c r="Z305" t="s">
        <v>417</v>
      </c>
      <c r="AA305"/>
      <c r="AB305"/>
      <c r="AC305"/>
      <c r="AD305" t="n">
        <v>12</v>
      </c>
      <c r="AE305" t="n">
        <v>12</v>
      </c>
      <c r="AF305" t="n">
        <v>12</v>
      </c>
      <c r="AG305" t="n">
        <v>12</v>
      </c>
      <c r="AH305" t="n">
        <v>12</v>
      </c>
      <c r="AI305" t="n">
        <v>12</v>
      </c>
      <c r="AJ305" t="n">
        <v>12</v>
      </c>
      <c r="AK305" t="n">
        <v>12</v>
      </c>
      <c r="AL305" t="n">
        <v>12</v>
      </c>
    </row>
    <row r="306">
      <c r="A306" t="s">
        <v>250</v>
      </c>
      <c r="B306" t="s">
        <v>211</v>
      </c>
      <c r="C306" t="s">
        <v>212</v>
      </c>
      <c r="D306" t="s">
        <v>213</v>
      </c>
      <c r="E306" t="s">
        <v>339</v>
      </c>
      <c r="F306"/>
      <c r="G306"/>
      <c r="H306"/>
      <c r="I306" t="s">
        <v>962</v>
      </c>
      <c r="J306" t="s">
        <v>963</v>
      </c>
      <c r="K306" t="s">
        <v>964</v>
      </c>
      <c r="L306" t="s">
        <v>965</v>
      </c>
      <c r="M306" t="s">
        <v>966</v>
      </c>
      <c r="N306" t="s">
        <v>967</v>
      </c>
      <c r="O306" t="s">
        <v>968</v>
      </c>
      <c r="P306" t="s">
        <v>969</v>
      </c>
      <c r="Q306" t="s">
        <v>970</v>
      </c>
      <c r="R306" t="s">
        <v>971</v>
      </c>
      <c r="S306" t="s">
        <v>972</v>
      </c>
      <c r="T306" t="s">
        <v>973</v>
      </c>
      <c r="U306" t="s">
        <v>974</v>
      </c>
      <c r="V306" t="s">
        <v>975</v>
      </c>
      <c r="W306" t="s">
        <v>976</v>
      </c>
      <c r="X306" t="s">
        <v>977</v>
      </c>
      <c r="Y306" t="s">
        <v>978</v>
      </c>
      <c r="Z306" t="s">
        <v>979</v>
      </c>
      <c r="AA306"/>
      <c r="AB306"/>
      <c r="AC306"/>
      <c r="AD306" t="n">
        <v>21.6139002830897</v>
      </c>
      <c r="AE306" t="n">
        <v>20.6139002830897</v>
      </c>
      <c r="AF306" t="n">
        <v>19.6139002830897</v>
      </c>
      <c r="AG306" t="n">
        <v>18.6139002830897</v>
      </c>
      <c r="AH306" t="n">
        <v>17.6139002830897</v>
      </c>
      <c r="AI306" t="n">
        <v>16.6139002830897</v>
      </c>
      <c r="AJ306" t="n">
        <v>15.6139002830897</v>
      </c>
      <c r="AK306" t="n">
        <v>14.6139002830897</v>
      </c>
      <c r="AL306" t="n">
        <v>13.6139002830897</v>
      </c>
    </row>
    <row r="307">
      <c r="A307" t="s">
        <v>250</v>
      </c>
      <c r="B307" t="s">
        <v>211</v>
      </c>
      <c r="C307" t="s">
        <v>212</v>
      </c>
      <c r="D307" t="s">
        <v>213</v>
      </c>
      <c r="E307" t="s">
        <v>358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</row>
    <row r="308">
      <c r="A308" t="s">
        <v>226</v>
      </c>
      <c r="B308" t="s">
        <v>211</v>
      </c>
      <c r="C308" t="s">
        <v>212</v>
      </c>
      <c r="D308" t="s">
        <v>213</v>
      </c>
      <c r="E308" t="s">
        <v>297</v>
      </c>
      <c r="F308"/>
      <c r="G308"/>
      <c r="H308"/>
      <c r="I308" t="s">
        <v>980</v>
      </c>
      <c r="J308" t="s">
        <v>981</v>
      </c>
      <c r="K308" t="s">
        <v>982</v>
      </c>
      <c r="L308" t="s">
        <v>983</v>
      </c>
      <c r="M308" t="s">
        <v>984</v>
      </c>
      <c r="N308" t="s">
        <v>985</v>
      </c>
      <c r="O308" t="s">
        <v>986</v>
      </c>
      <c r="P308" t="s">
        <v>987</v>
      </c>
      <c r="Q308" t="s">
        <v>988</v>
      </c>
      <c r="R308" t="s">
        <v>989</v>
      </c>
      <c r="S308" t="s">
        <v>990</v>
      </c>
      <c r="T308" t="s">
        <v>991</v>
      </c>
      <c r="U308" t="s">
        <v>992</v>
      </c>
      <c r="V308" t="s">
        <v>993</v>
      </c>
      <c r="W308" t="s">
        <v>994</v>
      </c>
      <c r="X308" t="s">
        <v>995</v>
      </c>
      <c r="Y308" t="s">
        <v>996</v>
      </c>
      <c r="Z308" t="s">
        <v>997</v>
      </c>
      <c r="AA308" t="s">
        <v>998</v>
      </c>
      <c r="AB308" t="s">
        <v>999</v>
      </c>
      <c r="AC308" t="s">
        <v>1000</v>
      </c>
      <c r="AD308"/>
      <c r="AE308"/>
      <c r="AF308"/>
      <c r="AG308"/>
      <c r="AH308"/>
      <c r="AI308"/>
      <c r="AJ308"/>
      <c r="AK308"/>
      <c r="AL308"/>
    </row>
    <row r="309">
      <c r="A309" t="s">
        <v>226</v>
      </c>
      <c r="B309" t="s">
        <v>211</v>
      </c>
      <c r="C309" t="s">
        <v>212</v>
      </c>
      <c r="D309" t="s">
        <v>213</v>
      </c>
      <c r="E309" t="s">
        <v>316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</row>
    <row r="310">
      <c r="A310" t="s">
        <v>226</v>
      </c>
      <c r="B310" t="s">
        <v>211</v>
      </c>
      <c r="C310" t="s">
        <v>212</v>
      </c>
      <c r="D310" t="s">
        <v>213</v>
      </c>
      <c r="E310" t="s">
        <v>317</v>
      </c>
      <c r="F310"/>
      <c r="G310"/>
      <c r="H310"/>
      <c r="I310" t="s">
        <v>1001</v>
      </c>
      <c r="J310" t="s">
        <v>1001</v>
      </c>
      <c r="K310" t="s">
        <v>1001</v>
      </c>
      <c r="L310" t="s">
        <v>1001</v>
      </c>
      <c r="M310" t="s">
        <v>1001</v>
      </c>
      <c r="N310" t="s">
        <v>1001</v>
      </c>
      <c r="O310" t="s">
        <v>1001</v>
      </c>
      <c r="P310" t="s">
        <v>1001</v>
      </c>
      <c r="Q310" t="s">
        <v>1001</v>
      </c>
      <c r="R310" t="s">
        <v>1002</v>
      </c>
      <c r="S310" t="s">
        <v>1002</v>
      </c>
      <c r="T310" t="s">
        <v>1002</v>
      </c>
      <c r="U310" t="s">
        <v>1002</v>
      </c>
      <c r="V310" t="s">
        <v>1002</v>
      </c>
      <c r="W310" t="s">
        <v>1002</v>
      </c>
      <c r="X310" t="s">
        <v>1002</v>
      </c>
      <c r="Y310" t="s">
        <v>1002</v>
      </c>
      <c r="Z310" t="s">
        <v>1002</v>
      </c>
      <c r="AA310" t="s">
        <v>1002</v>
      </c>
      <c r="AB310" t="s">
        <v>1002</v>
      </c>
      <c r="AC310" t="s">
        <v>1002</v>
      </c>
      <c r="AD310"/>
      <c r="AE310"/>
      <c r="AF310"/>
      <c r="AG310"/>
      <c r="AH310"/>
      <c r="AI310"/>
      <c r="AJ310"/>
      <c r="AK310"/>
      <c r="AL310"/>
    </row>
    <row r="311">
      <c r="A311" t="s">
        <v>226</v>
      </c>
      <c r="B311" t="s">
        <v>211</v>
      </c>
      <c r="C311" t="s">
        <v>212</v>
      </c>
      <c r="D311" t="s">
        <v>213</v>
      </c>
      <c r="E311" t="s">
        <v>320</v>
      </c>
      <c r="F311"/>
      <c r="G311"/>
      <c r="H311"/>
      <c r="I311" t="s">
        <v>981</v>
      </c>
      <c r="J311" t="s">
        <v>982</v>
      </c>
      <c r="K311" t="s">
        <v>983</v>
      </c>
      <c r="L311" t="s">
        <v>984</v>
      </c>
      <c r="M311" t="s">
        <v>985</v>
      </c>
      <c r="N311" t="s">
        <v>986</v>
      </c>
      <c r="O311" t="s">
        <v>987</v>
      </c>
      <c r="P311" t="s">
        <v>988</v>
      </c>
      <c r="Q311" t="s">
        <v>989</v>
      </c>
      <c r="R311" t="s">
        <v>990</v>
      </c>
      <c r="S311" t="s">
        <v>991</v>
      </c>
      <c r="T311" t="s">
        <v>992</v>
      </c>
      <c r="U311" t="s">
        <v>993</v>
      </c>
      <c r="V311" t="s">
        <v>994</v>
      </c>
      <c r="W311" t="s">
        <v>995</v>
      </c>
      <c r="X311" t="s">
        <v>996</v>
      </c>
      <c r="Y311" t="s">
        <v>997</v>
      </c>
      <c r="Z311" t="s">
        <v>998</v>
      </c>
      <c r="AA311" t="s">
        <v>999</v>
      </c>
      <c r="AB311" t="s">
        <v>1000</v>
      </c>
      <c r="AC311" t="s">
        <v>1003</v>
      </c>
      <c r="AD311"/>
      <c r="AE311"/>
      <c r="AF311"/>
      <c r="AG311"/>
      <c r="AH311"/>
      <c r="AI311"/>
      <c r="AJ311"/>
      <c r="AK311"/>
      <c r="AL311"/>
    </row>
    <row r="312">
      <c r="A312" t="s">
        <v>226</v>
      </c>
      <c r="B312" t="s">
        <v>211</v>
      </c>
      <c r="C312" t="s">
        <v>212</v>
      </c>
      <c r="D312" t="s">
        <v>213</v>
      </c>
      <c r="E312" t="s">
        <v>323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</row>
    <row r="313">
      <c r="A313" t="s">
        <v>226</v>
      </c>
      <c r="B313" t="s">
        <v>211</v>
      </c>
      <c r="C313" t="s">
        <v>212</v>
      </c>
      <c r="D313" t="s">
        <v>213</v>
      </c>
      <c r="E313" t="s">
        <v>324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>
      <c r="A314" t="s">
        <v>226</v>
      </c>
      <c r="B314" t="s">
        <v>211</v>
      </c>
      <c r="C314" t="s">
        <v>212</v>
      </c>
      <c r="D314" t="s">
        <v>213</v>
      </c>
      <c r="E314" t="s">
        <v>325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</row>
    <row r="315">
      <c r="A315" t="s">
        <v>226</v>
      </c>
      <c r="B315" t="s">
        <v>211</v>
      </c>
      <c r="C315" t="s">
        <v>212</v>
      </c>
      <c r="D315" t="s">
        <v>213</v>
      </c>
      <c r="E315" t="s">
        <v>326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</row>
    <row r="316">
      <c r="A316" t="s">
        <v>226</v>
      </c>
      <c r="B316" t="s">
        <v>211</v>
      </c>
      <c r="C316" t="s">
        <v>212</v>
      </c>
      <c r="D316" t="s">
        <v>213</v>
      </c>
      <c r="E316" t="s">
        <v>329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</row>
    <row r="317">
      <c r="A317" t="s">
        <v>226</v>
      </c>
      <c r="B317" t="s">
        <v>211</v>
      </c>
      <c r="C317" t="s">
        <v>212</v>
      </c>
      <c r="D317" t="s">
        <v>213</v>
      </c>
      <c r="E317" t="s">
        <v>330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</row>
    <row r="318">
      <c r="A318" t="s">
        <v>226</v>
      </c>
      <c r="B318" t="s">
        <v>211</v>
      </c>
      <c r="C318" t="s">
        <v>212</v>
      </c>
      <c r="D318" t="s">
        <v>213</v>
      </c>
      <c r="E318" t="s">
        <v>331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</row>
    <row r="319">
      <c r="A319" t="s">
        <v>226</v>
      </c>
      <c r="B319" t="s">
        <v>211</v>
      </c>
      <c r="C319" t="s">
        <v>212</v>
      </c>
      <c r="D319" t="s">
        <v>213</v>
      </c>
      <c r="E319" t="s">
        <v>332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</row>
    <row r="320">
      <c r="A320" t="s">
        <v>226</v>
      </c>
      <c r="B320" t="s">
        <v>211</v>
      </c>
      <c r="C320" t="s">
        <v>212</v>
      </c>
      <c r="D320" t="s">
        <v>213</v>
      </c>
      <c r="E320" t="s">
        <v>333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</row>
    <row r="321">
      <c r="A321" t="s">
        <v>226</v>
      </c>
      <c r="B321" t="s">
        <v>211</v>
      </c>
      <c r="C321" t="s">
        <v>212</v>
      </c>
      <c r="D321" t="s">
        <v>213</v>
      </c>
      <c r="E321" t="s">
        <v>334</v>
      </c>
      <c r="F321"/>
      <c r="G321"/>
      <c r="H321"/>
      <c r="I321" t="s">
        <v>392</v>
      </c>
      <c r="J321" t="s">
        <v>392</v>
      </c>
      <c r="K321" t="s">
        <v>392</v>
      </c>
      <c r="L321" t="s">
        <v>392</v>
      </c>
      <c r="M321" t="s">
        <v>392</v>
      </c>
      <c r="N321" t="s">
        <v>392</v>
      </c>
      <c r="O321" t="s">
        <v>392</v>
      </c>
      <c r="P321" t="s">
        <v>392</v>
      </c>
      <c r="Q321" t="s">
        <v>392</v>
      </c>
      <c r="R321" t="s">
        <v>392</v>
      </c>
      <c r="S321" t="s">
        <v>392</v>
      </c>
      <c r="T321" t="s">
        <v>392</v>
      </c>
      <c r="U321" t="s">
        <v>392</v>
      </c>
      <c r="V321" t="s">
        <v>392</v>
      </c>
      <c r="W321" t="s">
        <v>392</v>
      </c>
      <c r="X321" t="s">
        <v>392</v>
      </c>
      <c r="Y321" t="s">
        <v>392</v>
      </c>
      <c r="Z321" t="s">
        <v>392</v>
      </c>
      <c r="AA321" t="s">
        <v>392</v>
      </c>
      <c r="AB321" t="s">
        <v>392</v>
      </c>
      <c r="AC321" t="s">
        <v>392</v>
      </c>
      <c r="AD321"/>
      <c r="AE321"/>
      <c r="AF321"/>
      <c r="AG321"/>
      <c r="AH321"/>
      <c r="AI321"/>
      <c r="AJ321"/>
      <c r="AK321"/>
      <c r="AL321"/>
    </row>
    <row r="322">
      <c r="A322" t="s">
        <v>226</v>
      </c>
      <c r="B322" t="s">
        <v>211</v>
      </c>
      <c r="C322" t="s">
        <v>212</v>
      </c>
      <c r="D322" t="s">
        <v>213</v>
      </c>
      <c r="E322" t="s">
        <v>336</v>
      </c>
      <c r="F322"/>
      <c r="G322"/>
      <c r="H322"/>
      <c r="I322" t="s">
        <v>335</v>
      </c>
      <c r="J322" t="s">
        <v>335</v>
      </c>
      <c r="K322" t="s">
        <v>335</v>
      </c>
      <c r="L322" t="s">
        <v>335</v>
      </c>
      <c r="M322" t="s">
        <v>335</v>
      </c>
      <c r="N322" t="s">
        <v>335</v>
      </c>
      <c r="O322" t="s">
        <v>335</v>
      </c>
      <c r="P322" t="s">
        <v>335</v>
      </c>
      <c r="Q322" t="s">
        <v>335</v>
      </c>
      <c r="R322" t="s">
        <v>335</v>
      </c>
      <c r="S322" t="s">
        <v>335</v>
      </c>
      <c r="T322" t="s">
        <v>335</v>
      </c>
      <c r="U322" t="s">
        <v>335</v>
      </c>
      <c r="V322" t="s">
        <v>335</v>
      </c>
      <c r="W322" t="s">
        <v>335</v>
      </c>
      <c r="X322" t="s">
        <v>335</v>
      </c>
      <c r="Y322" t="s">
        <v>335</v>
      </c>
      <c r="Z322" t="s">
        <v>335</v>
      </c>
      <c r="AA322" t="s">
        <v>335</v>
      </c>
      <c r="AB322" t="s">
        <v>335</v>
      </c>
      <c r="AC322" t="s">
        <v>335</v>
      </c>
      <c r="AD322"/>
      <c r="AE322"/>
      <c r="AF322"/>
      <c r="AG322"/>
      <c r="AH322"/>
      <c r="AI322"/>
      <c r="AJ322"/>
      <c r="AK322"/>
      <c r="AL322"/>
    </row>
    <row r="323">
      <c r="A323" t="s">
        <v>226</v>
      </c>
      <c r="B323" t="s">
        <v>211</v>
      </c>
      <c r="C323" t="s">
        <v>212</v>
      </c>
      <c r="D323" t="s">
        <v>213</v>
      </c>
      <c r="E323" t="s">
        <v>338</v>
      </c>
      <c r="F323"/>
      <c r="G323"/>
      <c r="H323"/>
      <c r="I323" t="s">
        <v>335</v>
      </c>
      <c r="J323" t="s">
        <v>335</v>
      </c>
      <c r="K323" t="s">
        <v>335</v>
      </c>
      <c r="L323" t="s">
        <v>335</v>
      </c>
      <c r="M323" t="s">
        <v>335</v>
      </c>
      <c r="N323" t="s">
        <v>335</v>
      </c>
      <c r="O323" t="s">
        <v>335</v>
      </c>
      <c r="P323" t="s">
        <v>335</v>
      </c>
      <c r="Q323" t="s">
        <v>335</v>
      </c>
      <c r="R323" t="s">
        <v>335</v>
      </c>
      <c r="S323" t="s">
        <v>335</v>
      </c>
      <c r="T323" t="s">
        <v>335</v>
      </c>
      <c r="U323" t="s">
        <v>335</v>
      </c>
      <c r="V323" t="s">
        <v>335</v>
      </c>
      <c r="W323" t="s">
        <v>335</v>
      </c>
      <c r="X323" t="s">
        <v>335</v>
      </c>
      <c r="Y323" t="s">
        <v>335</v>
      </c>
      <c r="Z323" t="s">
        <v>335</v>
      </c>
      <c r="AA323" t="s">
        <v>335</v>
      </c>
      <c r="AB323" t="s">
        <v>335</v>
      </c>
      <c r="AC323" t="s">
        <v>335</v>
      </c>
      <c r="AD323"/>
      <c r="AE323"/>
      <c r="AF323"/>
      <c r="AG323"/>
      <c r="AH323"/>
      <c r="AI323"/>
      <c r="AJ323"/>
      <c r="AK323"/>
      <c r="AL323"/>
    </row>
    <row r="324">
      <c r="A324" t="s">
        <v>226</v>
      </c>
      <c r="B324" t="s">
        <v>211</v>
      </c>
      <c r="C324" t="s">
        <v>212</v>
      </c>
      <c r="D324" t="s">
        <v>213</v>
      </c>
      <c r="E324" t="s">
        <v>339</v>
      </c>
      <c r="F324"/>
      <c r="G324"/>
      <c r="H324"/>
      <c r="I324" t="s">
        <v>1004</v>
      </c>
      <c r="J324" t="s">
        <v>1005</v>
      </c>
      <c r="K324" t="s">
        <v>1006</v>
      </c>
      <c r="L324" t="s">
        <v>1007</v>
      </c>
      <c r="M324" t="s">
        <v>1008</v>
      </c>
      <c r="N324" t="s">
        <v>1009</v>
      </c>
      <c r="O324" t="s">
        <v>1010</v>
      </c>
      <c r="P324" t="s">
        <v>1011</v>
      </c>
      <c r="Q324" t="s">
        <v>1012</v>
      </c>
      <c r="R324" t="s">
        <v>1013</v>
      </c>
      <c r="S324" t="s">
        <v>1014</v>
      </c>
      <c r="T324" t="s">
        <v>1015</v>
      </c>
      <c r="U324" t="s">
        <v>1016</v>
      </c>
      <c r="V324" t="s">
        <v>1017</v>
      </c>
      <c r="W324" t="s">
        <v>1018</v>
      </c>
      <c r="X324" t="s">
        <v>1019</v>
      </c>
      <c r="Y324" t="s">
        <v>1020</v>
      </c>
      <c r="Z324" t="s">
        <v>1021</v>
      </c>
      <c r="AA324" t="s">
        <v>1022</v>
      </c>
      <c r="AB324" t="s">
        <v>1023</v>
      </c>
      <c r="AC324" t="s">
        <v>1024</v>
      </c>
      <c r="AD324"/>
      <c r="AE324"/>
      <c r="AF324"/>
      <c r="AG324"/>
      <c r="AH324"/>
      <c r="AI324"/>
      <c r="AJ324"/>
      <c r="AK324"/>
      <c r="AL324"/>
    </row>
    <row r="325">
      <c r="A325" t="s">
        <v>226</v>
      </c>
      <c r="B325" t="s">
        <v>211</v>
      </c>
      <c r="C325" t="s">
        <v>212</v>
      </c>
      <c r="D325" t="s">
        <v>213</v>
      </c>
      <c r="E325" t="s">
        <v>358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</row>
    <row r="326">
      <c r="A326" t="s">
        <v>229</v>
      </c>
      <c r="B326" t="s">
        <v>211</v>
      </c>
      <c r="C326" t="s">
        <v>212</v>
      </c>
      <c r="D326" t="s">
        <v>213</v>
      </c>
      <c r="E326" t="s">
        <v>297</v>
      </c>
      <c r="F326"/>
      <c r="G326"/>
      <c r="H326"/>
      <c r="I326" t="s">
        <v>1025</v>
      </c>
      <c r="J326" t="s">
        <v>1026</v>
      </c>
      <c r="K326" t="s">
        <v>1027</v>
      </c>
      <c r="L326" t="s">
        <v>1028</v>
      </c>
      <c r="M326" t="s">
        <v>1029</v>
      </c>
      <c r="N326" t="s">
        <v>1030</v>
      </c>
      <c r="O326" t="s">
        <v>1031</v>
      </c>
      <c r="P326" t="s">
        <v>1032</v>
      </c>
      <c r="Q326" t="s">
        <v>1033</v>
      </c>
      <c r="R326"/>
      <c r="S326"/>
      <c r="T326"/>
      <c r="U326"/>
      <c r="V326"/>
      <c r="W326"/>
      <c r="X326"/>
      <c r="Y326"/>
      <c r="Z326"/>
      <c r="AA326"/>
      <c r="AB326"/>
      <c r="AC326"/>
      <c r="AD326" t="n">
        <v>159050</v>
      </c>
      <c r="AE326" t="n">
        <v>151308</v>
      </c>
      <c r="AF326" t="n">
        <v>143566</v>
      </c>
      <c r="AG326" t="n">
        <v>135824</v>
      </c>
      <c r="AH326" t="n">
        <v>128082</v>
      </c>
      <c r="AI326" t="n">
        <v>120340</v>
      </c>
      <c r="AJ326" t="n">
        <v>112598</v>
      </c>
      <c r="AK326" t="n">
        <v>104856</v>
      </c>
      <c r="AL326" t="n">
        <v>97114</v>
      </c>
    </row>
    <row r="327">
      <c r="A327" t="s">
        <v>229</v>
      </c>
      <c r="B327" t="s">
        <v>211</v>
      </c>
      <c r="C327" t="s">
        <v>212</v>
      </c>
      <c r="D327" t="s">
        <v>213</v>
      </c>
      <c r="E327" t="s">
        <v>316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</row>
    <row r="328">
      <c r="A328" t="s">
        <v>229</v>
      </c>
      <c r="B328" t="s">
        <v>211</v>
      </c>
      <c r="C328" t="s">
        <v>212</v>
      </c>
      <c r="D328" t="s">
        <v>213</v>
      </c>
      <c r="E328" t="s">
        <v>317</v>
      </c>
      <c r="F328"/>
      <c r="G328"/>
      <c r="H328"/>
      <c r="I328" t="s">
        <v>1034</v>
      </c>
      <c r="J328" t="s">
        <v>1034</v>
      </c>
      <c r="K328" t="s">
        <v>1034</v>
      </c>
      <c r="L328" t="s">
        <v>1034</v>
      </c>
      <c r="M328" t="s">
        <v>1034</v>
      </c>
      <c r="N328" t="s">
        <v>1034</v>
      </c>
      <c r="O328" t="s">
        <v>1034</v>
      </c>
      <c r="P328" t="s">
        <v>1034</v>
      </c>
      <c r="Q328" t="s">
        <v>1034</v>
      </c>
      <c r="R328"/>
      <c r="S328"/>
      <c r="T328"/>
      <c r="U328"/>
      <c r="V328"/>
      <c r="W328"/>
      <c r="X328"/>
      <c r="Y328"/>
      <c r="Z328"/>
      <c r="AA328"/>
      <c r="AB328"/>
      <c r="AC328"/>
      <c r="AD328" t="n">
        <v>7742</v>
      </c>
      <c r="AE328" t="n">
        <v>7742</v>
      </c>
      <c r="AF328" t="n">
        <v>7742</v>
      </c>
      <c r="AG328" t="n">
        <v>7742</v>
      </c>
      <c r="AH328" t="n">
        <v>7742</v>
      </c>
      <c r="AI328" t="n">
        <v>7742</v>
      </c>
      <c r="AJ328" t="n">
        <v>7742</v>
      </c>
      <c r="AK328" t="n">
        <v>7742</v>
      </c>
      <c r="AL328" t="n">
        <v>7742</v>
      </c>
    </row>
    <row r="329">
      <c r="A329" t="s">
        <v>229</v>
      </c>
      <c r="B329" t="s">
        <v>211</v>
      </c>
      <c r="C329" t="s">
        <v>212</v>
      </c>
      <c r="D329" t="s">
        <v>213</v>
      </c>
      <c r="E329" t="s">
        <v>320</v>
      </c>
      <c r="F329"/>
      <c r="G329"/>
      <c r="H329"/>
      <c r="I329" t="s">
        <v>1026</v>
      </c>
      <c r="J329" t="s">
        <v>1027</v>
      </c>
      <c r="K329" t="s">
        <v>1028</v>
      </c>
      <c r="L329" t="s">
        <v>1029</v>
      </c>
      <c r="M329" t="s">
        <v>1030</v>
      </c>
      <c r="N329" t="s">
        <v>1031</v>
      </c>
      <c r="O329" t="s">
        <v>1032</v>
      </c>
      <c r="P329" t="s">
        <v>1033</v>
      </c>
      <c r="Q329" t="s">
        <v>1035</v>
      </c>
      <c r="R329"/>
      <c r="S329"/>
      <c r="T329"/>
      <c r="U329"/>
      <c r="V329"/>
      <c r="W329"/>
      <c r="X329"/>
      <c r="Y329"/>
      <c r="Z329"/>
      <c r="AA329"/>
      <c r="AB329"/>
      <c r="AC329"/>
      <c r="AD329" t="n">
        <v>151308</v>
      </c>
      <c r="AE329" t="n">
        <v>143566</v>
      </c>
      <c r="AF329" t="n">
        <v>135824</v>
      </c>
      <c r="AG329" t="n">
        <v>128082</v>
      </c>
      <c r="AH329" t="n">
        <v>120340</v>
      </c>
      <c r="AI329" t="n">
        <v>112598</v>
      </c>
      <c r="AJ329" t="n">
        <v>104856</v>
      </c>
      <c r="AK329" t="n">
        <v>97114</v>
      </c>
      <c r="AL329" t="n">
        <v>89372</v>
      </c>
    </row>
    <row r="330">
      <c r="A330" t="s">
        <v>229</v>
      </c>
      <c r="B330" t="s">
        <v>211</v>
      </c>
      <c r="C330" t="s">
        <v>212</v>
      </c>
      <c r="D330" t="s">
        <v>213</v>
      </c>
      <c r="E330" t="s">
        <v>323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 t="n">
        <v>3</v>
      </c>
      <c r="AE330" t="n">
        <v>3</v>
      </c>
      <c r="AF330" t="n">
        <v>3</v>
      </c>
      <c r="AG330" t="n">
        <v>3</v>
      </c>
      <c r="AH330" t="n">
        <v>3</v>
      </c>
      <c r="AI330" t="n">
        <v>3</v>
      </c>
      <c r="AJ330" t="n">
        <v>3</v>
      </c>
      <c r="AK330" t="n">
        <v>3</v>
      </c>
      <c r="AL330" t="n">
        <v>3</v>
      </c>
    </row>
    <row r="331">
      <c r="A331" t="s">
        <v>229</v>
      </c>
      <c r="B331" t="s">
        <v>211</v>
      </c>
      <c r="C331" t="s">
        <v>212</v>
      </c>
      <c r="D331" t="s">
        <v>213</v>
      </c>
      <c r="E331" t="s">
        <v>324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 t="n">
        <v>6</v>
      </c>
      <c r="AE331" t="n">
        <v>6</v>
      </c>
      <c r="AF331" t="n">
        <v>6</v>
      </c>
      <c r="AG331" t="n">
        <v>6</v>
      </c>
      <c r="AH331" t="n">
        <v>6</v>
      </c>
      <c r="AI331" t="n">
        <v>6</v>
      </c>
      <c r="AJ331" t="n">
        <v>6</v>
      </c>
      <c r="AK331" t="n">
        <v>6</v>
      </c>
      <c r="AL331" t="n">
        <v>6</v>
      </c>
    </row>
    <row r="332">
      <c r="A332" t="s">
        <v>229</v>
      </c>
      <c r="B332" t="s">
        <v>211</v>
      </c>
      <c r="C332" t="s">
        <v>212</v>
      </c>
      <c r="D332" t="s">
        <v>213</v>
      </c>
      <c r="E332" t="s">
        <v>325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 t="n">
        <v>6</v>
      </c>
      <c r="AE332" t="n">
        <v>6</v>
      </c>
      <c r="AF332" t="n">
        <v>6</v>
      </c>
      <c r="AG332" t="n">
        <v>6</v>
      </c>
      <c r="AH332" t="n">
        <v>6</v>
      </c>
      <c r="AI332" t="n">
        <v>6</v>
      </c>
      <c r="AJ332" t="n">
        <v>6</v>
      </c>
      <c r="AK332" t="n">
        <v>6</v>
      </c>
      <c r="AL332" t="n">
        <v>6</v>
      </c>
    </row>
    <row r="333">
      <c r="A333" t="s">
        <v>229</v>
      </c>
      <c r="B333" t="s">
        <v>211</v>
      </c>
      <c r="C333" t="s">
        <v>212</v>
      </c>
      <c r="D333" t="s">
        <v>213</v>
      </c>
      <c r="E333" t="s">
        <v>326</v>
      </c>
      <c r="F333"/>
      <c r="G333"/>
      <c r="H333"/>
      <c r="I333"/>
      <c r="J333"/>
      <c r="K333"/>
      <c r="L333" t="s">
        <v>1036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 t="n">
        <v>19.5437871351072</v>
      </c>
      <c r="AE333" t="n">
        <v>18.5437871351072</v>
      </c>
      <c r="AF333" t="n">
        <v>17.5437871351072</v>
      </c>
      <c r="AG333" t="n">
        <v>16.5437871351072</v>
      </c>
      <c r="AH333" t="n">
        <v>15.5437871351072</v>
      </c>
      <c r="AI333" t="n">
        <v>14.5437871351072</v>
      </c>
      <c r="AJ333" t="n">
        <v>13.5437871351072</v>
      </c>
      <c r="AK333" t="n">
        <v>12.5437871351072</v>
      </c>
      <c r="AL333" t="n">
        <v>11.5437871351072</v>
      </c>
    </row>
    <row r="334">
      <c r="A334" t="s">
        <v>229</v>
      </c>
      <c r="B334" t="s">
        <v>211</v>
      </c>
      <c r="C334" t="s">
        <v>212</v>
      </c>
      <c r="D334" t="s">
        <v>213</v>
      </c>
      <c r="E334" t="s">
        <v>329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</row>
    <row r="335">
      <c r="A335" t="s">
        <v>229</v>
      </c>
      <c r="B335" t="s">
        <v>211</v>
      </c>
      <c r="C335" t="s">
        <v>212</v>
      </c>
      <c r="D335" t="s">
        <v>213</v>
      </c>
      <c r="E335" t="s">
        <v>330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</row>
    <row r="336">
      <c r="A336" t="s">
        <v>229</v>
      </c>
      <c r="B336" t="s">
        <v>211</v>
      </c>
      <c r="C336" t="s">
        <v>212</v>
      </c>
      <c r="D336" t="s">
        <v>213</v>
      </c>
      <c r="E336" t="s">
        <v>331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</row>
    <row r="337">
      <c r="A337" t="s">
        <v>229</v>
      </c>
      <c r="B337" t="s">
        <v>211</v>
      </c>
      <c r="C337" t="s">
        <v>212</v>
      </c>
      <c r="D337" t="s">
        <v>213</v>
      </c>
      <c r="E337" t="s">
        <v>332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</row>
    <row r="338">
      <c r="A338" t="s">
        <v>229</v>
      </c>
      <c r="B338" t="s">
        <v>211</v>
      </c>
      <c r="C338" t="s">
        <v>212</v>
      </c>
      <c r="D338" t="s">
        <v>213</v>
      </c>
      <c r="E338" t="s">
        <v>333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</row>
    <row r="339">
      <c r="A339" t="s">
        <v>229</v>
      </c>
      <c r="B339" t="s">
        <v>211</v>
      </c>
      <c r="C339" t="s">
        <v>212</v>
      </c>
      <c r="D339" t="s">
        <v>213</v>
      </c>
      <c r="E339" t="s">
        <v>334</v>
      </c>
      <c r="F339"/>
      <c r="G339"/>
      <c r="H339"/>
      <c r="I339" t="s">
        <v>416</v>
      </c>
      <c r="J339" t="s">
        <v>416</v>
      </c>
      <c r="K339" t="s">
        <v>416</v>
      </c>
      <c r="L339" t="s">
        <v>416</v>
      </c>
      <c r="M339" t="s">
        <v>416</v>
      </c>
      <c r="N339" t="s">
        <v>416</v>
      </c>
      <c r="O339" t="s">
        <v>416</v>
      </c>
      <c r="P339" t="s">
        <v>416</v>
      </c>
      <c r="Q339" t="s">
        <v>416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</row>
    <row r="340">
      <c r="A340" t="s">
        <v>229</v>
      </c>
      <c r="B340" t="s">
        <v>211</v>
      </c>
      <c r="C340" t="s">
        <v>212</v>
      </c>
      <c r="D340" t="s">
        <v>213</v>
      </c>
      <c r="E340" t="s">
        <v>336</v>
      </c>
      <c r="F340"/>
      <c r="G340"/>
      <c r="H340"/>
      <c r="I340" t="s">
        <v>417</v>
      </c>
      <c r="J340" t="s">
        <v>417</v>
      </c>
      <c r="K340" t="s">
        <v>417</v>
      </c>
      <c r="L340" t="s">
        <v>417</v>
      </c>
      <c r="M340" t="s">
        <v>417</v>
      </c>
      <c r="N340" t="s">
        <v>417</v>
      </c>
      <c r="O340" t="s">
        <v>417</v>
      </c>
      <c r="P340" t="s">
        <v>417</v>
      </c>
      <c r="Q340" t="s">
        <v>417</v>
      </c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</row>
    <row r="341">
      <c r="A341" t="s">
        <v>229</v>
      </c>
      <c r="B341" t="s">
        <v>211</v>
      </c>
      <c r="C341" t="s">
        <v>212</v>
      </c>
      <c r="D341" t="s">
        <v>213</v>
      </c>
      <c r="E341" t="s">
        <v>338</v>
      </c>
      <c r="F341"/>
      <c r="G341"/>
      <c r="H341"/>
      <c r="I341" t="s">
        <v>417</v>
      </c>
      <c r="J341" t="s">
        <v>417</v>
      </c>
      <c r="K341" t="s">
        <v>417</v>
      </c>
      <c r="L341" t="s">
        <v>417</v>
      </c>
      <c r="M341" t="s">
        <v>417</v>
      </c>
      <c r="N341" t="s">
        <v>417</v>
      </c>
      <c r="O341" t="s">
        <v>417</v>
      </c>
      <c r="P341" t="s">
        <v>417</v>
      </c>
      <c r="Q341" t="s">
        <v>417</v>
      </c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</row>
    <row r="342">
      <c r="A342" t="s">
        <v>229</v>
      </c>
      <c r="B342" t="s">
        <v>211</v>
      </c>
      <c r="C342" t="s">
        <v>212</v>
      </c>
      <c r="D342" t="s">
        <v>213</v>
      </c>
      <c r="E342" t="s">
        <v>339</v>
      </c>
      <c r="F342"/>
      <c r="G342"/>
      <c r="H342"/>
      <c r="I342" t="s">
        <v>1037</v>
      </c>
      <c r="J342" t="s">
        <v>1038</v>
      </c>
      <c r="K342" t="s">
        <v>1039</v>
      </c>
      <c r="L342" t="s">
        <v>1040</v>
      </c>
      <c r="M342" t="s">
        <v>1041</v>
      </c>
      <c r="N342" t="s">
        <v>1042</v>
      </c>
      <c r="O342" t="s">
        <v>1043</v>
      </c>
      <c r="P342" t="s">
        <v>1044</v>
      </c>
      <c r="Q342" t="s">
        <v>1045</v>
      </c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</row>
    <row r="343">
      <c r="A343" t="s">
        <v>229</v>
      </c>
      <c r="B343" t="s">
        <v>211</v>
      </c>
      <c r="C343" t="s">
        <v>212</v>
      </c>
      <c r="D343" t="s">
        <v>213</v>
      </c>
      <c r="E343" t="s">
        <v>358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</row>
    <row r="344">
      <c r="A344" t="s">
        <v>250</v>
      </c>
      <c r="B344" t="s">
        <v>238</v>
      </c>
      <c r="C344" t="s">
        <v>231</v>
      </c>
      <c r="D344" t="s">
        <v>213</v>
      </c>
      <c r="E344" t="s">
        <v>297</v>
      </c>
      <c r="F344"/>
      <c r="G344"/>
      <c r="H344"/>
      <c r="I344" t="s">
        <v>1046</v>
      </c>
      <c r="J344" t="s">
        <v>1047</v>
      </c>
      <c r="K344" t="s">
        <v>1048</v>
      </c>
      <c r="L344" t="s">
        <v>1049</v>
      </c>
      <c r="M344" t="s">
        <v>1050</v>
      </c>
      <c r="N344" t="s">
        <v>1051</v>
      </c>
      <c r="O344" t="s">
        <v>1052</v>
      </c>
      <c r="P344" t="s">
        <v>1053</v>
      </c>
      <c r="Q344" t="s">
        <v>1054</v>
      </c>
      <c r="R344" t="s">
        <v>1055</v>
      </c>
      <c r="S344" t="s">
        <v>1056</v>
      </c>
      <c r="T344" t="s">
        <v>1057</v>
      </c>
      <c r="U344" t="s">
        <v>1058</v>
      </c>
      <c r="V344" t="s">
        <v>1059</v>
      </c>
      <c r="W344" t="s">
        <v>1060</v>
      </c>
      <c r="X344" t="s">
        <v>1061</v>
      </c>
      <c r="Y344" t="s">
        <v>1062</v>
      </c>
      <c r="Z344" t="s">
        <v>1063</v>
      </c>
      <c r="AA344"/>
      <c r="AB344"/>
      <c r="AC344"/>
      <c r="AD344" t="n">
        <v>359</v>
      </c>
      <c r="AE344" t="n">
        <v>327</v>
      </c>
      <c r="AF344" t="n">
        <v>295</v>
      </c>
      <c r="AG344" t="n">
        <v>263</v>
      </c>
      <c r="AH344"/>
      <c r="AI344" t="n">
        <v>489</v>
      </c>
      <c r="AJ344"/>
      <c r="AK344"/>
      <c r="AL344"/>
    </row>
    <row r="345">
      <c r="A345" t="s">
        <v>250</v>
      </c>
      <c r="B345" t="s">
        <v>238</v>
      </c>
      <c r="C345" t="s">
        <v>231</v>
      </c>
      <c r="D345" t="s">
        <v>213</v>
      </c>
      <c r="E345" t="s">
        <v>316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</row>
    <row r="346">
      <c r="A346" t="s">
        <v>250</v>
      </c>
      <c r="B346" t="s">
        <v>238</v>
      </c>
      <c r="C346" t="s">
        <v>231</v>
      </c>
      <c r="D346" t="s">
        <v>213</v>
      </c>
      <c r="E346" t="s">
        <v>317</v>
      </c>
      <c r="F346"/>
      <c r="G346"/>
      <c r="H346"/>
      <c r="I346" t="s">
        <v>1064</v>
      </c>
      <c r="J346" t="s">
        <v>1065</v>
      </c>
      <c r="K346" t="s">
        <v>1066</v>
      </c>
      <c r="L346" t="s">
        <v>1067</v>
      </c>
      <c r="M346" t="s">
        <v>1068</v>
      </c>
      <c r="N346" t="s">
        <v>1069</v>
      </c>
      <c r="O346" t="s">
        <v>1070</v>
      </c>
      <c r="P346" t="s">
        <v>1071</v>
      </c>
      <c r="Q346" t="s">
        <v>1072</v>
      </c>
      <c r="R346" t="s">
        <v>1072</v>
      </c>
      <c r="S346" t="s">
        <v>1072</v>
      </c>
      <c r="T346" t="s">
        <v>1072</v>
      </c>
      <c r="U346" t="s">
        <v>1072</v>
      </c>
      <c r="V346" t="s">
        <v>1072</v>
      </c>
      <c r="W346" t="s">
        <v>1072</v>
      </c>
      <c r="X346" t="s">
        <v>1072</v>
      </c>
      <c r="Y346" t="s">
        <v>1072</v>
      </c>
      <c r="Z346" t="s">
        <v>1072</v>
      </c>
      <c r="AA346"/>
      <c r="AB346"/>
      <c r="AC346"/>
      <c r="AD346" t="n">
        <v>32</v>
      </c>
      <c r="AE346" t="n">
        <v>32</v>
      </c>
      <c r="AF346" t="n">
        <v>32</v>
      </c>
      <c r="AG346" t="n">
        <v>32</v>
      </c>
      <c r="AH346"/>
      <c r="AI346" t="n">
        <v>32</v>
      </c>
      <c r="AJ346"/>
      <c r="AK346"/>
      <c r="AL346"/>
    </row>
    <row r="347">
      <c r="A347" t="s">
        <v>250</v>
      </c>
      <c r="B347" t="s">
        <v>238</v>
      </c>
      <c r="C347" t="s">
        <v>231</v>
      </c>
      <c r="D347" t="s">
        <v>213</v>
      </c>
      <c r="E347" t="s">
        <v>320</v>
      </c>
      <c r="F347"/>
      <c r="G347"/>
      <c r="H347"/>
      <c r="I347" t="s">
        <v>1047</v>
      </c>
      <c r="J347" t="s">
        <v>1048</v>
      </c>
      <c r="K347" t="s">
        <v>1049</v>
      </c>
      <c r="L347" t="s">
        <v>1050</v>
      </c>
      <c r="M347" t="s">
        <v>1051</v>
      </c>
      <c r="N347" t="s">
        <v>1052</v>
      </c>
      <c r="O347" t="s">
        <v>1053</v>
      </c>
      <c r="P347" t="s">
        <v>1054</v>
      </c>
      <c r="Q347" t="s">
        <v>1055</v>
      </c>
      <c r="R347" t="s">
        <v>1056</v>
      </c>
      <c r="S347" t="s">
        <v>1057</v>
      </c>
      <c r="T347" t="s">
        <v>1058</v>
      </c>
      <c r="U347" t="s">
        <v>1059</v>
      </c>
      <c r="V347" t="s">
        <v>1060</v>
      </c>
      <c r="W347" t="s">
        <v>1061</v>
      </c>
      <c r="X347" t="s">
        <v>1062</v>
      </c>
      <c r="Y347" t="s">
        <v>1063</v>
      </c>
      <c r="Z347" t="s">
        <v>1073</v>
      </c>
      <c r="AA347"/>
      <c r="AB347"/>
      <c r="AC347"/>
      <c r="AD347" t="n">
        <v>327</v>
      </c>
      <c r="AE347" t="n">
        <v>295</v>
      </c>
      <c r="AF347" t="n">
        <v>263</v>
      </c>
      <c r="AG347" t="n">
        <v>231</v>
      </c>
      <c r="AH347"/>
      <c r="AI347" t="n">
        <v>457</v>
      </c>
      <c r="AJ347"/>
      <c r="AK347"/>
      <c r="AL347"/>
    </row>
    <row r="348">
      <c r="A348" t="s">
        <v>250</v>
      </c>
      <c r="B348" t="s">
        <v>238</v>
      </c>
      <c r="C348" t="s">
        <v>231</v>
      </c>
      <c r="D348" t="s">
        <v>213</v>
      </c>
      <c r="E348" t="s">
        <v>323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 t="n">
        <v>7</v>
      </c>
      <c r="AE348" t="n">
        <v>7</v>
      </c>
      <c r="AF348" t="n">
        <v>7</v>
      </c>
      <c r="AG348" t="n">
        <v>7</v>
      </c>
      <c r="AH348"/>
      <c r="AI348" t="n">
        <v>7</v>
      </c>
      <c r="AJ348"/>
      <c r="AK348"/>
      <c r="AL348"/>
    </row>
    <row r="349">
      <c r="A349" t="s">
        <v>250</v>
      </c>
      <c r="B349" t="s">
        <v>238</v>
      </c>
      <c r="C349" t="s">
        <v>231</v>
      </c>
      <c r="D349" t="s">
        <v>213</v>
      </c>
      <c r="E349" t="s">
        <v>324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 t="n">
        <v>15</v>
      </c>
      <c r="AE349" t="n">
        <v>15</v>
      </c>
      <c r="AF349" t="n">
        <v>15</v>
      </c>
      <c r="AG349" t="n">
        <v>15</v>
      </c>
      <c r="AH349"/>
      <c r="AI349" t="n">
        <v>15</v>
      </c>
      <c r="AJ349"/>
      <c r="AK349"/>
      <c r="AL349"/>
    </row>
    <row r="350">
      <c r="A350" t="s">
        <v>250</v>
      </c>
      <c r="B350" t="s">
        <v>238</v>
      </c>
      <c r="C350" t="s">
        <v>231</v>
      </c>
      <c r="D350" t="s">
        <v>213</v>
      </c>
      <c r="E350" t="s">
        <v>325</v>
      </c>
      <c r="F350"/>
      <c r="G350"/>
      <c r="H350"/>
      <c r="I350"/>
      <c r="J350"/>
      <c r="K350"/>
      <c r="L350"/>
      <c r="M350" t="s">
        <v>271</v>
      </c>
      <c r="N350"/>
      <c r="O350"/>
      <c r="P350"/>
      <c r="Q350" t="s">
        <v>269</v>
      </c>
      <c r="R350"/>
      <c r="S350"/>
      <c r="T350"/>
      <c r="U350"/>
      <c r="V350"/>
      <c r="W350"/>
      <c r="X350"/>
      <c r="Y350" t="s">
        <v>269</v>
      </c>
      <c r="Z350"/>
      <c r="AA350"/>
      <c r="AB350"/>
      <c r="AC350"/>
      <c r="AD350" t="n">
        <v>15</v>
      </c>
      <c r="AE350" t="n">
        <v>15</v>
      </c>
      <c r="AF350" t="n">
        <v>15</v>
      </c>
      <c r="AG350" t="n">
        <v>15</v>
      </c>
      <c r="AH350"/>
      <c r="AI350" t="n">
        <v>15</v>
      </c>
      <c r="AJ350"/>
      <c r="AK350"/>
      <c r="AL350"/>
    </row>
    <row r="351">
      <c r="A351" t="s">
        <v>250</v>
      </c>
      <c r="B351" t="s">
        <v>238</v>
      </c>
      <c r="C351" t="s">
        <v>231</v>
      </c>
      <c r="D351" t="s">
        <v>213</v>
      </c>
      <c r="E351" t="s">
        <v>326</v>
      </c>
      <c r="F351"/>
      <c r="G351"/>
      <c r="H351"/>
      <c r="I351"/>
      <c r="J351"/>
      <c r="K351"/>
      <c r="L351"/>
      <c r="M351" t="s">
        <v>1074</v>
      </c>
      <c r="N351"/>
      <c r="O351"/>
      <c r="P351"/>
      <c r="Q351" t="s">
        <v>1075</v>
      </c>
      <c r="R351"/>
      <c r="S351"/>
      <c r="T351"/>
      <c r="U351"/>
      <c r="V351"/>
      <c r="W351"/>
      <c r="X351"/>
      <c r="Y351" t="s">
        <v>1076</v>
      </c>
      <c r="Z351"/>
      <c r="AA351"/>
      <c r="AB351"/>
      <c r="AC351"/>
      <c r="AD351" t="n">
        <v>10.21875</v>
      </c>
      <c r="AE351" t="n">
        <v>9.21875</v>
      </c>
      <c r="AF351" t="n">
        <v>8.21875</v>
      </c>
      <c r="AG351" t="n">
        <v>7.21875</v>
      </c>
      <c r="AH351"/>
      <c r="AI351" t="n">
        <v>14.28125</v>
      </c>
      <c r="AJ351"/>
      <c r="AK351"/>
      <c r="AL351"/>
    </row>
    <row r="352">
      <c r="A352" t="s">
        <v>250</v>
      </c>
      <c r="B352" t="s">
        <v>238</v>
      </c>
      <c r="C352" t="s">
        <v>231</v>
      </c>
      <c r="D352" t="s">
        <v>213</v>
      </c>
      <c r="E352" t="s">
        <v>329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</row>
    <row r="353">
      <c r="A353" t="s">
        <v>250</v>
      </c>
      <c r="B353" t="s">
        <v>238</v>
      </c>
      <c r="C353" t="s">
        <v>231</v>
      </c>
      <c r="D353" t="s">
        <v>213</v>
      </c>
      <c r="E353" t="s">
        <v>330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</row>
    <row r="354">
      <c r="A354" t="s">
        <v>250</v>
      </c>
      <c r="B354" t="s">
        <v>238</v>
      </c>
      <c r="C354" t="s">
        <v>231</v>
      </c>
      <c r="D354" t="s">
        <v>213</v>
      </c>
      <c r="E354" t="s">
        <v>331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</row>
    <row r="355">
      <c r="A355" t="s">
        <v>250</v>
      </c>
      <c r="B355" t="s">
        <v>238</v>
      </c>
      <c r="C355" t="s">
        <v>231</v>
      </c>
      <c r="D355" t="s">
        <v>213</v>
      </c>
      <c r="E355" t="s">
        <v>332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</row>
    <row r="356">
      <c r="A356" t="s">
        <v>250</v>
      </c>
      <c r="B356" t="s">
        <v>238</v>
      </c>
      <c r="C356" t="s">
        <v>231</v>
      </c>
      <c r="D356" t="s">
        <v>213</v>
      </c>
      <c r="E356" t="s">
        <v>333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</row>
    <row r="357">
      <c r="A357" t="s">
        <v>250</v>
      </c>
      <c r="B357" t="s">
        <v>238</v>
      </c>
      <c r="C357" t="s">
        <v>231</v>
      </c>
      <c r="D357" t="s">
        <v>213</v>
      </c>
      <c r="E357" t="s">
        <v>334</v>
      </c>
      <c r="F357"/>
      <c r="G357"/>
      <c r="H357"/>
      <c r="I357"/>
      <c r="J357"/>
      <c r="K357"/>
      <c r="L357" t="s">
        <v>961</v>
      </c>
      <c r="M357" t="s">
        <v>961</v>
      </c>
      <c r="N357" t="s">
        <v>961</v>
      </c>
      <c r="O357" t="s">
        <v>961</v>
      </c>
      <c r="P357" t="s">
        <v>961</v>
      </c>
      <c r="Q357" t="s">
        <v>961</v>
      </c>
      <c r="R357" t="s">
        <v>961</v>
      </c>
      <c r="S357" t="s">
        <v>961</v>
      </c>
      <c r="T357" t="s">
        <v>961</v>
      </c>
      <c r="U357" t="s">
        <v>961</v>
      </c>
      <c r="V357" t="s">
        <v>961</v>
      </c>
      <c r="W357" t="s">
        <v>961</v>
      </c>
      <c r="X357" t="s">
        <v>961</v>
      </c>
      <c r="Y357" t="s">
        <v>961</v>
      </c>
      <c r="Z357" t="s">
        <v>961</v>
      </c>
      <c r="AA357"/>
      <c r="AB357"/>
      <c r="AC357"/>
      <c r="AD357"/>
      <c r="AE357"/>
      <c r="AF357"/>
      <c r="AG357"/>
      <c r="AH357"/>
      <c r="AI357"/>
      <c r="AJ357"/>
      <c r="AK357"/>
      <c r="AL357"/>
    </row>
    <row r="358">
      <c r="A358" t="s">
        <v>250</v>
      </c>
      <c r="B358" t="s">
        <v>238</v>
      </c>
      <c r="C358" t="s">
        <v>231</v>
      </c>
      <c r="D358" t="s">
        <v>213</v>
      </c>
      <c r="E358" t="s">
        <v>336</v>
      </c>
      <c r="F358"/>
      <c r="G358"/>
      <c r="H358"/>
      <c r="I358"/>
      <c r="J358"/>
      <c r="K358"/>
      <c r="L358" t="s">
        <v>417</v>
      </c>
      <c r="M358" t="s">
        <v>417</v>
      </c>
      <c r="N358" t="s">
        <v>417</v>
      </c>
      <c r="O358" t="s">
        <v>417</v>
      </c>
      <c r="P358" t="s">
        <v>417</v>
      </c>
      <c r="Q358" t="s">
        <v>417</v>
      </c>
      <c r="R358" t="s">
        <v>417</v>
      </c>
      <c r="S358" t="s">
        <v>417</v>
      </c>
      <c r="T358" t="s">
        <v>417</v>
      </c>
      <c r="U358" t="s">
        <v>417</v>
      </c>
      <c r="V358" t="s">
        <v>417</v>
      </c>
      <c r="W358" t="s">
        <v>417</v>
      </c>
      <c r="X358" t="s">
        <v>417</v>
      </c>
      <c r="Y358" t="s">
        <v>417</v>
      </c>
      <c r="Z358" t="s">
        <v>417</v>
      </c>
      <c r="AA358"/>
      <c r="AB358"/>
      <c r="AC358"/>
      <c r="AD358"/>
      <c r="AE358"/>
      <c r="AF358"/>
      <c r="AG358"/>
      <c r="AH358"/>
      <c r="AI358"/>
      <c r="AJ358"/>
      <c r="AK358"/>
      <c r="AL358"/>
    </row>
    <row r="359">
      <c r="A359" t="s">
        <v>250</v>
      </c>
      <c r="B359" t="s">
        <v>238</v>
      </c>
      <c r="C359" t="s">
        <v>231</v>
      </c>
      <c r="D359" t="s">
        <v>213</v>
      </c>
      <c r="E359" t="s">
        <v>338</v>
      </c>
      <c r="F359"/>
      <c r="G359"/>
      <c r="H359"/>
      <c r="I359"/>
      <c r="J359"/>
      <c r="K359"/>
      <c r="L359" t="s">
        <v>417</v>
      </c>
      <c r="M359" t="s">
        <v>417</v>
      </c>
      <c r="N359" t="s">
        <v>417</v>
      </c>
      <c r="O359" t="s">
        <v>417</v>
      </c>
      <c r="P359" t="s">
        <v>417</v>
      </c>
      <c r="Q359" t="s">
        <v>417</v>
      </c>
      <c r="R359" t="s">
        <v>417</v>
      </c>
      <c r="S359" t="s">
        <v>417</v>
      </c>
      <c r="T359" t="s">
        <v>417</v>
      </c>
      <c r="U359" t="s">
        <v>417</v>
      </c>
      <c r="V359" t="s">
        <v>417</v>
      </c>
      <c r="W359" t="s">
        <v>417</v>
      </c>
      <c r="X359" t="s">
        <v>417</v>
      </c>
      <c r="Y359" t="s">
        <v>417</v>
      </c>
      <c r="Z359" t="s">
        <v>417</v>
      </c>
      <c r="AA359"/>
      <c r="AB359"/>
      <c r="AC359"/>
      <c r="AD359"/>
      <c r="AE359"/>
      <c r="AF359"/>
      <c r="AG359"/>
      <c r="AH359"/>
      <c r="AI359"/>
      <c r="AJ359"/>
      <c r="AK359"/>
      <c r="AL359"/>
    </row>
    <row r="360">
      <c r="A360" t="s">
        <v>250</v>
      </c>
      <c r="B360" t="s">
        <v>238</v>
      </c>
      <c r="C360" t="s">
        <v>231</v>
      </c>
      <c r="D360" t="s">
        <v>213</v>
      </c>
      <c r="E360" t="s">
        <v>339</v>
      </c>
      <c r="F360"/>
      <c r="G360"/>
      <c r="H360"/>
      <c r="I360" t="s">
        <v>1077</v>
      </c>
      <c r="J360" t="s">
        <v>1078</v>
      </c>
      <c r="K360" t="s">
        <v>1079</v>
      </c>
      <c r="L360" t="s">
        <v>1080</v>
      </c>
      <c r="M360" t="s">
        <v>1081</v>
      </c>
      <c r="N360" t="s">
        <v>1082</v>
      </c>
      <c r="O360" t="s">
        <v>1083</v>
      </c>
      <c r="P360" t="s">
        <v>1084</v>
      </c>
      <c r="Q360" t="s">
        <v>1085</v>
      </c>
      <c r="R360" t="s">
        <v>1086</v>
      </c>
      <c r="S360" t="s">
        <v>1087</v>
      </c>
      <c r="T360" t="s">
        <v>1088</v>
      </c>
      <c r="U360" t="s">
        <v>1089</v>
      </c>
      <c r="V360" t="s">
        <v>1090</v>
      </c>
      <c r="W360" t="s">
        <v>1091</v>
      </c>
      <c r="X360" t="s">
        <v>1092</v>
      </c>
      <c r="Y360" t="s">
        <v>417</v>
      </c>
      <c r="Z360" t="s">
        <v>1093</v>
      </c>
      <c r="AA360"/>
      <c r="AB360"/>
      <c r="AC360"/>
      <c r="AD360"/>
      <c r="AE360"/>
      <c r="AF360"/>
      <c r="AG360"/>
      <c r="AH360"/>
      <c r="AI360"/>
      <c r="AJ360"/>
      <c r="AK360"/>
      <c r="AL360"/>
    </row>
    <row r="361">
      <c r="A361" t="s">
        <v>250</v>
      </c>
      <c r="B361" t="s">
        <v>238</v>
      </c>
      <c r="C361" t="s">
        <v>231</v>
      </c>
      <c r="D361" t="s">
        <v>213</v>
      </c>
      <c r="E361" t="s">
        <v>358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</row>
    <row r="362">
      <c r="A362" t="s">
        <v>226</v>
      </c>
      <c r="B362" t="s">
        <v>238</v>
      </c>
      <c r="C362" t="s">
        <v>231</v>
      </c>
      <c r="D362" t="s">
        <v>213</v>
      </c>
      <c r="E362" t="s">
        <v>297</v>
      </c>
      <c r="F362"/>
      <c r="G362"/>
      <c r="H362"/>
      <c r="I362" t="s">
        <v>1094</v>
      </c>
      <c r="J362" t="s">
        <v>1073</v>
      </c>
      <c r="K362" t="s">
        <v>360</v>
      </c>
      <c r="L362" t="s">
        <v>1095</v>
      </c>
      <c r="M362" t="s">
        <v>360</v>
      </c>
      <c r="N362" t="s">
        <v>1096</v>
      </c>
      <c r="O362" t="s">
        <v>360</v>
      </c>
      <c r="P362" t="s">
        <v>1097</v>
      </c>
      <c r="Q362" t="s">
        <v>360</v>
      </c>
      <c r="R362" t="s">
        <v>1098</v>
      </c>
      <c r="S362" t="s">
        <v>360</v>
      </c>
      <c r="T362" t="s">
        <v>360</v>
      </c>
      <c r="U362" t="s">
        <v>360</v>
      </c>
      <c r="V362" t="s">
        <v>360</v>
      </c>
      <c r="W362" t="s">
        <v>360</v>
      </c>
      <c r="X362" t="s">
        <v>360</v>
      </c>
      <c r="Y362" t="s">
        <v>360</v>
      </c>
      <c r="Z362" t="s">
        <v>360</v>
      </c>
      <c r="AA362" t="s">
        <v>360</v>
      </c>
      <c r="AB362" t="s">
        <v>360</v>
      </c>
      <c r="AC362" t="s">
        <v>360</v>
      </c>
      <c r="AD362" t="n">
        <v>20050</v>
      </c>
      <c r="AE362" t="n">
        <v>19845</v>
      </c>
      <c r="AF362" t="n">
        <v>19640</v>
      </c>
      <c r="AG362" t="n">
        <v>19435</v>
      </c>
      <c r="AH362" t="n">
        <v>19230</v>
      </c>
      <c r="AI362" t="n">
        <v>19025</v>
      </c>
      <c r="AJ362"/>
      <c r="AK362"/>
      <c r="AL362"/>
    </row>
    <row r="363">
      <c r="A363" t="s">
        <v>226</v>
      </c>
      <c r="B363" t="s">
        <v>238</v>
      </c>
      <c r="C363" t="s">
        <v>231</v>
      </c>
      <c r="D363" t="s">
        <v>213</v>
      </c>
      <c r="E363" t="s">
        <v>316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</row>
    <row r="364">
      <c r="A364" t="s">
        <v>226</v>
      </c>
      <c r="B364" t="s">
        <v>238</v>
      </c>
      <c r="C364" t="s">
        <v>231</v>
      </c>
      <c r="D364" t="s">
        <v>213</v>
      </c>
      <c r="E364" t="s">
        <v>317</v>
      </c>
      <c r="F364"/>
      <c r="G364"/>
      <c r="H364"/>
      <c r="I364" t="s">
        <v>1099</v>
      </c>
      <c r="J364" t="s">
        <v>1099</v>
      </c>
      <c r="K364" t="s">
        <v>1099</v>
      </c>
      <c r="L364" t="s">
        <v>1099</v>
      </c>
      <c r="M364" t="s">
        <v>1099</v>
      </c>
      <c r="N364" t="s">
        <v>1099</v>
      </c>
      <c r="O364" t="s">
        <v>1099</v>
      </c>
      <c r="P364" t="s">
        <v>1099</v>
      </c>
      <c r="Q364" t="s">
        <v>1099</v>
      </c>
      <c r="R364" t="s">
        <v>1100</v>
      </c>
      <c r="S364" t="s">
        <v>1100</v>
      </c>
      <c r="T364" t="s">
        <v>1100</v>
      </c>
      <c r="U364" t="s">
        <v>1100</v>
      </c>
      <c r="V364" t="s">
        <v>1100</v>
      </c>
      <c r="W364" t="s">
        <v>1100</v>
      </c>
      <c r="X364" t="s">
        <v>1100</v>
      </c>
      <c r="Y364" t="s">
        <v>1100</v>
      </c>
      <c r="Z364" t="s">
        <v>1100</v>
      </c>
      <c r="AA364" t="s">
        <v>1100</v>
      </c>
      <c r="AB364" t="s">
        <v>1100</v>
      </c>
      <c r="AC364" t="s">
        <v>1100</v>
      </c>
      <c r="AD364" t="n">
        <v>205</v>
      </c>
      <c r="AE364" t="n">
        <v>205</v>
      </c>
      <c r="AF364" t="n">
        <v>205</v>
      </c>
      <c r="AG364" t="n">
        <v>205</v>
      </c>
      <c r="AH364" t="n">
        <v>205</v>
      </c>
      <c r="AI364" t="n">
        <v>205</v>
      </c>
      <c r="AJ364"/>
      <c r="AK364"/>
      <c r="AL364"/>
    </row>
    <row r="365">
      <c r="A365" t="s">
        <v>226</v>
      </c>
      <c r="B365" t="s">
        <v>238</v>
      </c>
      <c r="C365" t="s">
        <v>231</v>
      </c>
      <c r="D365" t="s">
        <v>213</v>
      </c>
      <c r="E365" t="s">
        <v>320</v>
      </c>
      <c r="F365"/>
      <c r="G365"/>
      <c r="H365"/>
      <c r="I365" t="s">
        <v>360</v>
      </c>
      <c r="J365" t="s">
        <v>1095</v>
      </c>
      <c r="K365" t="s">
        <v>360</v>
      </c>
      <c r="L365" t="s">
        <v>1096</v>
      </c>
      <c r="M365" t="s">
        <v>360</v>
      </c>
      <c r="N365" t="s">
        <v>1097</v>
      </c>
      <c r="O365" t="s">
        <v>360</v>
      </c>
      <c r="P365" t="s">
        <v>1098</v>
      </c>
      <c r="Q365" t="s">
        <v>360</v>
      </c>
      <c r="R365" t="s">
        <v>360</v>
      </c>
      <c r="S365" t="s">
        <v>360</v>
      </c>
      <c r="T365" t="s">
        <v>360</v>
      </c>
      <c r="U365" t="s">
        <v>360</v>
      </c>
      <c r="V365" t="s">
        <v>360</v>
      </c>
      <c r="W365" t="s">
        <v>360</v>
      </c>
      <c r="X365" t="s">
        <v>360</v>
      </c>
      <c r="Y365" t="s">
        <v>360</v>
      </c>
      <c r="Z365" t="s">
        <v>360</v>
      </c>
      <c r="AA365" t="s">
        <v>360</v>
      </c>
      <c r="AB365" t="s">
        <v>360</v>
      </c>
      <c r="AC365" t="s">
        <v>360</v>
      </c>
      <c r="AD365" t="n">
        <v>19845</v>
      </c>
      <c r="AE365" t="n">
        <v>19640</v>
      </c>
      <c r="AF365" t="n">
        <v>19435</v>
      </c>
      <c r="AG365" t="n">
        <v>19230</v>
      </c>
      <c r="AH365" t="n">
        <v>19025</v>
      </c>
      <c r="AI365" t="n">
        <v>18820</v>
      </c>
      <c r="AJ365"/>
      <c r="AK365"/>
      <c r="AL365"/>
    </row>
    <row r="366">
      <c r="A366" t="s">
        <v>226</v>
      </c>
      <c r="B366" t="s">
        <v>238</v>
      </c>
      <c r="C366" t="s">
        <v>231</v>
      </c>
      <c r="D366" t="s">
        <v>213</v>
      </c>
      <c r="E366" t="s">
        <v>323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 t="n">
        <v>7</v>
      </c>
      <c r="AE366" t="n">
        <v>7</v>
      </c>
      <c r="AF366" t="n">
        <v>7</v>
      </c>
      <c r="AG366" t="n">
        <v>7</v>
      </c>
      <c r="AH366" t="n">
        <v>7</v>
      </c>
      <c r="AI366" t="n">
        <v>7</v>
      </c>
      <c r="AJ366"/>
      <c r="AK366"/>
      <c r="AL366"/>
    </row>
    <row r="367">
      <c r="A367" t="s">
        <v>226</v>
      </c>
      <c r="B367" t="s">
        <v>238</v>
      </c>
      <c r="C367" t="s">
        <v>231</v>
      </c>
      <c r="D367" t="s">
        <v>213</v>
      </c>
      <c r="E367" t="s">
        <v>324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 t="n">
        <v>15</v>
      </c>
      <c r="AE367" t="n">
        <v>15</v>
      </c>
      <c r="AF367" t="n">
        <v>15</v>
      </c>
      <c r="AG367" t="n">
        <v>15</v>
      </c>
      <c r="AH367" t="n">
        <v>15</v>
      </c>
      <c r="AI367" t="n">
        <v>15</v>
      </c>
      <c r="AJ367"/>
      <c r="AK367"/>
      <c r="AL367"/>
    </row>
    <row r="368">
      <c r="A368" t="s">
        <v>226</v>
      </c>
      <c r="B368" t="s">
        <v>238</v>
      </c>
      <c r="C368" t="s">
        <v>231</v>
      </c>
      <c r="D368" t="s">
        <v>213</v>
      </c>
      <c r="E368" t="s">
        <v>325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/>
      <c r="AK368"/>
      <c r="AL368"/>
    </row>
    <row r="369">
      <c r="A369" t="s">
        <v>226</v>
      </c>
      <c r="B369" t="s">
        <v>238</v>
      </c>
      <c r="C369" t="s">
        <v>231</v>
      </c>
      <c r="D369" t="s">
        <v>213</v>
      </c>
      <c r="E369" t="s">
        <v>326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 t="n">
        <v>96.8048780487805</v>
      </c>
      <c r="AE369" t="n">
        <v>95.8048780487805</v>
      </c>
      <c r="AF369" t="n">
        <v>94.8048780487805</v>
      </c>
      <c r="AG369" t="n">
        <v>93.8048780487805</v>
      </c>
      <c r="AH369" t="n">
        <v>92.8048780487805</v>
      </c>
      <c r="AI369" t="n">
        <v>91.8048780487805</v>
      </c>
      <c r="AJ369"/>
      <c r="AK369"/>
      <c r="AL369"/>
    </row>
    <row r="370">
      <c r="A370" t="s">
        <v>226</v>
      </c>
      <c r="B370" t="s">
        <v>238</v>
      </c>
      <c r="C370" t="s">
        <v>231</v>
      </c>
      <c r="D370" t="s">
        <v>213</v>
      </c>
      <c r="E370" t="s">
        <v>329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</row>
    <row r="371">
      <c r="A371" t="s">
        <v>226</v>
      </c>
      <c r="B371" t="s">
        <v>238</v>
      </c>
      <c r="C371" t="s">
        <v>231</v>
      </c>
      <c r="D371" t="s">
        <v>213</v>
      </c>
      <c r="E371" t="s">
        <v>330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s">
        <v>226</v>
      </c>
      <c r="B372" t="s">
        <v>238</v>
      </c>
      <c r="C372" t="s">
        <v>231</v>
      </c>
      <c r="D372" t="s">
        <v>213</v>
      </c>
      <c r="E372" t="s">
        <v>331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</row>
    <row r="373">
      <c r="A373" t="s">
        <v>226</v>
      </c>
      <c r="B373" t="s">
        <v>238</v>
      </c>
      <c r="C373" t="s">
        <v>231</v>
      </c>
      <c r="D373" t="s">
        <v>213</v>
      </c>
      <c r="E373" t="s">
        <v>332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 t="n">
        <v>1576</v>
      </c>
      <c r="AE373" t="n">
        <v>1576</v>
      </c>
      <c r="AF373" t="n">
        <v>1576</v>
      </c>
      <c r="AG373" t="n">
        <v>1576</v>
      </c>
      <c r="AH373" t="n">
        <v>1576</v>
      </c>
      <c r="AI373" t="n">
        <v>1576</v>
      </c>
      <c r="AJ373" t="n">
        <v>1576</v>
      </c>
      <c r="AK373" t="n">
        <v>1576</v>
      </c>
      <c r="AL373" t="n">
        <v>1576</v>
      </c>
    </row>
    <row r="374">
      <c r="A374" t="s">
        <v>226</v>
      </c>
      <c r="B374" t="s">
        <v>238</v>
      </c>
      <c r="C374" t="s">
        <v>231</v>
      </c>
      <c r="D374" t="s">
        <v>213</v>
      </c>
      <c r="E374" t="s">
        <v>333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s">
        <v>226</v>
      </c>
      <c r="B375" t="s">
        <v>238</v>
      </c>
      <c r="C375" t="s">
        <v>231</v>
      </c>
      <c r="D375" t="s">
        <v>213</v>
      </c>
      <c r="E375" t="s">
        <v>334</v>
      </c>
      <c r="F375"/>
      <c r="G375"/>
      <c r="H375"/>
      <c r="I375" t="s">
        <v>392</v>
      </c>
      <c r="J375" t="s">
        <v>392</v>
      </c>
      <c r="K375" t="s">
        <v>392</v>
      </c>
      <c r="L375" t="s">
        <v>392</v>
      </c>
      <c r="M375" t="s">
        <v>392</v>
      </c>
      <c r="N375" t="s">
        <v>392</v>
      </c>
      <c r="O375" t="s">
        <v>392</v>
      </c>
      <c r="P375" t="s">
        <v>392</v>
      </c>
      <c r="Q375" t="s">
        <v>392</v>
      </c>
      <c r="R375" t="s">
        <v>392</v>
      </c>
      <c r="S375" t="s">
        <v>392</v>
      </c>
      <c r="T375" t="s">
        <v>392</v>
      </c>
      <c r="U375" t="s">
        <v>392</v>
      </c>
      <c r="V375" t="s">
        <v>392</v>
      </c>
      <c r="W375" t="s">
        <v>392</v>
      </c>
      <c r="X375" t="s">
        <v>392</v>
      </c>
      <c r="Y375" t="s">
        <v>392</v>
      </c>
      <c r="Z375" t="s">
        <v>392</v>
      </c>
      <c r="AA375" t="s">
        <v>392</v>
      </c>
      <c r="AB375" t="s">
        <v>392</v>
      </c>
      <c r="AC375" t="s">
        <v>392</v>
      </c>
      <c r="AD375" t="n">
        <v>3</v>
      </c>
      <c r="AE375" t="n">
        <v>3</v>
      </c>
      <c r="AF375" t="n">
        <v>3</v>
      </c>
      <c r="AG375" t="n">
        <v>3</v>
      </c>
      <c r="AH375" t="n">
        <v>3</v>
      </c>
      <c r="AI375" t="n">
        <v>3</v>
      </c>
      <c r="AJ375" t="n">
        <v>3</v>
      </c>
      <c r="AK375" t="n">
        <v>3</v>
      </c>
      <c r="AL375" t="n">
        <v>3</v>
      </c>
    </row>
    <row r="376">
      <c r="A376" t="s">
        <v>226</v>
      </c>
      <c r="B376" t="s">
        <v>238</v>
      </c>
      <c r="C376" t="s">
        <v>231</v>
      </c>
      <c r="D376" t="s">
        <v>213</v>
      </c>
      <c r="E376" t="s">
        <v>336</v>
      </c>
      <c r="F376"/>
      <c r="G376"/>
      <c r="H376"/>
      <c r="I376" t="s">
        <v>335</v>
      </c>
      <c r="J376" t="s">
        <v>335</v>
      </c>
      <c r="K376" t="s">
        <v>335</v>
      </c>
      <c r="L376" t="s">
        <v>335</v>
      </c>
      <c r="M376" t="s">
        <v>335</v>
      </c>
      <c r="N376" t="s">
        <v>335</v>
      </c>
      <c r="O376" t="s">
        <v>335</v>
      </c>
      <c r="P376" t="s">
        <v>335</v>
      </c>
      <c r="Q376" t="s">
        <v>335</v>
      </c>
      <c r="R376" t="s">
        <v>335</v>
      </c>
      <c r="S376" t="s">
        <v>335</v>
      </c>
      <c r="T376" t="s">
        <v>335</v>
      </c>
      <c r="U376" t="s">
        <v>335</v>
      </c>
      <c r="V376" t="s">
        <v>335</v>
      </c>
      <c r="W376" t="s">
        <v>335</v>
      </c>
      <c r="X376" t="s">
        <v>335</v>
      </c>
      <c r="Y376" t="s">
        <v>335</v>
      </c>
      <c r="Z376" t="s">
        <v>335</v>
      </c>
      <c r="AA376" t="s">
        <v>335</v>
      </c>
      <c r="AB376" t="s">
        <v>335</v>
      </c>
      <c r="AC376" t="s">
        <v>335</v>
      </c>
      <c r="AD376" t="n">
        <v>6</v>
      </c>
      <c r="AE376" t="n">
        <v>6</v>
      </c>
      <c r="AF376" t="n">
        <v>6</v>
      </c>
      <c r="AG376" t="n">
        <v>6</v>
      </c>
      <c r="AH376" t="n">
        <v>6</v>
      </c>
      <c r="AI376" t="n">
        <v>6</v>
      </c>
      <c r="AJ376" t="n">
        <v>6</v>
      </c>
      <c r="AK376" t="n">
        <v>6</v>
      </c>
      <c r="AL376" t="n">
        <v>6</v>
      </c>
    </row>
    <row r="377">
      <c r="A377" t="s">
        <v>226</v>
      </c>
      <c r="B377" t="s">
        <v>238</v>
      </c>
      <c r="C377" t="s">
        <v>231</v>
      </c>
      <c r="D377" t="s">
        <v>213</v>
      </c>
      <c r="E377" t="s">
        <v>338</v>
      </c>
      <c r="F377"/>
      <c r="G377"/>
      <c r="H377"/>
      <c r="I377" t="s">
        <v>335</v>
      </c>
      <c r="J377" t="s">
        <v>335</v>
      </c>
      <c r="K377" t="s">
        <v>335</v>
      </c>
      <c r="L377" t="s">
        <v>335</v>
      </c>
      <c r="M377" t="s">
        <v>335</v>
      </c>
      <c r="N377" t="s">
        <v>335</v>
      </c>
      <c r="O377" t="s">
        <v>335</v>
      </c>
      <c r="P377" t="s">
        <v>335</v>
      </c>
      <c r="Q377" t="s">
        <v>335</v>
      </c>
      <c r="R377" t="s">
        <v>335</v>
      </c>
      <c r="S377" t="s">
        <v>335</v>
      </c>
      <c r="T377" t="s">
        <v>335</v>
      </c>
      <c r="U377" t="s">
        <v>335</v>
      </c>
      <c r="V377" t="s">
        <v>335</v>
      </c>
      <c r="W377" t="s">
        <v>335</v>
      </c>
      <c r="X377" t="s">
        <v>335</v>
      </c>
      <c r="Y377" t="s">
        <v>335</v>
      </c>
      <c r="Z377" t="s">
        <v>335</v>
      </c>
      <c r="AA377" t="s">
        <v>335</v>
      </c>
      <c r="AB377" t="s">
        <v>335</v>
      </c>
      <c r="AC377" t="s">
        <v>335</v>
      </c>
      <c r="AD377" t="n">
        <v>6</v>
      </c>
      <c r="AE377" t="n">
        <v>6</v>
      </c>
      <c r="AF377" t="n">
        <v>6</v>
      </c>
      <c r="AG377" t="n">
        <v>6</v>
      </c>
      <c r="AH377" t="n">
        <v>6</v>
      </c>
      <c r="AI377" t="n">
        <v>6</v>
      </c>
      <c r="AJ377" t="n">
        <v>6</v>
      </c>
      <c r="AK377" t="n">
        <v>6</v>
      </c>
      <c r="AL377" t="n">
        <v>6</v>
      </c>
    </row>
    <row r="378">
      <c r="A378" t="s">
        <v>226</v>
      </c>
      <c r="B378" t="s">
        <v>238</v>
      </c>
      <c r="C378" t="s">
        <v>231</v>
      </c>
      <c r="D378" t="s">
        <v>213</v>
      </c>
      <c r="E378" t="s">
        <v>339</v>
      </c>
      <c r="F378"/>
      <c r="G378"/>
      <c r="H378"/>
      <c r="I378" t="s">
        <v>360</v>
      </c>
      <c r="J378" t="s">
        <v>1101</v>
      </c>
      <c r="K378" t="s">
        <v>360</v>
      </c>
      <c r="L378" t="s">
        <v>1102</v>
      </c>
      <c r="M378" t="s">
        <v>360</v>
      </c>
      <c r="N378" t="s">
        <v>1103</v>
      </c>
      <c r="O378" t="s">
        <v>360</v>
      </c>
      <c r="P378" t="s">
        <v>1104</v>
      </c>
      <c r="Q378" t="s">
        <v>360</v>
      </c>
      <c r="R378" t="s">
        <v>360</v>
      </c>
      <c r="S378" t="s">
        <v>360</v>
      </c>
      <c r="T378" t="s">
        <v>360</v>
      </c>
      <c r="U378" t="s">
        <v>360</v>
      </c>
      <c r="V378" t="s">
        <v>360</v>
      </c>
      <c r="W378" t="s">
        <v>360</v>
      </c>
      <c r="X378" t="s">
        <v>360</v>
      </c>
      <c r="Y378" t="s">
        <v>360</v>
      </c>
      <c r="Z378" t="s">
        <v>360</v>
      </c>
      <c r="AA378" t="s">
        <v>360</v>
      </c>
      <c r="AB378" t="s">
        <v>360</v>
      </c>
      <c r="AC378" t="s">
        <v>360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s">
        <v>226</v>
      </c>
      <c r="B379" t="s">
        <v>238</v>
      </c>
      <c r="C379" t="s">
        <v>231</v>
      </c>
      <c r="D379" t="s">
        <v>213</v>
      </c>
      <c r="E379" t="s">
        <v>358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</row>
    <row r="380">
      <c r="A380" t="s">
        <v>229</v>
      </c>
      <c r="B380" t="s">
        <v>238</v>
      </c>
      <c r="C380" t="s">
        <v>251</v>
      </c>
      <c r="D380" t="s">
        <v>213</v>
      </c>
      <c r="E380" t="s">
        <v>297</v>
      </c>
      <c r="F380"/>
      <c r="G380"/>
      <c r="H380"/>
      <c r="I380" t="s">
        <v>1105</v>
      </c>
      <c r="J380" t="s">
        <v>1106</v>
      </c>
      <c r="K380" t="s">
        <v>1107</v>
      </c>
      <c r="L380" t="s">
        <v>1108</v>
      </c>
      <c r="M380" t="s">
        <v>1109</v>
      </c>
      <c r="N380" t="s">
        <v>1110</v>
      </c>
      <c r="O380" t="s">
        <v>1111</v>
      </c>
      <c r="P380" t="s">
        <v>1112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</row>
    <row r="381">
      <c r="A381" t="s">
        <v>229</v>
      </c>
      <c r="B381" t="s">
        <v>238</v>
      </c>
      <c r="C381" t="s">
        <v>251</v>
      </c>
      <c r="D381" t="s">
        <v>213</v>
      </c>
      <c r="E381" t="s">
        <v>316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</row>
    <row r="382">
      <c r="A382" t="s">
        <v>229</v>
      </c>
      <c r="B382" t="s">
        <v>238</v>
      </c>
      <c r="C382" t="s">
        <v>251</v>
      </c>
      <c r="D382" t="s">
        <v>213</v>
      </c>
      <c r="E382" t="s">
        <v>317</v>
      </c>
      <c r="F382"/>
      <c r="G382"/>
      <c r="H382"/>
      <c r="I382" t="s">
        <v>1113</v>
      </c>
      <c r="J382" t="s">
        <v>1113</v>
      </c>
      <c r="K382" t="s">
        <v>1113</v>
      </c>
      <c r="L382" t="s">
        <v>1113</v>
      </c>
      <c r="M382" t="s">
        <v>1113</v>
      </c>
      <c r="N382" t="s">
        <v>1113</v>
      </c>
      <c r="O382" t="s">
        <v>1113</v>
      </c>
      <c r="P382" t="s">
        <v>1113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</row>
    <row r="383">
      <c r="A383" t="s">
        <v>229</v>
      </c>
      <c r="B383" t="s">
        <v>238</v>
      </c>
      <c r="C383" t="s">
        <v>251</v>
      </c>
      <c r="D383" t="s">
        <v>213</v>
      </c>
      <c r="E383" t="s">
        <v>320</v>
      </c>
      <c r="F383"/>
      <c r="G383"/>
      <c r="H383"/>
      <c r="I383" t="s">
        <v>1106</v>
      </c>
      <c r="J383" t="s">
        <v>1107</v>
      </c>
      <c r="K383" t="s">
        <v>1108</v>
      </c>
      <c r="L383" t="s">
        <v>1109</v>
      </c>
      <c r="M383" t="s">
        <v>1110</v>
      </c>
      <c r="N383" t="s">
        <v>1111</v>
      </c>
      <c r="O383" t="s">
        <v>1112</v>
      </c>
      <c r="P383" t="s">
        <v>1114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</row>
    <row r="384">
      <c r="A384" t="s">
        <v>229</v>
      </c>
      <c r="B384" t="s">
        <v>238</v>
      </c>
      <c r="C384" t="s">
        <v>251</v>
      </c>
      <c r="D384" t="s">
        <v>213</v>
      </c>
      <c r="E384" t="s">
        <v>323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</row>
    <row r="385">
      <c r="A385" t="s">
        <v>229</v>
      </c>
      <c r="B385" t="s">
        <v>238</v>
      </c>
      <c r="C385" t="s">
        <v>251</v>
      </c>
      <c r="D385" t="s">
        <v>213</v>
      </c>
      <c r="E385" t="s">
        <v>324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</row>
    <row r="386">
      <c r="A386" t="s">
        <v>229</v>
      </c>
      <c r="B386" t="s">
        <v>238</v>
      </c>
      <c r="C386" t="s">
        <v>251</v>
      </c>
      <c r="D386" t="s">
        <v>213</v>
      </c>
      <c r="E386" t="s">
        <v>325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</row>
    <row r="387">
      <c r="A387" t="s">
        <v>229</v>
      </c>
      <c r="B387" t="s">
        <v>238</v>
      </c>
      <c r="C387" t="s">
        <v>251</v>
      </c>
      <c r="D387" t="s">
        <v>213</v>
      </c>
      <c r="E387" t="s">
        <v>326</v>
      </c>
      <c r="F387"/>
      <c r="G387"/>
      <c r="H387"/>
      <c r="I387"/>
      <c r="J387"/>
      <c r="K387" t="s">
        <v>1115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</row>
    <row r="388">
      <c r="A388" t="s">
        <v>229</v>
      </c>
      <c r="B388" t="s">
        <v>238</v>
      </c>
      <c r="C388" t="s">
        <v>251</v>
      </c>
      <c r="D388" t="s">
        <v>213</v>
      </c>
      <c r="E388" t="s">
        <v>329</v>
      </c>
      <c r="F388"/>
      <c r="G388"/>
      <c r="H388"/>
      <c r="I388"/>
      <c r="J388"/>
      <c r="K388" t="s">
        <v>260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</row>
    <row r="389">
      <c r="A389" t="s">
        <v>229</v>
      </c>
      <c r="B389" t="s">
        <v>238</v>
      </c>
      <c r="C389" t="s">
        <v>251</v>
      </c>
      <c r="D389" t="s">
        <v>213</v>
      </c>
      <c r="E389" t="s">
        <v>330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 t="n">
        <v>270688</v>
      </c>
      <c r="AE389" t="n">
        <v>251348</v>
      </c>
      <c r="AF389" t="n">
        <v>232008</v>
      </c>
      <c r="AG389" t="n">
        <v>212668</v>
      </c>
      <c r="AH389" t="n">
        <v>193328</v>
      </c>
      <c r="AI389" t="n">
        <v>173988</v>
      </c>
      <c r="AJ389"/>
      <c r="AK389"/>
      <c r="AL389"/>
    </row>
    <row r="390">
      <c r="A390" t="s">
        <v>229</v>
      </c>
      <c r="B390" t="s">
        <v>238</v>
      </c>
      <c r="C390" t="s">
        <v>251</v>
      </c>
      <c r="D390" t="s">
        <v>213</v>
      </c>
      <c r="E390" t="s">
        <v>331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</row>
    <row r="391">
      <c r="A391" t="s">
        <v>229</v>
      </c>
      <c r="B391" t="s">
        <v>238</v>
      </c>
      <c r="C391" t="s">
        <v>251</v>
      </c>
      <c r="D391" t="s">
        <v>213</v>
      </c>
      <c r="E391" t="s">
        <v>332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 t="n">
        <v>19340</v>
      </c>
      <c r="AE391" t="n">
        <v>19340</v>
      </c>
      <c r="AF391" t="n">
        <v>19340</v>
      </c>
      <c r="AG391" t="n">
        <v>19340</v>
      </c>
      <c r="AH391" t="n">
        <v>19340</v>
      </c>
      <c r="AI391" t="n">
        <v>19340</v>
      </c>
      <c r="AJ391"/>
      <c r="AK391"/>
      <c r="AL391"/>
    </row>
    <row r="392">
      <c r="A392" t="s">
        <v>229</v>
      </c>
      <c r="B392" t="s">
        <v>238</v>
      </c>
      <c r="C392" t="s">
        <v>251</v>
      </c>
      <c r="D392" t="s">
        <v>213</v>
      </c>
      <c r="E392" t="s">
        <v>333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 t="n">
        <v>251348</v>
      </c>
      <c r="AE392" t="n">
        <v>232008</v>
      </c>
      <c r="AF392" t="n">
        <v>212668</v>
      </c>
      <c r="AG392" t="n">
        <v>193328</v>
      </c>
      <c r="AH392" t="n">
        <v>173988</v>
      </c>
      <c r="AI392" t="n">
        <v>154648</v>
      </c>
      <c r="AJ392"/>
      <c r="AK392"/>
      <c r="AL392"/>
    </row>
    <row r="393">
      <c r="A393" t="s">
        <v>229</v>
      </c>
      <c r="B393" t="s">
        <v>238</v>
      </c>
      <c r="C393" t="s">
        <v>251</v>
      </c>
      <c r="D393" t="s">
        <v>213</v>
      </c>
      <c r="E393" t="s">
        <v>334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 t="n">
        <v>7</v>
      </c>
      <c r="AE393" t="n">
        <v>7</v>
      </c>
      <c r="AF393" t="n">
        <v>7</v>
      </c>
      <c r="AG393" t="n">
        <v>7</v>
      </c>
      <c r="AH393" t="n">
        <v>7</v>
      </c>
      <c r="AI393" t="n">
        <v>7</v>
      </c>
      <c r="AJ393"/>
      <c r="AK393"/>
      <c r="AL393"/>
    </row>
    <row r="394">
      <c r="A394" t="s">
        <v>229</v>
      </c>
      <c r="B394" t="s">
        <v>238</v>
      </c>
      <c r="C394" t="s">
        <v>251</v>
      </c>
      <c r="D394" t="s">
        <v>213</v>
      </c>
      <c r="E394" t="s">
        <v>336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 t="n">
        <v>15</v>
      </c>
      <c r="AE394" t="n">
        <v>15</v>
      </c>
      <c r="AF394" t="n">
        <v>15</v>
      </c>
      <c r="AG394" t="n">
        <v>15</v>
      </c>
      <c r="AH394" t="n">
        <v>15</v>
      </c>
      <c r="AI394" t="n">
        <v>15</v>
      </c>
      <c r="AJ394"/>
      <c r="AK394"/>
      <c r="AL394"/>
    </row>
    <row r="395">
      <c r="A395" t="s">
        <v>229</v>
      </c>
      <c r="B395" t="s">
        <v>238</v>
      </c>
      <c r="C395" t="s">
        <v>251</v>
      </c>
      <c r="D395" t="s">
        <v>213</v>
      </c>
      <c r="E395" t="s">
        <v>338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 t="n">
        <v>15</v>
      </c>
      <c r="AE395" t="n">
        <v>15</v>
      </c>
      <c r="AF395" t="n">
        <v>15</v>
      </c>
      <c r="AG395" t="n">
        <v>15</v>
      </c>
      <c r="AH395" t="n">
        <v>15</v>
      </c>
      <c r="AI395" t="n">
        <v>15</v>
      </c>
      <c r="AJ395"/>
      <c r="AK395"/>
      <c r="AL395"/>
    </row>
    <row r="396">
      <c r="A396" t="s">
        <v>229</v>
      </c>
      <c r="B396" t="s">
        <v>238</v>
      </c>
      <c r="C396" t="s">
        <v>251</v>
      </c>
      <c r="D396" t="s">
        <v>213</v>
      </c>
      <c r="E396" t="s">
        <v>339</v>
      </c>
      <c r="F396"/>
      <c r="G396"/>
      <c r="H396"/>
      <c r="I396" t="s">
        <v>1116</v>
      </c>
      <c r="J396" t="s">
        <v>1117</v>
      </c>
      <c r="K396" t="s">
        <v>1118</v>
      </c>
      <c r="L396" t="s">
        <v>1119</v>
      </c>
      <c r="M396" t="s">
        <v>1120</v>
      </c>
      <c r="N396" t="s">
        <v>1121</v>
      </c>
      <c r="O396" t="s">
        <v>1122</v>
      </c>
      <c r="P396" t="s">
        <v>1123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 t="n">
        <v>12.9962771458118</v>
      </c>
      <c r="AE396" t="n">
        <v>11.9962771458118</v>
      </c>
      <c r="AF396" t="n">
        <v>10.9962771458118</v>
      </c>
      <c r="AG396" t="n">
        <v>9.99627714581179</v>
      </c>
      <c r="AH396" t="n">
        <v>8.99627714581179</v>
      </c>
      <c r="AI396" t="n">
        <v>7.99627714581179</v>
      </c>
      <c r="AJ396"/>
      <c r="AK396"/>
      <c r="AL396"/>
    </row>
    <row r="397">
      <c r="A397" t="s">
        <v>229</v>
      </c>
      <c r="B397" t="s">
        <v>238</v>
      </c>
      <c r="C397" t="s">
        <v>251</v>
      </c>
      <c r="D397" t="s">
        <v>213</v>
      </c>
      <c r="E397" t="s">
        <v>358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</row>
    <row r="398">
      <c r="A398" t="s">
        <v>250</v>
      </c>
      <c r="B398" t="s">
        <v>240</v>
      </c>
      <c r="C398" t="s">
        <v>241</v>
      </c>
      <c r="D398" t="s">
        <v>213</v>
      </c>
      <c r="E398" t="s">
        <v>297</v>
      </c>
      <c r="F398"/>
      <c r="G398"/>
      <c r="H398"/>
      <c r="I398" t="s">
        <v>1124</v>
      </c>
      <c r="J398" t="s">
        <v>1125</v>
      </c>
      <c r="K398" t="s">
        <v>1126</v>
      </c>
      <c r="L398" t="s">
        <v>1127</v>
      </c>
      <c r="M398" t="s">
        <v>1128</v>
      </c>
      <c r="N398" t="s">
        <v>1129</v>
      </c>
      <c r="O398" t="s">
        <v>1130</v>
      </c>
      <c r="P398" t="s">
        <v>1131</v>
      </c>
      <c r="Q398" t="s">
        <v>1132</v>
      </c>
      <c r="R398" t="s">
        <v>1133</v>
      </c>
      <c r="S398" t="s">
        <v>1134</v>
      </c>
      <c r="T398" t="s">
        <v>1135</v>
      </c>
      <c r="U398" t="s">
        <v>1136</v>
      </c>
      <c r="V398" t="s">
        <v>1137</v>
      </c>
      <c r="W398" t="s">
        <v>1138</v>
      </c>
      <c r="X398" t="s">
        <v>1139</v>
      </c>
      <c r="Y398" t="s">
        <v>1140</v>
      </c>
      <c r="Z398" t="s">
        <v>1141</v>
      </c>
      <c r="AA398"/>
      <c r="AB398"/>
      <c r="AC398"/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s">
        <v>250</v>
      </c>
      <c r="B399" t="s">
        <v>240</v>
      </c>
      <c r="C399" t="s">
        <v>241</v>
      </c>
      <c r="D399" t="s">
        <v>213</v>
      </c>
      <c r="E399" t="s">
        <v>316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>
      <c r="A400" t="s">
        <v>250</v>
      </c>
      <c r="B400" t="s">
        <v>240</v>
      </c>
      <c r="C400" t="s">
        <v>241</v>
      </c>
      <c r="D400" t="s">
        <v>213</v>
      </c>
      <c r="E400" t="s">
        <v>317</v>
      </c>
      <c r="F400"/>
      <c r="G400"/>
      <c r="H400"/>
      <c r="I400" t="s">
        <v>1142</v>
      </c>
      <c r="J400" t="s">
        <v>1143</v>
      </c>
      <c r="K400" t="s">
        <v>1144</v>
      </c>
      <c r="L400" t="s">
        <v>1145</v>
      </c>
      <c r="M400" t="s">
        <v>1146</v>
      </c>
      <c r="N400" t="s">
        <v>1147</v>
      </c>
      <c r="O400" t="s">
        <v>1148</v>
      </c>
      <c r="P400" t="s">
        <v>1149</v>
      </c>
      <c r="Q400" t="s">
        <v>1150</v>
      </c>
      <c r="R400" t="s">
        <v>1151</v>
      </c>
      <c r="S400" t="s">
        <v>1152</v>
      </c>
      <c r="T400" t="s">
        <v>1153</v>
      </c>
      <c r="U400" t="s">
        <v>1154</v>
      </c>
      <c r="V400" t="s">
        <v>1155</v>
      </c>
      <c r="W400" t="s">
        <v>1156</v>
      </c>
      <c r="X400" t="s">
        <v>1157</v>
      </c>
      <c r="Y400" t="s">
        <v>1158</v>
      </c>
      <c r="Z400" t="s">
        <v>1159</v>
      </c>
      <c r="AA400"/>
      <c r="AB400"/>
      <c r="AC400"/>
      <c r="AD400" t="n">
        <v>17253</v>
      </c>
      <c r="AE400" t="n">
        <v>17253</v>
      </c>
      <c r="AF400" t="n">
        <v>17253</v>
      </c>
      <c r="AG400" t="n">
        <v>17253</v>
      </c>
      <c r="AH400" t="n">
        <v>17253</v>
      </c>
      <c r="AI400" t="n">
        <v>17253</v>
      </c>
      <c r="AJ400" t="n">
        <v>17253</v>
      </c>
      <c r="AK400" t="n">
        <v>17253</v>
      </c>
      <c r="AL400" t="n">
        <v>17253</v>
      </c>
    </row>
    <row r="401">
      <c r="A401" t="s">
        <v>250</v>
      </c>
      <c r="B401" t="s">
        <v>240</v>
      </c>
      <c r="C401" t="s">
        <v>241</v>
      </c>
      <c r="D401" t="s">
        <v>213</v>
      </c>
      <c r="E401" t="s">
        <v>320</v>
      </c>
      <c r="F401"/>
      <c r="G401"/>
      <c r="H401"/>
      <c r="I401" t="s">
        <v>1125</v>
      </c>
      <c r="J401" t="s">
        <v>1126</v>
      </c>
      <c r="K401" t="s">
        <v>1127</v>
      </c>
      <c r="L401" t="s">
        <v>1128</v>
      </c>
      <c r="M401" t="s">
        <v>1129</v>
      </c>
      <c r="N401" t="s">
        <v>1130</v>
      </c>
      <c r="O401" t="s">
        <v>1131</v>
      </c>
      <c r="P401" t="s">
        <v>1132</v>
      </c>
      <c r="Q401" t="s">
        <v>1133</v>
      </c>
      <c r="R401" t="s">
        <v>1134</v>
      </c>
      <c r="S401" t="s">
        <v>1135</v>
      </c>
      <c r="T401" t="s">
        <v>1136</v>
      </c>
      <c r="U401" t="s">
        <v>1137</v>
      </c>
      <c r="V401" t="s">
        <v>1138</v>
      </c>
      <c r="W401" t="s">
        <v>1139</v>
      </c>
      <c r="X401" t="s">
        <v>1140</v>
      </c>
      <c r="Y401" t="s">
        <v>1141</v>
      </c>
      <c r="Z401" t="s">
        <v>1160</v>
      </c>
      <c r="AA401"/>
      <c r="AB401"/>
      <c r="AC401"/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s">
        <v>250</v>
      </c>
      <c r="B402" t="s">
        <v>240</v>
      </c>
      <c r="C402" t="s">
        <v>241</v>
      </c>
      <c r="D402" t="s">
        <v>213</v>
      </c>
      <c r="E402" t="s">
        <v>323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 t="n">
        <v>3</v>
      </c>
      <c r="AE402" t="n">
        <v>3</v>
      </c>
      <c r="AF402" t="n">
        <v>3</v>
      </c>
      <c r="AG402" t="n">
        <v>3</v>
      </c>
      <c r="AH402" t="n">
        <v>3</v>
      </c>
      <c r="AI402" t="n">
        <v>3</v>
      </c>
      <c r="AJ402" t="n">
        <v>3</v>
      </c>
      <c r="AK402" t="n">
        <v>3</v>
      </c>
      <c r="AL402" t="n">
        <v>3</v>
      </c>
    </row>
    <row r="403">
      <c r="A403" t="s">
        <v>250</v>
      </c>
      <c r="B403" t="s">
        <v>240</v>
      </c>
      <c r="C403" t="s">
        <v>241</v>
      </c>
      <c r="D403" t="s">
        <v>213</v>
      </c>
      <c r="E403" t="s">
        <v>324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 t="n">
        <v>6</v>
      </c>
      <c r="AE403" t="n">
        <v>6</v>
      </c>
      <c r="AF403" t="n">
        <v>6</v>
      </c>
      <c r="AG403" t="n">
        <v>6</v>
      </c>
      <c r="AH403" t="n">
        <v>6</v>
      </c>
      <c r="AI403" t="n">
        <v>6</v>
      </c>
      <c r="AJ403" t="n">
        <v>6</v>
      </c>
      <c r="AK403" t="n">
        <v>6</v>
      </c>
      <c r="AL403" t="n">
        <v>6</v>
      </c>
    </row>
    <row r="404">
      <c r="A404" t="s">
        <v>250</v>
      </c>
      <c r="B404" t="s">
        <v>240</v>
      </c>
      <c r="C404" t="s">
        <v>241</v>
      </c>
      <c r="D404" t="s">
        <v>213</v>
      </c>
      <c r="E404" t="s">
        <v>325</v>
      </c>
      <c r="F404"/>
      <c r="G404"/>
      <c r="H404"/>
      <c r="I404"/>
      <c r="J404" t="s">
        <v>237</v>
      </c>
      <c r="K404"/>
      <c r="L404"/>
      <c r="M404"/>
      <c r="N404" t="s">
        <v>271</v>
      </c>
      <c r="O404" t="s">
        <v>269</v>
      </c>
      <c r="P404"/>
      <c r="Q404"/>
      <c r="R404"/>
      <c r="S404"/>
      <c r="T404"/>
      <c r="U404" t="s">
        <v>269</v>
      </c>
      <c r="V404"/>
      <c r="W404"/>
      <c r="X404"/>
      <c r="Y404"/>
      <c r="Z404"/>
      <c r="AA404"/>
      <c r="AB404"/>
      <c r="AC404"/>
      <c r="AD404" t="n">
        <v>6</v>
      </c>
      <c r="AE404" t="n">
        <v>6</v>
      </c>
      <c r="AF404" t="n">
        <v>6</v>
      </c>
      <c r="AG404" t="n">
        <v>6</v>
      </c>
      <c r="AH404" t="n">
        <v>6</v>
      </c>
      <c r="AI404" t="n">
        <v>6</v>
      </c>
      <c r="AJ404" t="n">
        <v>6</v>
      </c>
      <c r="AK404" t="n">
        <v>6</v>
      </c>
      <c r="AL404" t="n">
        <v>6</v>
      </c>
    </row>
    <row r="405">
      <c r="A405" t="s">
        <v>250</v>
      </c>
      <c r="B405" t="s">
        <v>240</v>
      </c>
      <c r="C405" t="s">
        <v>241</v>
      </c>
      <c r="D405" t="s">
        <v>213</v>
      </c>
      <c r="E405" t="s">
        <v>326</v>
      </c>
      <c r="F405"/>
      <c r="G405"/>
      <c r="H405"/>
      <c r="I405"/>
      <c r="J405" t="s">
        <v>650</v>
      </c>
      <c r="K405"/>
      <c r="L405"/>
      <c r="M405"/>
      <c r="N405" t="s">
        <v>1161</v>
      </c>
      <c r="O405" t="s">
        <v>1162</v>
      </c>
      <c r="P405"/>
      <c r="Q405"/>
      <c r="R405"/>
      <c r="S405"/>
      <c r="T405"/>
      <c r="U405" t="s">
        <v>1163</v>
      </c>
      <c r="V405"/>
      <c r="W405"/>
      <c r="X405"/>
      <c r="Y405"/>
      <c r="Z405"/>
      <c r="AA405"/>
      <c r="AB405"/>
      <c r="AC405"/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s">
        <v>250</v>
      </c>
      <c r="B406" t="s">
        <v>240</v>
      </c>
      <c r="C406" t="s">
        <v>241</v>
      </c>
      <c r="D406" t="s">
        <v>213</v>
      </c>
      <c r="E406" t="s">
        <v>329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</row>
    <row r="407">
      <c r="A407" t="s">
        <v>250</v>
      </c>
      <c r="B407" t="s">
        <v>240</v>
      </c>
      <c r="C407" t="s">
        <v>241</v>
      </c>
      <c r="D407" t="s">
        <v>213</v>
      </c>
      <c r="E407" t="s">
        <v>330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</row>
    <row r="408">
      <c r="A408" t="s">
        <v>250</v>
      </c>
      <c r="B408" t="s">
        <v>240</v>
      </c>
      <c r="C408" t="s">
        <v>241</v>
      </c>
      <c r="D408" t="s">
        <v>213</v>
      </c>
      <c r="E408" t="s">
        <v>331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</row>
    <row r="409">
      <c r="A409" t="s">
        <v>250</v>
      </c>
      <c r="B409" t="s">
        <v>240</v>
      </c>
      <c r="C409" t="s">
        <v>241</v>
      </c>
      <c r="D409" t="s">
        <v>213</v>
      </c>
      <c r="E409" t="s">
        <v>332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</row>
    <row r="410">
      <c r="A410" t="s">
        <v>250</v>
      </c>
      <c r="B410" t="s">
        <v>240</v>
      </c>
      <c r="C410" t="s">
        <v>241</v>
      </c>
      <c r="D410" t="s">
        <v>213</v>
      </c>
      <c r="E410" t="s">
        <v>333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</row>
    <row r="411">
      <c r="A411" t="s">
        <v>250</v>
      </c>
      <c r="B411" t="s">
        <v>240</v>
      </c>
      <c r="C411" t="s">
        <v>241</v>
      </c>
      <c r="D411" t="s">
        <v>213</v>
      </c>
      <c r="E411" t="s">
        <v>334</v>
      </c>
      <c r="F411"/>
      <c r="G411"/>
      <c r="H411"/>
      <c r="I411" t="s">
        <v>335</v>
      </c>
      <c r="J411" t="s">
        <v>335</v>
      </c>
      <c r="K411" t="s">
        <v>335</v>
      </c>
      <c r="L411" t="s">
        <v>335</v>
      </c>
      <c r="M411" t="s">
        <v>335</v>
      </c>
      <c r="N411" t="s">
        <v>335</v>
      </c>
      <c r="O411" t="s">
        <v>335</v>
      </c>
      <c r="P411" t="s">
        <v>335</v>
      </c>
      <c r="Q411" t="s">
        <v>335</v>
      </c>
      <c r="R411" t="s">
        <v>335</v>
      </c>
      <c r="S411" t="s">
        <v>335</v>
      </c>
      <c r="T411" t="s">
        <v>335</v>
      </c>
      <c r="U411" t="s">
        <v>335</v>
      </c>
      <c r="V411" t="s">
        <v>335</v>
      </c>
      <c r="W411" t="s">
        <v>335</v>
      </c>
      <c r="X411" t="s">
        <v>335</v>
      </c>
      <c r="Y411" t="s">
        <v>335</v>
      </c>
      <c r="Z411" t="s">
        <v>335</v>
      </c>
      <c r="AA411"/>
      <c r="AB411"/>
      <c r="AC411"/>
      <c r="AD411"/>
      <c r="AE411"/>
      <c r="AF411"/>
      <c r="AG411"/>
      <c r="AH411"/>
      <c r="AI411"/>
      <c r="AJ411"/>
      <c r="AK411"/>
      <c r="AL411"/>
    </row>
    <row r="412">
      <c r="A412" t="s">
        <v>250</v>
      </c>
      <c r="B412" t="s">
        <v>240</v>
      </c>
      <c r="C412" t="s">
        <v>241</v>
      </c>
      <c r="D412" t="s">
        <v>213</v>
      </c>
      <c r="E412" t="s">
        <v>336</v>
      </c>
      <c r="F412"/>
      <c r="G412"/>
      <c r="H412"/>
      <c r="I412" t="s">
        <v>337</v>
      </c>
      <c r="J412" t="s">
        <v>337</v>
      </c>
      <c r="K412" t="s">
        <v>337</v>
      </c>
      <c r="L412" t="s">
        <v>337</v>
      </c>
      <c r="M412" t="s">
        <v>337</v>
      </c>
      <c r="N412" t="s">
        <v>337</v>
      </c>
      <c r="O412" t="s">
        <v>337</v>
      </c>
      <c r="P412" t="s">
        <v>337</v>
      </c>
      <c r="Q412" t="s">
        <v>337</v>
      </c>
      <c r="R412" t="s">
        <v>337</v>
      </c>
      <c r="S412" t="s">
        <v>337</v>
      </c>
      <c r="T412" t="s">
        <v>337</v>
      </c>
      <c r="U412" t="s">
        <v>337</v>
      </c>
      <c r="V412" t="s">
        <v>337</v>
      </c>
      <c r="W412" t="s">
        <v>337</v>
      </c>
      <c r="X412" t="s">
        <v>337</v>
      </c>
      <c r="Y412" t="s">
        <v>337</v>
      </c>
      <c r="Z412" t="s">
        <v>337</v>
      </c>
      <c r="AA412"/>
      <c r="AB412"/>
      <c r="AC412"/>
      <c r="AD412"/>
      <c r="AE412"/>
      <c r="AF412"/>
      <c r="AG412"/>
      <c r="AH412"/>
      <c r="AI412"/>
      <c r="AJ412"/>
      <c r="AK412"/>
      <c r="AL412"/>
    </row>
    <row r="413">
      <c r="A413" t="s">
        <v>250</v>
      </c>
      <c r="B413" t="s">
        <v>240</v>
      </c>
      <c r="C413" t="s">
        <v>241</v>
      </c>
      <c r="D413" t="s">
        <v>213</v>
      </c>
      <c r="E413" t="s">
        <v>338</v>
      </c>
      <c r="F413"/>
      <c r="G413"/>
      <c r="H413"/>
      <c r="I413" t="s">
        <v>337</v>
      </c>
      <c r="J413" t="s">
        <v>337</v>
      </c>
      <c r="K413" t="s">
        <v>337</v>
      </c>
      <c r="L413" t="s">
        <v>337</v>
      </c>
      <c r="M413" t="s">
        <v>337</v>
      </c>
      <c r="N413" t="s">
        <v>337</v>
      </c>
      <c r="O413" t="s">
        <v>337</v>
      </c>
      <c r="P413" t="s">
        <v>337</v>
      </c>
      <c r="Q413" t="s">
        <v>337</v>
      </c>
      <c r="R413" t="s">
        <v>337</v>
      </c>
      <c r="S413" t="s">
        <v>337</v>
      </c>
      <c r="T413" t="s">
        <v>337</v>
      </c>
      <c r="U413" t="s">
        <v>337</v>
      </c>
      <c r="V413" t="s">
        <v>337</v>
      </c>
      <c r="W413" t="s">
        <v>337</v>
      </c>
      <c r="X413" t="s">
        <v>337</v>
      </c>
      <c r="Y413" t="s">
        <v>337</v>
      </c>
      <c r="Z413" t="s">
        <v>337</v>
      </c>
      <c r="AA413"/>
      <c r="AB413"/>
      <c r="AC413"/>
      <c r="AD413"/>
      <c r="AE413"/>
      <c r="AF413"/>
      <c r="AG413"/>
      <c r="AH413"/>
      <c r="AI413"/>
      <c r="AJ413"/>
      <c r="AK413"/>
      <c r="AL413"/>
    </row>
    <row r="414">
      <c r="A414" t="s">
        <v>250</v>
      </c>
      <c r="B414" t="s">
        <v>240</v>
      </c>
      <c r="C414" t="s">
        <v>241</v>
      </c>
      <c r="D414" t="s">
        <v>213</v>
      </c>
      <c r="E414" t="s">
        <v>339</v>
      </c>
      <c r="F414"/>
      <c r="G414"/>
      <c r="H414"/>
      <c r="I414" t="s">
        <v>1164</v>
      </c>
      <c r="J414" t="s">
        <v>1165</v>
      </c>
      <c r="K414" t="s">
        <v>1166</v>
      </c>
      <c r="L414" t="s">
        <v>1167</v>
      </c>
      <c r="M414" t="s">
        <v>1168</v>
      </c>
      <c r="N414" t="s">
        <v>1169</v>
      </c>
      <c r="O414" t="s">
        <v>1170</v>
      </c>
      <c r="P414" t="s">
        <v>1171</v>
      </c>
      <c r="Q414" t="s">
        <v>1172</v>
      </c>
      <c r="R414" t="s">
        <v>1173</v>
      </c>
      <c r="S414" t="s">
        <v>1174</v>
      </c>
      <c r="T414" t="s">
        <v>1175</v>
      </c>
      <c r="U414" t="s">
        <v>1176</v>
      </c>
      <c r="V414" t="s">
        <v>1177</v>
      </c>
      <c r="W414" t="s">
        <v>1178</v>
      </c>
      <c r="X414" t="s">
        <v>1179</v>
      </c>
      <c r="Y414" t="s">
        <v>1180</v>
      </c>
      <c r="Z414" t="s">
        <v>1181</v>
      </c>
      <c r="AA414"/>
      <c r="AB414"/>
      <c r="AC414"/>
      <c r="AD414"/>
      <c r="AE414"/>
      <c r="AF414"/>
      <c r="AG414"/>
      <c r="AH414"/>
      <c r="AI414"/>
      <c r="AJ414"/>
      <c r="AK414"/>
      <c r="AL414"/>
    </row>
    <row r="415">
      <c r="A415" t="s">
        <v>250</v>
      </c>
      <c r="B415" t="s">
        <v>240</v>
      </c>
      <c r="C415" t="s">
        <v>241</v>
      </c>
      <c r="D415" t="s">
        <v>213</v>
      </c>
      <c r="E415" t="s">
        <v>358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</row>
    <row r="416">
      <c r="A416" t="s">
        <v>226</v>
      </c>
      <c r="B416" t="s">
        <v>240</v>
      </c>
      <c r="C416" t="s">
        <v>241</v>
      </c>
      <c r="D416" t="s">
        <v>213</v>
      </c>
      <c r="E416" t="s">
        <v>297</v>
      </c>
      <c r="F416"/>
      <c r="G416"/>
      <c r="H416"/>
      <c r="I416" t="s">
        <v>1182</v>
      </c>
      <c r="J416" t="s">
        <v>1183</v>
      </c>
      <c r="K416" t="s">
        <v>1184</v>
      </c>
      <c r="L416" t="s">
        <v>1185</v>
      </c>
      <c r="M416" t="s">
        <v>1186</v>
      </c>
      <c r="N416" t="s">
        <v>1187</v>
      </c>
      <c r="O416" t="s">
        <v>1188</v>
      </c>
      <c r="P416" t="s">
        <v>1189</v>
      </c>
      <c r="Q416" t="s">
        <v>1190</v>
      </c>
      <c r="R416" t="s">
        <v>1191</v>
      </c>
      <c r="S416" t="s">
        <v>360</v>
      </c>
      <c r="T416" t="s">
        <v>360</v>
      </c>
      <c r="U416" t="s">
        <v>360</v>
      </c>
      <c r="V416" t="s">
        <v>360</v>
      </c>
      <c r="W416" t="s">
        <v>360</v>
      </c>
      <c r="X416" t="s">
        <v>360</v>
      </c>
      <c r="Y416" t="s">
        <v>360</v>
      </c>
      <c r="Z416" t="s">
        <v>360</v>
      </c>
      <c r="AA416" t="s">
        <v>360</v>
      </c>
      <c r="AB416" t="s">
        <v>360</v>
      </c>
      <c r="AC416" t="s">
        <v>360</v>
      </c>
      <c r="AD416" t="n">
        <v>425043</v>
      </c>
      <c r="AE416" t="n">
        <v>400014</v>
      </c>
      <c r="AF416" t="n">
        <v>374985</v>
      </c>
      <c r="AG416" t="n">
        <v>349956</v>
      </c>
      <c r="AH416" t="n">
        <v>324927</v>
      </c>
      <c r="AI416" t="n">
        <v>299898</v>
      </c>
      <c r="AJ416"/>
      <c r="AK416"/>
      <c r="AL416"/>
    </row>
    <row r="417">
      <c r="A417" t="s">
        <v>226</v>
      </c>
      <c r="B417" t="s">
        <v>240</v>
      </c>
      <c r="C417" t="s">
        <v>241</v>
      </c>
      <c r="D417" t="s">
        <v>213</v>
      </c>
      <c r="E417" t="s">
        <v>316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</row>
    <row r="418">
      <c r="A418" t="s">
        <v>226</v>
      </c>
      <c r="B418" t="s">
        <v>240</v>
      </c>
      <c r="C418" t="s">
        <v>241</v>
      </c>
      <c r="D418" t="s">
        <v>213</v>
      </c>
      <c r="E418" t="s">
        <v>317</v>
      </c>
      <c r="F418"/>
      <c r="G418"/>
      <c r="H418"/>
      <c r="I418" t="s">
        <v>1192</v>
      </c>
      <c r="J418" t="s">
        <v>1192</v>
      </c>
      <c r="K418" t="s">
        <v>1192</v>
      </c>
      <c r="L418" t="s">
        <v>1192</v>
      </c>
      <c r="M418" t="s">
        <v>1192</v>
      </c>
      <c r="N418" t="s">
        <v>1192</v>
      </c>
      <c r="O418" t="s">
        <v>1192</v>
      </c>
      <c r="P418" t="s">
        <v>1192</v>
      </c>
      <c r="Q418" t="s">
        <v>1192</v>
      </c>
      <c r="R418" t="s">
        <v>1193</v>
      </c>
      <c r="S418" t="s">
        <v>1193</v>
      </c>
      <c r="T418" t="s">
        <v>1193</v>
      </c>
      <c r="U418" t="s">
        <v>1193</v>
      </c>
      <c r="V418" t="s">
        <v>1193</v>
      </c>
      <c r="W418" t="s">
        <v>1193</v>
      </c>
      <c r="X418" t="s">
        <v>1193</v>
      </c>
      <c r="Y418" t="s">
        <v>1193</v>
      </c>
      <c r="Z418" t="s">
        <v>1193</v>
      </c>
      <c r="AA418" t="s">
        <v>1193</v>
      </c>
      <c r="AB418" t="s">
        <v>1193</v>
      </c>
      <c r="AC418" t="s">
        <v>1193</v>
      </c>
      <c r="AD418" t="n">
        <v>25029</v>
      </c>
      <c r="AE418" t="n">
        <v>25029</v>
      </c>
      <c r="AF418" t="n">
        <v>25029</v>
      </c>
      <c r="AG418" t="n">
        <v>25029</v>
      </c>
      <c r="AH418" t="n">
        <v>25029</v>
      </c>
      <c r="AI418" t="n">
        <v>25029</v>
      </c>
      <c r="AJ418"/>
      <c r="AK418"/>
      <c r="AL418"/>
    </row>
    <row r="419">
      <c r="A419" t="s">
        <v>226</v>
      </c>
      <c r="B419" t="s">
        <v>240</v>
      </c>
      <c r="C419" t="s">
        <v>241</v>
      </c>
      <c r="D419" t="s">
        <v>213</v>
      </c>
      <c r="E419" t="s">
        <v>320</v>
      </c>
      <c r="F419"/>
      <c r="G419"/>
      <c r="H419"/>
      <c r="I419" t="s">
        <v>1183</v>
      </c>
      <c r="J419" t="s">
        <v>1184</v>
      </c>
      <c r="K419" t="s">
        <v>1185</v>
      </c>
      <c r="L419" t="s">
        <v>1186</v>
      </c>
      <c r="M419" t="s">
        <v>1187</v>
      </c>
      <c r="N419" t="s">
        <v>1188</v>
      </c>
      <c r="O419" t="s">
        <v>1189</v>
      </c>
      <c r="P419" t="s">
        <v>1190</v>
      </c>
      <c r="Q419" t="s">
        <v>1191</v>
      </c>
      <c r="R419" t="s">
        <v>360</v>
      </c>
      <c r="S419" t="s">
        <v>360</v>
      </c>
      <c r="T419" t="s">
        <v>360</v>
      </c>
      <c r="U419" t="s">
        <v>360</v>
      </c>
      <c r="V419" t="s">
        <v>360</v>
      </c>
      <c r="W419" t="s">
        <v>360</v>
      </c>
      <c r="X419" t="s">
        <v>360</v>
      </c>
      <c r="Y419" t="s">
        <v>360</v>
      </c>
      <c r="Z419" t="s">
        <v>360</v>
      </c>
      <c r="AA419" t="s">
        <v>360</v>
      </c>
      <c r="AB419" t="s">
        <v>360</v>
      </c>
      <c r="AC419" t="s">
        <v>360</v>
      </c>
      <c r="AD419" t="n">
        <v>400014</v>
      </c>
      <c r="AE419" t="n">
        <v>374985</v>
      </c>
      <c r="AF419" t="n">
        <v>349956</v>
      </c>
      <c r="AG419" t="n">
        <v>324927</v>
      </c>
      <c r="AH419" t="n">
        <v>299898</v>
      </c>
      <c r="AI419" t="n">
        <v>274869</v>
      </c>
      <c r="AJ419"/>
      <c r="AK419"/>
      <c r="AL419"/>
    </row>
    <row r="420">
      <c r="A420" t="s">
        <v>226</v>
      </c>
      <c r="B420" t="s">
        <v>240</v>
      </c>
      <c r="C420" t="s">
        <v>241</v>
      </c>
      <c r="D420" t="s">
        <v>213</v>
      </c>
      <c r="E420" t="s">
        <v>323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 t="n">
        <v>7</v>
      </c>
      <c r="AE420" t="n">
        <v>7</v>
      </c>
      <c r="AF420" t="n">
        <v>7</v>
      </c>
      <c r="AG420" t="n">
        <v>7</v>
      </c>
      <c r="AH420" t="n">
        <v>7</v>
      </c>
      <c r="AI420" t="n">
        <v>7</v>
      </c>
      <c r="AJ420"/>
      <c r="AK420"/>
      <c r="AL420"/>
    </row>
    <row r="421">
      <c r="A421" t="s">
        <v>226</v>
      </c>
      <c r="B421" t="s">
        <v>240</v>
      </c>
      <c r="C421" t="s">
        <v>241</v>
      </c>
      <c r="D421" t="s">
        <v>213</v>
      </c>
      <c r="E421" t="s">
        <v>324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 t="n">
        <v>15</v>
      </c>
      <c r="AE421" t="n">
        <v>15</v>
      </c>
      <c r="AF421" t="n">
        <v>15</v>
      </c>
      <c r="AG421" t="n">
        <v>15</v>
      </c>
      <c r="AH421" t="n">
        <v>15</v>
      </c>
      <c r="AI421" t="n">
        <v>15</v>
      </c>
      <c r="AJ421"/>
      <c r="AK421"/>
      <c r="AL421"/>
    </row>
    <row r="422">
      <c r="A422" t="s">
        <v>226</v>
      </c>
      <c r="B422" t="s">
        <v>240</v>
      </c>
      <c r="C422" t="s">
        <v>241</v>
      </c>
      <c r="D422" t="s">
        <v>213</v>
      </c>
      <c r="E422" t="s">
        <v>325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 t="n">
        <v>15</v>
      </c>
      <c r="AE422" t="n">
        <v>15</v>
      </c>
      <c r="AF422" t="n">
        <v>15</v>
      </c>
      <c r="AG422" t="n">
        <v>15</v>
      </c>
      <c r="AH422" t="n">
        <v>15</v>
      </c>
      <c r="AI422" t="n">
        <v>15</v>
      </c>
      <c r="AJ422"/>
      <c r="AK422"/>
      <c r="AL422"/>
    </row>
    <row r="423">
      <c r="A423" t="s">
        <v>226</v>
      </c>
      <c r="B423" t="s">
        <v>240</v>
      </c>
      <c r="C423" t="s">
        <v>241</v>
      </c>
      <c r="D423" t="s">
        <v>213</v>
      </c>
      <c r="E423" t="s">
        <v>326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 t="n">
        <v>15.9820208558073</v>
      </c>
      <c r="AE423" t="n">
        <v>14.9820208558073</v>
      </c>
      <c r="AF423" t="n">
        <v>13.9820208558073</v>
      </c>
      <c r="AG423" t="n">
        <v>12.9820208558073</v>
      </c>
      <c r="AH423" t="n">
        <v>11.9820208558073</v>
      </c>
      <c r="AI423" t="n">
        <v>10.9820208558073</v>
      </c>
      <c r="AJ423"/>
      <c r="AK423"/>
      <c r="AL423"/>
    </row>
    <row r="424">
      <c r="A424" t="s">
        <v>226</v>
      </c>
      <c r="B424" t="s">
        <v>240</v>
      </c>
      <c r="C424" t="s">
        <v>241</v>
      </c>
      <c r="D424" t="s">
        <v>213</v>
      </c>
      <c r="E424" t="s">
        <v>329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</row>
    <row r="425">
      <c r="A425" t="s">
        <v>226</v>
      </c>
      <c r="B425" t="s">
        <v>240</v>
      </c>
      <c r="C425" t="s">
        <v>241</v>
      </c>
      <c r="D425" t="s">
        <v>213</v>
      </c>
      <c r="E425" t="s">
        <v>330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</row>
    <row r="426">
      <c r="A426" t="s">
        <v>226</v>
      </c>
      <c r="B426" t="s">
        <v>240</v>
      </c>
      <c r="C426" t="s">
        <v>241</v>
      </c>
      <c r="D426" t="s">
        <v>213</v>
      </c>
      <c r="E426" t="s">
        <v>331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</row>
    <row r="427">
      <c r="A427" t="s">
        <v>226</v>
      </c>
      <c r="B427" t="s">
        <v>240</v>
      </c>
      <c r="C427" t="s">
        <v>241</v>
      </c>
      <c r="D427" t="s">
        <v>213</v>
      </c>
      <c r="E427" t="s">
        <v>332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 t="n">
        <v>9115</v>
      </c>
      <c r="AE427" t="n">
        <v>9115</v>
      </c>
      <c r="AF427" t="n">
        <v>9115</v>
      </c>
      <c r="AG427" t="n">
        <v>9115</v>
      </c>
      <c r="AH427" t="n">
        <v>9115</v>
      </c>
      <c r="AI427" t="n">
        <v>9115</v>
      </c>
      <c r="AJ427" t="n">
        <v>9115</v>
      </c>
      <c r="AK427" t="n">
        <v>9115</v>
      </c>
      <c r="AL427" t="n">
        <v>9115</v>
      </c>
    </row>
    <row r="428">
      <c r="A428" t="s">
        <v>226</v>
      </c>
      <c r="B428" t="s">
        <v>240</v>
      </c>
      <c r="C428" t="s">
        <v>241</v>
      </c>
      <c r="D428" t="s">
        <v>213</v>
      </c>
      <c r="E428" t="s">
        <v>333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s">
        <v>226</v>
      </c>
      <c r="B429" t="s">
        <v>240</v>
      </c>
      <c r="C429" t="s">
        <v>241</v>
      </c>
      <c r="D429" t="s">
        <v>213</v>
      </c>
      <c r="E429" t="s">
        <v>334</v>
      </c>
      <c r="F429"/>
      <c r="G429"/>
      <c r="H429"/>
      <c r="I429" t="s">
        <v>392</v>
      </c>
      <c r="J429" t="s">
        <v>392</v>
      </c>
      <c r="K429" t="s">
        <v>392</v>
      </c>
      <c r="L429" t="s">
        <v>392</v>
      </c>
      <c r="M429" t="s">
        <v>392</v>
      </c>
      <c r="N429" t="s">
        <v>392</v>
      </c>
      <c r="O429" t="s">
        <v>392</v>
      </c>
      <c r="P429" t="s">
        <v>392</v>
      </c>
      <c r="Q429" t="s">
        <v>392</v>
      </c>
      <c r="R429" t="s">
        <v>392</v>
      </c>
      <c r="S429" t="s">
        <v>392</v>
      </c>
      <c r="T429" t="s">
        <v>392</v>
      </c>
      <c r="U429" t="s">
        <v>392</v>
      </c>
      <c r="V429" t="s">
        <v>392</v>
      </c>
      <c r="W429" t="s">
        <v>392</v>
      </c>
      <c r="X429" t="s">
        <v>392</v>
      </c>
      <c r="Y429" t="s">
        <v>392</v>
      </c>
      <c r="Z429" t="s">
        <v>392</v>
      </c>
      <c r="AA429" t="s">
        <v>392</v>
      </c>
      <c r="AB429" t="s">
        <v>392</v>
      </c>
      <c r="AC429" t="s">
        <v>392</v>
      </c>
      <c r="AD429" t="n">
        <v>3</v>
      </c>
      <c r="AE429" t="n">
        <v>3</v>
      </c>
      <c r="AF429" t="n">
        <v>3</v>
      </c>
      <c r="AG429" t="n">
        <v>3</v>
      </c>
      <c r="AH429" t="n">
        <v>3</v>
      </c>
      <c r="AI429" t="n">
        <v>3</v>
      </c>
      <c r="AJ429" t="n">
        <v>3</v>
      </c>
      <c r="AK429" t="n">
        <v>3</v>
      </c>
      <c r="AL429" t="n">
        <v>3</v>
      </c>
    </row>
    <row r="430">
      <c r="A430" t="s">
        <v>226</v>
      </c>
      <c r="B430" t="s">
        <v>240</v>
      </c>
      <c r="C430" t="s">
        <v>241</v>
      </c>
      <c r="D430" t="s">
        <v>213</v>
      </c>
      <c r="E430" t="s">
        <v>336</v>
      </c>
      <c r="F430"/>
      <c r="G430"/>
      <c r="H430"/>
      <c r="I430" t="s">
        <v>335</v>
      </c>
      <c r="J430" t="s">
        <v>335</v>
      </c>
      <c r="K430" t="s">
        <v>335</v>
      </c>
      <c r="L430" t="s">
        <v>335</v>
      </c>
      <c r="M430" t="s">
        <v>335</v>
      </c>
      <c r="N430" t="s">
        <v>335</v>
      </c>
      <c r="O430" t="s">
        <v>335</v>
      </c>
      <c r="P430" t="s">
        <v>335</v>
      </c>
      <c r="Q430" t="s">
        <v>335</v>
      </c>
      <c r="R430" t="s">
        <v>335</v>
      </c>
      <c r="S430" t="s">
        <v>335</v>
      </c>
      <c r="T430" t="s">
        <v>335</v>
      </c>
      <c r="U430" t="s">
        <v>335</v>
      </c>
      <c r="V430" t="s">
        <v>335</v>
      </c>
      <c r="W430" t="s">
        <v>335</v>
      </c>
      <c r="X430" t="s">
        <v>335</v>
      </c>
      <c r="Y430" t="s">
        <v>335</v>
      </c>
      <c r="Z430" t="s">
        <v>335</v>
      </c>
      <c r="AA430" t="s">
        <v>335</v>
      </c>
      <c r="AB430" t="s">
        <v>335</v>
      </c>
      <c r="AC430" t="s">
        <v>335</v>
      </c>
      <c r="AD430" t="n">
        <v>6</v>
      </c>
      <c r="AE430" t="n">
        <v>6</v>
      </c>
      <c r="AF430" t="n">
        <v>6</v>
      </c>
      <c r="AG430" t="n">
        <v>6</v>
      </c>
      <c r="AH430" t="n">
        <v>6</v>
      </c>
      <c r="AI430" t="n">
        <v>6</v>
      </c>
      <c r="AJ430" t="n">
        <v>6</v>
      </c>
      <c r="AK430" t="n">
        <v>6</v>
      </c>
      <c r="AL430" t="n">
        <v>6</v>
      </c>
    </row>
    <row r="431">
      <c r="A431" t="s">
        <v>226</v>
      </c>
      <c r="B431" t="s">
        <v>240</v>
      </c>
      <c r="C431" t="s">
        <v>241</v>
      </c>
      <c r="D431" t="s">
        <v>213</v>
      </c>
      <c r="E431" t="s">
        <v>338</v>
      </c>
      <c r="F431"/>
      <c r="G431"/>
      <c r="H431"/>
      <c r="I431" t="s">
        <v>335</v>
      </c>
      <c r="J431" t="s">
        <v>335</v>
      </c>
      <c r="K431" t="s">
        <v>335</v>
      </c>
      <c r="L431" t="s">
        <v>335</v>
      </c>
      <c r="M431" t="s">
        <v>335</v>
      </c>
      <c r="N431" t="s">
        <v>335</v>
      </c>
      <c r="O431" t="s">
        <v>335</v>
      </c>
      <c r="P431" t="s">
        <v>335</v>
      </c>
      <c r="Q431" t="s">
        <v>335</v>
      </c>
      <c r="R431" t="s">
        <v>335</v>
      </c>
      <c r="S431" t="s">
        <v>335</v>
      </c>
      <c r="T431" t="s">
        <v>335</v>
      </c>
      <c r="U431" t="s">
        <v>335</v>
      </c>
      <c r="V431" t="s">
        <v>335</v>
      </c>
      <c r="W431" t="s">
        <v>335</v>
      </c>
      <c r="X431" t="s">
        <v>335</v>
      </c>
      <c r="Y431" t="s">
        <v>335</v>
      </c>
      <c r="Z431" t="s">
        <v>335</v>
      </c>
      <c r="AA431" t="s">
        <v>335</v>
      </c>
      <c r="AB431" t="s">
        <v>335</v>
      </c>
      <c r="AC431" t="s">
        <v>335</v>
      </c>
      <c r="AD431" t="n">
        <v>6</v>
      </c>
      <c r="AE431" t="n">
        <v>6</v>
      </c>
      <c r="AF431" t="n">
        <v>6</v>
      </c>
      <c r="AG431" t="n">
        <v>6</v>
      </c>
      <c r="AH431" t="n">
        <v>6</v>
      </c>
      <c r="AI431" t="n">
        <v>6</v>
      </c>
      <c r="AJ431" t="n">
        <v>6</v>
      </c>
      <c r="AK431" t="n">
        <v>6</v>
      </c>
      <c r="AL431" t="n">
        <v>6</v>
      </c>
    </row>
    <row r="432">
      <c r="A432" t="s">
        <v>226</v>
      </c>
      <c r="B432" t="s">
        <v>240</v>
      </c>
      <c r="C432" t="s">
        <v>241</v>
      </c>
      <c r="D432" t="s">
        <v>213</v>
      </c>
      <c r="E432" t="s">
        <v>339</v>
      </c>
      <c r="F432"/>
      <c r="G432"/>
      <c r="H432"/>
      <c r="I432" t="s">
        <v>1194</v>
      </c>
      <c r="J432" t="s">
        <v>1195</v>
      </c>
      <c r="K432" t="s">
        <v>1196</v>
      </c>
      <c r="L432" t="s">
        <v>1197</v>
      </c>
      <c r="M432" t="s">
        <v>1198</v>
      </c>
      <c r="N432" t="s">
        <v>1199</v>
      </c>
      <c r="O432" t="s">
        <v>1200</v>
      </c>
      <c r="P432" t="s">
        <v>1201</v>
      </c>
      <c r="Q432" t="s">
        <v>1202</v>
      </c>
      <c r="R432" t="s">
        <v>360</v>
      </c>
      <c r="S432" t="s">
        <v>360</v>
      </c>
      <c r="T432" t="s">
        <v>360</v>
      </c>
      <c r="U432" t="s">
        <v>360</v>
      </c>
      <c r="V432" t="s">
        <v>360</v>
      </c>
      <c r="W432" t="s">
        <v>360</v>
      </c>
      <c r="X432" t="s">
        <v>360</v>
      </c>
      <c r="Y432" t="s">
        <v>360</v>
      </c>
      <c r="Z432" t="s">
        <v>360</v>
      </c>
      <c r="AA432" t="s">
        <v>360</v>
      </c>
      <c r="AB432" t="s">
        <v>360</v>
      </c>
      <c r="AC432" t="s">
        <v>360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s">
        <v>226</v>
      </c>
      <c r="B433" t="s">
        <v>240</v>
      </c>
      <c r="C433" t="s">
        <v>241</v>
      </c>
      <c r="D433" t="s">
        <v>213</v>
      </c>
      <c r="E433" t="s">
        <v>358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</row>
    <row r="434">
      <c r="A434" t="s">
        <v>229</v>
      </c>
      <c r="B434" t="s">
        <v>240</v>
      </c>
      <c r="C434" t="s">
        <v>241</v>
      </c>
      <c r="D434" t="s">
        <v>213</v>
      </c>
      <c r="E434" t="s">
        <v>297</v>
      </c>
      <c r="F434"/>
      <c r="G434"/>
      <c r="H434"/>
      <c r="I434" t="s">
        <v>1203</v>
      </c>
      <c r="J434" t="s">
        <v>1204</v>
      </c>
      <c r="K434" t="s">
        <v>1205</v>
      </c>
      <c r="L434" t="s">
        <v>1206</v>
      </c>
      <c r="M434" t="s">
        <v>1207</v>
      </c>
      <c r="N434" t="s">
        <v>1208</v>
      </c>
      <c r="O434" t="s">
        <v>1209</v>
      </c>
      <c r="P434" t="s">
        <v>1210</v>
      </c>
      <c r="Q434" t="s">
        <v>1211</v>
      </c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</row>
    <row r="435">
      <c r="A435" t="s">
        <v>229</v>
      </c>
      <c r="B435" t="s">
        <v>240</v>
      </c>
      <c r="C435" t="s">
        <v>241</v>
      </c>
      <c r="D435" t="s">
        <v>213</v>
      </c>
      <c r="E435" t="s">
        <v>316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</row>
    <row r="436">
      <c r="A436" t="s">
        <v>229</v>
      </c>
      <c r="B436" t="s">
        <v>240</v>
      </c>
      <c r="C436" t="s">
        <v>241</v>
      </c>
      <c r="D436" t="s">
        <v>213</v>
      </c>
      <c r="E436" t="s">
        <v>317</v>
      </c>
      <c r="F436"/>
      <c r="G436"/>
      <c r="H436"/>
      <c r="I436" t="s">
        <v>1212</v>
      </c>
      <c r="J436" t="s">
        <v>1212</v>
      </c>
      <c r="K436" t="s">
        <v>1212</v>
      </c>
      <c r="L436" t="s">
        <v>1212</v>
      </c>
      <c r="M436" t="s">
        <v>1212</v>
      </c>
      <c r="N436" t="s">
        <v>1212</v>
      </c>
      <c r="O436" t="s">
        <v>1212</v>
      </c>
      <c r="P436" t="s">
        <v>1212</v>
      </c>
      <c r="Q436" t="s">
        <v>1212</v>
      </c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</row>
    <row r="437">
      <c r="A437" t="s">
        <v>229</v>
      </c>
      <c r="B437" t="s">
        <v>240</v>
      </c>
      <c r="C437" t="s">
        <v>241</v>
      </c>
      <c r="D437" t="s">
        <v>213</v>
      </c>
      <c r="E437" t="s">
        <v>320</v>
      </c>
      <c r="F437"/>
      <c r="G437"/>
      <c r="H437"/>
      <c r="I437" t="s">
        <v>1204</v>
      </c>
      <c r="J437" t="s">
        <v>1205</v>
      </c>
      <c r="K437" t="s">
        <v>1206</v>
      </c>
      <c r="L437" t="s">
        <v>1207</v>
      </c>
      <c r="M437" t="s">
        <v>1208</v>
      </c>
      <c r="N437" t="s">
        <v>1209</v>
      </c>
      <c r="O437" t="s">
        <v>1210</v>
      </c>
      <c r="P437" t="s">
        <v>1211</v>
      </c>
      <c r="Q437" t="s">
        <v>1213</v>
      </c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</row>
    <row r="438">
      <c r="A438" t="s">
        <v>229</v>
      </c>
      <c r="B438" t="s">
        <v>240</v>
      </c>
      <c r="C438" t="s">
        <v>241</v>
      </c>
      <c r="D438" t="s">
        <v>213</v>
      </c>
      <c r="E438" t="s">
        <v>323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</row>
    <row r="439">
      <c r="A439" t="s">
        <v>229</v>
      </c>
      <c r="B439" t="s">
        <v>240</v>
      </c>
      <c r="C439" t="s">
        <v>241</v>
      </c>
      <c r="D439" t="s">
        <v>213</v>
      </c>
      <c r="E439" t="s">
        <v>324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</row>
    <row r="440">
      <c r="A440" t="s">
        <v>229</v>
      </c>
      <c r="B440" t="s">
        <v>240</v>
      </c>
      <c r="C440" t="s">
        <v>241</v>
      </c>
      <c r="D440" t="s">
        <v>213</v>
      </c>
      <c r="E440" t="s">
        <v>325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</row>
    <row r="441">
      <c r="A441" t="s">
        <v>229</v>
      </c>
      <c r="B441" t="s">
        <v>240</v>
      </c>
      <c r="C441" t="s">
        <v>241</v>
      </c>
      <c r="D441" t="s">
        <v>213</v>
      </c>
      <c r="E441" t="s">
        <v>326</v>
      </c>
      <c r="F441"/>
      <c r="G441"/>
      <c r="H441"/>
      <c r="I441"/>
      <c r="J441"/>
      <c r="K441" t="s">
        <v>1214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</row>
    <row r="442">
      <c r="A442" t="s">
        <v>229</v>
      </c>
      <c r="B442" t="s">
        <v>240</v>
      </c>
      <c r="C442" t="s">
        <v>241</v>
      </c>
      <c r="D442" t="s">
        <v>213</v>
      </c>
      <c r="E442" t="s">
        <v>329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</row>
    <row r="443">
      <c r="A443" t="s">
        <v>229</v>
      </c>
      <c r="B443" t="s">
        <v>240</v>
      </c>
      <c r="C443" t="s">
        <v>241</v>
      </c>
      <c r="D443" t="s">
        <v>213</v>
      </c>
      <c r="E443" t="s">
        <v>330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</row>
    <row r="444">
      <c r="A444" t="s">
        <v>229</v>
      </c>
      <c r="B444" t="s">
        <v>240</v>
      </c>
      <c r="C444" t="s">
        <v>241</v>
      </c>
      <c r="D444" t="s">
        <v>213</v>
      </c>
      <c r="E444" t="s">
        <v>331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</row>
    <row r="445">
      <c r="A445" t="s">
        <v>229</v>
      </c>
      <c r="B445" t="s">
        <v>240</v>
      </c>
      <c r="C445" t="s">
        <v>241</v>
      </c>
      <c r="D445" t="s">
        <v>213</v>
      </c>
      <c r="E445" t="s">
        <v>332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</row>
    <row r="446">
      <c r="A446" t="s">
        <v>229</v>
      </c>
      <c r="B446" t="s">
        <v>240</v>
      </c>
      <c r="C446" t="s">
        <v>241</v>
      </c>
      <c r="D446" t="s">
        <v>213</v>
      </c>
      <c r="E446" t="s">
        <v>333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</row>
    <row r="447">
      <c r="A447" t="s">
        <v>229</v>
      </c>
      <c r="B447" t="s">
        <v>240</v>
      </c>
      <c r="C447" t="s">
        <v>241</v>
      </c>
      <c r="D447" t="s">
        <v>213</v>
      </c>
      <c r="E447" t="s">
        <v>334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</row>
    <row r="448">
      <c r="A448" t="s">
        <v>229</v>
      </c>
      <c r="B448" t="s">
        <v>240</v>
      </c>
      <c r="C448" t="s">
        <v>241</v>
      </c>
      <c r="D448" t="s">
        <v>213</v>
      </c>
      <c r="E448" t="s">
        <v>336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>
      <c r="A449" t="s">
        <v>229</v>
      </c>
      <c r="B449" t="s">
        <v>240</v>
      </c>
      <c r="C449" t="s">
        <v>241</v>
      </c>
      <c r="D449" t="s">
        <v>213</v>
      </c>
      <c r="E449" t="s">
        <v>338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</row>
    <row r="450">
      <c r="A450" t="s">
        <v>229</v>
      </c>
      <c r="B450" t="s">
        <v>240</v>
      </c>
      <c r="C450" t="s">
        <v>241</v>
      </c>
      <c r="D450" t="s">
        <v>213</v>
      </c>
      <c r="E450" t="s">
        <v>339</v>
      </c>
      <c r="F450"/>
      <c r="G450"/>
      <c r="H450"/>
      <c r="I450" t="s">
        <v>1215</v>
      </c>
      <c r="J450" t="s">
        <v>1216</v>
      </c>
      <c r="K450" t="s">
        <v>1217</v>
      </c>
      <c r="L450" t="s">
        <v>1218</v>
      </c>
      <c r="M450" t="s">
        <v>1219</v>
      </c>
      <c r="N450" t="s">
        <v>1220</v>
      </c>
      <c r="O450" t="s">
        <v>1221</v>
      </c>
      <c r="P450" t="s">
        <v>1222</v>
      </c>
      <c r="Q450" t="s">
        <v>1223</v>
      </c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>
      <c r="A451" t="s">
        <v>229</v>
      </c>
      <c r="B451" t="s">
        <v>240</v>
      </c>
      <c r="C451" t="s">
        <v>241</v>
      </c>
      <c r="D451" t="s">
        <v>213</v>
      </c>
      <c r="E451" t="s">
        <v>358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</row>
    <row r="452">
      <c r="A452" t="s">
        <v>250</v>
      </c>
      <c r="B452" t="s">
        <v>245</v>
      </c>
      <c r="C452" t="s">
        <v>246</v>
      </c>
      <c r="D452" t="s">
        <v>213</v>
      </c>
      <c r="E452" t="s">
        <v>297</v>
      </c>
      <c r="F452"/>
      <c r="G452"/>
      <c r="H452"/>
      <c r="I452" t="s">
        <v>1124</v>
      </c>
      <c r="J452" t="s">
        <v>1125</v>
      </c>
      <c r="K452" t="s">
        <v>1126</v>
      </c>
      <c r="L452" t="s">
        <v>1127</v>
      </c>
      <c r="M452" t="s">
        <v>1128</v>
      </c>
      <c r="N452" t="s">
        <v>1129</v>
      </c>
      <c r="O452" t="s">
        <v>1130</v>
      </c>
      <c r="P452" t="s">
        <v>1131</v>
      </c>
      <c r="Q452" t="s">
        <v>1132</v>
      </c>
      <c r="R452" t="s">
        <v>1133</v>
      </c>
      <c r="S452" t="s">
        <v>1134</v>
      </c>
      <c r="T452" t="s">
        <v>1135</v>
      </c>
      <c r="U452" t="s">
        <v>1136</v>
      </c>
      <c r="V452" t="s">
        <v>1137</v>
      </c>
      <c r="W452" t="s">
        <v>1138</v>
      </c>
      <c r="X452" t="s">
        <v>1139</v>
      </c>
      <c r="Y452" t="s">
        <v>1140</v>
      </c>
      <c r="Z452" t="s">
        <v>1141</v>
      </c>
      <c r="AA452"/>
      <c r="AB452"/>
      <c r="AC452"/>
      <c r="AD452"/>
      <c r="AE452" t="n">
        <v>146310</v>
      </c>
      <c r="AF452" t="n">
        <v>134101</v>
      </c>
      <c r="AG452" t="n">
        <v>121899</v>
      </c>
      <c r="AH452" t="n">
        <v>109702</v>
      </c>
      <c r="AI452" t="n">
        <v>97504</v>
      </c>
      <c r="AJ452"/>
      <c r="AK452"/>
      <c r="AL452"/>
    </row>
    <row r="453">
      <c r="A453" t="s">
        <v>250</v>
      </c>
      <c r="B453" t="s">
        <v>245</v>
      </c>
      <c r="C453" t="s">
        <v>246</v>
      </c>
      <c r="D453" t="s">
        <v>213</v>
      </c>
      <c r="E453" t="s">
        <v>316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</row>
    <row r="454">
      <c r="A454" t="s">
        <v>250</v>
      </c>
      <c r="B454" t="s">
        <v>245</v>
      </c>
      <c r="C454" t="s">
        <v>246</v>
      </c>
      <c r="D454" t="s">
        <v>213</v>
      </c>
      <c r="E454" t="s">
        <v>317</v>
      </c>
      <c r="F454"/>
      <c r="G454"/>
      <c r="H454"/>
      <c r="I454" t="s">
        <v>1142</v>
      </c>
      <c r="J454" t="s">
        <v>1143</v>
      </c>
      <c r="K454" t="s">
        <v>1144</v>
      </c>
      <c r="L454" t="s">
        <v>1145</v>
      </c>
      <c r="M454" t="s">
        <v>1146</v>
      </c>
      <c r="N454" t="s">
        <v>1147</v>
      </c>
      <c r="O454" t="s">
        <v>1148</v>
      </c>
      <c r="P454" t="s">
        <v>1149</v>
      </c>
      <c r="Q454" t="s">
        <v>1150</v>
      </c>
      <c r="R454" t="s">
        <v>1151</v>
      </c>
      <c r="S454" t="s">
        <v>1152</v>
      </c>
      <c r="T454" t="s">
        <v>1153</v>
      </c>
      <c r="U454" t="s">
        <v>1154</v>
      </c>
      <c r="V454" t="s">
        <v>1155</v>
      </c>
      <c r="W454" t="s">
        <v>1156</v>
      </c>
      <c r="X454" t="s">
        <v>1157</v>
      </c>
      <c r="Y454" t="s">
        <v>1158</v>
      </c>
      <c r="Z454" t="s">
        <v>1159</v>
      </c>
      <c r="AA454"/>
      <c r="AB454"/>
      <c r="AC454"/>
      <c r="AD454"/>
      <c r="AE454" t="n">
        <v>12209</v>
      </c>
      <c r="AF454" t="n">
        <v>12202</v>
      </c>
      <c r="AG454" t="n">
        <v>12197</v>
      </c>
      <c r="AH454" t="n">
        <v>12198</v>
      </c>
      <c r="AI454" t="n">
        <v>12203</v>
      </c>
      <c r="AJ454"/>
      <c r="AK454"/>
      <c r="AL454"/>
    </row>
    <row r="455">
      <c r="A455" t="s">
        <v>250</v>
      </c>
      <c r="B455" t="s">
        <v>245</v>
      </c>
      <c r="C455" t="s">
        <v>246</v>
      </c>
      <c r="D455" t="s">
        <v>213</v>
      </c>
      <c r="E455" t="s">
        <v>320</v>
      </c>
      <c r="F455"/>
      <c r="G455"/>
      <c r="H455"/>
      <c r="I455" t="s">
        <v>1125</v>
      </c>
      <c r="J455" t="s">
        <v>1126</v>
      </c>
      <c r="K455" t="s">
        <v>1127</v>
      </c>
      <c r="L455" t="s">
        <v>1128</v>
      </c>
      <c r="M455" t="s">
        <v>1129</v>
      </c>
      <c r="N455" t="s">
        <v>1130</v>
      </c>
      <c r="O455" t="s">
        <v>1131</v>
      </c>
      <c r="P455" t="s">
        <v>1132</v>
      </c>
      <c r="Q455" t="s">
        <v>1133</v>
      </c>
      <c r="R455" t="s">
        <v>1134</v>
      </c>
      <c r="S455" t="s">
        <v>1135</v>
      </c>
      <c r="T455" t="s">
        <v>1136</v>
      </c>
      <c r="U455" t="s">
        <v>1137</v>
      </c>
      <c r="V455" t="s">
        <v>1138</v>
      </c>
      <c r="W455" t="s">
        <v>1139</v>
      </c>
      <c r="X455" t="s">
        <v>1140</v>
      </c>
      <c r="Y455" t="s">
        <v>1141</v>
      </c>
      <c r="Z455" t="s">
        <v>1160</v>
      </c>
      <c r="AA455"/>
      <c r="AB455"/>
      <c r="AC455"/>
      <c r="AD455"/>
      <c r="AE455" t="n">
        <v>134101</v>
      </c>
      <c r="AF455" t="n">
        <v>121899</v>
      </c>
      <c r="AG455" t="n">
        <v>109702</v>
      </c>
      <c r="AH455" t="n">
        <v>97504</v>
      </c>
      <c r="AI455" t="n">
        <v>85301</v>
      </c>
      <c r="AJ455"/>
      <c r="AK455"/>
      <c r="AL455"/>
    </row>
    <row r="456">
      <c r="A456" t="s">
        <v>250</v>
      </c>
      <c r="B456" t="s">
        <v>245</v>
      </c>
      <c r="C456" t="s">
        <v>246</v>
      </c>
      <c r="D456" t="s">
        <v>213</v>
      </c>
      <c r="E456" t="s">
        <v>323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 t="n">
        <v>6</v>
      </c>
      <c r="AF456" t="n">
        <v>6</v>
      </c>
      <c r="AG456" t="n">
        <v>6</v>
      </c>
      <c r="AH456" t="n">
        <v>6</v>
      </c>
      <c r="AI456" t="n">
        <v>6</v>
      </c>
      <c r="AJ456"/>
      <c r="AK456"/>
      <c r="AL456"/>
    </row>
    <row r="457">
      <c r="A457" t="s">
        <v>250</v>
      </c>
      <c r="B457" t="s">
        <v>245</v>
      </c>
      <c r="C457" t="s">
        <v>246</v>
      </c>
      <c r="D457" t="s">
        <v>213</v>
      </c>
      <c r="E457" t="s">
        <v>324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 t="n">
        <v>12</v>
      </c>
      <c r="AF457" t="n">
        <v>12</v>
      </c>
      <c r="AG457" t="n">
        <v>12</v>
      </c>
      <c r="AH457" t="n">
        <v>12</v>
      </c>
      <c r="AI457" t="n">
        <v>12</v>
      </c>
      <c r="AJ457"/>
      <c r="AK457"/>
      <c r="AL457"/>
    </row>
    <row r="458">
      <c r="A458" t="s">
        <v>250</v>
      </c>
      <c r="B458" t="s">
        <v>245</v>
      </c>
      <c r="C458" t="s">
        <v>246</v>
      </c>
      <c r="D458" t="s">
        <v>213</v>
      </c>
      <c r="E458" t="s">
        <v>325</v>
      </c>
      <c r="F458"/>
      <c r="G458"/>
      <c r="H458"/>
      <c r="I458"/>
      <c r="J458" t="s">
        <v>237</v>
      </c>
      <c r="K458"/>
      <c r="L458"/>
      <c r="M458"/>
      <c r="N458" t="s">
        <v>259</v>
      </c>
      <c r="O458" t="s">
        <v>269</v>
      </c>
      <c r="P458"/>
      <c r="Q458"/>
      <c r="R458"/>
      <c r="S458"/>
      <c r="T458"/>
      <c r="U458" t="s">
        <v>269</v>
      </c>
      <c r="V458"/>
      <c r="W458"/>
      <c r="X458"/>
      <c r="Y458"/>
      <c r="Z458"/>
      <c r="AA458"/>
      <c r="AB458"/>
      <c r="AC458"/>
      <c r="AD458"/>
      <c r="AE458" t="n">
        <v>12</v>
      </c>
      <c r="AF458" t="n">
        <v>12</v>
      </c>
      <c r="AG458" t="n">
        <v>12</v>
      </c>
      <c r="AH458" t="n">
        <v>12</v>
      </c>
      <c r="AI458" t="n">
        <v>12</v>
      </c>
      <c r="AJ458"/>
      <c r="AK458"/>
      <c r="AL458"/>
    </row>
    <row r="459">
      <c r="A459" t="s">
        <v>250</v>
      </c>
      <c r="B459" t="s">
        <v>245</v>
      </c>
      <c r="C459" t="s">
        <v>246</v>
      </c>
      <c r="D459" t="s">
        <v>213</v>
      </c>
      <c r="E459" t="s">
        <v>326</v>
      </c>
      <c r="F459"/>
      <c r="G459"/>
      <c r="H459"/>
      <c r="I459"/>
      <c r="J459" t="s">
        <v>650</v>
      </c>
      <c r="K459"/>
      <c r="L459"/>
      <c r="M459"/>
      <c r="N459" t="s">
        <v>1161</v>
      </c>
      <c r="O459" t="s">
        <v>1162</v>
      </c>
      <c r="P459"/>
      <c r="Q459"/>
      <c r="R459"/>
      <c r="S459"/>
      <c r="T459"/>
      <c r="U459" t="s">
        <v>1163</v>
      </c>
      <c r="V459"/>
      <c r="W459"/>
      <c r="X459"/>
      <c r="Y459"/>
      <c r="Z459"/>
      <c r="AA459"/>
      <c r="AB459"/>
      <c r="AC459"/>
      <c r="AD459"/>
      <c r="AE459" t="n">
        <v>10.9837824555656</v>
      </c>
      <c r="AF459" t="n">
        <v>9.99008359285363</v>
      </c>
      <c r="AG459" t="n">
        <v>8.99417889644995</v>
      </c>
      <c r="AH459" t="n">
        <v>7.99344154779472</v>
      </c>
      <c r="AI459" t="n">
        <v>6.99016635253626</v>
      </c>
      <c r="AJ459"/>
      <c r="AK459"/>
      <c r="AL459"/>
    </row>
    <row r="460">
      <c r="A460" t="s">
        <v>250</v>
      </c>
      <c r="B460" t="s">
        <v>245</v>
      </c>
      <c r="C460" t="s">
        <v>246</v>
      </c>
      <c r="D460" t="s">
        <v>213</v>
      </c>
      <c r="E460" t="s">
        <v>329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</row>
    <row r="461">
      <c r="A461" t="s">
        <v>250</v>
      </c>
      <c r="B461" t="s">
        <v>245</v>
      </c>
      <c r="C461" t="s">
        <v>246</v>
      </c>
      <c r="D461" t="s">
        <v>213</v>
      </c>
      <c r="E461" t="s">
        <v>330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</row>
    <row r="462">
      <c r="A462" t="s">
        <v>250</v>
      </c>
      <c r="B462" t="s">
        <v>245</v>
      </c>
      <c r="C462" t="s">
        <v>246</v>
      </c>
      <c r="D462" t="s">
        <v>213</v>
      </c>
      <c r="E462" t="s">
        <v>331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</row>
    <row r="463">
      <c r="A463" t="s">
        <v>250</v>
      </c>
      <c r="B463" t="s">
        <v>245</v>
      </c>
      <c r="C463" t="s">
        <v>246</v>
      </c>
      <c r="D463" t="s">
        <v>213</v>
      </c>
      <c r="E463" t="s">
        <v>332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 t="n">
        <v>1773</v>
      </c>
      <c r="AE463" t="n">
        <v>1773</v>
      </c>
      <c r="AF463" t="n">
        <v>1773</v>
      </c>
      <c r="AG463" t="n">
        <v>1773</v>
      </c>
      <c r="AH463" t="n">
        <v>1773</v>
      </c>
      <c r="AI463" t="n">
        <v>1773</v>
      </c>
      <c r="AJ463" t="n">
        <v>1773</v>
      </c>
      <c r="AK463" t="n">
        <v>1773</v>
      </c>
      <c r="AL463" t="n">
        <v>1773</v>
      </c>
    </row>
    <row r="464">
      <c r="A464" t="s">
        <v>250</v>
      </c>
      <c r="B464" t="s">
        <v>245</v>
      </c>
      <c r="C464" t="s">
        <v>246</v>
      </c>
      <c r="D464" t="s">
        <v>213</v>
      </c>
      <c r="E464" t="s">
        <v>333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s">
        <v>250</v>
      </c>
      <c r="B465" t="s">
        <v>245</v>
      </c>
      <c r="C465" t="s">
        <v>246</v>
      </c>
      <c r="D465" t="s">
        <v>213</v>
      </c>
      <c r="E465" t="s">
        <v>334</v>
      </c>
      <c r="F465"/>
      <c r="G465"/>
      <c r="H465"/>
      <c r="I465" t="s">
        <v>335</v>
      </c>
      <c r="J465" t="s">
        <v>335</v>
      </c>
      <c r="K465" t="s">
        <v>335</v>
      </c>
      <c r="L465" t="s">
        <v>335</v>
      </c>
      <c r="M465" t="s">
        <v>335</v>
      </c>
      <c r="N465" t="s">
        <v>335</v>
      </c>
      <c r="O465" t="s">
        <v>335</v>
      </c>
      <c r="P465" t="s">
        <v>335</v>
      </c>
      <c r="Q465" t="s">
        <v>335</v>
      </c>
      <c r="R465" t="s">
        <v>335</v>
      </c>
      <c r="S465" t="s">
        <v>335</v>
      </c>
      <c r="T465" t="s">
        <v>335</v>
      </c>
      <c r="U465" t="s">
        <v>335</v>
      </c>
      <c r="V465" t="s">
        <v>335</v>
      </c>
      <c r="W465" t="s">
        <v>335</v>
      </c>
      <c r="X465" t="s">
        <v>335</v>
      </c>
      <c r="Y465" t="s">
        <v>335</v>
      </c>
      <c r="Z465" t="s">
        <v>335</v>
      </c>
      <c r="AA465"/>
      <c r="AB465"/>
      <c r="AC465"/>
      <c r="AD465"/>
      <c r="AE465"/>
      <c r="AF465"/>
      <c r="AG465"/>
      <c r="AH465"/>
      <c r="AI465"/>
      <c r="AJ465"/>
      <c r="AK465"/>
      <c r="AL465"/>
    </row>
    <row r="466">
      <c r="A466" t="s">
        <v>250</v>
      </c>
      <c r="B466" t="s">
        <v>245</v>
      </c>
      <c r="C466" t="s">
        <v>246</v>
      </c>
      <c r="D466" t="s">
        <v>213</v>
      </c>
      <c r="E466" t="s">
        <v>336</v>
      </c>
      <c r="F466"/>
      <c r="G466"/>
      <c r="H466"/>
      <c r="I466" t="s">
        <v>337</v>
      </c>
      <c r="J466" t="s">
        <v>337</v>
      </c>
      <c r="K466" t="s">
        <v>337</v>
      </c>
      <c r="L466" t="s">
        <v>337</v>
      </c>
      <c r="M466" t="s">
        <v>337</v>
      </c>
      <c r="N466" t="s">
        <v>337</v>
      </c>
      <c r="O466" t="s">
        <v>337</v>
      </c>
      <c r="P466" t="s">
        <v>337</v>
      </c>
      <c r="Q466" t="s">
        <v>337</v>
      </c>
      <c r="R466" t="s">
        <v>337</v>
      </c>
      <c r="S466" t="s">
        <v>337</v>
      </c>
      <c r="T466" t="s">
        <v>337</v>
      </c>
      <c r="U466" t="s">
        <v>337</v>
      </c>
      <c r="V466" t="s">
        <v>337</v>
      </c>
      <c r="W466" t="s">
        <v>337</v>
      </c>
      <c r="X466" t="s">
        <v>337</v>
      </c>
      <c r="Y466" t="s">
        <v>337</v>
      </c>
      <c r="Z466" t="s">
        <v>337</v>
      </c>
      <c r="AA466"/>
      <c r="AB466"/>
      <c r="AC466"/>
      <c r="AD466"/>
      <c r="AE466"/>
      <c r="AF466"/>
      <c r="AG466"/>
      <c r="AH466"/>
      <c r="AI466"/>
      <c r="AJ466"/>
      <c r="AK466"/>
      <c r="AL466"/>
    </row>
    <row r="467">
      <c r="A467" t="s">
        <v>250</v>
      </c>
      <c r="B467" t="s">
        <v>245</v>
      </c>
      <c r="C467" t="s">
        <v>246</v>
      </c>
      <c r="D467" t="s">
        <v>213</v>
      </c>
      <c r="E467" t="s">
        <v>338</v>
      </c>
      <c r="F467"/>
      <c r="G467"/>
      <c r="H467"/>
      <c r="I467" t="s">
        <v>337</v>
      </c>
      <c r="J467" t="s">
        <v>337</v>
      </c>
      <c r="K467" t="s">
        <v>337</v>
      </c>
      <c r="L467" t="s">
        <v>337</v>
      </c>
      <c r="M467" t="s">
        <v>337</v>
      </c>
      <c r="N467" t="s">
        <v>337</v>
      </c>
      <c r="O467" t="s">
        <v>337</v>
      </c>
      <c r="P467" t="s">
        <v>337</v>
      </c>
      <c r="Q467" t="s">
        <v>337</v>
      </c>
      <c r="R467" t="s">
        <v>337</v>
      </c>
      <c r="S467" t="s">
        <v>337</v>
      </c>
      <c r="T467" t="s">
        <v>337</v>
      </c>
      <c r="U467" t="s">
        <v>337</v>
      </c>
      <c r="V467" t="s">
        <v>337</v>
      </c>
      <c r="W467" t="s">
        <v>337</v>
      </c>
      <c r="X467" t="s">
        <v>337</v>
      </c>
      <c r="Y467" t="s">
        <v>337</v>
      </c>
      <c r="Z467" t="s">
        <v>337</v>
      </c>
      <c r="AA467"/>
      <c r="AB467"/>
      <c r="AC467"/>
      <c r="AD467"/>
      <c r="AE467"/>
      <c r="AF467"/>
      <c r="AG467"/>
      <c r="AH467"/>
      <c r="AI467"/>
      <c r="AJ467"/>
      <c r="AK467"/>
      <c r="AL467"/>
    </row>
    <row r="468">
      <c r="A468" t="s">
        <v>250</v>
      </c>
      <c r="B468" t="s">
        <v>245</v>
      </c>
      <c r="C468" t="s">
        <v>246</v>
      </c>
      <c r="D468" t="s">
        <v>213</v>
      </c>
      <c r="E468" t="s">
        <v>339</v>
      </c>
      <c r="F468"/>
      <c r="G468"/>
      <c r="H468"/>
      <c r="I468" t="s">
        <v>1164</v>
      </c>
      <c r="J468" t="s">
        <v>1165</v>
      </c>
      <c r="K468" t="s">
        <v>1166</v>
      </c>
      <c r="L468" t="s">
        <v>1167</v>
      </c>
      <c r="M468" t="s">
        <v>1168</v>
      </c>
      <c r="N468" t="s">
        <v>1169</v>
      </c>
      <c r="O468" t="s">
        <v>1170</v>
      </c>
      <c r="P468" t="s">
        <v>1171</v>
      </c>
      <c r="Q468" t="s">
        <v>1172</v>
      </c>
      <c r="R468" t="s">
        <v>1173</v>
      </c>
      <c r="S468" t="s">
        <v>1174</v>
      </c>
      <c r="T468" t="s">
        <v>1175</v>
      </c>
      <c r="U468" t="s">
        <v>1176</v>
      </c>
      <c r="V468" t="s">
        <v>1177</v>
      </c>
      <c r="W468" t="s">
        <v>1178</v>
      </c>
      <c r="X468" t="s">
        <v>1179</v>
      </c>
      <c r="Y468" t="s">
        <v>1180</v>
      </c>
      <c r="Z468" t="s">
        <v>1181</v>
      </c>
      <c r="AA468"/>
      <c r="AB468"/>
      <c r="AC468"/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s">
        <v>250</v>
      </c>
      <c r="B469" t="s">
        <v>245</v>
      </c>
      <c r="C469" t="s">
        <v>246</v>
      </c>
      <c r="D469" t="s">
        <v>213</v>
      </c>
      <c r="E469" t="s">
        <v>358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</row>
    <row r="470">
      <c r="A470" t="s">
        <v>226</v>
      </c>
      <c r="B470" t="s">
        <v>245</v>
      </c>
      <c r="C470" t="s">
        <v>246</v>
      </c>
      <c r="D470" t="s">
        <v>213</v>
      </c>
      <c r="E470" t="s">
        <v>297</v>
      </c>
      <c r="F470"/>
      <c r="G470"/>
      <c r="H470"/>
      <c r="I470" t="s">
        <v>1224</v>
      </c>
      <c r="J470" t="s">
        <v>1225</v>
      </c>
      <c r="K470" t="s">
        <v>1225</v>
      </c>
      <c r="L470" t="s">
        <v>1225</v>
      </c>
      <c r="M470" t="s">
        <v>1225</v>
      </c>
      <c r="N470" t="s">
        <v>1225</v>
      </c>
      <c r="O470" t="s">
        <v>1225</v>
      </c>
      <c r="P470" t="s">
        <v>1225</v>
      </c>
      <c r="Q470" t="s">
        <v>1225</v>
      </c>
      <c r="R470" t="s">
        <v>1226</v>
      </c>
      <c r="S470" t="s">
        <v>1226</v>
      </c>
      <c r="T470" t="s">
        <v>1226</v>
      </c>
      <c r="U470" t="s">
        <v>1226</v>
      </c>
      <c r="V470" t="s">
        <v>1226</v>
      </c>
      <c r="W470" t="s">
        <v>1226</v>
      </c>
      <c r="X470" t="s">
        <v>1226</v>
      </c>
      <c r="Y470" t="s">
        <v>1226</v>
      </c>
      <c r="Z470" t="s">
        <v>1226</v>
      </c>
      <c r="AA470" t="s">
        <v>1226</v>
      </c>
      <c r="AB470" t="s">
        <v>1226</v>
      </c>
      <c r="AC470" t="s">
        <v>1226</v>
      </c>
      <c r="AD470"/>
      <c r="AE470"/>
      <c r="AF470"/>
      <c r="AG470"/>
      <c r="AH470"/>
      <c r="AI470"/>
      <c r="AJ470"/>
      <c r="AK470"/>
      <c r="AL470"/>
    </row>
    <row r="471">
      <c r="A471" t="s">
        <v>226</v>
      </c>
      <c r="B471" t="s">
        <v>245</v>
      </c>
      <c r="C471" t="s">
        <v>246</v>
      </c>
      <c r="D471" t="s">
        <v>213</v>
      </c>
      <c r="E471" t="s">
        <v>316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</row>
    <row r="472">
      <c r="A472" t="s">
        <v>226</v>
      </c>
      <c r="B472" t="s">
        <v>245</v>
      </c>
      <c r="C472" t="s">
        <v>246</v>
      </c>
      <c r="D472" t="s">
        <v>213</v>
      </c>
      <c r="E472" t="s">
        <v>317</v>
      </c>
      <c r="F472"/>
      <c r="G472"/>
      <c r="H472"/>
      <c r="I472" t="s">
        <v>1225</v>
      </c>
      <c r="J472" t="s">
        <v>1225</v>
      </c>
      <c r="K472" t="s">
        <v>1225</v>
      </c>
      <c r="L472" t="s">
        <v>1225</v>
      </c>
      <c r="M472" t="s">
        <v>1225</v>
      </c>
      <c r="N472" t="s">
        <v>1225</v>
      </c>
      <c r="O472" t="s">
        <v>1225</v>
      </c>
      <c r="P472" t="s">
        <v>1225</v>
      </c>
      <c r="Q472" t="s">
        <v>1226</v>
      </c>
      <c r="R472" t="s">
        <v>1226</v>
      </c>
      <c r="S472" t="s">
        <v>1226</v>
      </c>
      <c r="T472" t="s">
        <v>1226</v>
      </c>
      <c r="U472" t="s">
        <v>1226</v>
      </c>
      <c r="V472" t="s">
        <v>1226</v>
      </c>
      <c r="W472" t="s">
        <v>1226</v>
      </c>
      <c r="X472" t="s">
        <v>1226</v>
      </c>
      <c r="Y472" t="s">
        <v>1226</v>
      </c>
      <c r="Z472" t="s">
        <v>1226</v>
      </c>
      <c r="AA472" t="s">
        <v>1226</v>
      </c>
      <c r="AB472" t="s">
        <v>1226</v>
      </c>
      <c r="AC472" t="s">
        <v>1226</v>
      </c>
      <c r="AD472"/>
      <c r="AE472"/>
      <c r="AF472"/>
      <c r="AG472"/>
      <c r="AH472"/>
      <c r="AI472"/>
      <c r="AJ472"/>
      <c r="AK472"/>
      <c r="AL472"/>
    </row>
    <row r="473">
      <c r="A473" t="s">
        <v>226</v>
      </c>
      <c r="B473" t="s">
        <v>245</v>
      </c>
      <c r="C473" t="s">
        <v>246</v>
      </c>
      <c r="D473" t="s">
        <v>213</v>
      </c>
      <c r="E473" t="s">
        <v>320</v>
      </c>
      <c r="F473"/>
      <c r="G473"/>
      <c r="H473"/>
      <c r="I473" t="s">
        <v>360</v>
      </c>
      <c r="J473" t="s">
        <v>360</v>
      </c>
      <c r="K473" t="s">
        <v>360</v>
      </c>
      <c r="L473" t="s">
        <v>360</v>
      </c>
      <c r="M473" t="s">
        <v>360</v>
      </c>
      <c r="N473" t="s">
        <v>360</v>
      </c>
      <c r="O473" t="s">
        <v>360</v>
      </c>
      <c r="P473" t="s">
        <v>360</v>
      </c>
      <c r="Q473" t="s">
        <v>360</v>
      </c>
      <c r="R473" t="s">
        <v>360</v>
      </c>
      <c r="S473" t="s">
        <v>360</v>
      </c>
      <c r="T473" t="s">
        <v>360</v>
      </c>
      <c r="U473" t="s">
        <v>360</v>
      </c>
      <c r="V473" t="s">
        <v>360</v>
      </c>
      <c r="W473" t="s">
        <v>360</v>
      </c>
      <c r="X473" t="s">
        <v>360</v>
      </c>
      <c r="Y473" t="s">
        <v>360</v>
      </c>
      <c r="Z473" t="s">
        <v>360</v>
      </c>
      <c r="AA473" t="s">
        <v>360</v>
      </c>
      <c r="AB473" t="s">
        <v>360</v>
      </c>
      <c r="AC473" t="s">
        <v>360</v>
      </c>
      <c r="AD473"/>
      <c r="AE473"/>
      <c r="AF473"/>
      <c r="AG473"/>
      <c r="AH473"/>
      <c r="AI473"/>
      <c r="AJ473"/>
      <c r="AK473"/>
      <c r="AL473"/>
    </row>
    <row r="474">
      <c r="A474" t="s">
        <v>226</v>
      </c>
      <c r="B474" t="s">
        <v>245</v>
      </c>
      <c r="C474" t="s">
        <v>246</v>
      </c>
      <c r="D474" t="s">
        <v>213</v>
      </c>
      <c r="E474" t="s">
        <v>323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</row>
    <row r="475">
      <c r="A475" t="s">
        <v>226</v>
      </c>
      <c r="B475" t="s">
        <v>245</v>
      </c>
      <c r="C475" t="s">
        <v>246</v>
      </c>
      <c r="D475" t="s">
        <v>213</v>
      </c>
      <c r="E475" t="s">
        <v>324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</row>
    <row r="476">
      <c r="A476" t="s">
        <v>226</v>
      </c>
      <c r="B476" t="s">
        <v>245</v>
      </c>
      <c r="C476" t="s">
        <v>246</v>
      </c>
      <c r="D476" t="s">
        <v>213</v>
      </c>
      <c r="E476" t="s">
        <v>325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</row>
    <row r="477">
      <c r="A477" t="s">
        <v>226</v>
      </c>
      <c r="B477" t="s">
        <v>245</v>
      </c>
      <c r="C477" t="s">
        <v>246</v>
      </c>
      <c r="D477" t="s">
        <v>213</v>
      </c>
      <c r="E477" t="s">
        <v>326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</row>
    <row r="478">
      <c r="A478" t="s">
        <v>226</v>
      </c>
      <c r="B478" t="s">
        <v>245</v>
      </c>
      <c r="C478" t="s">
        <v>246</v>
      </c>
      <c r="D478" t="s">
        <v>213</v>
      </c>
      <c r="E478" t="s">
        <v>329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</row>
    <row r="479">
      <c r="A479" t="s">
        <v>226</v>
      </c>
      <c r="B479" t="s">
        <v>245</v>
      </c>
      <c r="C479" t="s">
        <v>246</v>
      </c>
      <c r="D479" t="s">
        <v>213</v>
      </c>
      <c r="E479" t="s">
        <v>330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</row>
    <row r="480">
      <c r="A480" t="s">
        <v>226</v>
      </c>
      <c r="B480" t="s">
        <v>245</v>
      </c>
      <c r="C480" t="s">
        <v>246</v>
      </c>
      <c r="D480" t="s">
        <v>213</v>
      </c>
      <c r="E480" t="s">
        <v>331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</row>
    <row r="481">
      <c r="A481" t="s">
        <v>226</v>
      </c>
      <c r="B481" t="s">
        <v>245</v>
      </c>
      <c r="C481" t="s">
        <v>246</v>
      </c>
      <c r="D481" t="s">
        <v>213</v>
      </c>
      <c r="E481" t="s">
        <v>332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</row>
    <row r="482">
      <c r="A482" t="s">
        <v>226</v>
      </c>
      <c r="B482" t="s">
        <v>245</v>
      </c>
      <c r="C482" t="s">
        <v>246</v>
      </c>
      <c r="D482" t="s">
        <v>213</v>
      </c>
      <c r="E482" t="s">
        <v>333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</row>
    <row r="483">
      <c r="A483" t="s">
        <v>226</v>
      </c>
      <c r="B483" t="s">
        <v>245</v>
      </c>
      <c r="C483" t="s">
        <v>246</v>
      </c>
      <c r="D483" t="s">
        <v>213</v>
      </c>
      <c r="E483" t="s">
        <v>334</v>
      </c>
      <c r="F483"/>
      <c r="G483"/>
      <c r="H483"/>
      <c r="I483" t="s">
        <v>392</v>
      </c>
      <c r="J483" t="s">
        <v>392</v>
      </c>
      <c r="K483" t="s">
        <v>392</v>
      </c>
      <c r="L483" t="s">
        <v>392</v>
      </c>
      <c r="M483" t="s">
        <v>392</v>
      </c>
      <c r="N483" t="s">
        <v>392</v>
      </c>
      <c r="O483" t="s">
        <v>392</v>
      </c>
      <c r="P483" t="s">
        <v>392</v>
      </c>
      <c r="Q483" t="s">
        <v>392</v>
      </c>
      <c r="R483" t="s">
        <v>392</v>
      </c>
      <c r="S483" t="s">
        <v>392</v>
      </c>
      <c r="T483" t="s">
        <v>392</v>
      </c>
      <c r="U483" t="s">
        <v>392</v>
      </c>
      <c r="V483" t="s">
        <v>392</v>
      </c>
      <c r="W483" t="s">
        <v>392</v>
      </c>
      <c r="X483" t="s">
        <v>392</v>
      </c>
      <c r="Y483" t="s">
        <v>392</v>
      </c>
      <c r="Z483" t="s">
        <v>392</v>
      </c>
      <c r="AA483" t="s">
        <v>392</v>
      </c>
      <c r="AB483" t="s">
        <v>392</v>
      </c>
      <c r="AC483" t="s">
        <v>392</v>
      </c>
      <c r="AD483"/>
      <c r="AE483"/>
      <c r="AF483"/>
      <c r="AG483"/>
      <c r="AH483"/>
      <c r="AI483"/>
      <c r="AJ483"/>
      <c r="AK483"/>
      <c r="AL483"/>
    </row>
    <row r="484">
      <c r="A484" t="s">
        <v>226</v>
      </c>
      <c r="B484" t="s">
        <v>245</v>
      </c>
      <c r="C484" t="s">
        <v>246</v>
      </c>
      <c r="D484" t="s">
        <v>213</v>
      </c>
      <c r="E484" t="s">
        <v>336</v>
      </c>
      <c r="F484"/>
      <c r="G484"/>
      <c r="H484"/>
      <c r="I484" t="s">
        <v>335</v>
      </c>
      <c r="J484" t="s">
        <v>335</v>
      </c>
      <c r="K484" t="s">
        <v>335</v>
      </c>
      <c r="L484" t="s">
        <v>335</v>
      </c>
      <c r="M484" t="s">
        <v>335</v>
      </c>
      <c r="N484" t="s">
        <v>335</v>
      </c>
      <c r="O484" t="s">
        <v>335</v>
      </c>
      <c r="P484" t="s">
        <v>335</v>
      </c>
      <c r="Q484" t="s">
        <v>335</v>
      </c>
      <c r="R484" t="s">
        <v>335</v>
      </c>
      <c r="S484" t="s">
        <v>335</v>
      </c>
      <c r="T484" t="s">
        <v>335</v>
      </c>
      <c r="U484" t="s">
        <v>335</v>
      </c>
      <c r="V484" t="s">
        <v>335</v>
      </c>
      <c r="W484" t="s">
        <v>335</v>
      </c>
      <c r="X484" t="s">
        <v>335</v>
      </c>
      <c r="Y484" t="s">
        <v>335</v>
      </c>
      <c r="Z484" t="s">
        <v>335</v>
      </c>
      <c r="AA484" t="s">
        <v>335</v>
      </c>
      <c r="AB484" t="s">
        <v>335</v>
      </c>
      <c r="AC484" t="s">
        <v>335</v>
      </c>
      <c r="AD484"/>
      <c r="AE484"/>
      <c r="AF484"/>
      <c r="AG484"/>
      <c r="AH484"/>
      <c r="AI484"/>
      <c r="AJ484"/>
      <c r="AK484"/>
      <c r="AL484"/>
    </row>
    <row r="485">
      <c r="A485" t="s">
        <v>226</v>
      </c>
      <c r="B485" t="s">
        <v>245</v>
      </c>
      <c r="C485" t="s">
        <v>246</v>
      </c>
      <c r="D485" t="s">
        <v>213</v>
      </c>
      <c r="E485" t="s">
        <v>338</v>
      </c>
      <c r="F485"/>
      <c r="G485"/>
      <c r="H485"/>
      <c r="I485" t="s">
        <v>335</v>
      </c>
      <c r="J485" t="s">
        <v>335</v>
      </c>
      <c r="K485" t="s">
        <v>335</v>
      </c>
      <c r="L485" t="s">
        <v>335</v>
      </c>
      <c r="M485" t="s">
        <v>335</v>
      </c>
      <c r="N485" t="s">
        <v>335</v>
      </c>
      <c r="O485" t="s">
        <v>335</v>
      </c>
      <c r="P485" t="s">
        <v>335</v>
      </c>
      <c r="Q485" t="s">
        <v>335</v>
      </c>
      <c r="R485" t="s">
        <v>335</v>
      </c>
      <c r="S485" t="s">
        <v>335</v>
      </c>
      <c r="T485" t="s">
        <v>335</v>
      </c>
      <c r="U485" t="s">
        <v>335</v>
      </c>
      <c r="V485" t="s">
        <v>335</v>
      </c>
      <c r="W485" t="s">
        <v>335</v>
      </c>
      <c r="X485" t="s">
        <v>335</v>
      </c>
      <c r="Y485" t="s">
        <v>335</v>
      </c>
      <c r="Z485" t="s">
        <v>335</v>
      </c>
      <c r="AA485" t="s">
        <v>335</v>
      </c>
      <c r="AB485" t="s">
        <v>335</v>
      </c>
      <c r="AC485" t="s">
        <v>335</v>
      </c>
      <c r="AD485"/>
      <c r="AE485"/>
      <c r="AF485"/>
      <c r="AG485"/>
      <c r="AH485"/>
      <c r="AI485"/>
      <c r="AJ485"/>
      <c r="AK485"/>
      <c r="AL485"/>
    </row>
    <row r="486">
      <c r="A486" t="s">
        <v>226</v>
      </c>
      <c r="B486" t="s">
        <v>245</v>
      </c>
      <c r="C486" t="s">
        <v>246</v>
      </c>
      <c r="D486" t="s">
        <v>213</v>
      </c>
      <c r="E486" t="s">
        <v>339</v>
      </c>
      <c r="F486"/>
      <c r="G486"/>
      <c r="H486"/>
      <c r="I486" t="s">
        <v>360</v>
      </c>
      <c r="J486" t="s">
        <v>360</v>
      </c>
      <c r="K486" t="s">
        <v>360</v>
      </c>
      <c r="L486" t="s">
        <v>360</v>
      </c>
      <c r="M486" t="s">
        <v>360</v>
      </c>
      <c r="N486" t="s">
        <v>360</v>
      </c>
      <c r="O486" t="s">
        <v>360</v>
      </c>
      <c r="P486" t="s">
        <v>360</v>
      </c>
      <c r="Q486" t="s">
        <v>360</v>
      </c>
      <c r="R486" t="s">
        <v>360</v>
      </c>
      <c r="S486" t="s">
        <v>360</v>
      </c>
      <c r="T486" t="s">
        <v>360</v>
      </c>
      <c r="U486" t="s">
        <v>360</v>
      </c>
      <c r="V486" t="s">
        <v>360</v>
      </c>
      <c r="W486" t="s">
        <v>360</v>
      </c>
      <c r="X486" t="s">
        <v>360</v>
      </c>
      <c r="Y486" t="s">
        <v>360</v>
      </c>
      <c r="Z486" t="s">
        <v>360</v>
      </c>
      <c r="AA486" t="s">
        <v>360</v>
      </c>
      <c r="AB486" t="s">
        <v>360</v>
      </c>
      <c r="AC486" t="s">
        <v>360</v>
      </c>
      <c r="AD486"/>
      <c r="AE486"/>
      <c r="AF486"/>
      <c r="AG486"/>
      <c r="AH486"/>
      <c r="AI486"/>
      <c r="AJ486"/>
      <c r="AK486"/>
      <c r="AL486"/>
    </row>
    <row r="487">
      <c r="A487" t="s">
        <v>226</v>
      </c>
      <c r="B487" t="s">
        <v>245</v>
      </c>
      <c r="C487" t="s">
        <v>246</v>
      </c>
      <c r="D487" t="s">
        <v>213</v>
      </c>
      <c r="E487" t="s">
        <v>358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</row>
    <row r="488">
      <c r="A488" t="s">
        <v>229</v>
      </c>
      <c r="B488" t="s">
        <v>245</v>
      </c>
      <c r="C488" t="s">
        <v>246</v>
      </c>
      <c r="D488" t="s">
        <v>213</v>
      </c>
      <c r="E488" t="s">
        <v>297</v>
      </c>
      <c r="F488"/>
      <c r="G488"/>
      <c r="H488"/>
      <c r="I488" t="s">
        <v>1227</v>
      </c>
      <c r="J488" t="s">
        <v>1228</v>
      </c>
      <c r="K488" t="s">
        <v>1229</v>
      </c>
      <c r="L488" t="s">
        <v>1230</v>
      </c>
      <c r="M488" t="s">
        <v>1231</v>
      </c>
      <c r="N488" t="s">
        <v>1232</v>
      </c>
      <c r="O488" t="s">
        <v>1233</v>
      </c>
      <c r="P488" t="s">
        <v>1234</v>
      </c>
      <c r="Q488" t="s">
        <v>1235</v>
      </c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</row>
    <row r="489">
      <c r="A489" t="s">
        <v>229</v>
      </c>
      <c r="B489" t="s">
        <v>245</v>
      </c>
      <c r="C489" t="s">
        <v>246</v>
      </c>
      <c r="D489" t="s">
        <v>213</v>
      </c>
      <c r="E489" t="s">
        <v>316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</row>
    <row r="490">
      <c r="A490" t="s">
        <v>229</v>
      </c>
      <c r="B490" t="s">
        <v>245</v>
      </c>
      <c r="C490" t="s">
        <v>246</v>
      </c>
      <c r="D490" t="s">
        <v>213</v>
      </c>
      <c r="E490" t="s">
        <v>317</v>
      </c>
      <c r="F490"/>
      <c r="G490"/>
      <c r="H490"/>
      <c r="I490" t="s">
        <v>1236</v>
      </c>
      <c r="J490" t="s">
        <v>1236</v>
      </c>
      <c r="K490" t="s">
        <v>1236</v>
      </c>
      <c r="L490" t="s">
        <v>1236</v>
      </c>
      <c r="M490" t="s">
        <v>1236</v>
      </c>
      <c r="N490" t="s">
        <v>1236</v>
      </c>
      <c r="O490" t="s">
        <v>1236</v>
      </c>
      <c r="P490" t="s">
        <v>1236</v>
      </c>
      <c r="Q490" t="s">
        <v>1236</v>
      </c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</row>
    <row r="491">
      <c r="A491" t="s">
        <v>229</v>
      </c>
      <c r="B491" t="s">
        <v>245</v>
      </c>
      <c r="C491" t="s">
        <v>246</v>
      </c>
      <c r="D491" t="s">
        <v>213</v>
      </c>
      <c r="E491" t="s">
        <v>320</v>
      </c>
      <c r="F491"/>
      <c r="G491"/>
      <c r="H491"/>
      <c r="I491" t="s">
        <v>1228</v>
      </c>
      <c r="J491" t="s">
        <v>1229</v>
      </c>
      <c r="K491" t="s">
        <v>1230</v>
      </c>
      <c r="L491" t="s">
        <v>1231</v>
      </c>
      <c r="M491" t="s">
        <v>1232</v>
      </c>
      <c r="N491" t="s">
        <v>1233</v>
      </c>
      <c r="O491" t="s">
        <v>1234</v>
      </c>
      <c r="P491" t="s">
        <v>1235</v>
      </c>
      <c r="Q491" t="s">
        <v>360</v>
      </c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</row>
    <row r="492">
      <c r="A492" t="s">
        <v>229</v>
      </c>
      <c r="B492" t="s">
        <v>245</v>
      </c>
      <c r="C492" t="s">
        <v>246</v>
      </c>
      <c r="D492" t="s">
        <v>213</v>
      </c>
      <c r="E492" t="s">
        <v>323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</row>
    <row r="493">
      <c r="A493" t="s">
        <v>229</v>
      </c>
      <c r="B493" t="s">
        <v>245</v>
      </c>
      <c r="C493" t="s">
        <v>246</v>
      </c>
      <c r="D493" t="s">
        <v>213</v>
      </c>
      <c r="E493" t="s">
        <v>324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</row>
    <row r="494">
      <c r="A494" t="s">
        <v>229</v>
      </c>
      <c r="B494" t="s">
        <v>245</v>
      </c>
      <c r="C494" t="s">
        <v>246</v>
      </c>
      <c r="D494" t="s">
        <v>213</v>
      </c>
      <c r="E494" t="s">
        <v>325</v>
      </c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</row>
    <row r="495">
      <c r="A495" t="s">
        <v>229</v>
      </c>
      <c r="B495" t="s">
        <v>245</v>
      </c>
      <c r="C495" t="s">
        <v>246</v>
      </c>
      <c r="D495" t="s">
        <v>213</v>
      </c>
      <c r="E495" t="s">
        <v>326</v>
      </c>
      <c r="F495"/>
      <c r="G495"/>
      <c r="H495"/>
      <c r="I495"/>
      <c r="J495"/>
      <c r="K495" t="s">
        <v>1237</v>
      </c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</row>
    <row r="496">
      <c r="A496" t="s">
        <v>229</v>
      </c>
      <c r="B496" t="s">
        <v>245</v>
      </c>
      <c r="C496" t="s">
        <v>246</v>
      </c>
      <c r="D496" t="s">
        <v>213</v>
      </c>
      <c r="E496" t="s">
        <v>329</v>
      </c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</row>
    <row r="497">
      <c r="A497" t="s">
        <v>229</v>
      </c>
      <c r="B497" t="s">
        <v>245</v>
      </c>
      <c r="C497" t="s">
        <v>246</v>
      </c>
      <c r="D497" t="s">
        <v>213</v>
      </c>
      <c r="E497" t="s">
        <v>330</v>
      </c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 t="n">
        <v>108847</v>
      </c>
      <c r="AE497" t="n">
        <v>102336</v>
      </c>
      <c r="AF497" t="n">
        <v>95844</v>
      </c>
      <c r="AG497" t="n">
        <v>89370</v>
      </c>
      <c r="AH497" t="n">
        <v>82914</v>
      </c>
      <c r="AI497" t="n">
        <v>76477</v>
      </c>
      <c r="AJ497"/>
      <c r="AK497"/>
      <c r="AL497"/>
    </row>
    <row r="498">
      <c r="A498" t="s">
        <v>229</v>
      </c>
      <c r="B498" t="s">
        <v>245</v>
      </c>
      <c r="C498" t="s">
        <v>246</v>
      </c>
      <c r="D498" t="s">
        <v>213</v>
      </c>
      <c r="E498" t="s">
        <v>331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</row>
    <row r="499">
      <c r="A499" t="s">
        <v>229</v>
      </c>
      <c r="B499" t="s">
        <v>245</v>
      </c>
      <c r="C499" t="s">
        <v>246</v>
      </c>
      <c r="D499" t="s">
        <v>213</v>
      </c>
      <c r="E499" t="s">
        <v>332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 t="n">
        <v>6511</v>
      </c>
      <c r="AE499" t="n">
        <v>6492</v>
      </c>
      <c r="AF499" t="n">
        <v>6474</v>
      </c>
      <c r="AG499" t="n">
        <v>6456</v>
      </c>
      <c r="AH499" t="n">
        <v>6437</v>
      </c>
      <c r="AI499" t="n">
        <v>6419</v>
      </c>
      <c r="AJ499"/>
      <c r="AK499"/>
      <c r="AL499"/>
    </row>
    <row r="500">
      <c r="A500" t="s">
        <v>229</v>
      </c>
      <c r="B500" t="s">
        <v>245</v>
      </c>
      <c r="C500" t="s">
        <v>246</v>
      </c>
      <c r="D500" t="s">
        <v>213</v>
      </c>
      <c r="E500" t="s">
        <v>333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 t="n">
        <v>102336</v>
      </c>
      <c r="AE500" t="n">
        <v>95844</v>
      </c>
      <c r="AF500" t="n">
        <v>89370</v>
      </c>
      <c r="AG500" t="n">
        <v>82914</v>
      </c>
      <c r="AH500" t="n">
        <v>76477</v>
      </c>
      <c r="AI500" t="n">
        <v>70058</v>
      </c>
      <c r="AJ500"/>
      <c r="AK500"/>
      <c r="AL500"/>
    </row>
    <row r="501">
      <c r="A501" t="s">
        <v>229</v>
      </c>
      <c r="B501" t="s">
        <v>245</v>
      </c>
      <c r="C501" t="s">
        <v>246</v>
      </c>
      <c r="D501" t="s">
        <v>213</v>
      </c>
      <c r="E501" t="s">
        <v>334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 t="n">
        <v>7</v>
      </c>
      <c r="AE501" t="n">
        <v>7</v>
      </c>
      <c r="AF501" t="n">
        <v>7</v>
      </c>
      <c r="AG501" t="n">
        <v>7</v>
      </c>
      <c r="AH501" t="n">
        <v>7</v>
      </c>
      <c r="AI501" t="n">
        <v>7</v>
      </c>
      <c r="AJ501"/>
      <c r="AK501"/>
      <c r="AL501"/>
    </row>
    <row r="502">
      <c r="A502" t="s">
        <v>229</v>
      </c>
      <c r="B502" t="s">
        <v>245</v>
      </c>
      <c r="C502" t="s">
        <v>246</v>
      </c>
      <c r="D502" t="s">
        <v>213</v>
      </c>
      <c r="E502" t="s">
        <v>336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 t="n">
        <v>15</v>
      </c>
      <c r="AE502" t="n">
        <v>15</v>
      </c>
      <c r="AF502" t="n">
        <v>15</v>
      </c>
      <c r="AG502" t="n">
        <v>15</v>
      </c>
      <c r="AH502" t="n">
        <v>15</v>
      </c>
      <c r="AI502" t="n">
        <v>15</v>
      </c>
      <c r="AJ502"/>
      <c r="AK502"/>
      <c r="AL502"/>
    </row>
    <row r="503">
      <c r="A503" t="s">
        <v>229</v>
      </c>
      <c r="B503" t="s">
        <v>245</v>
      </c>
      <c r="C503" t="s">
        <v>246</v>
      </c>
      <c r="D503" t="s">
        <v>213</v>
      </c>
      <c r="E503" t="s">
        <v>338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 t="n">
        <v>15</v>
      </c>
      <c r="AE503" t="n">
        <v>15</v>
      </c>
      <c r="AF503" t="n">
        <v>15</v>
      </c>
      <c r="AG503" t="n">
        <v>15</v>
      </c>
      <c r="AH503" t="n">
        <v>15</v>
      </c>
      <c r="AI503" t="n">
        <v>15</v>
      </c>
      <c r="AJ503"/>
      <c r="AK503"/>
      <c r="AL503"/>
    </row>
    <row r="504">
      <c r="A504" t="s">
        <v>229</v>
      </c>
      <c r="B504" t="s">
        <v>245</v>
      </c>
      <c r="C504" t="s">
        <v>246</v>
      </c>
      <c r="D504" t="s">
        <v>213</v>
      </c>
      <c r="E504" t="s">
        <v>339</v>
      </c>
      <c r="F504"/>
      <c r="G504"/>
      <c r="H504"/>
      <c r="I504" t="s">
        <v>1238</v>
      </c>
      <c r="J504" t="s">
        <v>1239</v>
      </c>
      <c r="K504" t="s">
        <v>1240</v>
      </c>
      <c r="L504" t="s">
        <v>1241</v>
      </c>
      <c r="M504" t="s">
        <v>1242</v>
      </c>
      <c r="N504" t="s">
        <v>1243</v>
      </c>
      <c r="O504" t="s">
        <v>1244</v>
      </c>
      <c r="P504" t="s">
        <v>1245</v>
      </c>
      <c r="Q504" t="s">
        <v>360</v>
      </c>
      <c r="R504"/>
      <c r="S504"/>
      <c r="T504"/>
      <c r="U504"/>
      <c r="V504"/>
      <c r="W504"/>
      <c r="X504"/>
      <c r="Y504"/>
      <c r="Z504"/>
      <c r="AA504"/>
      <c r="AB504"/>
      <c r="AC504"/>
      <c r="AD504" t="n">
        <v>15.7174013208417</v>
      </c>
      <c r="AE504" t="n">
        <v>14.7634011090573</v>
      </c>
      <c r="AF504" t="n">
        <v>13.8044485634847</v>
      </c>
      <c r="AG504" t="n">
        <v>12.842936802974</v>
      </c>
      <c r="AH504" t="n">
        <v>11.8808451141836</v>
      </c>
      <c r="AI504" t="n">
        <v>10.914161084281</v>
      </c>
      <c r="AJ504"/>
      <c r="AK504"/>
      <c r="AL504"/>
    </row>
    <row r="505">
      <c r="A505" t="s">
        <v>229</v>
      </c>
      <c r="B505" t="s">
        <v>245</v>
      </c>
      <c r="C505" t="s">
        <v>246</v>
      </c>
      <c r="D505" t="s">
        <v>213</v>
      </c>
      <c r="E505" t="s">
        <v>358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</row>
    <row r="506">
      <c r="A506" t="s">
        <v>250</v>
      </c>
      <c r="B506" t="s">
        <v>224</v>
      </c>
      <c r="C506" t="s">
        <v>225</v>
      </c>
      <c r="D506" t="s">
        <v>213</v>
      </c>
      <c r="E506" t="s">
        <v>297</v>
      </c>
      <c r="F506"/>
      <c r="G506"/>
      <c r="H506"/>
      <c r="I506" t="s">
        <v>1246</v>
      </c>
      <c r="J506" t="s">
        <v>1247</v>
      </c>
      <c r="K506" t="s">
        <v>1248</v>
      </c>
      <c r="L506" t="s">
        <v>1249</v>
      </c>
      <c r="M506" t="s">
        <v>1250</v>
      </c>
      <c r="N506" t="s">
        <v>1251</v>
      </c>
      <c r="O506" t="s">
        <v>1252</v>
      </c>
      <c r="P506" t="s">
        <v>1253</v>
      </c>
      <c r="Q506" t="s">
        <v>1254</v>
      </c>
      <c r="R506" t="s">
        <v>1255</v>
      </c>
      <c r="S506" t="s">
        <v>1256</v>
      </c>
      <c r="T506" t="s">
        <v>1257</v>
      </c>
      <c r="U506" t="s">
        <v>1258</v>
      </c>
      <c r="V506" t="s">
        <v>1259</v>
      </c>
      <c r="W506" t="s">
        <v>1260</v>
      </c>
      <c r="X506" t="s">
        <v>1261</v>
      </c>
      <c r="Y506" t="s">
        <v>1262</v>
      </c>
      <c r="Z506" t="s">
        <v>1263</v>
      </c>
      <c r="AA506"/>
      <c r="AB506"/>
      <c r="AC506"/>
      <c r="AD506" t="n">
        <v>428631</v>
      </c>
      <c r="AE506" t="n">
        <v>416194</v>
      </c>
      <c r="AF506" t="n">
        <v>403757</v>
      </c>
      <c r="AG506" t="n">
        <v>391320</v>
      </c>
      <c r="AH506" t="n">
        <v>378883</v>
      </c>
      <c r="AI506" t="n">
        <v>366446</v>
      </c>
      <c r="AJ506" t="n">
        <v>354009</v>
      </c>
      <c r="AK506" t="n">
        <v>341572</v>
      </c>
      <c r="AL506" t="n">
        <v>329135</v>
      </c>
    </row>
    <row r="507">
      <c r="A507" t="s">
        <v>250</v>
      </c>
      <c r="B507" t="s">
        <v>224</v>
      </c>
      <c r="C507" t="s">
        <v>225</v>
      </c>
      <c r="D507" t="s">
        <v>213</v>
      </c>
      <c r="E507" t="s">
        <v>316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</row>
    <row r="508">
      <c r="A508" t="s">
        <v>250</v>
      </c>
      <c r="B508" t="s">
        <v>224</v>
      </c>
      <c r="C508" t="s">
        <v>225</v>
      </c>
      <c r="D508" t="s">
        <v>213</v>
      </c>
      <c r="E508" t="s">
        <v>317</v>
      </c>
      <c r="F508"/>
      <c r="G508"/>
      <c r="H508"/>
      <c r="I508" t="s">
        <v>1264</v>
      </c>
      <c r="J508" t="s">
        <v>1265</v>
      </c>
      <c r="K508" t="s">
        <v>1266</v>
      </c>
      <c r="L508" t="s">
        <v>1267</v>
      </c>
      <c r="M508" t="s">
        <v>1268</v>
      </c>
      <c r="N508" t="s">
        <v>1269</v>
      </c>
      <c r="O508" t="s">
        <v>1270</v>
      </c>
      <c r="P508" t="s">
        <v>1271</v>
      </c>
      <c r="Q508" t="s">
        <v>1272</v>
      </c>
      <c r="R508" t="s">
        <v>1270</v>
      </c>
      <c r="S508" t="s">
        <v>1273</v>
      </c>
      <c r="T508" t="s">
        <v>1274</v>
      </c>
      <c r="U508" t="s">
        <v>1275</v>
      </c>
      <c r="V508" t="s">
        <v>1276</v>
      </c>
      <c r="W508" t="s">
        <v>1277</v>
      </c>
      <c r="X508" t="s">
        <v>1278</v>
      </c>
      <c r="Y508" t="s">
        <v>1274</v>
      </c>
      <c r="Z508" t="s">
        <v>1279</v>
      </c>
      <c r="AA508"/>
      <c r="AB508"/>
      <c r="AC508"/>
      <c r="AD508" t="n">
        <v>12437</v>
      </c>
      <c r="AE508" t="n">
        <v>12437</v>
      </c>
      <c r="AF508" t="n">
        <v>12437</v>
      </c>
      <c r="AG508" t="n">
        <v>12437</v>
      </c>
      <c r="AH508" t="n">
        <v>12437</v>
      </c>
      <c r="AI508" t="n">
        <v>12437</v>
      </c>
      <c r="AJ508" t="n">
        <v>12437</v>
      </c>
      <c r="AK508" t="n">
        <v>12437</v>
      </c>
      <c r="AL508" t="n">
        <v>12437</v>
      </c>
    </row>
    <row r="509">
      <c r="A509" t="s">
        <v>250</v>
      </c>
      <c r="B509" t="s">
        <v>224</v>
      </c>
      <c r="C509" t="s">
        <v>225</v>
      </c>
      <c r="D509" t="s">
        <v>213</v>
      </c>
      <c r="E509" t="s">
        <v>320</v>
      </c>
      <c r="F509"/>
      <c r="G509"/>
      <c r="H509"/>
      <c r="I509" t="s">
        <v>1247</v>
      </c>
      <c r="J509" t="s">
        <v>1248</v>
      </c>
      <c r="K509" t="s">
        <v>1249</v>
      </c>
      <c r="L509" t="s">
        <v>1250</v>
      </c>
      <c r="M509" t="s">
        <v>1251</v>
      </c>
      <c r="N509" t="s">
        <v>1252</v>
      </c>
      <c r="O509" t="s">
        <v>1253</v>
      </c>
      <c r="P509" t="s">
        <v>1254</v>
      </c>
      <c r="Q509" t="s">
        <v>1255</v>
      </c>
      <c r="R509" t="s">
        <v>1256</v>
      </c>
      <c r="S509" t="s">
        <v>1257</v>
      </c>
      <c r="T509" t="s">
        <v>1258</v>
      </c>
      <c r="U509" t="s">
        <v>1259</v>
      </c>
      <c r="V509" t="s">
        <v>1260</v>
      </c>
      <c r="W509" t="s">
        <v>1261</v>
      </c>
      <c r="X509" t="s">
        <v>1262</v>
      </c>
      <c r="Y509" t="s">
        <v>1263</v>
      </c>
      <c r="Z509" t="s">
        <v>1280</v>
      </c>
      <c r="AA509"/>
      <c r="AB509"/>
      <c r="AC509"/>
      <c r="AD509" t="n">
        <v>416194</v>
      </c>
      <c r="AE509" t="n">
        <v>403757</v>
      </c>
      <c r="AF509" t="n">
        <v>391320</v>
      </c>
      <c r="AG509" t="n">
        <v>378883</v>
      </c>
      <c r="AH509" t="n">
        <v>366446</v>
      </c>
      <c r="AI509" t="n">
        <v>354009</v>
      </c>
      <c r="AJ509" t="n">
        <v>341572</v>
      </c>
      <c r="AK509" t="n">
        <v>329135</v>
      </c>
      <c r="AL509" t="n">
        <v>316698</v>
      </c>
    </row>
    <row r="510">
      <c r="A510" t="s">
        <v>250</v>
      </c>
      <c r="B510" t="s">
        <v>224</v>
      </c>
      <c r="C510" t="s">
        <v>225</v>
      </c>
      <c r="D510" t="s">
        <v>213</v>
      </c>
      <c r="E510" t="s">
        <v>323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 t="n">
        <v>3</v>
      </c>
      <c r="AE510" t="n">
        <v>3</v>
      </c>
      <c r="AF510" t="n">
        <v>3</v>
      </c>
      <c r="AG510" t="n">
        <v>3</v>
      </c>
      <c r="AH510" t="n">
        <v>3</v>
      </c>
      <c r="AI510" t="n">
        <v>3</v>
      </c>
      <c r="AJ510" t="n">
        <v>3</v>
      </c>
      <c r="AK510" t="n">
        <v>3</v>
      </c>
      <c r="AL510" t="n">
        <v>3</v>
      </c>
    </row>
    <row r="511">
      <c r="A511" t="s">
        <v>250</v>
      </c>
      <c r="B511" t="s">
        <v>224</v>
      </c>
      <c r="C511" t="s">
        <v>225</v>
      </c>
      <c r="D511" t="s">
        <v>213</v>
      </c>
      <c r="E511" t="s">
        <v>324</v>
      </c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 t="n">
        <v>6</v>
      </c>
      <c r="AE511" t="n">
        <v>6</v>
      </c>
      <c r="AF511" t="n">
        <v>6</v>
      </c>
      <c r="AG511" t="n">
        <v>6</v>
      </c>
      <c r="AH511" t="n">
        <v>6</v>
      </c>
      <c r="AI511" t="n">
        <v>6</v>
      </c>
      <c r="AJ511" t="n">
        <v>6</v>
      </c>
      <c r="AK511" t="n">
        <v>6</v>
      </c>
      <c r="AL511" t="n">
        <v>6</v>
      </c>
    </row>
    <row r="512">
      <c r="A512" t="s">
        <v>250</v>
      </c>
      <c r="B512" t="s">
        <v>224</v>
      </c>
      <c r="C512" t="s">
        <v>225</v>
      </c>
      <c r="D512" t="s">
        <v>213</v>
      </c>
      <c r="E512" t="s">
        <v>325</v>
      </c>
      <c r="F512"/>
      <c r="G512"/>
      <c r="H512"/>
      <c r="I512" t="s">
        <v>254</v>
      </c>
      <c r="J512"/>
      <c r="K512" t="s">
        <v>259</v>
      </c>
      <c r="L512"/>
      <c r="M512"/>
      <c r="N512" t="s">
        <v>259</v>
      </c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 t="n">
        <v>6</v>
      </c>
      <c r="AE512" t="n">
        <v>6</v>
      </c>
      <c r="AF512" t="n">
        <v>6</v>
      </c>
      <c r="AG512" t="n">
        <v>6</v>
      </c>
      <c r="AH512" t="n">
        <v>6</v>
      </c>
      <c r="AI512" t="n">
        <v>6</v>
      </c>
      <c r="AJ512" t="n">
        <v>6</v>
      </c>
      <c r="AK512" t="n">
        <v>6</v>
      </c>
      <c r="AL512" t="n">
        <v>6</v>
      </c>
    </row>
    <row r="513">
      <c r="A513" t="s">
        <v>250</v>
      </c>
      <c r="B513" t="s">
        <v>224</v>
      </c>
      <c r="C513" t="s">
        <v>225</v>
      </c>
      <c r="D513" t="s">
        <v>213</v>
      </c>
      <c r="E513" t="s">
        <v>326</v>
      </c>
      <c r="F513"/>
      <c r="G513"/>
      <c r="H513"/>
      <c r="I513" t="s">
        <v>1281</v>
      </c>
      <c r="J513"/>
      <c r="K513" t="s">
        <v>1282</v>
      </c>
      <c r="L513"/>
      <c r="M513"/>
      <c r="N513" t="s">
        <v>1283</v>
      </c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 t="n">
        <v>33.4641794645011</v>
      </c>
      <c r="AE513" t="n">
        <v>32.4641794645011</v>
      </c>
      <c r="AF513" t="n">
        <v>31.4641794645011</v>
      </c>
      <c r="AG513" t="n">
        <v>30.4641794645011</v>
      </c>
      <c r="AH513" t="n">
        <v>29.4641794645011</v>
      </c>
      <c r="AI513" t="n">
        <v>28.4641794645011</v>
      </c>
      <c r="AJ513" t="n">
        <v>27.4641794645011</v>
      </c>
      <c r="AK513" t="n">
        <v>26.4641794645011</v>
      </c>
      <c r="AL513" t="n">
        <v>25.4641794645011</v>
      </c>
    </row>
    <row r="514">
      <c r="A514" t="s">
        <v>250</v>
      </c>
      <c r="B514" t="s">
        <v>224</v>
      </c>
      <c r="C514" t="s">
        <v>225</v>
      </c>
      <c r="D514" t="s">
        <v>213</v>
      </c>
      <c r="E514" t="s">
        <v>329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</row>
    <row r="515">
      <c r="A515" t="s">
        <v>250</v>
      </c>
      <c r="B515" t="s">
        <v>224</v>
      </c>
      <c r="C515" t="s">
        <v>225</v>
      </c>
      <c r="D515" t="s">
        <v>213</v>
      </c>
      <c r="E515" t="s">
        <v>330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</row>
    <row r="516">
      <c r="A516" t="s">
        <v>250</v>
      </c>
      <c r="B516" t="s">
        <v>224</v>
      </c>
      <c r="C516" t="s">
        <v>225</v>
      </c>
      <c r="D516" t="s">
        <v>213</v>
      </c>
      <c r="E516" t="s">
        <v>331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</row>
    <row r="517">
      <c r="A517" t="s">
        <v>250</v>
      </c>
      <c r="B517" t="s">
        <v>224</v>
      </c>
      <c r="C517" t="s">
        <v>225</v>
      </c>
      <c r="D517" t="s">
        <v>213</v>
      </c>
      <c r="E517" t="s">
        <v>332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</row>
    <row r="518">
      <c r="A518" t="s">
        <v>250</v>
      </c>
      <c r="B518" t="s">
        <v>224</v>
      </c>
      <c r="C518" t="s">
        <v>225</v>
      </c>
      <c r="D518" t="s">
        <v>213</v>
      </c>
      <c r="E518" t="s">
        <v>333</v>
      </c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</row>
    <row r="519">
      <c r="A519" t="s">
        <v>250</v>
      </c>
      <c r="B519" t="s">
        <v>224</v>
      </c>
      <c r="C519" t="s">
        <v>225</v>
      </c>
      <c r="D519" t="s">
        <v>213</v>
      </c>
      <c r="E519" t="s">
        <v>334</v>
      </c>
      <c r="F519"/>
      <c r="G519"/>
      <c r="H519"/>
      <c r="I519" t="s">
        <v>961</v>
      </c>
      <c r="J519" t="s">
        <v>961</v>
      </c>
      <c r="K519" t="s">
        <v>961</v>
      </c>
      <c r="L519" t="s">
        <v>961</v>
      </c>
      <c r="M519" t="s">
        <v>961</v>
      </c>
      <c r="N519" t="s">
        <v>961</v>
      </c>
      <c r="O519" t="s">
        <v>961</v>
      </c>
      <c r="P519" t="s">
        <v>961</v>
      </c>
      <c r="Q519" t="s">
        <v>961</v>
      </c>
      <c r="R519" t="s">
        <v>961</v>
      </c>
      <c r="S519" t="s">
        <v>961</v>
      </c>
      <c r="T519" t="s">
        <v>961</v>
      </c>
      <c r="U519" t="s">
        <v>961</v>
      </c>
      <c r="V519" t="s">
        <v>961</v>
      </c>
      <c r="W519" t="s">
        <v>961</v>
      </c>
      <c r="X519" t="s">
        <v>961</v>
      </c>
      <c r="Y519" t="s">
        <v>961</v>
      </c>
      <c r="Z519" t="s">
        <v>961</v>
      </c>
      <c r="AA519"/>
      <c r="AB519"/>
      <c r="AC519"/>
      <c r="AD519"/>
      <c r="AE519"/>
      <c r="AF519"/>
      <c r="AG519"/>
      <c r="AH519"/>
      <c r="AI519"/>
      <c r="AJ519"/>
      <c r="AK519"/>
      <c r="AL519"/>
    </row>
    <row r="520">
      <c r="A520" t="s">
        <v>250</v>
      </c>
      <c r="B520" t="s">
        <v>224</v>
      </c>
      <c r="C520" t="s">
        <v>225</v>
      </c>
      <c r="D520" t="s">
        <v>213</v>
      </c>
      <c r="E520" t="s">
        <v>336</v>
      </c>
      <c r="F520"/>
      <c r="G520"/>
      <c r="H520"/>
      <c r="I520" t="s">
        <v>417</v>
      </c>
      <c r="J520" t="s">
        <v>417</v>
      </c>
      <c r="K520" t="s">
        <v>417</v>
      </c>
      <c r="L520" t="s">
        <v>417</v>
      </c>
      <c r="M520" t="s">
        <v>417</v>
      </c>
      <c r="N520" t="s">
        <v>417</v>
      </c>
      <c r="O520" t="s">
        <v>417</v>
      </c>
      <c r="P520" t="s">
        <v>417</v>
      </c>
      <c r="Q520" t="s">
        <v>417</v>
      </c>
      <c r="R520" t="s">
        <v>417</v>
      </c>
      <c r="S520" t="s">
        <v>417</v>
      </c>
      <c r="T520" t="s">
        <v>417</v>
      </c>
      <c r="U520" t="s">
        <v>417</v>
      </c>
      <c r="V520" t="s">
        <v>417</v>
      </c>
      <c r="W520" t="s">
        <v>417</v>
      </c>
      <c r="X520" t="s">
        <v>417</v>
      </c>
      <c r="Y520" t="s">
        <v>417</v>
      </c>
      <c r="Z520" t="s">
        <v>417</v>
      </c>
      <c r="AA520"/>
      <c r="AB520"/>
      <c r="AC520"/>
      <c r="AD520"/>
      <c r="AE520"/>
      <c r="AF520"/>
      <c r="AG520"/>
      <c r="AH520"/>
      <c r="AI520"/>
      <c r="AJ520"/>
      <c r="AK520"/>
      <c r="AL520"/>
    </row>
    <row r="521">
      <c r="A521" t="s">
        <v>250</v>
      </c>
      <c r="B521" t="s">
        <v>224</v>
      </c>
      <c r="C521" t="s">
        <v>225</v>
      </c>
      <c r="D521" t="s">
        <v>213</v>
      </c>
      <c r="E521" t="s">
        <v>338</v>
      </c>
      <c r="F521"/>
      <c r="G521"/>
      <c r="H521"/>
      <c r="I521" t="s">
        <v>417</v>
      </c>
      <c r="J521" t="s">
        <v>417</v>
      </c>
      <c r="K521" t="s">
        <v>417</v>
      </c>
      <c r="L521" t="s">
        <v>417</v>
      </c>
      <c r="M521" t="s">
        <v>417</v>
      </c>
      <c r="N521" t="s">
        <v>417</v>
      </c>
      <c r="O521" t="s">
        <v>417</v>
      </c>
      <c r="P521" t="s">
        <v>417</v>
      </c>
      <c r="Q521" t="s">
        <v>417</v>
      </c>
      <c r="R521" t="s">
        <v>417</v>
      </c>
      <c r="S521" t="s">
        <v>417</v>
      </c>
      <c r="T521" t="s">
        <v>417</v>
      </c>
      <c r="U521" t="s">
        <v>417</v>
      </c>
      <c r="V521" t="s">
        <v>417</v>
      </c>
      <c r="W521" t="s">
        <v>417</v>
      </c>
      <c r="X521" t="s">
        <v>417</v>
      </c>
      <c r="Y521" t="s">
        <v>417</v>
      </c>
      <c r="Z521" t="s">
        <v>417</v>
      </c>
      <c r="AA521"/>
      <c r="AB521"/>
      <c r="AC521"/>
      <c r="AD521"/>
      <c r="AE521"/>
      <c r="AF521"/>
      <c r="AG521"/>
      <c r="AH521"/>
      <c r="AI521"/>
      <c r="AJ521"/>
      <c r="AK521"/>
      <c r="AL521"/>
    </row>
    <row r="522">
      <c r="A522" t="s">
        <v>250</v>
      </c>
      <c r="B522" t="s">
        <v>224</v>
      </c>
      <c r="C522" t="s">
        <v>225</v>
      </c>
      <c r="D522" t="s">
        <v>213</v>
      </c>
      <c r="E522" t="s">
        <v>339</v>
      </c>
      <c r="F522"/>
      <c r="G522"/>
      <c r="H522"/>
      <c r="I522" t="s">
        <v>1284</v>
      </c>
      <c r="J522" t="s">
        <v>1285</v>
      </c>
      <c r="K522" t="s">
        <v>1286</v>
      </c>
      <c r="L522" t="s">
        <v>1287</v>
      </c>
      <c r="M522" t="s">
        <v>1288</v>
      </c>
      <c r="N522" t="s">
        <v>1289</v>
      </c>
      <c r="O522" t="s">
        <v>1290</v>
      </c>
      <c r="P522" t="s">
        <v>1291</v>
      </c>
      <c r="Q522" t="s">
        <v>1292</v>
      </c>
      <c r="R522" t="s">
        <v>1293</v>
      </c>
      <c r="S522" t="s">
        <v>1294</v>
      </c>
      <c r="T522" t="s">
        <v>1295</v>
      </c>
      <c r="U522" t="s">
        <v>1296</v>
      </c>
      <c r="V522" t="s">
        <v>1297</v>
      </c>
      <c r="W522" t="s">
        <v>1298</v>
      </c>
      <c r="X522" t="s">
        <v>1299</v>
      </c>
      <c r="Y522" t="s">
        <v>1300</v>
      </c>
      <c r="Z522" t="s">
        <v>1301</v>
      </c>
      <c r="AA522"/>
      <c r="AB522"/>
      <c r="AC522"/>
      <c r="AD522"/>
      <c r="AE522"/>
      <c r="AF522"/>
      <c r="AG522"/>
      <c r="AH522"/>
      <c r="AI522"/>
      <c r="AJ522"/>
      <c r="AK522"/>
      <c r="AL522"/>
    </row>
    <row r="523">
      <c r="A523" t="s">
        <v>250</v>
      </c>
      <c r="B523" t="s">
        <v>224</v>
      </c>
      <c r="C523" t="s">
        <v>225</v>
      </c>
      <c r="D523" t="s">
        <v>213</v>
      </c>
      <c r="E523" t="s">
        <v>358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</row>
    <row r="524">
      <c r="A524" t="s">
        <v>226</v>
      </c>
      <c r="B524" t="s">
        <v>224</v>
      </c>
      <c r="C524" t="s">
        <v>225</v>
      </c>
      <c r="D524" t="s">
        <v>213</v>
      </c>
      <c r="E524" t="s">
        <v>297</v>
      </c>
      <c r="F524"/>
      <c r="G524"/>
      <c r="H524"/>
      <c r="I524" t="s">
        <v>1302</v>
      </c>
      <c r="J524" t="s">
        <v>1303</v>
      </c>
      <c r="K524" t="s">
        <v>1304</v>
      </c>
      <c r="L524" t="s">
        <v>1305</v>
      </c>
      <c r="M524" t="s">
        <v>1306</v>
      </c>
      <c r="N524" t="s">
        <v>1307</v>
      </c>
      <c r="O524" t="s">
        <v>1308</v>
      </c>
      <c r="P524" t="s">
        <v>1309</v>
      </c>
      <c r="Q524" t="s">
        <v>1310</v>
      </c>
      <c r="R524" t="s">
        <v>1311</v>
      </c>
      <c r="S524" t="s">
        <v>1312</v>
      </c>
      <c r="T524" t="s">
        <v>1313</v>
      </c>
      <c r="U524" t="s">
        <v>1314</v>
      </c>
      <c r="V524" t="s">
        <v>1315</v>
      </c>
      <c r="W524" t="s">
        <v>1316</v>
      </c>
      <c r="X524" t="s">
        <v>1317</v>
      </c>
      <c r="Y524" t="s">
        <v>1318</v>
      </c>
      <c r="Z524" t="s">
        <v>1319</v>
      </c>
      <c r="AA524" t="s">
        <v>1320</v>
      </c>
      <c r="AB524" t="s">
        <v>1321</v>
      </c>
      <c r="AC524" t="s">
        <v>1322</v>
      </c>
      <c r="AD524"/>
      <c r="AE524"/>
      <c r="AF524"/>
      <c r="AG524"/>
      <c r="AH524"/>
      <c r="AI524"/>
      <c r="AJ524"/>
      <c r="AK524"/>
      <c r="AL524"/>
    </row>
    <row r="525">
      <c r="A525" t="s">
        <v>226</v>
      </c>
      <c r="B525" t="s">
        <v>224</v>
      </c>
      <c r="C525" t="s">
        <v>225</v>
      </c>
      <c r="D525" t="s">
        <v>213</v>
      </c>
      <c r="E525" t="s">
        <v>316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</row>
    <row r="526">
      <c r="A526" t="s">
        <v>226</v>
      </c>
      <c r="B526" t="s">
        <v>224</v>
      </c>
      <c r="C526" t="s">
        <v>225</v>
      </c>
      <c r="D526" t="s">
        <v>213</v>
      </c>
      <c r="E526" t="s">
        <v>317</v>
      </c>
      <c r="F526"/>
      <c r="G526"/>
      <c r="H526"/>
      <c r="I526" t="s">
        <v>1323</v>
      </c>
      <c r="J526" t="s">
        <v>1323</v>
      </c>
      <c r="K526" t="s">
        <v>1323</v>
      </c>
      <c r="L526" t="s">
        <v>1323</v>
      </c>
      <c r="M526" t="s">
        <v>1323</v>
      </c>
      <c r="N526" t="s">
        <v>1323</v>
      </c>
      <c r="O526" t="s">
        <v>1323</v>
      </c>
      <c r="P526" t="s">
        <v>1323</v>
      </c>
      <c r="Q526" t="s">
        <v>1323</v>
      </c>
      <c r="R526" t="s">
        <v>1324</v>
      </c>
      <c r="S526" t="s">
        <v>1324</v>
      </c>
      <c r="T526" t="s">
        <v>1324</v>
      </c>
      <c r="U526" t="s">
        <v>1324</v>
      </c>
      <c r="V526" t="s">
        <v>1324</v>
      </c>
      <c r="W526" t="s">
        <v>1324</v>
      </c>
      <c r="X526" t="s">
        <v>1324</v>
      </c>
      <c r="Y526" t="s">
        <v>1324</v>
      </c>
      <c r="Z526" t="s">
        <v>1324</v>
      </c>
      <c r="AA526" t="s">
        <v>1324</v>
      </c>
      <c r="AB526" t="s">
        <v>1324</v>
      </c>
      <c r="AC526" t="s">
        <v>1324</v>
      </c>
      <c r="AD526"/>
      <c r="AE526"/>
      <c r="AF526"/>
      <c r="AG526"/>
      <c r="AH526"/>
      <c r="AI526"/>
      <c r="AJ526"/>
      <c r="AK526"/>
      <c r="AL526"/>
    </row>
    <row r="527">
      <c r="A527" t="s">
        <v>226</v>
      </c>
      <c r="B527" t="s">
        <v>224</v>
      </c>
      <c r="C527" t="s">
        <v>225</v>
      </c>
      <c r="D527" t="s">
        <v>213</v>
      </c>
      <c r="E527" t="s">
        <v>320</v>
      </c>
      <c r="F527"/>
      <c r="G527"/>
      <c r="H527"/>
      <c r="I527" t="s">
        <v>1303</v>
      </c>
      <c r="J527" t="s">
        <v>1304</v>
      </c>
      <c r="K527" t="s">
        <v>1305</v>
      </c>
      <c r="L527" t="s">
        <v>1306</v>
      </c>
      <c r="M527" t="s">
        <v>1307</v>
      </c>
      <c r="N527" t="s">
        <v>1308</v>
      </c>
      <c r="O527" t="s">
        <v>1309</v>
      </c>
      <c r="P527" t="s">
        <v>1310</v>
      </c>
      <c r="Q527" t="s">
        <v>1311</v>
      </c>
      <c r="R527" t="s">
        <v>1312</v>
      </c>
      <c r="S527" t="s">
        <v>1313</v>
      </c>
      <c r="T527" t="s">
        <v>1314</v>
      </c>
      <c r="U527" t="s">
        <v>1315</v>
      </c>
      <c r="V527" t="s">
        <v>1316</v>
      </c>
      <c r="W527" t="s">
        <v>1317</v>
      </c>
      <c r="X527" t="s">
        <v>1318</v>
      </c>
      <c r="Y527" t="s">
        <v>1319</v>
      </c>
      <c r="Z527" t="s">
        <v>1320</v>
      </c>
      <c r="AA527" t="s">
        <v>1321</v>
      </c>
      <c r="AB527" t="s">
        <v>1322</v>
      </c>
      <c r="AC527" t="s">
        <v>1325</v>
      </c>
      <c r="AD527"/>
      <c r="AE527"/>
      <c r="AF527"/>
      <c r="AG527"/>
      <c r="AH527"/>
      <c r="AI527"/>
      <c r="AJ527"/>
      <c r="AK527"/>
      <c r="AL527"/>
    </row>
    <row r="528">
      <c r="A528" t="s">
        <v>226</v>
      </c>
      <c r="B528" t="s">
        <v>224</v>
      </c>
      <c r="C528" t="s">
        <v>225</v>
      </c>
      <c r="D528" t="s">
        <v>213</v>
      </c>
      <c r="E528" t="s">
        <v>323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</row>
    <row r="529">
      <c r="A529" t="s">
        <v>226</v>
      </c>
      <c r="B529" t="s">
        <v>224</v>
      </c>
      <c r="C529" t="s">
        <v>225</v>
      </c>
      <c r="D529" t="s">
        <v>213</v>
      </c>
      <c r="E529" t="s">
        <v>324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</row>
    <row r="530">
      <c r="A530" t="s">
        <v>226</v>
      </c>
      <c r="B530" t="s">
        <v>224</v>
      </c>
      <c r="C530" t="s">
        <v>225</v>
      </c>
      <c r="D530" t="s">
        <v>213</v>
      </c>
      <c r="E530" t="s">
        <v>325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</row>
    <row r="531">
      <c r="A531" t="s">
        <v>226</v>
      </c>
      <c r="B531" t="s">
        <v>224</v>
      </c>
      <c r="C531" t="s">
        <v>225</v>
      </c>
      <c r="D531" t="s">
        <v>213</v>
      </c>
      <c r="E531" t="s">
        <v>326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</row>
    <row r="532">
      <c r="A532" t="s">
        <v>226</v>
      </c>
      <c r="B532" t="s">
        <v>224</v>
      </c>
      <c r="C532" t="s">
        <v>225</v>
      </c>
      <c r="D532" t="s">
        <v>213</v>
      </c>
      <c r="E532" t="s">
        <v>329</v>
      </c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</row>
    <row r="533">
      <c r="A533" t="s">
        <v>226</v>
      </c>
      <c r="B533" t="s">
        <v>224</v>
      </c>
      <c r="C533" t="s">
        <v>225</v>
      </c>
      <c r="D533" t="s">
        <v>213</v>
      </c>
      <c r="E533" t="s">
        <v>330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</row>
    <row r="534">
      <c r="A534" t="s">
        <v>226</v>
      </c>
      <c r="B534" t="s">
        <v>224</v>
      </c>
      <c r="C534" t="s">
        <v>225</v>
      </c>
      <c r="D534" t="s">
        <v>213</v>
      </c>
      <c r="E534" t="s">
        <v>331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</row>
    <row r="535">
      <c r="A535" t="s">
        <v>226</v>
      </c>
      <c r="B535" t="s">
        <v>224</v>
      </c>
      <c r="C535" t="s">
        <v>225</v>
      </c>
      <c r="D535" t="s">
        <v>213</v>
      </c>
      <c r="E535" t="s">
        <v>332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</row>
    <row r="536">
      <c r="A536" t="s">
        <v>226</v>
      </c>
      <c r="B536" t="s">
        <v>224</v>
      </c>
      <c r="C536" t="s">
        <v>225</v>
      </c>
      <c r="D536" t="s">
        <v>213</v>
      </c>
      <c r="E536" t="s">
        <v>333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</row>
    <row r="537">
      <c r="A537" t="s">
        <v>226</v>
      </c>
      <c r="B537" t="s">
        <v>224</v>
      </c>
      <c r="C537" t="s">
        <v>225</v>
      </c>
      <c r="D537" t="s">
        <v>213</v>
      </c>
      <c r="E537" t="s">
        <v>334</v>
      </c>
      <c r="F537"/>
      <c r="G537"/>
      <c r="H537"/>
      <c r="I537" t="s">
        <v>392</v>
      </c>
      <c r="J537" t="s">
        <v>392</v>
      </c>
      <c r="K537" t="s">
        <v>392</v>
      </c>
      <c r="L537" t="s">
        <v>392</v>
      </c>
      <c r="M537" t="s">
        <v>392</v>
      </c>
      <c r="N537" t="s">
        <v>392</v>
      </c>
      <c r="O537" t="s">
        <v>392</v>
      </c>
      <c r="P537" t="s">
        <v>392</v>
      </c>
      <c r="Q537" t="s">
        <v>392</v>
      </c>
      <c r="R537" t="s">
        <v>392</v>
      </c>
      <c r="S537" t="s">
        <v>392</v>
      </c>
      <c r="T537" t="s">
        <v>392</v>
      </c>
      <c r="U537" t="s">
        <v>392</v>
      </c>
      <c r="V537" t="s">
        <v>392</v>
      </c>
      <c r="W537" t="s">
        <v>392</v>
      </c>
      <c r="X537" t="s">
        <v>392</v>
      </c>
      <c r="Y537" t="s">
        <v>392</v>
      </c>
      <c r="Z537" t="s">
        <v>392</v>
      </c>
      <c r="AA537" t="s">
        <v>392</v>
      </c>
      <c r="AB537" t="s">
        <v>392</v>
      </c>
      <c r="AC537" t="s">
        <v>392</v>
      </c>
      <c r="AD537"/>
      <c r="AE537"/>
      <c r="AF537"/>
      <c r="AG537"/>
      <c r="AH537"/>
      <c r="AI537"/>
      <c r="AJ537"/>
      <c r="AK537"/>
      <c r="AL537"/>
    </row>
    <row r="538">
      <c r="A538" t="s">
        <v>226</v>
      </c>
      <c r="B538" t="s">
        <v>224</v>
      </c>
      <c r="C538" t="s">
        <v>225</v>
      </c>
      <c r="D538" t="s">
        <v>213</v>
      </c>
      <c r="E538" t="s">
        <v>336</v>
      </c>
      <c r="F538"/>
      <c r="G538"/>
      <c r="H538"/>
      <c r="I538" t="s">
        <v>335</v>
      </c>
      <c r="J538" t="s">
        <v>335</v>
      </c>
      <c r="K538" t="s">
        <v>335</v>
      </c>
      <c r="L538" t="s">
        <v>335</v>
      </c>
      <c r="M538" t="s">
        <v>335</v>
      </c>
      <c r="N538" t="s">
        <v>335</v>
      </c>
      <c r="O538" t="s">
        <v>335</v>
      </c>
      <c r="P538" t="s">
        <v>335</v>
      </c>
      <c r="Q538" t="s">
        <v>335</v>
      </c>
      <c r="R538" t="s">
        <v>335</v>
      </c>
      <c r="S538" t="s">
        <v>335</v>
      </c>
      <c r="T538" t="s">
        <v>335</v>
      </c>
      <c r="U538" t="s">
        <v>335</v>
      </c>
      <c r="V538" t="s">
        <v>335</v>
      </c>
      <c r="W538" t="s">
        <v>335</v>
      </c>
      <c r="X538" t="s">
        <v>335</v>
      </c>
      <c r="Y538" t="s">
        <v>335</v>
      </c>
      <c r="Z538" t="s">
        <v>335</v>
      </c>
      <c r="AA538" t="s">
        <v>335</v>
      </c>
      <c r="AB538" t="s">
        <v>335</v>
      </c>
      <c r="AC538" t="s">
        <v>335</v>
      </c>
      <c r="AD538"/>
      <c r="AE538"/>
      <c r="AF538"/>
      <c r="AG538"/>
      <c r="AH538"/>
      <c r="AI538"/>
      <c r="AJ538"/>
      <c r="AK538"/>
      <c r="AL538"/>
    </row>
    <row r="539">
      <c r="A539" t="s">
        <v>226</v>
      </c>
      <c r="B539" t="s">
        <v>224</v>
      </c>
      <c r="C539" t="s">
        <v>225</v>
      </c>
      <c r="D539" t="s">
        <v>213</v>
      </c>
      <c r="E539" t="s">
        <v>338</v>
      </c>
      <c r="F539"/>
      <c r="G539"/>
      <c r="H539"/>
      <c r="I539" t="s">
        <v>335</v>
      </c>
      <c r="J539" t="s">
        <v>335</v>
      </c>
      <c r="K539" t="s">
        <v>335</v>
      </c>
      <c r="L539" t="s">
        <v>335</v>
      </c>
      <c r="M539" t="s">
        <v>335</v>
      </c>
      <c r="N539" t="s">
        <v>335</v>
      </c>
      <c r="O539" t="s">
        <v>335</v>
      </c>
      <c r="P539" t="s">
        <v>335</v>
      </c>
      <c r="Q539" t="s">
        <v>335</v>
      </c>
      <c r="R539" t="s">
        <v>335</v>
      </c>
      <c r="S539" t="s">
        <v>335</v>
      </c>
      <c r="T539" t="s">
        <v>335</v>
      </c>
      <c r="U539" t="s">
        <v>335</v>
      </c>
      <c r="V539" t="s">
        <v>335</v>
      </c>
      <c r="W539" t="s">
        <v>335</v>
      </c>
      <c r="X539" t="s">
        <v>335</v>
      </c>
      <c r="Y539" t="s">
        <v>335</v>
      </c>
      <c r="Z539" t="s">
        <v>335</v>
      </c>
      <c r="AA539" t="s">
        <v>335</v>
      </c>
      <c r="AB539" t="s">
        <v>335</v>
      </c>
      <c r="AC539" t="s">
        <v>335</v>
      </c>
      <c r="AD539"/>
      <c r="AE539"/>
      <c r="AF539"/>
      <c r="AG539"/>
      <c r="AH539"/>
      <c r="AI539"/>
      <c r="AJ539"/>
      <c r="AK539"/>
      <c r="AL539"/>
    </row>
    <row r="540">
      <c r="A540" t="s">
        <v>226</v>
      </c>
      <c r="B540" t="s">
        <v>224</v>
      </c>
      <c r="C540" t="s">
        <v>225</v>
      </c>
      <c r="D540" t="s">
        <v>213</v>
      </c>
      <c r="E540" t="s">
        <v>339</v>
      </c>
      <c r="F540"/>
      <c r="G540"/>
      <c r="H540"/>
      <c r="I540" t="s">
        <v>1326</v>
      </c>
      <c r="J540" t="s">
        <v>1327</v>
      </c>
      <c r="K540" t="s">
        <v>1328</v>
      </c>
      <c r="L540" t="s">
        <v>1329</v>
      </c>
      <c r="M540" t="s">
        <v>1330</v>
      </c>
      <c r="N540" t="s">
        <v>1331</v>
      </c>
      <c r="O540" t="s">
        <v>1332</v>
      </c>
      <c r="P540" t="s">
        <v>1333</v>
      </c>
      <c r="Q540" t="s">
        <v>1334</v>
      </c>
      <c r="R540" t="s">
        <v>1335</v>
      </c>
      <c r="S540" t="s">
        <v>1336</v>
      </c>
      <c r="T540" t="s">
        <v>1337</v>
      </c>
      <c r="U540" t="s">
        <v>1338</v>
      </c>
      <c r="V540" t="s">
        <v>1339</v>
      </c>
      <c r="W540" t="s">
        <v>1340</v>
      </c>
      <c r="X540" t="s">
        <v>1341</v>
      </c>
      <c r="Y540" t="s">
        <v>1342</v>
      </c>
      <c r="Z540" t="s">
        <v>1343</v>
      </c>
      <c r="AA540" t="s">
        <v>1344</v>
      </c>
      <c r="AB540" t="s">
        <v>1345</v>
      </c>
      <c r="AC540" t="s">
        <v>1346</v>
      </c>
      <c r="AD540"/>
      <c r="AE540"/>
      <c r="AF540"/>
      <c r="AG540"/>
      <c r="AH540"/>
      <c r="AI540"/>
      <c r="AJ540"/>
      <c r="AK540"/>
      <c r="AL540"/>
    </row>
    <row r="541">
      <c r="A541" t="s">
        <v>226</v>
      </c>
      <c r="B541" t="s">
        <v>224</v>
      </c>
      <c r="C541" t="s">
        <v>225</v>
      </c>
      <c r="D541" t="s">
        <v>213</v>
      </c>
      <c r="E541" t="s">
        <v>358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</row>
    <row r="542">
      <c r="A542" t="s">
        <v>229</v>
      </c>
      <c r="B542" t="s">
        <v>224</v>
      </c>
      <c r="C542" t="s">
        <v>225</v>
      </c>
      <c r="D542" t="s">
        <v>213</v>
      </c>
      <c r="E542" t="s">
        <v>297</v>
      </c>
      <c r="F542"/>
      <c r="G542"/>
      <c r="H542"/>
      <c r="I542" t="s">
        <v>1347</v>
      </c>
      <c r="J542" t="s">
        <v>1348</v>
      </c>
      <c r="K542" t="s">
        <v>1349</v>
      </c>
      <c r="L542" t="s">
        <v>1350</v>
      </c>
      <c r="M542" t="s">
        <v>1351</v>
      </c>
      <c r="N542" t="s">
        <v>1352</v>
      </c>
      <c r="O542" t="s">
        <v>1353</v>
      </c>
      <c r="P542" t="s">
        <v>1354</v>
      </c>
      <c r="Q542" t="s">
        <v>1355</v>
      </c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</row>
    <row r="543">
      <c r="A543" t="s">
        <v>229</v>
      </c>
      <c r="B543" t="s">
        <v>224</v>
      </c>
      <c r="C543" t="s">
        <v>225</v>
      </c>
      <c r="D543" t="s">
        <v>213</v>
      </c>
      <c r="E543" t="s">
        <v>316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</row>
    <row r="544">
      <c r="A544" t="s">
        <v>229</v>
      </c>
      <c r="B544" t="s">
        <v>224</v>
      </c>
      <c r="C544" t="s">
        <v>225</v>
      </c>
      <c r="D544" t="s">
        <v>213</v>
      </c>
      <c r="E544" t="s">
        <v>317</v>
      </c>
      <c r="F544"/>
      <c r="G544"/>
      <c r="H544"/>
      <c r="I544" t="s">
        <v>1356</v>
      </c>
      <c r="J544" t="s">
        <v>1356</v>
      </c>
      <c r="K544" t="s">
        <v>1356</v>
      </c>
      <c r="L544" t="s">
        <v>1356</v>
      </c>
      <c r="M544" t="s">
        <v>1356</v>
      </c>
      <c r="N544" t="s">
        <v>1356</v>
      </c>
      <c r="O544" t="s">
        <v>1356</v>
      </c>
      <c r="P544" t="s">
        <v>1356</v>
      </c>
      <c r="Q544" t="s">
        <v>1356</v>
      </c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</row>
    <row r="545">
      <c r="A545" t="s">
        <v>229</v>
      </c>
      <c r="B545" t="s">
        <v>224</v>
      </c>
      <c r="C545" t="s">
        <v>225</v>
      </c>
      <c r="D545" t="s">
        <v>213</v>
      </c>
      <c r="E545" t="s">
        <v>320</v>
      </c>
      <c r="F545"/>
      <c r="G545"/>
      <c r="H545"/>
      <c r="I545" t="s">
        <v>1348</v>
      </c>
      <c r="J545" t="s">
        <v>1349</v>
      </c>
      <c r="K545" t="s">
        <v>1350</v>
      </c>
      <c r="L545" t="s">
        <v>1351</v>
      </c>
      <c r="M545" t="s">
        <v>1352</v>
      </c>
      <c r="N545" t="s">
        <v>1353</v>
      </c>
      <c r="O545" t="s">
        <v>1354</v>
      </c>
      <c r="P545" t="s">
        <v>1355</v>
      </c>
      <c r="Q545" t="s">
        <v>1357</v>
      </c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</row>
    <row r="546">
      <c r="A546" t="s">
        <v>229</v>
      </c>
      <c r="B546" t="s">
        <v>224</v>
      </c>
      <c r="C546" t="s">
        <v>225</v>
      </c>
      <c r="D546" t="s">
        <v>213</v>
      </c>
      <c r="E546" t="s">
        <v>323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</row>
    <row r="547">
      <c r="A547" t="s">
        <v>229</v>
      </c>
      <c r="B547" t="s">
        <v>224</v>
      </c>
      <c r="C547" t="s">
        <v>225</v>
      </c>
      <c r="D547" t="s">
        <v>213</v>
      </c>
      <c r="E547" t="s">
        <v>324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</row>
    <row r="548">
      <c r="A548" t="s">
        <v>229</v>
      </c>
      <c r="B548" t="s">
        <v>224</v>
      </c>
      <c r="C548" t="s">
        <v>225</v>
      </c>
      <c r="D548" t="s">
        <v>213</v>
      </c>
      <c r="E548" t="s">
        <v>325</v>
      </c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</row>
    <row r="549">
      <c r="A549" t="s">
        <v>229</v>
      </c>
      <c r="B549" t="s">
        <v>224</v>
      </c>
      <c r="C549" t="s">
        <v>225</v>
      </c>
      <c r="D549" t="s">
        <v>213</v>
      </c>
      <c r="E549" t="s">
        <v>326</v>
      </c>
      <c r="F549"/>
      <c r="G549"/>
      <c r="H549"/>
      <c r="I549"/>
      <c r="J549"/>
      <c r="K549"/>
      <c r="L549" t="s">
        <v>1358</v>
      </c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</row>
    <row r="550">
      <c r="A550" t="s">
        <v>229</v>
      </c>
      <c r="B550" t="s">
        <v>224</v>
      </c>
      <c r="C550" t="s">
        <v>225</v>
      </c>
      <c r="D550" t="s">
        <v>213</v>
      </c>
      <c r="E550" t="s">
        <v>329</v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</row>
    <row r="551">
      <c r="A551" t="s">
        <v>229</v>
      </c>
      <c r="B551" t="s">
        <v>224</v>
      </c>
      <c r="C551" t="s">
        <v>225</v>
      </c>
      <c r="D551" t="s">
        <v>213</v>
      </c>
      <c r="E551" t="s">
        <v>330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 t="n">
        <v>1107499</v>
      </c>
      <c r="AE551" t="n">
        <v>1083826</v>
      </c>
      <c r="AF551" t="n">
        <v>1060150</v>
      </c>
      <c r="AG551" t="n">
        <v>1036483</v>
      </c>
      <c r="AH551" t="n">
        <v>1012818</v>
      </c>
      <c r="AI551" t="n">
        <v>989152</v>
      </c>
      <c r="AJ551"/>
      <c r="AK551"/>
      <c r="AL551"/>
    </row>
    <row r="552">
      <c r="A552" t="s">
        <v>229</v>
      </c>
      <c r="B552" t="s">
        <v>224</v>
      </c>
      <c r="C552" t="s">
        <v>225</v>
      </c>
      <c r="D552" t="s">
        <v>213</v>
      </c>
      <c r="E552" t="s">
        <v>331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</row>
    <row r="553">
      <c r="A553" t="s">
        <v>229</v>
      </c>
      <c r="B553" t="s">
        <v>224</v>
      </c>
      <c r="C553" t="s">
        <v>225</v>
      </c>
      <c r="D553" t="s">
        <v>213</v>
      </c>
      <c r="E553" t="s">
        <v>332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 t="n">
        <v>23673</v>
      </c>
      <c r="AE553" t="n">
        <v>23676</v>
      </c>
      <c r="AF553" t="n">
        <v>23667</v>
      </c>
      <c r="AG553" t="n">
        <v>23665</v>
      </c>
      <c r="AH553" t="n">
        <v>23666</v>
      </c>
      <c r="AI553" t="n">
        <v>23669</v>
      </c>
      <c r="AJ553"/>
      <c r="AK553"/>
      <c r="AL553"/>
    </row>
    <row r="554">
      <c r="A554" t="s">
        <v>229</v>
      </c>
      <c r="B554" t="s">
        <v>224</v>
      </c>
      <c r="C554" t="s">
        <v>225</v>
      </c>
      <c r="D554" t="s">
        <v>213</v>
      </c>
      <c r="E554" t="s">
        <v>333</v>
      </c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 t="n">
        <v>1083826</v>
      </c>
      <c r="AE554" t="n">
        <v>1060150</v>
      </c>
      <c r="AF554" t="n">
        <v>1036483</v>
      </c>
      <c r="AG554" t="n">
        <v>1012818</v>
      </c>
      <c r="AH554" t="n">
        <v>989152</v>
      </c>
      <c r="AI554" t="n">
        <v>965483</v>
      </c>
      <c r="AJ554"/>
      <c r="AK554"/>
      <c r="AL554"/>
    </row>
    <row r="555">
      <c r="A555" t="s">
        <v>229</v>
      </c>
      <c r="B555" t="s">
        <v>224</v>
      </c>
      <c r="C555" t="s">
        <v>225</v>
      </c>
      <c r="D555" t="s">
        <v>213</v>
      </c>
      <c r="E555" t="s">
        <v>334</v>
      </c>
      <c r="F555"/>
      <c r="G555"/>
      <c r="H555"/>
      <c r="I555" t="s">
        <v>416</v>
      </c>
      <c r="J555" t="s">
        <v>416</v>
      </c>
      <c r="K555" t="s">
        <v>416</v>
      </c>
      <c r="L555" t="s">
        <v>416</v>
      </c>
      <c r="M555" t="s">
        <v>416</v>
      </c>
      <c r="N555" t="s">
        <v>416</v>
      </c>
      <c r="O555" t="s">
        <v>416</v>
      </c>
      <c r="P555" t="s">
        <v>416</v>
      </c>
      <c r="Q555" t="s">
        <v>416</v>
      </c>
      <c r="R555"/>
      <c r="S555"/>
      <c r="T555"/>
      <c r="U555"/>
      <c r="V555"/>
      <c r="W555"/>
      <c r="X555"/>
      <c r="Y555"/>
      <c r="Z555"/>
      <c r="AA555"/>
      <c r="AB555"/>
      <c r="AC555"/>
      <c r="AD555" t="n">
        <v>7</v>
      </c>
      <c r="AE555" t="n">
        <v>7</v>
      </c>
      <c r="AF555" t="n">
        <v>7</v>
      </c>
      <c r="AG555" t="n">
        <v>7</v>
      </c>
      <c r="AH555" t="n">
        <v>7</v>
      </c>
      <c r="AI555" t="n">
        <v>7</v>
      </c>
      <c r="AJ555"/>
      <c r="AK555"/>
      <c r="AL555"/>
    </row>
    <row r="556">
      <c r="A556" t="s">
        <v>229</v>
      </c>
      <c r="B556" t="s">
        <v>224</v>
      </c>
      <c r="C556" t="s">
        <v>225</v>
      </c>
      <c r="D556" t="s">
        <v>213</v>
      </c>
      <c r="E556" t="s">
        <v>336</v>
      </c>
      <c r="F556"/>
      <c r="G556"/>
      <c r="H556"/>
      <c r="I556" t="s">
        <v>417</v>
      </c>
      <c r="J556" t="s">
        <v>417</v>
      </c>
      <c r="K556" t="s">
        <v>417</v>
      </c>
      <c r="L556" t="s">
        <v>417</v>
      </c>
      <c r="M556" t="s">
        <v>417</v>
      </c>
      <c r="N556" t="s">
        <v>417</v>
      </c>
      <c r="O556" t="s">
        <v>417</v>
      </c>
      <c r="P556" t="s">
        <v>417</v>
      </c>
      <c r="Q556" t="s">
        <v>417</v>
      </c>
      <c r="R556"/>
      <c r="S556"/>
      <c r="T556"/>
      <c r="U556"/>
      <c r="V556"/>
      <c r="W556"/>
      <c r="X556"/>
      <c r="Y556"/>
      <c r="Z556"/>
      <c r="AA556"/>
      <c r="AB556"/>
      <c r="AC556"/>
      <c r="AD556" t="n">
        <v>15</v>
      </c>
      <c r="AE556" t="n">
        <v>15</v>
      </c>
      <c r="AF556" t="n">
        <v>15</v>
      </c>
      <c r="AG556" t="n">
        <v>15</v>
      </c>
      <c r="AH556" t="n">
        <v>15</v>
      </c>
      <c r="AI556" t="n">
        <v>15</v>
      </c>
      <c r="AJ556"/>
      <c r="AK556"/>
      <c r="AL556"/>
    </row>
    <row r="557">
      <c r="A557" t="s">
        <v>229</v>
      </c>
      <c r="B557" t="s">
        <v>224</v>
      </c>
      <c r="C557" t="s">
        <v>225</v>
      </c>
      <c r="D557" t="s">
        <v>213</v>
      </c>
      <c r="E557" t="s">
        <v>338</v>
      </c>
      <c r="F557"/>
      <c r="G557"/>
      <c r="H557"/>
      <c r="I557" t="s">
        <v>417</v>
      </c>
      <c r="J557" t="s">
        <v>417</v>
      </c>
      <c r="K557" t="s">
        <v>417</v>
      </c>
      <c r="L557" t="s">
        <v>417</v>
      </c>
      <c r="M557" t="s">
        <v>417</v>
      </c>
      <c r="N557" t="s">
        <v>417</v>
      </c>
      <c r="O557" t="s">
        <v>417</v>
      </c>
      <c r="P557" t="s">
        <v>417</v>
      </c>
      <c r="Q557" t="s">
        <v>417</v>
      </c>
      <c r="R557"/>
      <c r="S557"/>
      <c r="T557"/>
      <c r="U557"/>
      <c r="V557"/>
      <c r="W557"/>
      <c r="X557"/>
      <c r="Y557"/>
      <c r="Z557"/>
      <c r="AA557"/>
      <c r="AB557"/>
      <c r="AC557"/>
      <c r="AD557" t="n">
        <v>15</v>
      </c>
      <c r="AE557" t="n">
        <v>15</v>
      </c>
      <c r="AF557" t="n">
        <v>15</v>
      </c>
      <c r="AG557" t="n">
        <v>15</v>
      </c>
      <c r="AH557" t="n">
        <v>15</v>
      </c>
      <c r="AI557" t="n">
        <v>15</v>
      </c>
      <c r="AJ557"/>
      <c r="AK557"/>
      <c r="AL557"/>
    </row>
    <row r="558">
      <c r="A558" t="s">
        <v>229</v>
      </c>
      <c r="B558" t="s">
        <v>224</v>
      </c>
      <c r="C558" t="s">
        <v>225</v>
      </c>
      <c r="D558" t="s">
        <v>213</v>
      </c>
      <c r="E558" t="s">
        <v>339</v>
      </c>
      <c r="F558"/>
      <c r="G558"/>
      <c r="H558"/>
      <c r="I558" t="s">
        <v>1359</v>
      </c>
      <c r="J558" t="s">
        <v>1360</v>
      </c>
      <c r="K558" t="s">
        <v>1361</v>
      </c>
      <c r="L558" t="s">
        <v>1362</v>
      </c>
      <c r="M558" t="s">
        <v>1363</v>
      </c>
      <c r="N558" t="s">
        <v>1364</v>
      </c>
      <c r="O558" t="s">
        <v>1365</v>
      </c>
      <c r="P558" t="s">
        <v>1366</v>
      </c>
      <c r="Q558" t="s">
        <v>1367</v>
      </c>
      <c r="R558"/>
      <c r="S558"/>
      <c r="T558"/>
      <c r="U558"/>
      <c r="V558"/>
      <c r="W558"/>
      <c r="X558"/>
      <c r="Y558"/>
      <c r="Z558"/>
      <c r="AA558"/>
      <c r="AB558"/>
      <c r="AC558"/>
      <c r="AD558" t="n">
        <v>45.7832129430153</v>
      </c>
      <c r="AE558" t="n">
        <v>44.7774117249535</v>
      </c>
      <c r="AF558" t="n">
        <v>43.7944395149364</v>
      </c>
      <c r="AG558" t="n">
        <v>42.7981407141348</v>
      </c>
      <c r="AH558" t="n">
        <v>41.7963322910505</v>
      </c>
      <c r="AI558" t="n">
        <v>40.791034686721</v>
      </c>
      <c r="AJ558"/>
      <c r="AK558"/>
      <c r="AL558"/>
    </row>
    <row r="559">
      <c r="A559" t="s">
        <v>229</v>
      </c>
      <c r="B559" t="s">
        <v>224</v>
      </c>
      <c r="C559" t="s">
        <v>225</v>
      </c>
      <c r="D559" t="s">
        <v>213</v>
      </c>
      <c r="E559" t="s">
        <v>358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</row>
    <row r="560">
      <c r="A560" t="s">
        <v>250</v>
      </c>
      <c r="B560" t="s">
        <v>227</v>
      </c>
      <c r="C560" t="s">
        <v>228</v>
      </c>
      <c r="D560" t="s">
        <v>213</v>
      </c>
      <c r="E560" t="s">
        <v>297</v>
      </c>
      <c r="F560"/>
      <c r="G560"/>
      <c r="H560"/>
      <c r="I560" t="s">
        <v>1368</v>
      </c>
      <c r="J560" t="s">
        <v>1369</v>
      </c>
      <c r="K560" t="s">
        <v>1370</v>
      </c>
      <c r="L560" t="s">
        <v>1371</v>
      </c>
      <c r="M560" t="s">
        <v>1372</v>
      </c>
      <c r="N560" t="s">
        <v>1373</v>
      </c>
      <c r="O560" t="s">
        <v>1374</v>
      </c>
      <c r="P560" t="s">
        <v>1375</v>
      </c>
      <c r="Q560" t="s">
        <v>1376</v>
      </c>
      <c r="R560" t="s">
        <v>1377</v>
      </c>
      <c r="S560" t="s">
        <v>1378</v>
      </c>
      <c r="T560" t="s">
        <v>1379</v>
      </c>
      <c r="U560" t="s">
        <v>1380</v>
      </c>
      <c r="V560" t="s">
        <v>1381</v>
      </c>
      <c r="W560" t="s">
        <v>1382</v>
      </c>
      <c r="X560" t="s">
        <v>1383</v>
      </c>
      <c r="Y560" t="s">
        <v>1384</v>
      </c>
      <c r="Z560" t="s">
        <v>1385</v>
      </c>
      <c r="AA560"/>
      <c r="AB560"/>
      <c r="AC560"/>
      <c r="AD560"/>
      <c r="AE560"/>
      <c r="AF560"/>
      <c r="AG560"/>
      <c r="AH560"/>
      <c r="AI560"/>
      <c r="AJ560"/>
      <c r="AK560"/>
      <c r="AL560"/>
    </row>
    <row r="561">
      <c r="A561" t="s">
        <v>250</v>
      </c>
      <c r="B561" t="s">
        <v>227</v>
      </c>
      <c r="C561" t="s">
        <v>228</v>
      </c>
      <c r="D561" t="s">
        <v>213</v>
      </c>
      <c r="E561" t="s">
        <v>316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</row>
    <row r="562">
      <c r="A562" t="s">
        <v>250</v>
      </c>
      <c r="B562" t="s">
        <v>227</v>
      </c>
      <c r="C562" t="s">
        <v>228</v>
      </c>
      <c r="D562" t="s">
        <v>213</v>
      </c>
      <c r="E562" t="s">
        <v>317</v>
      </c>
      <c r="F562"/>
      <c r="G562"/>
      <c r="H562"/>
      <c r="I562" t="s">
        <v>1386</v>
      </c>
      <c r="J562" t="s">
        <v>1387</v>
      </c>
      <c r="K562" t="s">
        <v>1388</v>
      </c>
      <c r="L562" t="s">
        <v>1388</v>
      </c>
      <c r="M562" t="s">
        <v>1389</v>
      </c>
      <c r="N562" t="s">
        <v>1388</v>
      </c>
      <c r="O562" t="s">
        <v>1388</v>
      </c>
      <c r="P562" t="s">
        <v>1388</v>
      </c>
      <c r="Q562" t="s">
        <v>1388</v>
      </c>
      <c r="R562" t="s">
        <v>1388</v>
      </c>
      <c r="S562" t="s">
        <v>1388</v>
      </c>
      <c r="T562" t="s">
        <v>1388</v>
      </c>
      <c r="U562" t="s">
        <v>1388</v>
      </c>
      <c r="V562" t="s">
        <v>1388</v>
      </c>
      <c r="W562" t="s">
        <v>1388</v>
      </c>
      <c r="X562" t="s">
        <v>1388</v>
      </c>
      <c r="Y562" t="s">
        <v>1388</v>
      </c>
      <c r="Z562" t="s">
        <v>1388</v>
      </c>
      <c r="AA562"/>
      <c r="AB562"/>
      <c r="AC562"/>
      <c r="AD562"/>
      <c r="AE562"/>
      <c r="AF562"/>
      <c r="AG562"/>
      <c r="AH562"/>
      <c r="AI562"/>
      <c r="AJ562"/>
      <c r="AK562"/>
      <c r="AL562"/>
    </row>
    <row r="563">
      <c r="A563" t="s">
        <v>250</v>
      </c>
      <c r="B563" t="s">
        <v>227</v>
      </c>
      <c r="C563" t="s">
        <v>228</v>
      </c>
      <c r="D563" t="s">
        <v>213</v>
      </c>
      <c r="E563" t="s">
        <v>320</v>
      </c>
      <c r="F563"/>
      <c r="G563"/>
      <c r="H563"/>
      <c r="I563" t="s">
        <v>1369</v>
      </c>
      <c r="J563" t="s">
        <v>1370</v>
      </c>
      <c r="K563" t="s">
        <v>1371</v>
      </c>
      <c r="L563" t="s">
        <v>1372</v>
      </c>
      <c r="M563" t="s">
        <v>1373</v>
      </c>
      <c r="N563" t="s">
        <v>1374</v>
      </c>
      <c r="O563" t="s">
        <v>1375</v>
      </c>
      <c r="P563" t="s">
        <v>1376</v>
      </c>
      <c r="Q563" t="s">
        <v>1377</v>
      </c>
      <c r="R563" t="s">
        <v>1378</v>
      </c>
      <c r="S563" t="s">
        <v>1379</v>
      </c>
      <c r="T563" t="s">
        <v>1380</v>
      </c>
      <c r="U563" t="s">
        <v>1381</v>
      </c>
      <c r="V563" t="s">
        <v>1382</v>
      </c>
      <c r="W563" t="s">
        <v>1383</v>
      </c>
      <c r="X563" t="s">
        <v>1384</v>
      </c>
      <c r="Y563" t="s">
        <v>1385</v>
      </c>
      <c r="Z563" t="s">
        <v>1390</v>
      </c>
      <c r="AA563"/>
      <c r="AB563"/>
      <c r="AC563"/>
      <c r="AD563"/>
      <c r="AE563"/>
      <c r="AF563"/>
      <c r="AG563"/>
      <c r="AH563"/>
      <c r="AI563"/>
      <c r="AJ563"/>
      <c r="AK563"/>
      <c r="AL563"/>
    </row>
    <row r="564">
      <c r="A564" t="s">
        <v>250</v>
      </c>
      <c r="B564" t="s">
        <v>227</v>
      </c>
      <c r="C564" t="s">
        <v>228</v>
      </c>
      <c r="D564" t="s">
        <v>213</v>
      </c>
      <c r="E564" t="s">
        <v>323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</row>
    <row r="565">
      <c r="A565" t="s">
        <v>250</v>
      </c>
      <c r="B565" t="s">
        <v>227</v>
      </c>
      <c r="C565" t="s">
        <v>228</v>
      </c>
      <c r="D565" t="s">
        <v>213</v>
      </c>
      <c r="E565" t="s">
        <v>324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</row>
    <row r="566">
      <c r="A566" t="s">
        <v>250</v>
      </c>
      <c r="B566" t="s">
        <v>227</v>
      </c>
      <c r="C566" t="s">
        <v>228</v>
      </c>
      <c r="D566" t="s">
        <v>213</v>
      </c>
      <c r="E566" t="s">
        <v>325</v>
      </c>
      <c r="F566"/>
      <c r="G566"/>
      <c r="H566"/>
      <c r="I566"/>
      <c r="J566"/>
      <c r="K566"/>
      <c r="L566"/>
      <c r="M566"/>
      <c r="N566"/>
      <c r="O566"/>
      <c r="P566" t="s">
        <v>269</v>
      </c>
      <c r="Q566"/>
      <c r="R566"/>
      <c r="S566"/>
      <c r="T566"/>
      <c r="U566"/>
      <c r="V566"/>
      <c r="W566"/>
      <c r="X566"/>
      <c r="Y566" t="s">
        <v>269</v>
      </c>
      <c r="Z566"/>
      <c r="AA566"/>
      <c r="AB566"/>
      <c r="AC566"/>
      <c r="AD566"/>
      <c r="AE566"/>
      <c r="AF566"/>
      <c r="AG566"/>
      <c r="AH566"/>
      <c r="AI566"/>
      <c r="AJ566"/>
      <c r="AK566"/>
      <c r="AL566"/>
    </row>
    <row r="567">
      <c r="A567" t="s">
        <v>250</v>
      </c>
      <c r="B567" t="s">
        <v>227</v>
      </c>
      <c r="C567" t="s">
        <v>228</v>
      </c>
      <c r="D567" t="s">
        <v>213</v>
      </c>
      <c r="E567" t="s">
        <v>326</v>
      </c>
      <c r="F567"/>
      <c r="G567"/>
      <c r="H567"/>
      <c r="I567"/>
      <c r="J567"/>
      <c r="K567"/>
      <c r="L567"/>
      <c r="M567"/>
      <c r="N567"/>
      <c r="O567"/>
      <c r="P567" t="s">
        <v>1391</v>
      </c>
      <c r="Q567"/>
      <c r="R567"/>
      <c r="S567"/>
      <c r="T567"/>
      <c r="U567"/>
      <c r="V567"/>
      <c r="W567"/>
      <c r="X567"/>
      <c r="Y567" t="s">
        <v>1392</v>
      </c>
      <c r="Z567"/>
      <c r="AA567"/>
      <c r="AB567"/>
      <c r="AC567"/>
      <c r="AD567"/>
      <c r="AE567"/>
      <c r="AF567"/>
      <c r="AG567"/>
      <c r="AH567"/>
      <c r="AI567"/>
      <c r="AJ567"/>
      <c r="AK567"/>
      <c r="AL567"/>
    </row>
    <row r="568">
      <c r="A568" t="s">
        <v>250</v>
      </c>
      <c r="B568" t="s">
        <v>227</v>
      </c>
      <c r="C568" t="s">
        <v>228</v>
      </c>
      <c r="D568" t="s">
        <v>213</v>
      </c>
      <c r="E568" t="s">
        <v>329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</row>
    <row r="569">
      <c r="A569" t="s">
        <v>250</v>
      </c>
      <c r="B569" t="s">
        <v>227</v>
      </c>
      <c r="C569" t="s">
        <v>228</v>
      </c>
      <c r="D569" t="s">
        <v>213</v>
      </c>
      <c r="E569" t="s">
        <v>330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</row>
    <row r="570">
      <c r="A570" t="s">
        <v>250</v>
      </c>
      <c r="B570" t="s">
        <v>227</v>
      </c>
      <c r="C570" t="s">
        <v>228</v>
      </c>
      <c r="D570" t="s">
        <v>213</v>
      </c>
      <c r="E570" t="s">
        <v>331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</row>
    <row r="571">
      <c r="A571" t="s">
        <v>250</v>
      </c>
      <c r="B571" t="s">
        <v>227</v>
      </c>
      <c r="C571" t="s">
        <v>228</v>
      </c>
      <c r="D571" t="s">
        <v>213</v>
      </c>
      <c r="E571" t="s">
        <v>332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</row>
    <row r="572">
      <c r="A572" t="s">
        <v>250</v>
      </c>
      <c r="B572" t="s">
        <v>227</v>
      </c>
      <c r="C572" t="s">
        <v>228</v>
      </c>
      <c r="D572" t="s">
        <v>213</v>
      </c>
      <c r="E572" t="s">
        <v>333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</row>
    <row r="573">
      <c r="A573" t="s">
        <v>250</v>
      </c>
      <c r="B573" t="s">
        <v>227</v>
      </c>
      <c r="C573" t="s">
        <v>228</v>
      </c>
      <c r="D573" t="s">
        <v>213</v>
      </c>
      <c r="E573" t="s">
        <v>334</v>
      </c>
      <c r="F573"/>
      <c r="G573"/>
      <c r="H573"/>
      <c r="I573" t="s">
        <v>961</v>
      </c>
      <c r="J573" t="s">
        <v>961</v>
      </c>
      <c r="K573" t="s">
        <v>961</v>
      </c>
      <c r="L573" t="s">
        <v>961</v>
      </c>
      <c r="M573" t="s">
        <v>961</v>
      </c>
      <c r="N573" t="s">
        <v>961</v>
      </c>
      <c r="O573" t="s">
        <v>961</v>
      </c>
      <c r="P573" t="s">
        <v>961</v>
      </c>
      <c r="Q573" t="s">
        <v>961</v>
      </c>
      <c r="R573" t="s">
        <v>961</v>
      </c>
      <c r="S573" t="s">
        <v>961</v>
      </c>
      <c r="T573" t="s">
        <v>961</v>
      </c>
      <c r="U573" t="s">
        <v>961</v>
      </c>
      <c r="V573" t="s">
        <v>961</v>
      </c>
      <c r="W573" t="s">
        <v>961</v>
      </c>
      <c r="X573" t="s">
        <v>961</v>
      </c>
      <c r="Y573" t="s">
        <v>961</v>
      </c>
      <c r="Z573" t="s">
        <v>961</v>
      </c>
      <c r="AA573"/>
      <c r="AB573"/>
      <c r="AC573"/>
      <c r="AD573"/>
      <c r="AE573"/>
      <c r="AF573"/>
      <c r="AG573"/>
      <c r="AH573"/>
      <c r="AI573"/>
      <c r="AJ573"/>
      <c r="AK573"/>
      <c r="AL573"/>
    </row>
    <row r="574">
      <c r="A574" t="s">
        <v>250</v>
      </c>
      <c r="B574" t="s">
        <v>227</v>
      </c>
      <c r="C574" t="s">
        <v>228</v>
      </c>
      <c r="D574" t="s">
        <v>213</v>
      </c>
      <c r="E574" t="s">
        <v>336</v>
      </c>
      <c r="F574"/>
      <c r="G574"/>
      <c r="H574"/>
      <c r="I574" t="s">
        <v>417</v>
      </c>
      <c r="J574" t="s">
        <v>417</v>
      </c>
      <c r="K574" t="s">
        <v>417</v>
      </c>
      <c r="L574" t="s">
        <v>417</v>
      </c>
      <c r="M574" t="s">
        <v>417</v>
      </c>
      <c r="N574" t="s">
        <v>417</v>
      </c>
      <c r="O574" t="s">
        <v>417</v>
      </c>
      <c r="P574" t="s">
        <v>417</v>
      </c>
      <c r="Q574" t="s">
        <v>417</v>
      </c>
      <c r="R574" t="s">
        <v>417</v>
      </c>
      <c r="S574" t="s">
        <v>417</v>
      </c>
      <c r="T574" t="s">
        <v>417</v>
      </c>
      <c r="U574" t="s">
        <v>417</v>
      </c>
      <c r="V574" t="s">
        <v>417</v>
      </c>
      <c r="W574" t="s">
        <v>417</v>
      </c>
      <c r="X574" t="s">
        <v>417</v>
      </c>
      <c r="Y574" t="s">
        <v>417</v>
      </c>
      <c r="Z574" t="s">
        <v>417</v>
      </c>
      <c r="AA574"/>
      <c r="AB574"/>
      <c r="AC574"/>
      <c r="AD574"/>
      <c r="AE574"/>
      <c r="AF574"/>
      <c r="AG574"/>
      <c r="AH574"/>
      <c r="AI574"/>
      <c r="AJ574"/>
      <c r="AK574"/>
      <c r="AL574"/>
    </row>
    <row r="575">
      <c r="A575" t="s">
        <v>250</v>
      </c>
      <c r="B575" t="s">
        <v>227</v>
      </c>
      <c r="C575" t="s">
        <v>228</v>
      </c>
      <c r="D575" t="s">
        <v>213</v>
      </c>
      <c r="E575" t="s">
        <v>338</v>
      </c>
      <c r="F575"/>
      <c r="G575"/>
      <c r="H575"/>
      <c r="I575" t="s">
        <v>417</v>
      </c>
      <c r="J575" t="s">
        <v>417</v>
      </c>
      <c r="K575" t="s">
        <v>417</v>
      </c>
      <c r="L575" t="s">
        <v>417</v>
      </c>
      <c r="M575" t="s">
        <v>417</v>
      </c>
      <c r="N575" t="s">
        <v>417</v>
      </c>
      <c r="O575" t="s">
        <v>417</v>
      </c>
      <c r="P575" t="s">
        <v>417</v>
      </c>
      <c r="Q575" t="s">
        <v>417</v>
      </c>
      <c r="R575" t="s">
        <v>417</v>
      </c>
      <c r="S575" t="s">
        <v>417</v>
      </c>
      <c r="T575" t="s">
        <v>417</v>
      </c>
      <c r="U575" t="s">
        <v>417</v>
      </c>
      <c r="V575" t="s">
        <v>417</v>
      </c>
      <c r="W575" t="s">
        <v>417</v>
      </c>
      <c r="X575" t="s">
        <v>417</v>
      </c>
      <c r="Y575" t="s">
        <v>417</v>
      </c>
      <c r="Z575" t="s">
        <v>417</v>
      </c>
      <c r="AA575"/>
      <c r="AB575"/>
      <c r="AC575"/>
      <c r="AD575"/>
      <c r="AE575"/>
      <c r="AF575"/>
      <c r="AG575"/>
      <c r="AH575"/>
      <c r="AI575"/>
      <c r="AJ575"/>
      <c r="AK575"/>
      <c r="AL575"/>
    </row>
    <row r="576">
      <c r="A576" t="s">
        <v>250</v>
      </c>
      <c r="B576" t="s">
        <v>227</v>
      </c>
      <c r="C576" t="s">
        <v>228</v>
      </c>
      <c r="D576" t="s">
        <v>213</v>
      </c>
      <c r="E576" t="s">
        <v>339</v>
      </c>
      <c r="F576"/>
      <c r="G576"/>
      <c r="H576"/>
      <c r="I576" t="s">
        <v>1393</v>
      </c>
      <c r="J576" t="s">
        <v>1394</v>
      </c>
      <c r="K576" t="s">
        <v>1395</v>
      </c>
      <c r="L576" t="s">
        <v>1396</v>
      </c>
      <c r="M576" t="s">
        <v>1397</v>
      </c>
      <c r="N576" t="s">
        <v>1398</v>
      </c>
      <c r="O576" t="s">
        <v>1399</v>
      </c>
      <c r="P576" t="s">
        <v>1400</v>
      </c>
      <c r="Q576" t="s">
        <v>1401</v>
      </c>
      <c r="R576" t="s">
        <v>1402</v>
      </c>
      <c r="S576" t="s">
        <v>1403</v>
      </c>
      <c r="T576" t="s">
        <v>1404</v>
      </c>
      <c r="U576" t="s">
        <v>1405</v>
      </c>
      <c r="V576" t="s">
        <v>1406</v>
      </c>
      <c r="W576" t="s">
        <v>1407</v>
      </c>
      <c r="X576" t="s">
        <v>1408</v>
      </c>
      <c r="Y576" t="s">
        <v>1409</v>
      </c>
      <c r="Z576" t="s">
        <v>1410</v>
      </c>
      <c r="AA576"/>
      <c r="AB576"/>
      <c r="AC576"/>
      <c r="AD576"/>
      <c r="AE576"/>
      <c r="AF576"/>
      <c r="AG576"/>
      <c r="AH576"/>
      <c r="AI576"/>
      <c r="AJ576"/>
      <c r="AK576"/>
      <c r="AL576"/>
    </row>
    <row r="577">
      <c r="A577" t="s">
        <v>250</v>
      </c>
      <c r="B577" t="s">
        <v>227</v>
      </c>
      <c r="C577" t="s">
        <v>228</v>
      </c>
      <c r="D577" t="s">
        <v>213</v>
      </c>
      <c r="E577" t="s">
        <v>358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</row>
    <row r="578">
      <c r="A578" t="s">
        <v>229</v>
      </c>
      <c r="B578" t="s">
        <v>227</v>
      </c>
      <c r="C578" t="s">
        <v>228</v>
      </c>
      <c r="D578" t="s">
        <v>213</v>
      </c>
      <c r="E578" t="s">
        <v>297</v>
      </c>
      <c r="F578"/>
      <c r="G578"/>
      <c r="H578"/>
      <c r="I578" t="s">
        <v>1411</v>
      </c>
      <c r="J578" t="s">
        <v>1412</v>
      </c>
      <c r="K578" t="s">
        <v>1413</v>
      </c>
      <c r="L578" t="s">
        <v>1414</v>
      </c>
      <c r="M578" t="s">
        <v>1415</v>
      </c>
      <c r="N578" t="s">
        <v>1416</v>
      </c>
      <c r="O578" t="s">
        <v>1417</v>
      </c>
      <c r="P578" t="s">
        <v>1418</v>
      </c>
      <c r="Q578" t="s">
        <v>1419</v>
      </c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</row>
    <row r="579">
      <c r="A579" t="s">
        <v>229</v>
      </c>
      <c r="B579" t="s">
        <v>227</v>
      </c>
      <c r="C579" t="s">
        <v>228</v>
      </c>
      <c r="D579" t="s">
        <v>213</v>
      </c>
      <c r="E579" t="s">
        <v>316</v>
      </c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</row>
    <row r="580">
      <c r="A580" t="s">
        <v>229</v>
      </c>
      <c r="B580" t="s">
        <v>227</v>
      </c>
      <c r="C580" t="s">
        <v>228</v>
      </c>
      <c r="D580" t="s">
        <v>213</v>
      </c>
      <c r="E580" t="s">
        <v>317</v>
      </c>
      <c r="F580"/>
      <c r="G580"/>
      <c r="H580"/>
      <c r="I580" t="s">
        <v>1420</v>
      </c>
      <c r="J580" t="s">
        <v>1420</v>
      </c>
      <c r="K580" t="s">
        <v>1420</v>
      </c>
      <c r="L580" t="s">
        <v>1420</v>
      </c>
      <c r="M580" t="s">
        <v>1420</v>
      </c>
      <c r="N580" t="s">
        <v>1420</v>
      </c>
      <c r="O580" t="s">
        <v>1420</v>
      </c>
      <c r="P580" t="s">
        <v>1420</v>
      </c>
      <c r="Q580" t="s">
        <v>1420</v>
      </c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</row>
    <row r="581">
      <c r="A581" t="s">
        <v>229</v>
      </c>
      <c r="B581" t="s">
        <v>227</v>
      </c>
      <c r="C581" t="s">
        <v>228</v>
      </c>
      <c r="D581" t="s">
        <v>213</v>
      </c>
      <c r="E581" t="s">
        <v>320</v>
      </c>
      <c r="F581"/>
      <c r="G581"/>
      <c r="H581"/>
      <c r="I581" t="s">
        <v>1412</v>
      </c>
      <c r="J581" t="s">
        <v>1413</v>
      </c>
      <c r="K581" t="s">
        <v>1414</v>
      </c>
      <c r="L581" t="s">
        <v>1415</v>
      </c>
      <c r="M581" t="s">
        <v>1416</v>
      </c>
      <c r="N581" t="s">
        <v>1417</v>
      </c>
      <c r="O581" t="s">
        <v>1418</v>
      </c>
      <c r="P581" t="s">
        <v>1419</v>
      </c>
      <c r="Q581" t="s">
        <v>1421</v>
      </c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</row>
    <row r="582">
      <c r="A582" t="s">
        <v>229</v>
      </c>
      <c r="B582" t="s">
        <v>227</v>
      </c>
      <c r="C582" t="s">
        <v>228</v>
      </c>
      <c r="D582" t="s">
        <v>213</v>
      </c>
      <c r="E582" t="s">
        <v>323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</row>
    <row r="583">
      <c r="A583" t="s">
        <v>229</v>
      </c>
      <c r="B583" t="s">
        <v>227</v>
      </c>
      <c r="C583" t="s">
        <v>228</v>
      </c>
      <c r="D583" t="s">
        <v>213</v>
      </c>
      <c r="E583" t="s">
        <v>324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</row>
    <row r="584">
      <c r="A584" t="s">
        <v>229</v>
      </c>
      <c r="B584" t="s">
        <v>227</v>
      </c>
      <c r="C584" t="s">
        <v>228</v>
      </c>
      <c r="D584" t="s">
        <v>213</v>
      </c>
      <c r="E584" t="s">
        <v>325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</row>
    <row r="585">
      <c r="A585" t="s">
        <v>229</v>
      </c>
      <c r="B585" t="s">
        <v>227</v>
      </c>
      <c r="C585" t="s">
        <v>228</v>
      </c>
      <c r="D585" t="s">
        <v>213</v>
      </c>
      <c r="E585" t="s">
        <v>326</v>
      </c>
      <c r="F585"/>
      <c r="G585"/>
      <c r="H585"/>
      <c r="I585"/>
      <c r="J585"/>
      <c r="K585" t="s">
        <v>1422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</row>
    <row r="586">
      <c r="A586" t="s">
        <v>229</v>
      </c>
      <c r="B586" t="s">
        <v>227</v>
      </c>
      <c r="C586" t="s">
        <v>228</v>
      </c>
      <c r="D586" t="s">
        <v>213</v>
      </c>
      <c r="E586" t="s">
        <v>329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</row>
    <row r="587">
      <c r="A587" t="s">
        <v>229</v>
      </c>
      <c r="B587" t="s">
        <v>227</v>
      </c>
      <c r="C587" t="s">
        <v>228</v>
      </c>
      <c r="D587" t="s">
        <v>213</v>
      </c>
      <c r="E587" t="s">
        <v>330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 t="n">
        <v>193586</v>
      </c>
      <c r="AE587" t="n">
        <v>178965</v>
      </c>
      <c r="AF587"/>
      <c r="AG587" t="n">
        <v>254332</v>
      </c>
      <c r="AH587" t="n">
        <v>239711</v>
      </c>
      <c r="AI587" t="n">
        <v>225090</v>
      </c>
      <c r="AJ587" t="n">
        <v>210469</v>
      </c>
      <c r="AK587" t="n">
        <v>195848</v>
      </c>
      <c r="AL587"/>
    </row>
    <row r="588">
      <c r="A588" t="s">
        <v>229</v>
      </c>
      <c r="B588" t="s">
        <v>227</v>
      </c>
      <c r="C588" t="s">
        <v>228</v>
      </c>
      <c r="D588" t="s">
        <v>213</v>
      </c>
      <c r="E588" t="s">
        <v>331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</row>
    <row r="589">
      <c r="A589" t="s">
        <v>229</v>
      </c>
      <c r="B589" t="s">
        <v>227</v>
      </c>
      <c r="C589" t="s">
        <v>228</v>
      </c>
      <c r="D589" t="s">
        <v>213</v>
      </c>
      <c r="E589" t="s">
        <v>332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 t="n">
        <v>14621</v>
      </c>
      <c r="AE589" t="n">
        <v>14621</v>
      </c>
      <c r="AF589"/>
      <c r="AG589" t="n">
        <v>14621</v>
      </c>
      <c r="AH589" t="n">
        <v>14621</v>
      </c>
      <c r="AI589" t="n">
        <v>14621</v>
      </c>
      <c r="AJ589" t="n">
        <v>14621</v>
      </c>
      <c r="AK589" t="n">
        <v>14621</v>
      </c>
      <c r="AL589"/>
    </row>
    <row r="590">
      <c r="A590" t="s">
        <v>229</v>
      </c>
      <c r="B590" t="s">
        <v>227</v>
      </c>
      <c r="C590" t="s">
        <v>228</v>
      </c>
      <c r="D590" t="s">
        <v>213</v>
      </c>
      <c r="E590" t="s">
        <v>333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 t="n">
        <v>178965</v>
      </c>
      <c r="AE590" t="n">
        <v>164344</v>
      </c>
      <c r="AF590"/>
      <c r="AG590" t="n">
        <v>239711</v>
      </c>
      <c r="AH590" t="n">
        <v>225090</v>
      </c>
      <c r="AI590" t="n">
        <v>210469</v>
      </c>
      <c r="AJ590" t="n">
        <v>195848</v>
      </c>
      <c r="AK590" t="n">
        <v>181227</v>
      </c>
      <c r="AL590"/>
    </row>
    <row r="591">
      <c r="A591" t="s">
        <v>229</v>
      </c>
      <c r="B591" t="s">
        <v>227</v>
      </c>
      <c r="C591" t="s">
        <v>228</v>
      </c>
      <c r="D591" t="s">
        <v>213</v>
      </c>
      <c r="E591" t="s">
        <v>334</v>
      </c>
      <c r="F591"/>
      <c r="G591"/>
      <c r="H591"/>
      <c r="I591" t="s">
        <v>416</v>
      </c>
      <c r="J591" t="s">
        <v>416</v>
      </c>
      <c r="K591" t="s">
        <v>416</v>
      </c>
      <c r="L591" t="s">
        <v>416</v>
      </c>
      <c r="M591" t="s">
        <v>416</v>
      </c>
      <c r="N591" t="s">
        <v>416</v>
      </c>
      <c r="O591" t="s">
        <v>416</v>
      </c>
      <c r="P591" t="s">
        <v>416</v>
      </c>
      <c r="Q591" t="s">
        <v>416</v>
      </c>
      <c r="R591"/>
      <c r="S591"/>
      <c r="T591"/>
      <c r="U591"/>
      <c r="V591"/>
      <c r="W591"/>
      <c r="X591"/>
      <c r="Y591"/>
      <c r="Z591"/>
      <c r="AA591"/>
      <c r="AB591"/>
      <c r="AC591"/>
      <c r="AD591" t="n">
        <v>6</v>
      </c>
      <c r="AE591" t="n">
        <v>6</v>
      </c>
      <c r="AF591"/>
      <c r="AG591" t="n">
        <v>6</v>
      </c>
      <c r="AH591" t="n">
        <v>6</v>
      </c>
      <c r="AI591" t="n">
        <v>6</v>
      </c>
      <c r="AJ591" t="n">
        <v>6</v>
      </c>
      <c r="AK591" t="n">
        <v>6</v>
      </c>
      <c r="AL591"/>
    </row>
    <row r="592">
      <c r="A592" t="s">
        <v>229</v>
      </c>
      <c r="B592" t="s">
        <v>227</v>
      </c>
      <c r="C592" t="s">
        <v>228</v>
      </c>
      <c r="D592" t="s">
        <v>213</v>
      </c>
      <c r="E592" t="s">
        <v>336</v>
      </c>
      <c r="F592"/>
      <c r="G592"/>
      <c r="H592"/>
      <c r="I592" t="s">
        <v>417</v>
      </c>
      <c r="J592" t="s">
        <v>417</v>
      </c>
      <c r="K592" t="s">
        <v>417</v>
      </c>
      <c r="L592" t="s">
        <v>417</v>
      </c>
      <c r="M592" t="s">
        <v>417</v>
      </c>
      <c r="N592" t="s">
        <v>417</v>
      </c>
      <c r="O592" t="s">
        <v>417</v>
      </c>
      <c r="P592" t="s">
        <v>417</v>
      </c>
      <c r="Q592" t="s">
        <v>417</v>
      </c>
      <c r="R592"/>
      <c r="S592"/>
      <c r="T592"/>
      <c r="U592"/>
      <c r="V592"/>
      <c r="W592"/>
      <c r="X592"/>
      <c r="Y592"/>
      <c r="Z592"/>
      <c r="AA592"/>
      <c r="AB592"/>
      <c r="AC592"/>
      <c r="AD592" t="n">
        <v>12</v>
      </c>
      <c r="AE592" t="n">
        <v>12</v>
      </c>
      <c r="AF592"/>
      <c r="AG592" t="n">
        <v>12</v>
      </c>
      <c r="AH592" t="n">
        <v>12</v>
      </c>
      <c r="AI592" t="n">
        <v>12</v>
      </c>
      <c r="AJ592" t="n">
        <v>12</v>
      </c>
      <c r="AK592" t="n">
        <v>12</v>
      </c>
      <c r="AL592"/>
    </row>
    <row r="593">
      <c r="A593" t="s">
        <v>229</v>
      </c>
      <c r="B593" t="s">
        <v>227</v>
      </c>
      <c r="C593" t="s">
        <v>228</v>
      </c>
      <c r="D593" t="s">
        <v>213</v>
      </c>
      <c r="E593" t="s">
        <v>338</v>
      </c>
      <c r="F593"/>
      <c r="G593"/>
      <c r="H593"/>
      <c r="I593" t="s">
        <v>417</v>
      </c>
      <c r="J593" t="s">
        <v>417</v>
      </c>
      <c r="K593" t="s">
        <v>417</v>
      </c>
      <c r="L593" t="s">
        <v>417</v>
      </c>
      <c r="M593" t="s">
        <v>417</v>
      </c>
      <c r="N593" t="s">
        <v>417</v>
      </c>
      <c r="O593" t="s">
        <v>417</v>
      </c>
      <c r="P593" t="s">
        <v>417</v>
      </c>
      <c r="Q593" t="s">
        <v>417</v>
      </c>
      <c r="R593"/>
      <c r="S593"/>
      <c r="T593"/>
      <c r="U593"/>
      <c r="V593"/>
      <c r="W593"/>
      <c r="X593"/>
      <c r="Y593"/>
      <c r="Z593"/>
      <c r="AA593"/>
      <c r="AB593"/>
      <c r="AC593"/>
      <c r="AD593" t="n">
        <v>12</v>
      </c>
      <c r="AE593" t="n">
        <v>12</v>
      </c>
      <c r="AF593"/>
      <c r="AG593" t="n">
        <v>12</v>
      </c>
      <c r="AH593" t="n">
        <v>12</v>
      </c>
      <c r="AI593" t="n">
        <v>12</v>
      </c>
      <c r="AJ593" t="n">
        <v>12</v>
      </c>
      <c r="AK593" t="n">
        <v>12</v>
      </c>
      <c r="AL593"/>
    </row>
    <row r="594">
      <c r="A594" t="s">
        <v>229</v>
      </c>
      <c r="B594" t="s">
        <v>227</v>
      </c>
      <c r="C594" t="s">
        <v>228</v>
      </c>
      <c r="D594" t="s">
        <v>213</v>
      </c>
      <c r="E594" t="s">
        <v>339</v>
      </c>
      <c r="F594"/>
      <c r="G594"/>
      <c r="H594"/>
      <c r="I594" t="s">
        <v>1423</v>
      </c>
      <c r="J594" t="s">
        <v>1424</v>
      </c>
      <c r="K594" t="s">
        <v>1425</v>
      </c>
      <c r="L594" t="s">
        <v>1426</v>
      </c>
      <c r="M594" t="s">
        <v>1427</v>
      </c>
      <c r="N594" t="s">
        <v>1428</v>
      </c>
      <c r="O594" t="s">
        <v>1429</v>
      </c>
      <c r="P594" t="s">
        <v>1430</v>
      </c>
      <c r="Q594" t="s">
        <v>1431</v>
      </c>
      <c r="R594"/>
      <c r="S594"/>
      <c r="T594"/>
      <c r="U594"/>
      <c r="V594"/>
      <c r="W594"/>
      <c r="X594"/>
      <c r="Y594"/>
      <c r="Z594"/>
      <c r="AA594"/>
      <c r="AB594"/>
      <c r="AC594"/>
      <c r="AD594" t="n">
        <v>12.2402708433076</v>
      </c>
      <c r="AE594" t="n">
        <v>11.2402708433076</v>
      </c>
      <c r="AF594"/>
      <c r="AG594" t="n">
        <v>16.3949798235415</v>
      </c>
      <c r="AH594" t="n">
        <v>15.3949798235415</v>
      </c>
      <c r="AI594" t="n">
        <v>14.3949798235415</v>
      </c>
      <c r="AJ594" t="n">
        <v>13.3949798235415</v>
      </c>
      <c r="AK594" t="n">
        <v>12.3949798235415</v>
      </c>
      <c r="AL594"/>
    </row>
    <row r="595">
      <c r="A595" t="s">
        <v>229</v>
      </c>
      <c r="B595" t="s">
        <v>227</v>
      </c>
      <c r="C595" t="s">
        <v>228</v>
      </c>
      <c r="D595" t="s">
        <v>213</v>
      </c>
      <c r="E595" t="s">
        <v>358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</row>
    <row r="596">
      <c r="A596" t="s">
        <v>250</v>
      </c>
      <c r="B596" t="s">
        <v>255</v>
      </c>
      <c r="C596" t="s">
        <v>256</v>
      </c>
      <c r="D596" t="s">
        <v>213</v>
      </c>
      <c r="E596" t="s">
        <v>297</v>
      </c>
      <c r="F596"/>
      <c r="G596"/>
      <c r="H596"/>
      <c r="I596" t="s">
        <v>1432</v>
      </c>
      <c r="J596" t="s">
        <v>1433</v>
      </c>
      <c r="K596" t="s">
        <v>1434</v>
      </c>
      <c r="L596" t="s">
        <v>1435</v>
      </c>
      <c r="M596" t="s">
        <v>1436</v>
      </c>
      <c r="N596" t="s">
        <v>1437</v>
      </c>
      <c r="O596" t="s">
        <v>1438</v>
      </c>
      <c r="P596" t="s">
        <v>1439</v>
      </c>
      <c r="Q596" t="s">
        <v>1440</v>
      </c>
      <c r="R596" t="s">
        <v>1441</v>
      </c>
      <c r="S596" t="s">
        <v>1442</v>
      </c>
      <c r="T596" t="s">
        <v>1443</v>
      </c>
      <c r="U596" t="s">
        <v>1444</v>
      </c>
      <c r="V596" t="s">
        <v>1445</v>
      </c>
      <c r="W596" t="s">
        <v>1446</v>
      </c>
      <c r="X596" t="s">
        <v>1447</v>
      </c>
      <c r="Y596" t="s">
        <v>1448</v>
      </c>
      <c r="Z596" t="s">
        <v>1449</v>
      </c>
      <c r="AA596"/>
      <c r="AB596"/>
      <c r="AC596"/>
      <c r="AD596"/>
      <c r="AE596"/>
      <c r="AF596"/>
      <c r="AG596"/>
      <c r="AH596"/>
      <c r="AI596"/>
      <c r="AJ596"/>
      <c r="AK596"/>
      <c r="AL596"/>
    </row>
    <row r="597">
      <c r="A597" t="s">
        <v>250</v>
      </c>
      <c r="B597" t="s">
        <v>255</v>
      </c>
      <c r="C597" t="s">
        <v>256</v>
      </c>
      <c r="D597" t="s">
        <v>213</v>
      </c>
      <c r="E597" t="s">
        <v>316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</row>
    <row r="598">
      <c r="A598" t="s">
        <v>250</v>
      </c>
      <c r="B598" t="s">
        <v>255</v>
      </c>
      <c r="C598" t="s">
        <v>256</v>
      </c>
      <c r="D598" t="s">
        <v>213</v>
      </c>
      <c r="E598" t="s">
        <v>317</v>
      </c>
      <c r="F598"/>
      <c r="G598"/>
      <c r="H598"/>
      <c r="I598" t="s">
        <v>1450</v>
      </c>
      <c r="J598" t="s">
        <v>1451</v>
      </c>
      <c r="K598" t="s">
        <v>1452</v>
      </c>
      <c r="L598" t="s">
        <v>1453</v>
      </c>
      <c r="M598" t="s">
        <v>1454</v>
      </c>
      <c r="N598" t="s">
        <v>1451</v>
      </c>
      <c r="O598" t="s">
        <v>1451</v>
      </c>
      <c r="P598" t="s">
        <v>1454</v>
      </c>
      <c r="Q598" t="s">
        <v>1454</v>
      </c>
      <c r="R598" t="s">
        <v>1454</v>
      </c>
      <c r="S598" t="s">
        <v>1454</v>
      </c>
      <c r="T598" t="s">
        <v>1454</v>
      </c>
      <c r="U598" t="s">
        <v>1454</v>
      </c>
      <c r="V598" t="s">
        <v>1454</v>
      </c>
      <c r="W598" t="s">
        <v>1454</v>
      </c>
      <c r="X598" t="s">
        <v>1454</v>
      </c>
      <c r="Y598" t="s">
        <v>1454</v>
      </c>
      <c r="Z598" t="s">
        <v>1454</v>
      </c>
      <c r="AA598"/>
      <c r="AB598"/>
      <c r="AC598"/>
      <c r="AD598"/>
      <c r="AE598"/>
      <c r="AF598"/>
      <c r="AG598"/>
      <c r="AH598"/>
      <c r="AI598"/>
      <c r="AJ598"/>
      <c r="AK598"/>
      <c r="AL598"/>
    </row>
    <row r="599">
      <c r="A599" t="s">
        <v>250</v>
      </c>
      <c r="B599" t="s">
        <v>255</v>
      </c>
      <c r="C599" t="s">
        <v>256</v>
      </c>
      <c r="D599" t="s">
        <v>213</v>
      </c>
      <c r="E599" t="s">
        <v>320</v>
      </c>
      <c r="F599"/>
      <c r="G599"/>
      <c r="H599"/>
      <c r="I599" t="s">
        <v>1433</v>
      </c>
      <c r="J599" t="s">
        <v>1434</v>
      </c>
      <c r="K599" t="s">
        <v>1435</v>
      </c>
      <c r="L599" t="s">
        <v>1436</v>
      </c>
      <c r="M599" t="s">
        <v>1437</v>
      </c>
      <c r="N599" t="s">
        <v>1438</v>
      </c>
      <c r="O599" t="s">
        <v>1439</v>
      </c>
      <c r="P599" t="s">
        <v>1440</v>
      </c>
      <c r="Q599" t="s">
        <v>1441</v>
      </c>
      <c r="R599" t="s">
        <v>1442</v>
      </c>
      <c r="S599" t="s">
        <v>1443</v>
      </c>
      <c r="T599" t="s">
        <v>1444</v>
      </c>
      <c r="U599" t="s">
        <v>1445</v>
      </c>
      <c r="V599" t="s">
        <v>1446</v>
      </c>
      <c r="W599" t="s">
        <v>1447</v>
      </c>
      <c r="X599" t="s">
        <v>1448</v>
      </c>
      <c r="Y599" t="s">
        <v>1449</v>
      </c>
      <c r="Z599" t="s">
        <v>1455</v>
      </c>
      <c r="AA599"/>
      <c r="AB599"/>
      <c r="AC599"/>
      <c r="AD599"/>
      <c r="AE599"/>
      <c r="AF599"/>
      <c r="AG599"/>
      <c r="AH599"/>
      <c r="AI599"/>
      <c r="AJ599"/>
      <c r="AK599"/>
      <c r="AL599"/>
    </row>
    <row r="600">
      <c r="A600" t="s">
        <v>250</v>
      </c>
      <c r="B600" t="s">
        <v>255</v>
      </c>
      <c r="C600" t="s">
        <v>256</v>
      </c>
      <c r="D600" t="s">
        <v>213</v>
      </c>
      <c r="E600" t="s">
        <v>323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</row>
    <row r="601">
      <c r="A601" t="s">
        <v>250</v>
      </c>
      <c r="B601" t="s">
        <v>255</v>
      </c>
      <c r="C601" t="s">
        <v>256</v>
      </c>
      <c r="D601" t="s">
        <v>213</v>
      </c>
      <c r="E601" t="s">
        <v>324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</row>
    <row r="602">
      <c r="A602" t="s">
        <v>250</v>
      </c>
      <c r="B602" t="s">
        <v>255</v>
      </c>
      <c r="C602" t="s">
        <v>256</v>
      </c>
      <c r="D602" t="s">
        <v>213</v>
      </c>
      <c r="E602" t="s">
        <v>325</v>
      </c>
      <c r="F602"/>
      <c r="G602"/>
      <c r="H602"/>
      <c r="I602"/>
      <c r="J602" t="s">
        <v>237</v>
      </c>
      <c r="K602"/>
      <c r="L602"/>
      <c r="M602"/>
      <c r="N602"/>
      <c r="O602"/>
      <c r="P602" t="s">
        <v>259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</row>
    <row r="603">
      <c r="A603" t="s">
        <v>250</v>
      </c>
      <c r="B603" t="s">
        <v>255</v>
      </c>
      <c r="C603" t="s">
        <v>256</v>
      </c>
      <c r="D603" t="s">
        <v>213</v>
      </c>
      <c r="E603" t="s">
        <v>326</v>
      </c>
      <c r="F603"/>
      <c r="G603"/>
      <c r="H603"/>
      <c r="I603"/>
      <c r="J603" t="s">
        <v>1456</v>
      </c>
      <c r="K603"/>
      <c r="L603"/>
      <c r="M603"/>
      <c r="N603"/>
      <c r="O603"/>
      <c r="P603" t="s">
        <v>1457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</row>
    <row r="604">
      <c r="A604" t="s">
        <v>250</v>
      </c>
      <c r="B604" t="s">
        <v>255</v>
      </c>
      <c r="C604" t="s">
        <v>256</v>
      </c>
      <c r="D604" t="s">
        <v>213</v>
      </c>
      <c r="E604" t="s">
        <v>329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</row>
    <row r="605">
      <c r="A605" t="s">
        <v>250</v>
      </c>
      <c r="B605" t="s">
        <v>255</v>
      </c>
      <c r="C605" t="s">
        <v>256</v>
      </c>
      <c r="D605" t="s">
        <v>213</v>
      </c>
      <c r="E605" t="s">
        <v>330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</row>
    <row r="606">
      <c r="A606" t="s">
        <v>250</v>
      </c>
      <c r="B606" t="s">
        <v>255</v>
      </c>
      <c r="C606" t="s">
        <v>256</v>
      </c>
      <c r="D606" t="s">
        <v>213</v>
      </c>
      <c r="E606" t="s">
        <v>331</v>
      </c>
      <c r="F606"/>
      <c r="G606"/>
      <c r="H606"/>
      <c r="I606"/>
      <c r="J606" t="s">
        <v>258</v>
      </c>
      <c r="K606"/>
      <c r="L606"/>
      <c r="M606"/>
      <c r="N606"/>
      <c r="O606"/>
      <c r="P606" t="s">
        <v>280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</row>
    <row r="607">
      <c r="A607" t="s">
        <v>250</v>
      </c>
      <c r="B607" t="s">
        <v>255</v>
      </c>
      <c r="C607" t="s">
        <v>256</v>
      </c>
      <c r="D607" t="s">
        <v>213</v>
      </c>
      <c r="E607" t="s">
        <v>332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</row>
    <row r="608">
      <c r="A608" t="s">
        <v>250</v>
      </c>
      <c r="B608" t="s">
        <v>255</v>
      </c>
      <c r="C608" t="s">
        <v>256</v>
      </c>
      <c r="D608" t="s">
        <v>213</v>
      </c>
      <c r="E608" t="s">
        <v>333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</row>
    <row r="609">
      <c r="A609" t="s">
        <v>250</v>
      </c>
      <c r="B609" t="s">
        <v>255</v>
      </c>
      <c r="C609" t="s">
        <v>256</v>
      </c>
      <c r="D609" t="s">
        <v>213</v>
      </c>
      <c r="E609" t="s">
        <v>334</v>
      </c>
      <c r="F609"/>
      <c r="G609"/>
      <c r="H609"/>
      <c r="I609" t="s">
        <v>961</v>
      </c>
      <c r="J609" t="s">
        <v>961</v>
      </c>
      <c r="K609" t="s">
        <v>961</v>
      </c>
      <c r="L609" t="s">
        <v>961</v>
      </c>
      <c r="M609" t="s">
        <v>961</v>
      </c>
      <c r="N609" t="s">
        <v>961</v>
      </c>
      <c r="O609" t="s">
        <v>961</v>
      </c>
      <c r="P609" t="s">
        <v>961</v>
      </c>
      <c r="Q609" t="s">
        <v>961</v>
      </c>
      <c r="R609" t="s">
        <v>961</v>
      </c>
      <c r="S609" t="s">
        <v>961</v>
      </c>
      <c r="T609" t="s">
        <v>961</v>
      </c>
      <c r="U609" t="s">
        <v>961</v>
      </c>
      <c r="V609" t="s">
        <v>961</v>
      </c>
      <c r="W609" t="s">
        <v>961</v>
      </c>
      <c r="X609" t="s">
        <v>961</v>
      </c>
      <c r="Y609" t="s">
        <v>961</v>
      </c>
      <c r="Z609" t="s">
        <v>961</v>
      </c>
      <c r="AA609"/>
      <c r="AB609"/>
      <c r="AC609"/>
      <c r="AD609"/>
      <c r="AE609"/>
      <c r="AF609"/>
      <c r="AG609"/>
      <c r="AH609"/>
      <c r="AI609"/>
      <c r="AJ609"/>
      <c r="AK609"/>
      <c r="AL609"/>
    </row>
    <row r="610">
      <c r="A610" t="s">
        <v>250</v>
      </c>
      <c r="B610" t="s">
        <v>255</v>
      </c>
      <c r="C610" t="s">
        <v>256</v>
      </c>
      <c r="D610" t="s">
        <v>213</v>
      </c>
      <c r="E610" t="s">
        <v>336</v>
      </c>
      <c r="F610"/>
      <c r="G610"/>
      <c r="H610"/>
      <c r="I610" t="s">
        <v>417</v>
      </c>
      <c r="J610" t="s">
        <v>417</v>
      </c>
      <c r="K610" t="s">
        <v>417</v>
      </c>
      <c r="L610" t="s">
        <v>417</v>
      </c>
      <c r="M610" t="s">
        <v>417</v>
      </c>
      <c r="N610" t="s">
        <v>417</v>
      </c>
      <c r="O610" t="s">
        <v>417</v>
      </c>
      <c r="P610" t="s">
        <v>417</v>
      </c>
      <c r="Q610" t="s">
        <v>417</v>
      </c>
      <c r="R610" t="s">
        <v>417</v>
      </c>
      <c r="S610" t="s">
        <v>417</v>
      </c>
      <c r="T610" t="s">
        <v>417</v>
      </c>
      <c r="U610" t="s">
        <v>417</v>
      </c>
      <c r="V610" t="s">
        <v>417</v>
      </c>
      <c r="W610" t="s">
        <v>417</v>
      </c>
      <c r="X610" t="s">
        <v>417</v>
      </c>
      <c r="Y610" t="s">
        <v>417</v>
      </c>
      <c r="Z610" t="s">
        <v>417</v>
      </c>
      <c r="AA610"/>
      <c r="AB610"/>
      <c r="AC610"/>
      <c r="AD610"/>
      <c r="AE610"/>
      <c r="AF610"/>
      <c r="AG610"/>
      <c r="AH610"/>
      <c r="AI610"/>
      <c r="AJ610"/>
      <c r="AK610"/>
      <c r="AL610"/>
    </row>
    <row r="611">
      <c r="A611" t="s">
        <v>250</v>
      </c>
      <c r="B611" t="s">
        <v>255</v>
      </c>
      <c r="C611" t="s">
        <v>256</v>
      </c>
      <c r="D611" t="s">
        <v>213</v>
      </c>
      <c r="E611" t="s">
        <v>338</v>
      </c>
      <c r="F611"/>
      <c r="G611"/>
      <c r="H611"/>
      <c r="I611" t="s">
        <v>417</v>
      </c>
      <c r="J611" t="s">
        <v>417</v>
      </c>
      <c r="K611" t="s">
        <v>417</v>
      </c>
      <c r="L611" t="s">
        <v>417</v>
      </c>
      <c r="M611" t="s">
        <v>417</v>
      </c>
      <c r="N611" t="s">
        <v>417</v>
      </c>
      <c r="O611" t="s">
        <v>417</v>
      </c>
      <c r="P611" t="s">
        <v>417</v>
      </c>
      <c r="Q611" t="s">
        <v>417</v>
      </c>
      <c r="R611" t="s">
        <v>417</v>
      </c>
      <c r="S611" t="s">
        <v>417</v>
      </c>
      <c r="T611" t="s">
        <v>417</v>
      </c>
      <c r="U611" t="s">
        <v>417</v>
      </c>
      <c r="V611" t="s">
        <v>417</v>
      </c>
      <c r="W611" t="s">
        <v>417</v>
      </c>
      <c r="X611" t="s">
        <v>417</v>
      </c>
      <c r="Y611" t="s">
        <v>417</v>
      </c>
      <c r="Z611" t="s">
        <v>417</v>
      </c>
      <c r="AA611"/>
      <c r="AB611"/>
      <c r="AC611"/>
      <c r="AD611"/>
      <c r="AE611"/>
      <c r="AF611"/>
      <c r="AG611"/>
      <c r="AH611"/>
      <c r="AI611"/>
      <c r="AJ611"/>
      <c r="AK611"/>
      <c r="AL611"/>
    </row>
    <row r="612">
      <c r="A612" t="s">
        <v>250</v>
      </c>
      <c r="B612" t="s">
        <v>255</v>
      </c>
      <c r="C612" t="s">
        <v>256</v>
      </c>
      <c r="D612" t="s">
        <v>213</v>
      </c>
      <c r="E612" t="s">
        <v>339</v>
      </c>
      <c r="F612"/>
      <c r="G612"/>
      <c r="H612"/>
      <c r="I612" t="s">
        <v>1458</v>
      </c>
      <c r="J612" t="s">
        <v>1459</v>
      </c>
      <c r="K612" t="s">
        <v>1460</v>
      </c>
      <c r="L612" t="s">
        <v>1461</v>
      </c>
      <c r="M612" t="s">
        <v>1462</v>
      </c>
      <c r="N612" t="s">
        <v>1463</v>
      </c>
      <c r="O612" t="s">
        <v>1464</v>
      </c>
      <c r="P612" t="s">
        <v>1465</v>
      </c>
      <c r="Q612" t="s">
        <v>1466</v>
      </c>
      <c r="R612" t="s">
        <v>1467</v>
      </c>
      <c r="S612" t="s">
        <v>1468</v>
      </c>
      <c r="T612" t="s">
        <v>1469</v>
      </c>
      <c r="U612" t="s">
        <v>1470</v>
      </c>
      <c r="V612" t="s">
        <v>1471</v>
      </c>
      <c r="W612" t="s">
        <v>1472</v>
      </c>
      <c r="X612" t="s">
        <v>1473</v>
      </c>
      <c r="Y612" t="s">
        <v>1474</v>
      </c>
      <c r="Z612" t="s">
        <v>1475</v>
      </c>
      <c r="AA612"/>
      <c r="AB612"/>
      <c r="AC612"/>
      <c r="AD612"/>
      <c r="AE612"/>
      <c r="AF612"/>
      <c r="AG612"/>
      <c r="AH612"/>
      <c r="AI612"/>
      <c r="AJ612"/>
      <c r="AK612"/>
      <c r="AL612"/>
    </row>
    <row r="613">
      <c r="A613" t="s">
        <v>250</v>
      </c>
      <c r="B613" t="s">
        <v>255</v>
      </c>
      <c r="C613" t="s">
        <v>256</v>
      </c>
      <c r="D613" t="s">
        <v>213</v>
      </c>
      <c r="E613" t="s">
        <v>358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</row>
    <row r="614">
      <c r="A614" t="s">
        <v>226</v>
      </c>
      <c r="B614" t="s">
        <v>255</v>
      </c>
      <c r="C614" t="s">
        <v>256</v>
      </c>
      <c r="D614" t="s">
        <v>213</v>
      </c>
      <c r="E614" t="s">
        <v>297</v>
      </c>
      <c r="F614"/>
      <c r="G614"/>
      <c r="H614"/>
      <c r="I614" t="s">
        <v>1476</v>
      </c>
      <c r="J614" t="s">
        <v>1477</v>
      </c>
      <c r="K614" t="s">
        <v>1478</v>
      </c>
      <c r="L614" t="s">
        <v>1479</v>
      </c>
      <c r="M614" t="s">
        <v>1480</v>
      </c>
      <c r="N614" t="s">
        <v>360</v>
      </c>
      <c r="O614" t="s">
        <v>360</v>
      </c>
      <c r="P614" t="s">
        <v>360</v>
      </c>
      <c r="Q614" t="s">
        <v>360</v>
      </c>
      <c r="R614" t="s">
        <v>360</v>
      </c>
      <c r="S614" t="s">
        <v>360</v>
      </c>
      <c r="T614" t="s">
        <v>360</v>
      </c>
      <c r="U614" t="s">
        <v>360</v>
      </c>
      <c r="V614" t="s">
        <v>360</v>
      </c>
      <c r="W614" t="s">
        <v>360</v>
      </c>
      <c r="X614" t="s">
        <v>360</v>
      </c>
      <c r="Y614" t="s">
        <v>360</v>
      </c>
      <c r="Z614" t="s">
        <v>360</v>
      </c>
      <c r="AA614" t="s">
        <v>360</v>
      </c>
      <c r="AB614" t="s">
        <v>360</v>
      </c>
      <c r="AC614" t="s">
        <v>360</v>
      </c>
      <c r="AD614" t="n">
        <v>1365995</v>
      </c>
      <c r="AE614" t="n">
        <v>1255566</v>
      </c>
      <c r="AF614" t="n">
        <v>1145137</v>
      </c>
      <c r="AG614" t="n">
        <v>1034708</v>
      </c>
      <c r="AH614" t="n">
        <v>924279</v>
      </c>
      <c r="AI614" t="n">
        <v>813850</v>
      </c>
      <c r="AJ614"/>
      <c r="AK614" t="n">
        <v>1290024</v>
      </c>
      <c r="AL614" t="n">
        <v>1179595</v>
      </c>
    </row>
    <row r="615">
      <c r="A615" t="s">
        <v>226</v>
      </c>
      <c r="B615" t="s">
        <v>255</v>
      </c>
      <c r="C615" t="s">
        <v>256</v>
      </c>
      <c r="D615" t="s">
        <v>213</v>
      </c>
      <c r="E615" t="s">
        <v>316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</row>
    <row r="616">
      <c r="A616" t="s">
        <v>226</v>
      </c>
      <c r="B616" t="s">
        <v>255</v>
      </c>
      <c r="C616" t="s">
        <v>256</v>
      </c>
      <c r="D616" t="s">
        <v>213</v>
      </c>
      <c r="E616" t="s">
        <v>317</v>
      </c>
      <c r="F616"/>
      <c r="G616"/>
      <c r="H616"/>
      <c r="I616" t="s">
        <v>1481</v>
      </c>
      <c r="J616" t="s">
        <v>1481</v>
      </c>
      <c r="K616" t="s">
        <v>1481</v>
      </c>
      <c r="L616" t="s">
        <v>1481</v>
      </c>
      <c r="M616" t="s">
        <v>1481</v>
      </c>
      <c r="N616" t="s">
        <v>1481</v>
      </c>
      <c r="O616" t="s">
        <v>1481</v>
      </c>
      <c r="P616" t="s">
        <v>1481</v>
      </c>
      <c r="Q616" t="s">
        <v>1481</v>
      </c>
      <c r="R616" t="s">
        <v>1481</v>
      </c>
      <c r="S616" t="s">
        <v>1481</v>
      </c>
      <c r="T616" t="s">
        <v>1481</v>
      </c>
      <c r="U616" t="s">
        <v>1481</v>
      </c>
      <c r="V616" t="s">
        <v>1481</v>
      </c>
      <c r="W616" t="s">
        <v>1481</v>
      </c>
      <c r="X616" t="s">
        <v>1481</v>
      </c>
      <c r="Y616" t="s">
        <v>1481</v>
      </c>
      <c r="Z616" t="s">
        <v>1481</v>
      </c>
      <c r="AA616" t="s">
        <v>1481</v>
      </c>
      <c r="AB616" t="s">
        <v>1481</v>
      </c>
      <c r="AC616" t="s">
        <v>1481</v>
      </c>
      <c r="AD616" t="n">
        <v>110429</v>
      </c>
      <c r="AE616" t="n">
        <v>110429</v>
      </c>
      <c r="AF616" t="n">
        <v>110429</v>
      </c>
      <c r="AG616" t="n">
        <v>110429</v>
      </c>
      <c r="AH616" t="n">
        <v>110429</v>
      </c>
      <c r="AI616" t="n">
        <v>110429</v>
      </c>
      <c r="AJ616"/>
      <c r="AK616" t="n">
        <v>110429</v>
      </c>
      <c r="AL616" t="n">
        <v>110429</v>
      </c>
    </row>
    <row r="617">
      <c r="A617" t="s">
        <v>226</v>
      </c>
      <c r="B617" t="s">
        <v>255</v>
      </c>
      <c r="C617" t="s">
        <v>256</v>
      </c>
      <c r="D617" t="s">
        <v>213</v>
      </c>
      <c r="E617" t="s">
        <v>320</v>
      </c>
      <c r="F617"/>
      <c r="G617"/>
      <c r="H617"/>
      <c r="I617" t="s">
        <v>1477</v>
      </c>
      <c r="J617" t="s">
        <v>1478</v>
      </c>
      <c r="K617" t="s">
        <v>1479</v>
      </c>
      <c r="L617" t="s">
        <v>1480</v>
      </c>
      <c r="M617" t="s">
        <v>360</v>
      </c>
      <c r="N617" t="s">
        <v>360</v>
      </c>
      <c r="O617" t="s">
        <v>360</v>
      </c>
      <c r="P617" t="s">
        <v>360</v>
      </c>
      <c r="Q617" t="s">
        <v>360</v>
      </c>
      <c r="R617" t="s">
        <v>360</v>
      </c>
      <c r="S617" t="s">
        <v>360</v>
      </c>
      <c r="T617" t="s">
        <v>360</v>
      </c>
      <c r="U617" t="s">
        <v>360</v>
      </c>
      <c r="V617" t="s">
        <v>360</v>
      </c>
      <c r="W617" t="s">
        <v>360</v>
      </c>
      <c r="X617" t="s">
        <v>360</v>
      </c>
      <c r="Y617" t="s">
        <v>360</v>
      </c>
      <c r="Z617" t="s">
        <v>360</v>
      </c>
      <c r="AA617" t="s">
        <v>360</v>
      </c>
      <c r="AB617" t="s">
        <v>360</v>
      </c>
      <c r="AC617" t="s">
        <v>360</v>
      </c>
      <c r="AD617" t="n">
        <v>1255566</v>
      </c>
      <c r="AE617" t="n">
        <v>1145137</v>
      </c>
      <c r="AF617" t="n">
        <v>1034708</v>
      </c>
      <c r="AG617" t="n">
        <v>924279</v>
      </c>
      <c r="AH617" t="n">
        <v>813850</v>
      </c>
      <c r="AI617" t="n">
        <v>703421</v>
      </c>
      <c r="AJ617"/>
      <c r="AK617" t="n">
        <v>1179595</v>
      </c>
      <c r="AL617" t="n">
        <v>1069166</v>
      </c>
    </row>
    <row r="618">
      <c r="A618" t="s">
        <v>226</v>
      </c>
      <c r="B618" t="s">
        <v>255</v>
      </c>
      <c r="C618" t="s">
        <v>256</v>
      </c>
      <c r="D618" t="s">
        <v>213</v>
      </c>
      <c r="E618" t="s">
        <v>323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 t="n">
        <v>6</v>
      </c>
      <c r="AE618" t="n">
        <v>6</v>
      </c>
      <c r="AF618" t="n">
        <v>6</v>
      </c>
      <c r="AG618" t="n">
        <v>6</v>
      </c>
      <c r="AH618" t="n">
        <v>6</v>
      </c>
      <c r="AI618" t="n">
        <v>6</v>
      </c>
      <c r="AJ618"/>
      <c r="AK618" t="n">
        <v>6</v>
      </c>
      <c r="AL618" t="n">
        <v>6</v>
      </c>
    </row>
    <row r="619">
      <c r="A619" t="s">
        <v>226</v>
      </c>
      <c r="B619" t="s">
        <v>255</v>
      </c>
      <c r="C619" t="s">
        <v>256</v>
      </c>
      <c r="D619" t="s">
        <v>213</v>
      </c>
      <c r="E619" t="s">
        <v>324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 t="n">
        <v>12</v>
      </c>
      <c r="AE619" t="n">
        <v>12</v>
      </c>
      <c r="AF619" t="n">
        <v>12</v>
      </c>
      <c r="AG619" t="n">
        <v>12</v>
      </c>
      <c r="AH619" t="n">
        <v>12</v>
      </c>
      <c r="AI619" t="n">
        <v>12</v>
      </c>
      <c r="AJ619"/>
      <c r="AK619" t="n">
        <v>12</v>
      </c>
      <c r="AL619" t="n">
        <v>12</v>
      </c>
    </row>
    <row r="620">
      <c r="A620" t="s">
        <v>226</v>
      </c>
      <c r="B620" t="s">
        <v>255</v>
      </c>
      <c r="C620" t="s">
        <v>256</v>
      </c>
      <c r="D620" t="s">
        <v>213</v>
      </c>
      <c r="E620" t="s">
        <v>325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 t="n">
        <v>12</v>
      </c>
      <c r="AE620" t="n">
        <v>12</v>
      </c>
      <c r="AF620" t="n">
        <v>12</v>
      </c>
      <c r="AG620" t="n">
        <v>12</v>
      </c>
      <c r="AH620" t="n">
        <v>12</v>
      </c>
      <c r="AI620" t="n">
        <v>12</v>
      </c>
      <c r="AJ620"/>
      <c r="AK620" t="n">
        <v>12</v>
      </c>
      <c r="AL620" t="n">
        <v>12</v>
      </c>
    </row>
    <row r="621">
      <c r="A621" t="s">
        <v>226</v>
      </c>
      <c r="B621" t="s">
        <v>255</v>
      </c>
      <c r="C621" t="s">
        <v>256</v>
      </c>
      <c r="D621" t="s">
        <v>213</v>
      </c>
      <c r="E621" t="s">
        <v>326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 t="n">
        <v>11.3698937779025</v>
      </c>
      <c r="AE621" t="n">
        <v>10.3698937779025</v>
      </c>
      <c r="AF621" t="n">
        <v>9.36989377790254</v>
      </c>
      <c r="AG621" t="n">
        <v>8.36989377790254</v>
      </c>
      <c r="AH621" t="n">
        <v>7.36989377790254</v>
      </c>
      <c r="AI621" t="n">
        <v>6.36989377790254</v>
      </c>
      <c r="AJ621"/>
      <c r="AK621" t="n">
        <v>10.6819313767217</v>
      </c>
      <c r="AL621" t="n">
        <v>9.68193137672169</v>
      </c>
    </row>
    <row r="622">
      <c r="A622" t="s">
        <v>226</v>
      </c>
      <c r="B622" t="s">
        <v>255</v>
      </c>
      <c r="C622" t="s">
        <v>256</v>
      </c>
      <c r="D622" t="s">
        <v>213</v>
      </c>
      <c r="E622" t="s">
        <v>329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</row>
    <row r="623">
      <c r="A623" t="s">
        <v>226</v>
      </c>
      <c r="B623" t="s">
        <v>255</v>
      </c>
      <c r="C623" t="s">
        <v>256</v>
      </c>
      <c r="D623" t="s">
        <v>213</v>
      </c>
      <c r="E623" t="s">
        <v>330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</row>
    <row r="624">
      <c r="A624" t="s">
        <v>226</v>
      </c>
      <c r="B624" t="s">
        <v>255</v>
      </c>
      <c r="C624" t="s">
        <v>256</v>
      </c>
      <c r="D624" t="s">
        <v>213</v>
      </c>
      <c r="E624" t="s">
        <v>331</v>
      </c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</row>
    <row r="625">
      <c r="A625" t="s">
        <v>226</v>
      </c>
      <c r="B625" t="s">
        <v>255</v>
      </c>
      <c r="C625" t="s">
        <v>256</v>
      </c>
      <c r="D625" t="s">
        <v>213</v>
      </c>
      <c r="E625" t="s">
        <v>332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</row>
    <row r="626">
      <c r="A626" t="s">
        <v>226</v>
      </c>
      <c r="B626" t="s">
        <v>255</v>
      </c>
      <c r="C626" t="s">
        <v>256</v>
      </c>
      <c r="D626" t="s">
        <v>213</v>
      </c>
      <c r="E626" t="s">
        <v>333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</row>
    <row r="627">
      <c r="A627" t="s">
        <v>226</v>
      </c>
      <c r="B627" t="s">
        <v>255</v>
      </c>
      <c r="C627" t="s">
        <v>256</v>
      </c>
      <c r="D627" t="s">
        <v>213</v>
      </c>
      <c r="E627" t="s">
        <v>334</v>
      </c>
      <c r="F627"/>
      <c r="G627"/>
      <c r="H627"/>
      <c r="I627" t="s">
        <v>392</v>
      </c>
      <c r="J627" t="s">
        <v>392</v>
      </c>
      <c r="K627" t="s">
        <v>392</v>
      </c>
      <c r="L627" t="s">
        <v>392</v>
      </c>
      <c r="M627" t="s">
        <v>392</v>
      </c>
      <c r="N627" t="s">
        <v>392</v>
      </c>
      <c r="O627" t="s">
        <v>392</v>
      </c>
      <c r="P627" t="s">
        <v>392</v>
      </c>
      <c r="Q627" t="s">
        <v>392</v>
      </c>
      <c r="R627" t="s">
        <v>392</v>
      </c>
      <c r="S627" t="s">
        <v>392</v>
      </c>
      <c r="T627" t="s">
        <v>392</v>
      </c>
      <c r="U627" t="s">
        <v>392</v>
      </c>
      <c r="V627" t="s">
        <v>392</v>
      </c>
      <c r="W627" t="s">
        <v>392</v>
      </c>
      <c r="X627" t="s">
        <v>392</v>
      </c>
      <c r="Y627" t="s">
        <v>392</v>
      </c>
      <c r="Z627" t="s">
        <v>392</v>
      </c>
      <c r="AA627" t="s">
        <v>392</v>
      </c>
      <c r="AB627" t="s">
        <v>392</v>
      </c>
      <c r="AC627" t="s">
        <v>392</v>
      </c>
      <c r="AD627"/>
      <c r="AE627"/>
      <c r="AF627"/>
      <c r="AG627"/>
      <c r="AH627"/>
      <c r="AI627"/>
      <c r="AJ627"/>
      <c r="AK627"/>
      <c r="AL627"/>
    </row>
    <row r="628">
      <c r="A628" t="s">
        <v>226</v>
      </c>
      <c r="B628" t="s">
        <v>255</v>
      </c>
      <c r="C628" t="s">
        <v>256</v>
      </c>
      <c r="D628" t="s">
        <v>213</v>
      </c>
      <c r="E628" t="s">
        <v>336</v>
      </c>
      <c r="F628"/>
      <c r="G628"/>
      <c r="H628"/>
      <c r="I628" t="s">
        <v>335</v>
      </c>
      <c r="J628" t="s">
        <v>335</v>
      </c>
      <c r="K628" t="s">
        <v>335</v>
      </c>
      <c r="L628" t="s">
        <v>335</v>
      </c>
      <c r="M628" t="s">
        <v>335</v>
      </c>
      <c r="N628" t="s">
        <v>335</v>
      </c>
      <c r="O628" t="s">
        <v>335</v>
      </c>
      <c r="P628" t="s">
        <v>335</v>
      </c>
      <c r="Q628" t="s">
        <v>335</v>
      </c>
      <c r="R628" t="s">
        <v>335</v>
      </c>
      <c r="S628" t="s">
        <v>335</v>
      </c>
      <c r="T628" t="s">
        <v>335</v>
      </c>
      <c r="U628" t="s">
        <v>335</v>
      </c>
      <c r="V628" t="s">
        <v>335</v>
      </c>
      <c r="W628" t="s">
        <v>335</v>
      </c>
      <c r="X628" t="s">
        <v>335</v>
      </c>
      <c r="Y628" t="s">
        <v>335</v>
      </c>
      <c r="Z628" t="s">
        <v>335</v>
      </c>
      <c r="AA628" t="s">
        <v>335</v>
      </c>
      <c r="AB628" t="s">
        <v>335</v>
      </c>
      <c r="AC628" t="s">
        <v>335</v>
      </c>
      <c r="AD628"/>
      <c r="AE628"/>
      <c r="AF628"/>
      <c r="AG628"/>
      <c r="AH628"/>
      <c r="AI628"/>
      <c r="AJ628"/>
      <c r="AK628"/>
      <c r="AL628"/>
    </row>
    <row r="629">
      <c r="A629" t="s">
        <v>226</v>
      </c>
      <c r="B629" t="s">
        <v>255</v>
      </c>
      <c r="C629" t="s">
        <v>256</v>
      </c>
      <c r="D629" t="s">
        <v>213</v>
      </c>
      <c r="E629" t="s">
        <v>338</v>
      </c>
      <c r="F629"/>
      <c r="G629"/>
      <c r="H629"/>
      <c r="I629" t="s">
        <v>335</v>
      </c>
      <c r="J629" t="s">
        <v>335</v>
      </c>
      <c r="K629" t="s">
        <v>335</v>
      </c>
      <c r="L629" t="s">
        <v>335</v>
      </c>
      <c r="M629" t="s">
        <v>335</v>
      </c>
      <c r="N629" t="s">
        <v>335</v>
      </c>
      <c r="O629" t="s">
        <v>335</v>
      </c>
      <c r="P629" t="s">
        <v>335</v>
      </c>
      <c r="Q629" t="s">
        <v>335</v>
      </c>
      <c r="R629" t="s">
        <v>335</v>
      </c>
      <c r="S629" t="s">
        <v>335</v>
      </c>
      <c r="T629" t="s">
        <v>335</v>
      </c>
      <c r="U629" t="s">
        <v>335</v>
      </c>
      <c r="V629" t="s">
        <v>335</v>
      </c>
      <c r="W629" t="s">
        <v>335</v>
      </c>
      <c r="X629" t="s">
        <v>335</v>
      </c>
      <c r="Y629" t="s">
        <v>335</v>
      </c>
      <c r="Z629" t="s">
        <v>335</v>
      </c>
      <c r="AA629" t="s">
        <v>335</v>
      </c>
      <c r="AB629" t="s">
        <v>335</v>
      </c>
      <c r="AC629" t="s">
        <v>335</v>
      </c>
      <c r="AD629"/>
      <c r="AE629"/>
      <c r="AF629"/>
      <c r="AG629"/>
      <c r="AH629"/>
      <c r="AI629"/>
      <c r="AJ629"/>
      <c r="AK629"/>
      <c r="AL629"/>
    </row>
    <row r="630">
      <c r="A630" t="s">
        <v>226</v>
      </c>
      <c r="B630" t="s">
        <v>255</v>
      </c>
      <c r="C630" t="s">
        <v>256</v>
      </c>
      <c r="D630" t="s">
        <v>213</v>
      </c>
      <c r="E630" t="s">
        <v>339</v>
      </c>
      <c r="F630"/>
      <c r="G630"/>
      <c r="H630"/>
      <c r="I630" t="s">
        <v>1482</v>
      </c>
      <c r="J630" t="s">
        <v>1483</v>
      </c>
      <c r="K630" t="s">
        <v>1484</v>
      </c>
      <c r="L630" t="s">
        <v>1485</v>
      </c>
      <c r="M630" t="s">
        <v>360</v>
      </c>
      <c r="N630" t="s">
        <v>360</v>
      </c>
      <c r="O630" t="s">
        <v>360</v>
      </c>
      <c r="P630" t="s">
        <v>360</v>
      </c>
      <c r="Q630" t="s">
        <v>360</v>
      </c>
      <c r="R630" t="s">
        <v>360</v>
      </c>
      <c r="S630" t="s">
        <v>360</v>
      </c>
      <c r="T630" t="s">
        <v>360</v>
      </c>
      <c r="U630" t="s">
        <v>360</v>
      </c>
      <c r="V630" t="s">
        <v>360</v>
      </c>
      <c r="W630" t="s">
        <v>360</v>
      </c>
      <c r="X630" t="s">
        <v>360</v>
      </c>
      <c r="Y630" t="s">
        <v>360</v>
      </c>
      <c r="Z630" t="s">
        <v>360</v>
      </c>
      <c r="AA630" t="s">
        <v>360</v>
      </c>
      <c r="AB630" t="s">
        <v>360</v>
      </c>
      <c r="AC630" t="s">
        <v>360</v>
      </c>
      <c r="AD630"/>
      <c r="AE630"/>
      <c r="AF630"/>
      <c r="AG630"/>
      <c r="AH630"/>
      <c r="AI630"/>
      <c r="AJ630"/>
      <c r="AK630"/>
      <c r="AL630"/>
    </row>
    <row r="631">
      <c r="A631" t="s">
        <v>226</v>
      </c>
      <c r="B631" t="s">
        <v>255</v>
      </c>
      <c r="C631" t="s">
        <v>256</v>
      </c>
      <c r="D631" t="s">
        <v>213</v>
      </c>
      <c r="E631" t="s">
        <v>358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</row>
    <row r="632">
      <c r="A632" t="s">
        <v>229</v>
      </c>
      <c r="B632" t="s">
        <v>255</v>
      </c>
      <c r="C632" t="s">
        <v>256</v>
      </c>
      <c r="D632" t="s">
        <v>213</v>
      </c>
      <c r="E632" t="s">
        <v>297</v>
      </c>
      <c r="F632"/>
      <c r="G632"/>
      <c r="H632"/>
      <c r="I632" t="s">
        <v>360</v>
      </c>
      <c r="J632" t="s">
        <v>360</v>
      </c>
      <c r="K632" t="s">
        <v>360</v>
      </c>
      <c r="L632" t="s">
        <v>360</v>
      </c>
      <c r="M632" t="s">
        <v>360</v>
      </c>
      <c r="N632" t="s">
        <v>360</v>
      </c>
      <c r="O632" t="s">
        <v>360</v>
      </c>
      <c r="P632" t="s">
        <v>360</v>
      </c>
      <c r="Q632" t="s">
        <v>360</v>
      </c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</row>
    <row r="633">
      <c r="A633" t="s">
        <v>229</v>
      </c>
      <c r="B633" t="s">
        <v>255</v>
      </c>
      <c r="C633" t="s">
        <v>256</v>
      </c>
      <c r="D633" t="s">
        <v>213</v>
      </c>
      <c r="E633" t="s">
        <v>316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</row>
    <row r="634">
      <c r="A634" t="s">
        <v>229</v>
      </c>
      <c r="B634" t="s">
        <v>255</v>
      </c>
      <c r="C634" t="s">
        <v>256</v>
      </c>
      <c r="D634" t="s">
        <v>213</v>
      </c>
      <c r="E634" t="s">
        <v>317</v>
      </c>
      <c r="F634"/>
      <c r="G634"/>
      <c r="H634"/>
      <c r="I634" t="s">
        <v>1486</v>
      </c>
      <c r="J634" t="s">
        <v>1486</v>
      </c>
      <c r="K634" t="s">
        <v>1486</v>
      </c>
      <c r="L634" t="s">
        <v>1486</v>
      </c>
      <c r="M634" t="s">
        <v>1486</v>
      </c>
      <c r="N634" t="s">
        <v>1486</v>
      </c>
      <c r="O634" t="s">
        <v>1486</v>
      </c>
      <c r="P634" t="s">
        <v>1486</v>
      </c>
      <c r="Q634" t="s">
        <v>1486</v>
      </c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</row>
    <row r="635">
      <c r="A635" t="s">
        <v>229</v>
      </c>
      <c r="B635" t="s">
        <v>255</v>
      </c>
      <c r="C635" t="s">
        <v>256</v>
      </c>
      <c r="D635" t="s">
        <v>213</v>
      </c>
      <c r="E635" t="s">
        <v>320</v>
      </c>
      <c r="F635"/>
      <c r="G635"/>
      <c r="H635"/>
      <c r="I635" t="s">
        <v>360</v>
      </c>
      <c r="J635" t="s">
        <v>360</v>
      </c>
      <c r="K635" t="s">
        <v>360</v>
      </c>
      <c r="L635" t="s">
        <v>360</v>
      </c>
      <c r="M635" t="s">
        <v>360</v>
      </c>
      <c r="N635" t="s">
        <v>360</v>
      </c>
      <c r="O635" t="s">
        <v>360</v>
      </c>
      <c r="P635" t="s">
        <v>360</v>
      </c>
      <c r="Q635" t="s">
        <v>360</v>
      </c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</row>
    <row r="636">
      <c r="A636" t="s">
        <v>229</v>
      </c>
      <c r="B636" t="s">
        <v>255</v>
      </c>
      <c r="C636" t="s">
        <v>256</v>
      </c>
      <c r="D636" t="s">
        <v>213</v>
      </c>
      <c r="E636" t="s">
        <v>323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</row>
    <row r="637">
      <c r="A637" t="s">
        <v>229</v>
      </c>
      <c r="B637" t="s">
        <v>255</v>
      </c>
      <c r="C637" t="s">
        <v>256</v>
      </c>
      <c r="D637" t="s">
        <v>213</v>
      </c>
      <c r="E637" t="s">
        <v>324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</row>
    <row r="638">
      <c r="A638" t="s">
        <v>229</v>
      </c>
      <c r="B638" t="s">
        <v>255</v>
      </c>
      <c r="C638" t="s">
        <v>256</v>
      </c>
      <c r="D638" t="s">
        <v>213</v>
      </c>
      <c r="E638" t="s">
        <v>325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</row>
    <row r="639">
      <c r="A639" t="s">
        <v>229</v>
      </c>
      <c r="B639" t="s">
        <v>255</v>
      </c>
      <c r="C639" t="s">
        <v>256</v>
      </c>
      <c r="D639" t="s">
        <v>213</v>
      </c>
      <c r="E639" t="s">
        <v>326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</row>
    <row r="640">
      <c r="A640" t="s">
        <v>229</v>
      </c>
      <c r="B640" t="s">
        <v>255</v>
      </c>
      <c r="C640" t="s">
        <v>256</v>
      </c>
      <c r="D640" t="s">
        <v>213</v>
      </c>
      <c r="E640" t="s">
        <v>329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</row>
    <row r="641">
      <c r="A641" t="s">
        <v>229</v>
      </c>
      <c r="B641" t="s">
        <v>255</v>
      </c>
      <c r="C641" t="s">
        <v>256</v>
      </c>
      <c r="D641" t="s">
        <v>213</v>
      </c>
      <c r="E641" t="s">
        <v>330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</row>
    <row r="642">
      <c r="A642" t="s">
        <v>229</v>
      </c>
      <c r="B642" t="s">
        <v>255</v>
      </c>
      <c r="C642" t="s">
        <v>256</v>
      </c>
      <c r="D642" t="s">
        <v>213</v>
      </c>
      <c r="E642" t="s">
        <v>331</v>
      </c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</row>
    <row r="643">
      <c r="A643" t="s">
        <v>229</v>
      </c>
      <c r="B643" t="s">
        <v>255</v>
      </c>
      <c r="C643" t="s">
        <v>256</v>
      </c>
      <c r="D643" t="s">
        <v>213</v>
      </c>
      <c r="E643" t="s">
        <v>332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</row>
    <row r="644">
      <c r="A644" t="s">
        <v>229</v>
      </c>
      <c r="B644" t="s">
        <v>255</v>
      </c>
      <c r="C644" t="s">
        <v>256</v>
      </c>
      <c r="D644" t="s">
        <v>213</v>
      </c>
      <c r="E644" t="s">
        <v>333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</row>
    <row r="645">
      <c r="A645" t="s">
        <v>229</v>
      </c>
      <c r="B645" t="s">
        <v>255</v>
      </c>
      <c r="C645" t="s">
        <v>256</v>
      </c>
      <c r="D645" t="s">
        <v>213</v>
      </c>
      <c r="E645" t="s">
        <v>334</v>
      </c>
      <c r="F645"/>
      <c r="G645"/>
      <c r="H645"/>
      <c r="I645" t="s">
        <v>416</v>
      </c>
      <c r="J645" t="s">
        <v>416</v>
      </c>
      <c r="K645" t="s">
        <v>416</v>
      </c>
      <c r="L645" t="s">
        <v>416</v>
      </c>
      <c r="M645" t="s">
        <v>416</v>
      </c>
      <c r="N645" t="s">
        <v>416</v>
      </c>
      <c r="O645" t="s">
        <v>416</v>
      </c>
      <c r="P645" t="s">
        <v>416</v>
      </c>
      <c r="Q645" t="s">
        <v>416</v>
      </c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</row>
    <row r="646">
      <c r="A646" t="s">
        <v>229</v>
      </c>
      <c r="B646" t="s">
        <v>255</v>
      </c>
      <c r="C646" t="s">
        <v>256</v>
      </c>
      <c r="D646" t="s">
        <v>213</v>
      </c>
      <c r="E646" t="s">
        <v>336</v>
      </c>
      <c r="F646"/>
      <c r="G646"/>
      <c r="H646"/>
      <c r="I646" t="s">
        <v>417</v>
      </c>
      <c r="J646" t="s">
        <v>417</v>
      </c>
      <c r="K646" t="s">
        <v>417</v>
      </c>
      <c r="L646" t="s">
        <v>417</v>
      </c>
      <c r="M646" t="s">
        <v>417</v>
      </c>
      <c r="N646" t="s">
        <v>417</v>
      </c>
      <c r="O646" t="s">
        <v>417</v>
      </c>
      <c r="P646" t="s">
        <v>417</v>
      </c>
      <c r="Q646" t="s">
        <v>417</v>
      </c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</row>
    <row r="647">
      <c r="A647" t="s">
        <v>229</v>
      </c>
      <c r="B647" t="s">
        <v>255</v>
      </c>
      <c r="C647" t="s">
        <v>256</v>
      </c>
      <c r="D647" t="s">
        <v>213</v>
      </c>
      <c r="E647" t="s">
        <v>338</v>
      </c>
      <c r="F647"/>
      <c r="G647"/>
      <c r="H647"/>
      <c r="I647" t="s">
        <v>417</v>
      </c>
      <c r="J647" t="s">
        <v>417</v>
      </c>
      <c r="K647" t="s">
        <v>417</v>
      </c>
      <c r="L647" t="s">
        <v>417</v>
      </c>
      <c r="M647" t="s">
        <v>417</v>
      </c>
      <c r="N647" t="s">
        <v>417</v>
      </c>
      <c r="O647" t="s">
        <v>417</v>
      </c>
      <c r="P647" t="s">
        <v>417</v>
      </c>
      <c r="Q647" t="s">
        <v>417</v>
      </c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</row>
    <row r="648">
      <c r="A648" t="s">
        <v>229</v>
      </c>
      <c r="B648" t="s">
        <v>255</v>
      </c>
      <c r="C648" t="s">
        <v>256</v>
      </c>
      <c r="D648" t="s">
        <v>213</v>
      </c>
      <c r="E648" t="s">
        <v>339</v>
      </c>
      <c r="F648"/>
      <c r="G648"/>
      <c r="H648"/>
      <c r="I648" t="s">
        <v>360</v>
      </c>
      <c r="J648" t="s">
        <v>360</v>
      </c>
      <c r="K648" t="s">
        <v>360</v>
      </c>
      <c r="L648" t="s">
        <v>360</v>
      </c>
      <c r="M648" t="s">
        <v>360</v>
      </c>
      <c r="N648" t="s">
        <v>360</v>
      </c>
      <c r="O648" t="s">
        <v>360</v>
      </c>
      <c r="P648" t="s">
        <v>360</v>
      </c>
      <c r="Q648" t="s">
        <v>360</v>
      </c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</row>
    <row r="649">
      <c r="A649" t="s">
        <v>229</v>
      </c>
      <c r="B649" t="s">
        <v>255</v>
      </c>
      <c r="C649" t="s">
        <v>256</v>
      </c>
      <c r="D649" t="s">
        <v>213</v>
      </c>
      <c r="E649" t="s">
        <v>358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</row>
    <row r="650">
      <c r="A650" t="s">
        <v>250</v>
      </c>
      <c r="B650" t="s">
        <v>247</v>
      </c>
      <c r="C650" t="s">
        <v>231</v>
      </c>
      <c r="D650" t="s">
        <v>213</v>
      </c>
      <c r="E650" t="s">
        <v>297</v>
      </c>
      <c r="F650"/>
      <c r="G650"/>
      <c r="H650"/>
      <c r="I650" t="s">
        <v>1487</v>
      </c>
      <c r="J650" t="s">
        <v>1488</v>
      </c>
      <c r="K650" t="s">
        <v>1489</v>
      </c>
      <c r="L650" t="s">
        <v>1490</v>
      </c>
      <c r="M650" t="s">
        <v>1491</v>
      </c>
      <c r="N650" t="s">
        <v>1492</v>
      </c>
      <c r="O650" t="s">
        <v>1493</v>
      </c>
      <c r="P650" t="s">
        <v>1494</v>
      </c>
      <c r="Q650" t="s">
        <v>1495</v>
      </c>
      <c r="R650" t="s">
        <v>1496</v>
      </c>
      <c r="S650" t="s">
        <v>1497</v>
      </c>
      <c r="T650" t="s">
        <v>1498</v>
      </c>
      <c r="U650" t="s">
        <v>1499</v>
      </c>
      <c r="V650" t="s">
        <v>1500</v>
      </c>
      <c r="W650" t="s">
        <v>1501</v>
      </c>
      <c r="X650" t="s">
        <v>1502</v>
      </c>
      <c r="Y650" t="s">
        <v>1503</v>
      </c>
      <c r="Z650" t="s">
        <v>1504</v>
      </c>
      <c r="AA650"/>
      <c r="AB650"/>
      <c r="AC650"/>
      <c r="AD650"/>
      <c r="AE650"/>
      <c r="AF650"/>
      <c r="AG650"/>
      <c r="AH650"/>
      <c r="AI650"/>
      <c r="AJ650"/>
      <c r="AK650"/>
      <c r="AL650"/>
    </row>
    <row r="651">
      <c r="A651" t="s">
        <v>250</v>
      </c>
      <c r="B651" t="s">
        <v>247</v>
      </c>
      <c r="C651" t="s">
        <v>231</v>
      </c>
      <c r="D651" t="s">
        <v>213</v>
      </c>
      <c r="E651" t="s">
        <v>316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</row>
    <row r="652">
      <c r="A652" t="s">
        <v>250</v>
      </c>
      <c r="B652" t="s">
        <v>247</v>
      </c>
      <c r="C652" t="s">
        <v>231</v>
      </c>
      <c r="D652" t="s">
        <v>213</v>
      </c>
      <c r="E652" t="s">
        <v>317</v>
      </c>
      <c r="F652"/>
      <c r="G652"/>
      <c r="H652"/>
      <c r="I652" t="s">
        <v>1505</v>
      </c>
      <c r="J652" t="s">
        <v>1506</v>
      </c>
      <c r="K652" t="s">
        <v>1507</v>
      </c>
      <c r="L652" t="s">
        <v>1508</v>
      </c>
      <c r="M652" t="s">
        <v>1509</v>
      </c>
      <c r="N652" t="s">
        <v>1510</v>
      </c>
      <c r="O652" t="s">
        <v>1511</v>
      </c>
      <c r="P652" t="s">
        <v>1512</v>
      </c>
      <c r="Q652" t="s">
        <v>1513</v>
      </c>
      <c r="R652" t="s">
        <v>1513</v>
      </c>
      <c r="S652" t="s">
        <v>1513</v>
      </c>
      <c r="T652" t="s">
        <v>1513</v>
      </c>
      <c r="U652" t="s">
        <v>1513</v>
      </c>
      <c r="V652" t="s">
        <v>1513</v>
      </c>
      <c r="W652" t="s">
        <v>1513</v>
      </c>
      <c r="X652" t="s">
        <v>1513</v>
      </c>
      <c r="Y652" t="s">
        <v>1513</v>
      </c>
      <c r="Z652" t="s">
        <v>1513</v>
      </c>
      <c r="AA652"/>
      <c r="AB652"/>
      <c r="AC652"/>
      <c r="AD652"/>
      <c r="AE652"/>
      <c r="AF652"/>
      <c r="AG652"/>
      <c r="AH652"/>
      <c r="AI652"/>
      <c r="AJ652"/>
      <c r="AK652"/>
      <c r="AL652"/>
    </row>
    <row r="653">
      <c r="A653" t="s">
        <v>250</v>
      </c>
      <c r="B653" t="s">
        <v>247</v>
      </c>
      <c r="C653" t="s">
        <v>231</v>
      </c>
      <c r="D653" t="s">
        <v>213</v>
      </c>
      <c r="E653" t="s">
        <v>320</v>
      </c>
      <c r="F653"/>
      <c r="G653"/>
      <c r="H653"/>
      <c r="I653" t="s">
        <v>1488</v>
      </c>
      <c r="J653" t="s">
        <v>1489</v>
      </c>
      <c r="K653" t="s">
        <v>1490</v>
      </c>
      <c r="L653" t="s">
        <v>1491</v>
      </c>
      <c r="M653" t="s">
        <v>1492</v>
      </c>
      <c r="N653" t="s">
        <v>1493</v>
      </c>
      <c r="O653" t="s">
        <v>1494</v>
      </c>
      <c r="P653" t="s">
        <v>1495</v>
      </c>
      <c r="Q653" t="s">
        <v>1496</v>
      </c>
      <c r="R653" t="s">
        <v>1497</v>
      </c>
      <c r="S653" t="s">
        <v>1498</v>
      </c>
      <c r="T653" t="s">
        <v>1499</v>
      </c>
      <c r="U653" t="s">
        <v>1500</v>
      </c>
      <c r="V653" t="s">
        <v>1501</v>
      </c>
      <c r="W653" t="s">
        <v>1502</v>
      </c>
      <c r="X653" t="s">
        <v>1503</v>
      </c>
      <c r="Y653" t="s">
        <v>1504</v>
      </c>
      <c r="Z653" t="s">
        <v>1514</v>
      </c>
      <c r="AA653"/>
      <c r="AB653"/>
      <c r="AC653"/>
      <c r="AD653"/>
      <c r="AE653"/>
      <c r="AF653"/>
      <c r="AG653"/>
      <c r="AH653"/>
      <c r="AI653"/>
      <c r="AJ653"/>
      <c r="AK653"/>
      <c r="AL653"/>
    </row>
    <row r="654">
      <c r="A654" t="s">
        <v>250</v>
      </c>
      <c r="B654" t="s">
        <v>247</v>
      </c>
      <c r="C654" t="s">
        <v>231</v>
      </c>
      <c r="D654" t="s">
        <v>213</v>
      </c>
      <c r="E654" t="s">
        <v>323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</row>
    <row r="655">
      <c r="A655" t="s">
        <v>250</v>
      </c>
      <c r="B655" t="s">
        <v>247</v>
      </c>
      <c r="C655" t="s">
        <v>231</v>
      </c>
      <c r="D655" t="s">
        <v>213</v>
      </c>
      <c r="E655" t="s">
        <v>324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</row>
    <row r="656">
      <c r="A656" t="s">
        <v>250</v>
      </c>
      <c r="B656" t="s">
        <v>247</v>
      </c>
      <c r="C656" t="s">
        <v>231</v>
      </c>
      <c r="D656" t="s">
        <v>213</v>
      </c>
      <c r="E656" t="s">
        <v>325</v>
      </c>
      <c r="F656"/>
      <c r="G656"/>
      <c r="H656"/>
      <c r="I656"/>
      <c r="J656" t="s">
        <v>237</v>
      </c>
      <c r="K656"/>
      <c r="L656"/>
      <c r="M656"/>
      <c r="N656" t="s">
        <v>259</v>
      </c>
      <c r="O656"/>
      <c r="P656" t="s">
        <v>269</v>
      </c>
      <c r="Q656"/>
      <c r="R656"/>
      <c r="S656" t="s">
        <v>269</v>
      </c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</row>
    <row r="657">
      <c r="A657" t="s">
        <v>250</v>
      </c>
      <c r="B657" t="s">
        <v>247</v>
      </c>
      <c r="C657" t="s">
        <v>231</v>
      </c>
      <c r="D657" t="s">
        <v>213</v>
      </c>
      <c r="E657" t="s">
        <v>326</v>
      </c>
      <c r="F657"/>
      <c r="G657"/>
      <c r="H657"/>
      <c r="I657"/>
      <c r="J657" t="s">
        <v>1515</v>
      </c>
      <c r="K657"/>
      <c r="L657"/>
      <c r="M657"/>
      <c r="N657" t="s">
        <v>1516</v>
      </c>
      <c r="O657"/>
      <c r="P657" t="s">
        <v>1517</v>
      </c>
      <c r="Q657"/>
      <c r="R657"/>
      <c r="S657" t="s">
        <v>1518</v>
      </c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</row>
    <row r="658">
      <c r="A658" t="s">
        <v>250</v>
      </c>
      <c r="B658" t="s">
        <v>247</v>
      </c>
      <c r="C658" t="s">
        <v>231</v>
      </c>
      <c r="D658" t="s">
        <v>213</v>
      </c>
      <c r="E658" t="s">
        <v>329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</row>
    <row r="659">
      <c r="A659" t="s">
        <v>250</v>
      </c>
      <c r="B659" t="s">
        <v>247</v>
      </c>
      <c r="C659" t="s">
        <v>231</v>
      </c>
      <c r="D659" t="s">
        <v>213</v>
      </c>
      <c r="E659" t="s">
        <v>330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</row>
    <row r="660">
      <c r="A660" t="s">
        <v>250</v>
      </c>
      <c r="B660" t="s">
        <v>247</v>
      </c>
      <c r="C660" t="s">
        <v>231</v>
      </c>
      <c r="D660" t="s">
        <v>213</v>
      </c>
      <c r="E660" t="s">
        <v>331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</row>
    <row r="661">
      <c r="A661" t="s">
        <v>250</v>
      </c>
      <c r="B661" t="s">
        <v>247</v>
      </c>
      <c r="C661" t="s">
        <v>231</v>
      </c>
      <c r="D661" t="s">
        <v>213</v>
      </c>
      <c r="E661" t="s">
        <v>332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</row>
    <row r="662">
      <c r="A662" t="s">
        <v>250</v>
      </c>
      <c r="B662" t="s">
        <v>247</v>
      </c>
      <c r="C662" t="s">
        <v>231</v>
      </c>
      <c r="D662" t="s">
        <v>213</v>
      </c>
      <c r="E662" t="s">
        <v>333</v>
      </c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</row>
    <row r="663">
      <c r="A663" t="s">
        <v>250</v>
      </c>
      <c r="B663" t="s">
        <v>247</v>
      </c>
      <c r="C663" t="s">
        <v>231</v>
      </c>
      <c r="D663" t="s">
        <v>213</v>
      </c>
      <c r="E663" t="s">
        <v>334</v>
      </c>
      <c r="F663"/>
      <c r="G663"/>
      <c r="H663"/>
      <c r="I663" t="s">
        <v>961</v>
      </c>
      <c r="J663" t="s">
        <v>961</v>
      </c>
      <c r="K663" t="s">
        <v>961</v>
      </c>
      <c r="L663" t="s">
        <v>961</v>
      </c>
      <c r="M663" t="s">
        <v>961</v>
      </c>
      <c r="N663" t="s">
        <v>961</v>
      </c>
      <c r="O663" t="s">
        <v>961</v>
      </c>
      <c r="P663" t="s">
        <v>961</v>
      </c>
      <c r="Q663" t="s">
        <v>961</v>
      </c>
      <c r="R663" t="s">
        <v>961</v>
      </c>
      <c r="S663" t="s">
        <v>961</v>
      </c>
      <c r="T663" t="s">
        <v>961</v>
      </c>
      <c r="U663" t="s">
        <v>961</v>
      </c>
      <c r="V663" t="s">
        <v>961</v>
      </c>
      <c r="W663" t="s">
        <v>961</v>
      </c>
      <c r="X663" t="s">
        <v>961</v>
      </c>
      <c r="Y663" t="s">
        <v>961</v>
      </c>
      <c r="Z663" t="s">
        <v>961</v>
      </c>
      <c r="AA663"/>
      <c r="AB663"/>
      <c r="AC663"/>
      <c r="AD663"/>
      <c r="AE663"/>
      <c r="AF663"/>
      <c r="AG663"/>
      <c r="AH663"/>
      <c r="AI663"/>
      <c r="AJ663"/>
      <c r="AK663"/>
      <c r="AL663"/>
    </row>
    <row r="664">
      <c r="A664" t="s">
        <v>250</v>
      </c>
      <c r="B664" t="s">
        <v>247</v>
      </c>
      <c r="C664" t="s">
        <v>231</v>
      </c>
      <c r="D664" t="s">
        <v>213</v>
      </c>
      <c r="E664" t="s">
        <v>336</v>
      </c>
      <c r="F664"/>
      <c r="G664"/>
      <c r="H664"/>
      <c r="I664" t="s">
        <v>417</v>
      </c>
      <c r="J664" t="s">
        <v>417</v>
      </c>
      <c r="K664" t="s">
        <v>417</v>
      </c>
      <c r="L664" t="s">
        <v>417</v>
      </c>
      <c r="M664" t="s">
        <v>417</v>
      </c>
      <c r="N664" t="s">
        <v>417</v>
      </c>
      <c r="O664" t="s">
        <v>417</v>
      </c>
      <c r="P664" t="s">
        <v>417</v>
      </c>
      <c r="Q664" t="s">
        <v>417</v>
      </c>
      <c r="R664" t="s">
        <v>417</v>
      </c>
      <c r="S664" t="s">
        <v>417</v>
      </c>
      <c r="T664" t="s">
        <v>417</v>
      </c>
      <c r="U664" t="s">
        <v>417</v>
      </c>
      <c r="V664" t="s">
        <v>417</v>
      </c>
      <c r="W664" t="s">
        <v>417</v>
      </c>
      <c r="X664" t="s">
        <v>417</v>
      </c>
      <c r="Y664" t="s">
        <v>417</v>
      </c>
      <c r="Z664" t="s">
        <v>417</v>
      </c>
      <c r="AA664"/>
      <c r="AB664"/>
      <c r="AC664"/>
      <c r="AD664"/>
      <c r="AE664"/>
      <c r="AF664"/>
      <c r="AG664"/>
      <c r="AH664"/>
      <c r="AI664"/>
      <c r="AJ664"/>
      <c r="AK664"/>
      <c r="AL664"/>
    </row>
    <row r="665">
      <c r="A665" t="s">
        <v>250</v>
      </c>
      <c r="B665" t="s">
        <v>247</v>
      </c>
      <c r="C665" t="s">
        <v>231</v>
      </c>
      <c r="D665" t="s">
        <v>213</v>
      </c>
      <c r="E665" t="s">
        <v>338</v>
      </c>
      <c r="F665"/>
      <c r="G665"/>
      <c r="H665"/>
      <c r="I665" t="s">
        <v>417</v>
      </c>
      <c r="J665" t="s">
        <v>417</v>
      </c>
      <c r="K665" t="s">
        <v>417</v>
      </c>
      <c r="L665" t="s">
        <v>417</v>
      </c>
      <c r="M665" t="s">
        <v>417</v>
      </c>
      <c r="N665" t="s">
        <v>417</v>
      </c>
      <c r="O665" t="s">
        <v>417</v>
      </c>
      <c r="P665" t="s">
        <v>417</v>
      </c>
      <c r="Q665" t="s">
        <v>417</v>
      </c>
      <c r="R665" t="s">
        <v>417</v>
      </c>
      <c r="S665" t="s">
        <v>417</v>
      </c>
      <c r="T665" t="s">
        <v>417</v>
      </c>
      <c r="U665" t="s">
        <v>417</v>
      </c>
      <c r="V665" t="s">
        <v>417</v>
      </c>
      <c r="W665" t="s">
        <v>417</v>
      </c>
      <c r="X665" t="s">
        <v>417</v>
      </c>
      <c r="Y665" t="s">
        <v>417</v>
      </c>
      <c r="Z665" t="s">
        <v>417</v>
      </c>
      <c r="AA665"/>
      <c r="AB665"/>
      <c r="AC665"/>
      <c r="AD665"/>
      <c r="AE665"/>
      <c r="AF665"/>
      <c r="AG665"/>
      <c r="AH665"/>
      <c r="AI665"/>
      <c r="AJ665"/>
      <c r="AK665"/>
      <c r="AL665"/>
    </row>
    <row r="666">
      <c r="A666" t="s">
        <v>250</v>
      </c>
      <c r="B666" t="s">
        <v>247</v>
      </c>
      <c r="C666" t="s">
        <v>231</v>
      </c>
      <c r="D666" t="s">
        <v>213</v>
      </c>
      <c r="E666" t="s">
        <v>339</v>
      </c>
      <c r="F666"/>
      <c r="G666"/>
      <c r="H666"/>
      <c r="I666" t="s">
        <v>1519</v>
      </c>
      <c r="J666" t="s">
        <v>1520</v>
      </c>
      <c r="K666" t="s">
        <v>1521</v>
      </c>
      <c r="L666" t="s">
        <v>1522</v>
      </c>
      <c r="M666" t="s">
        <v>1523</v>
      </c>
      <c r="N666" t="s">
        <v>1524</v>
      </c>
      <c r="O666" t="s">
        <v>1525</v>
      </c>
      <c r="P666" t="s">
        <v>1526</v>
      </c>
      <c r="Q666" t="s">
        <v>1527</v>
      </c>
      <c r="R666" t="s">
        <v>1528</v>
      </c>
      <c r="S666" t="s">
        <v>1529</v>
      </c>
      <c r="T666" t="s">
        <v>1530</v>
      </c>
      <c r="U666" t="s">
        <v>1531</v>
      </c>
      <c r="V666" t="s">
        <v>1532</v>
      </c>
      <c r="W666" t="s">
        <v>1533</v>
      </c>
      <c r="X666" t="s">
        <v>1534</v>
      </c>
      <c r="Y666" t="s">
        <v>1535</v>
      </c>
      <c r="Z666" t="s">
        <v>1536</v>
      </c>
      <c r="AA666"/>
      <c r="AB666"/>
      <c r="AC666"/>
      <c r="AD666"/>
      <c r="AE666"/>
      <c r="AF666"/>
      <c r="AG666"/>
      <c r="AH666"/>
      <c r="AI666"/>
      <c r="AJ666"/>
      <c r="AK666"/>
      <c r="AL666"/>
    </row>
    <row r="667">
      <c r="A667" t="s">
        <v>250</v>
      </c>
      <c r="B667" t="s">
        <v>247</v>
      </c>
      <c r="C667" t="s">
        <v>231</v>
      </c>
      <c r="D667" t="s">
        <v>213</v>
      </c>
      <c r="E667" t="s">
        <v>358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</row>
    <row r="668">
      <c r="A668" t="s">
        <v>226</v>
      </c>
      <c r="B668" t="s">
        <v>247</v>
      </c>
      <c r="C668" t="s">
        <v>231</v>
      </c>
      <c r="D668" t="s">
        <v>213</v>
      </c>
      <c r="E668" t="s">
        <v>297</v>
      </c>
      <c r="F668"/>
      <c r="G668"/>
      <c r="H668"/>
      <c r="I668" t="s">
        <v>1537</v>
      </c>
      <c r="J668" t="s">
        <v>1538</v>
      </c>
      <c r="K668" t="s">
        <v>1539</v>
      </c>
      <c r="L668" t="s">
        <v>1540</v>
      </c>
      <c r="M668" t="s">
        <v>1541</v>
      </c>
      <c r="N668" t="s">
        <v>1542</v>
      </c>
      <c r="O668" t="s">
        <v>1543</v>
      </c>
      <c r="P668" t="s">
        <v>1544</v>
      </c>
      <c r="Q668" t="s">
        <v>1545</v>
      </c>
      <c r="R668" t="s">
        <v>360</v>
      </c>
      <c r="S668" t="s">
        <v>360</v>
      </c>
      <c r="T668" t="s">
        <v>360</v>
      </c>
      <c r="U668" t="s">
        <v>360</v>
      </c>
      <c r="V668" t="s">
        <v>360</v>
      </c>
      <c r="W668" t="s">
        <v>360</v>
      </c>
      <c r="X668" t="s">
        <v>360</v>
      </c>
      <c r="Y668" t="s">
        <v>360</v>
      </c>
      <c r="Z668" t="s">
        <v>360</v>
      </c>
      <c r="AA668" t="s">
        <v>360</v>
      </c>
      <c r="AB668" t="s">
        <v>360</v>
      </c>
      <c r="AC668" t="s">
        <v>360</v>
      </c>
      <c r="AD668" t="n">
        <v>36808</v>
      </c>
      <c r="AE668" t="n">
        <v>33126</v>
      </c>
      <c r="AF668" t="n">
        <v>29444</v>
      </c>
      <c r="AG668"/>
      <c r="AH668" t="n">
        <v>55240</v>
      </c>
      <c r="AI668" t="n">
        <v>51558</v>
      </c>
      <c r="AJ668"/>
      <c r="AK668"/>
      <c r="AL668"/>
    </row>
    <row r="669">
      <c r="A669" t="s">
        <v>226</v>
      </c>
      <c r="B669" t="s">
        <v>247</v>
      </c>
      <c r="C669" t="s">
        <v>231</v>
      </c>
      <c r="D669" t="s">
        <v>213</v>
      </c>
      <c r="E669" t="s">
        <v>316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</row>
    <row r="670">
      <c r="A670" t="s">
        <v>226</v>
      </c>
      <c r="B670" t="s">
        <v>247</v>
      </c>
      <c r="C670" t="s">
        <v>231</v>
      </c>
      <c r="D670" t="s">
        <v>213</v>
      </c>
      <c r="E670" t="s">
        <v>317</v>
      </c>
      <c r="F670"/>
      <c r="G670"/>
      <c r="H670"/>
      <c r="I670" t="s">
        <v>1546</v>
      </c>
      <c r="J670" t="s">
        <v>1546</v>
      </c>
      <c r="K670" t="s">
        <v>1546</v>
      </c>
      <c r="L670" t="s">
        <v>1546</v>
      </c>
      <c r="M670" t="s">
        <v>1546</v>
      </c>
      <c r="N670" t="s">
        <v>1546</v>
      </c>
      <c r="O670" t="s">
        <v>1546</v>
      </c>
      <c r="P670" t="s">
        <v>1546</v>
      </c>
      <c r="Q670" t="s">
        <v>1546</v>
      </c>
      <c r="R670" t="s">
        <v>1546</v>
      </c>
      <c r="S670" t="s">
        <v>1546</v>
      </c>
      <c r="T670" t="s">
        <v>1546</v>
      </c>
      <c r="U670" t="s">
        <v>1546</v>
      </c>
      <c r="V670" t="s">
        <v>1546</v>
      </c>
      <c r="W670" t="s">
        <v>1546</v>
      </c>
      <c r="X670" t="s">
        <v>1546</v>
      </c>
      <c r="Y670" t="s">
        <v>1546</v>
      </c>
      <c r="Z670" t="s">
        <v>1546</v>
      </c>
      <c r="AA670" t="s">
        <v>1546</v>
      </c>
      <c r="AB670" t="s">
        <v>1546</v>
      </c>
      <c r="AC670" t="s">
        <v>1546</v>
      </c>
      <c r="AD670" t="n">
        <v>3682</v>
      </c>
      <c r="AE670" t="n">
        <v>3682</v>
      </c>
      <c r="AF670" t="n">
        <v>3682</v>
      </c>
      <c r="AG670"/>
      <c r="AH670" t="n">
        <v>3682</v>
      </c>
      <c r="AI670" t="n">
        <v>3682</v>
      </c>
      <c r="AJ670"/>
      <c r="AK670"/>
      <c r="AL670"/>
    </row>
    <row r="671">
      <c r="A671" t="s">
        <v>226</v>
      </c>
      <c r="B671" t="s">
        <v>247</v>
      </c>
      <c r="C671" t="s">
        <v>231</v>
      </c>
      <c r="D671" t="s">
        <v>213</v>
      </c>
      <c r="E671" t="s">
        <v>320</v>
      </c>
      <c r="F671"/>
      <c r="G671"/>
      <c r="H671"/>
      <c r="I671" t="s">
        <v>1538</v>
      </c>
      <c r="J671" t="s">
        <v>1539</v>
      </c>
      <c r="K671" t="s">
        <v>1540</v>
      </c>
      <c r="L671" t="s">
        <v>1541</v>
      </c>
      <c r="M671" t="s">
        <v>1542</v>
      </c>
      <c r="N671" t="s">
        <v>1543</v>
      </c>
      <c r="O671" t="s">
        <v>1544</v>
      </c>
      <c r="P671" t="s">
        <v>1545</v>
      </c>
      <c r="Q671" t="s">
        <v>360</v>
      </c>
      <c r="R671" t="s">
        <v>360</v>
      </c>
      <c r="S671" t="s">
        <v>360</v>
      </c>
      <c r="T671" t="s">
        <v>360</v>
      </c>
      <c r="U671" t="s">
        <v>360</v>
      </c>
      <c r="V671" t="s">
        <v>360</v>
      </c>
      <c r="W671" t="s">
        <v>360</v>
      </c>
      <c r="X671" t="s">
        <v>360</v>
      </c>
      <c r="Y671" t="s">
        <v>360</v>
      </c>
      <c r="Z671" t="s">
        <v>360</v>
      </c>
      <c r="AA671" t="s">
        <v>360</v>
      </c>
      <c r="AB671" t="s">
        <v>360</v>
      </c>
      <c r="AC671" t="s">
        <v>360</v>
      </c>
      <c r="AD671" t="n">
        <v>33126</v>
      </c>
      <c r="AE671" t="n">
        <v>29444</v>
      </c>
      <c r="AF671" t="n">
        <v>25762</v>
      </c>
      <c r="AG671"/>
      <c r="AH671" t="n">
        <v>51558</v>
      </c>
      <c r="AI671" t="n">
        <v>47876</v>
      </c>
      <c r="AJ671"/>
      <c r="AK671"/>
      <c r="AL671"/>
    </row>
    <row r="672">
      <c r="A672" t="s">
        <v>226</v>
      </c>
      <c r="B672" t="s">
        <v>247</v>
      </c>
      <c r="C672" t="s">
        <v>231</v>
      </c>
      <c r="D672" t="s">
        <v>213</v>
      </c>
      <c r="E672" t="s">
        <v>323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 t="n">
        <v>7</v>
      </c>
      <c r="AE672" t="n">
        <v>7</v>
      </c>
      <c r="AF672" t="n">
        <v>7</v>
      </c>
      <c r="AG672"/>
      <c r="AH672" t="n">
        <v>7</v>
      </c>
      <c r="AI672" t="n">
        <v>7</v>
      </c>
      <c r="AJ672"/>
      <c r="AK672"/>
      <c r="AL672"/>
    </row>
    <row r="673">
      <c r="A673" t="s">
        <v>226</v>
      </c>
      <c r="B673" t="s">
        <v>247</v>
      </c>
      <c r="C673" t="s">
        <v>231</v>
      </c>
      <c r="D673" t="s">
        <v>213</v>
      </c>
      <c r="E673" t="s">
        <v>324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 t="n">
        <v>15</v>
      </c>
      <c r="AE673" t="n">
        <v>15</v>
      </c>
      <c r="AF673" t="n">
        <v>15</v>
      </c>
      <c r="AG673"/>
      <c r="AH673" t="n">
        <v>15</v>
      </c>
      <c r="AI673" t="n">
        <v>15</v>
      </c>
      <c r="AJ673"/>
      <c r="AK673"/>
      <c r="AL673"/>
    </row>
    <row r="674">
      <c r="A674" t="s">
        <v>226</v>
      </c>
      <c r="B674" t="s">
        <v>247</v>
      </c>
      <c r="C674" t="s">
        <v>231</v>
      </c>
      <c r="D674" t="s">
        <v>213</v>
      </c>
      <c r="E674" t="s">
        <v>325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 t="n">
        <v>15</v>
      </c>
      <c r="AE674" t="n">
        <v>15</v>
      </c>
      <c r="AF674" t="n">
        <v>15</v>
      </c>
      <c r="AG674"/>
      <c r="AH674" t="n">
        <v>15</v>
      </c>
      <c r="AI674" t="n">
        <v>15</v>
      </c>
      <c r="AJ674"/>
      <c r="AK674"/>
      <c r="AL674"/>
    </row>
    <row r="675">
      <c r="A675" t="s">
        <v>226</v>
      </c>
      <c r="B675" t="s">
        <v>247</v>
      </c>
      <c r="C675" t="s">
        <v>231</v>
      </c>
      <c r="D675" t="s">
        <v>213</v>
      </c>
      <c r="E675" t="s">
        <v>326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 t="n">
        <v>8.99674090168387</v>
      </c>
      <c r="AE675" t="n">
        <v>7.99674090168387</v>
      </c>
      <c r="AF675" t="n">
        <v>6.99674090168387</v>
      </c>
      <c r="AG675"/>
      <c r="AH675" t="n">
        <v>14.0027159152634</v>
      </c>
      <c r="AI675" t="n">
        <v>13.0027159152634</v>
      </c>
      <c r="AJ675"/>
      <c r="AK675"/>
      <c r="AL675"/>
    </row>
    <row r="676">
      <c r="A676" t="s">
        <v>226</v>
      </c>
      <c r="B676" t="s">
        <v>247</v>
      </c>
      <c r="C676" t="s">
        <v>231</v>
      </c>
      <c r="D676" t="s">
        <v>213</v>
      </c>
      <c r="E676" t="s">
        <v>329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</row>
    <row r="677">
      <c r="A677" t="s">
        <v>226</v>
      </c>
      <c r="B677" t="s">
        <v>247</v>
      </c>
      <c r="C677" t="s">
        <v>231</v>
      </c>
      <c r="D677" t="s">
        <v>213</v>
      </c>
      <c r="E677" t="s">
        <v>330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</row>
    <row r="678">
      <c r="A678" t="s">
        <v>226</v>
      </c>
      <c r="B678" t="s">
        <v>247</v>
      </c>
      <c r="C678" t="s">
        <v>231</v>
      </c>
      <c r="D678" t="s">
        <v>213</v>
      </c>
      <c r="E678" t="s">
        <v>331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</row>
    <row r="679">
      <c r="A679" t="s">
        <v>226</v>
      </c>
      <c r="B679" t="s">
        <v>247</v>
      </c>
      <c r="C679" t="s">
        <v>231</v>
      </c>
      <c r="D679" t="s">
        <v>213</v>
      </c>
      <c r="E679" t="s">
        <v>332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</row>
    <row r="680">
      <c r="A680" t="s">
        <v>226</v>
      </c>
      <c r="B680" t="s">
        <v>247</v>
      </c>
      <c r="C680" t="s">
        <v>231</v>
      </c>
      <c r="D680" t="s">
        <v>213</v>
      </c>
      <c r="E680" t="s">
        <v>333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</row>
    <row r="681">
      <c r="A681" t="s">
        <v>226</v>
      </c>
      <c r="B681" t="s">
        <v>247</v>
      </c>
      <c r="C681" t="s">
        <v>231</v>
      </c>
      <c r="D681" t="s">
        <v>213</v>
      </c>
      <c r="E681" t="s">
        <v>334</v>
      </c>
      <c r="F681"/>
      <c r="G681"/>
      <c r="H681"/>
      <c r="I681" t="s">
        <v>392</v>
      </c>
      <c r="J681" t="s">
        <v>392</v>
      </c>
      <c r="K681" t="s">
        <v>392</v>
      </c>
      <c r="L681" t="s">
        <v>392</v>
      </c>
      <c r="M681" t="s">
        <v>392</v>
      </c>
      <c r="N681" t="s">
        <v>392</v>
      </c>
      <c r="O681" t="s">
        <v>392</v>
      </c>
      <c r="P681" t="s">
        <v>392</v>
      </c>
      <c r="Q681" t="s">
        <v>392</v>
      </c>
      <c r="R681" t="s">
        <v>392</v>
      </c>
      <c r="S681" t="s">
        <v>392</v>
      </c>
      <c r="T681" t="s">
        <v>392</v>
      </c>
      <c r="U681" t="s">
        <v>392</v>
      </c>
      <c r="V681" t="s">
        <v>392</v>
      </c>
      <c r="W681" t="s">
        <v>392</v>
      </c>
      <c r="X681" t="s">
        <v>392</v>
      </c>
      <c r="Y681" t="s">
        <v>392</v>
      </c>
      <c r="Z681" t="s">
        <v>392</v>
      </c>
      <c r="AA681" t="s">
        <v>392</v>
      </c>
      <c r="AB681" t="s">
        <v>392</v>
      </c>
      <c r="AC681" t="s">
        <v>392</v>
      </c>
      <c r="AD681"/>
      <c r="AE681"/>
      <c r="AF681"/>
      <c r="AG681"/>
      <c r="AH681"/>
      <c r="AI681"/>
      <c r="AJ681"/>
      <c r="AK681"/>
      <c r="AL681"/>
    </row>
    <row r="682">
      <c r="A682" t="s">
        <v>226</v>
      </c>
      <c r="B682" t="s">
        <v>247</v>
      </c>
      <c r="C682" t="s">
        <v>231</v>
      </c>
      <c r="D682" t="s">
        <v>213</v>
      </c>
      <c r="E682" t="s">
        <v>336</v>
      </c>
      <c r="F682"/>
      <c r="G682"/>
      <c r="H682"/>
      <c r="I682" t="s">
        <v>335</v>
      </c>
      <c r="J682" t="s">
        <v>335</v>
      </c>
      <c r="K682" t="s">
        <v>335</v>
      </c>
      <c r="L682" t="s">
        <v>335</v>
      </c>
      <c r="M682" t="s">
        <v>335</v>
      </c>
      <c r="N682" t="s">
        <v>335</v>
      </c>
      <c r="O682" t="s">
        <v>335</v>
      </c>
      <c r="P682" t="s">
        <v>335</v>
      </c>
      <c r="Q682" t="s">
        <v>335</v>
      </c>
      <c r="R682" t="s">
        <v>335</v>
      </c>
      <c r="S682" t="s">
        <v>335</v>
      </c>
      <c r="T682" t="s">
        <v>335</v>
      </c>
      <c r="U682" t="s">
        <v>335</v>
      </c>
      <c r="V682" t="s">
        <v>335</v>
      </c>
      <c r="W682" t="s">
        <v>335</v>
      </c>
      <c r="X682" t="s">
        <v>335</v>
      </c>
      <c r="Y682" t="s">
        <v>335</v>
      </c>
      <c r="Z682" t="s">
        <v>335</v>
      </c>
      <c r="AA682" t="s">
        <v>335</v>
      </c>
      <c r="AB682" t="s">
        <v>335</v>
      </c>
      <c r="AC682" t="s">
        <v>335</v>
      </c>
      <c r="AD682"/>
      <c r="AE682"/>
      <c r="AF682"/>
      <c r="AG682"/>
      <c r="AH682"/>
      <c r="AI682"/>
      <c r="AJ682"/>
      <c r="AK682"/>
      <c r="AL682"/>
    </row>
    <row r="683">
      <c r="A683" t="s">
        <v>226</v>
      </c>
      <c r="B683" t="s">
        <v>247</v>
      </c>
      <c r="C683" t="s">
        <v>231</v>
      </c>
      <c r="D683" t="s">
        <v>213</v>
      </c>
      <c r="E683" t="s">
        <v>338</v>
      </c>
      <c r="F683"/>
      <c r="G683"/>
      <c r="H683"/>
      <c r="I683" t="s">
        <v>335</v>
      </c>
      <c r="J683" t="s">
        <v>335</v>
      </c>
      <c r="K683" t="s">
        <v>335</v>
      </c>
      <c r="L683" t="s">
        <v>335</v>
      </c>
      <c r="M683" t="s">
        <v>335</v>
      </c>
      <c r="N683" t="s">
        <v>335</v>
      </c>
      <c r="O683" t="s">
        <v>335</v>
      </c>
      <c r="P683" t="s">
        <v>335</v>
      </c>
      <c r="Q683" t="s">
        <v>335</v>
      </c>
      <c r="R683" t="s">
        <v>335</v>
      </c>
      <c r="S683" t="s">
        <v>335</v>
      </c>
      <c r="T683" t="s">
        <v>335</v>
      </c>
      <c r="U683" t="s">
        <v>335</v>
      </c>
      <c r="V683" t="s">
        <v>335</v>
      </c>
      <c r="W683" t="s">
        <v>335</v>
      </c>
      <c r="X683" t="s">
        <v>335</v>
      </c>
      <c r="Y683" t="s">
        <v>335</v>
      </c>
      <c r="Z683" t="s">
        <v>335</v>
      </c>
      <c r="AA683" t="s">
        <v>335</v>
      </c>
      <c r="AB683" t="s">
        <v>335</v>
      </c>
      <c r="AC683" t="s">
        <v>335</v>
      </c>
      <c r="AD683"/>
      <c r="AE683"/>
      <c r="AF683"/>
      <c r="AG683"/>
      <c r="AH683"/>
      <c r="AI683"/>
      <c r="AJ683"/>
      <c r="AK683"/>
      <c r="AL683"/>
    </row>
    <row r="684">
      <c r="A684" t="s">
        <v>226</v>
      </c>
      <c r="B684" t="s">
        <v>247</v>
      </c>
      <c r="C684" t="s">
        <v>231</v>
      </c>
      <c r="D684" t="s">
        <v>213</v>
      </c>
      <c r="E684" t="s">
        <v>339</v>
      </c>
      <c r="F684"/>
      <c r="G684"/>
      <c r="H684"/>
      <c r="I684" t="s">
        <v>1547</v>
      </c>
      <c r="J684" t="s">
        <v>1548</v>
      </c>
      <c r="K684" t="s">
        <v>1549</v>
      </c>
      <c r="L684" t="s">
        <v>1550</v>
      </c>
      <c r="M684" t="s">
        <v>1551</v>
      </c>
      <c r="N684" t="s">
        <v>1552</v>
      </c>
      <c r="O684" t="s">
        <v>1553</v>
      </c>
      <c r="P684" t="s">
        <v>1554</v>
      </c>
      <c r="Q684" t="s">
        <v>360</v>
      </c>
      <c r="R684" t="s">
        <v>360</v>
      </c>
      <c r="S684" t="s">
        <v>360</v>
      </c>
      <c r="T684" t="s">
        <v>360</v>
      </c>
      <c r="U684" t="s">
        <v>360</v>
      </c>
      <c r="V684" t="s">
        <v>360</v>
      </c>
      <c r="W684" t="s">
        <v>360</v>
      </c>
      <c r="X684" t="s">
        <v>360</v>
      </c>
      <c r="Y684" t="s">
        <v>360</v>
      </c>
      <c r="Z684" t="s">
        <v>360</v>
      </c>
      <c r="AA684" t="s">
        <v>360</v>
      </c>
      <c r="AB684" t="s">
        <v>360</v>
      </c>
      <c r="AC684" t="s">
        <v>360</v>
      </c>
      <c r="AD684"/>
      <c r="AE684"/>
      <c r="AF684"/>
      <c r="AG684"/>
      <c r="AH684"/>
      <c r="AI684"/>
      <c r="AJ684"/>
      <c r="AK684"/>
      <c r="AL684"/>
    </row>
    <row r="685">
      <c r="A685" t="s">
        <v>226</v>
      </c>
      <c r="B685" t="s">
        <v>247</v>
      </c>
      <c r="C685" t="s">
        <v>231</v>
      </c>
      <c r="D685" t="s">
        <v>213</v>
      </c>
      <c r="E685" t="s">
        <v>358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</row>
    <row r="686">
      <c r="A686" t="s">
        <v>250</v>
      </c>
      <c r="B686" t="s">
        <v>248</v>
      </c>
      <c r="C686" t="s">
        <v>231</v>
      </c>
      <c r="D686" t="s">
        <v>213</v>
      </c>
      <c r="E686" t="s">
        <v>297</v>
      </c>
      <c r="F686"/>
      <c r="G686"/>
      <c r="H686"/>
      <c r="I686" t="s">
        <v>1555</v>
      </c>
      <c r="J686" t="s">
        <v>1556</v>
      </c>
      <c r="K686" t="s">
        <v>1557</v>
      </c>
      <c r="L686" t="s">
        <v>1558</v>
      </c>
      <c r="M686" t="s">
        <v>1559</v>
      </c>
      <c r="N686" t="s">
        <v>1560</v>
      </c>
      <c r="O686" t="s">
        <v>1561</v>
      </c>
      <c r="P686" t="s">
        <v>1562</v>
      </c>
      <c r="Q686" t="s">
        <v>1563</v>
      </c>
      <c r="R686" t="s">
        <v>1564</v>
      </c>
      <c r="S686" t="s">
        <v>1565</v>
      </c>
      <c r="T686" t="s">
        <v>1566</v>
      </c>
      <c r="U686" t="s">
        <v>1567</v>
      </c>
      <c r="V686" t="s">
        <v>1568</v>
      </c>
      <c r="W686" t="s">
        <v>1569</v>
      </c>
      <c r="X686" t="s">
        <v>1570</v>
      </c>
      <c r="Y686" t="s">
        <v>1571</v>
      </c>
      <c r="Z686" t="s">
        <v>1572</v>
      </c>
      <c r="AA686"/>
      <c r="AB686"/>
      <c r="AC686"/>
      <c r="AD686"/>
      <c r="AE686"/>
      <c r="AF686"/>
      <c r="AG686"/>
      <c r="AH686"/>
      <c r="AI686"/>
      <c r="AJ686"/>
      <c r="AK686"/>
      <c r="AL686"/>
    </row>
    <row r="687">
      <c r="A687" t="s">
        <v>250</v>
      </c>
      <c r="B687" t="s">
        <v>248</v>
      </c>
      <c r="C687" t="s">
        <v>231</v>
      </c>
      <c r="D687" t="s">
        <v>213</v>
      </c>
      <c r="E687" t="s">
        <v>316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</row>
    <row r="688">
      <c r="A688" t="s">
        <v>250</v>
      </c>
      <c r="B688" t="s">
        <v>248</v>
      </c>
      <c r="C688" t="s">
        <v>231</v>
      </c>
      <c r="D688" t="s">
        <v>213</v>
      </c>
      <c r="E688" t="s">
        <v>317</v>
      </c>
      <c r="F688"/>
      <c r="G688"/>
      <c r="H688"/>
      <c r="I688" t="s">
        <v>1573</v>
      </c>
      <c r="J688" t="s">
        <v>1574</v>
      </c>
      <c r="K688" t="s">
        <v>1575</v>
      </c>
      <c r="L688" t="s">
        <v>1576</v>
      </c>
      <c r="M688" t="s">
        <v>1577</v>
      </c>
      <c r="N688" t="s">
        <v>1578</v>
      </c>
      <c r="O688" t="s">
        <v>1579</v>
      </c>
      <c r="P688" t="s">
        <v>1580</v>
      </c>
      <c r="Q688" t="s">
        <v>1581</v>
      </c>
      <c r="R688" t="s">
        <v>1581</v>
      </c>
      <c r="S688" t="s">
        <v>1581</v>
      </c>
      <c r="T688" t="s">
        <v>1581</v>
      </c>
      <c r="U688" t="s">
        <v>1581</v>
      </c>
      <c r="V688" t="s">
        <v>1581</v>
      </c>
      <c r="W688" t="s">
        <v>1581</v>
      </c>
      <c r="X688" t="s">
        <v>1581</v>
      </c>
      <c r="Y688" t="s">
        <v>1581</v>
      </c>
      <c r="Z688" t="s">
        <v>1581</v>
      </c>
      <c r="AA688"/>
      <c r="AB688"/>
      <c r="AC688"/>
      <c r="AD688"/>
      <c r="AE688"/>
      <c r="AF688"/>
      <c r="AG688"/>
      <c r="AH688"/>
      <c r="AI688"/>
      <c r="AJ688"/>
      <c r="AK688"/>
      <c r="AL688"/>
    </row>
    <row r="689">
      <c r="A689" t="s">
        <v>250</v>
      </c>
      <c r="B689" t="s">
        <v>248</v>
      </c>
      <c r="C689" t="s">
        <v>231</v>
      </c>
      <c r="D689" t="s">
        <v>213</v>
      </c>
      <c r="E689" t="s">
        <v>320</v>
      </c>
      <c r="F689"/>
      <c r="G689"/>
      <c r="H689"/>
      <c r="I689" t="s">
        <v>1556</v>
      </c>
      <c r="J689" t="s">
        <v>1557</v>
      </c>
      <c r="K689" t="s">
        <v>1558</v>
      </c>
      <c r="L689" t="s">
        <v>1559</v>
      </c>
      <c r="M689" t="s">
        <v>1560</v>
      </c>
      <c r="N689" t="s">
        <v>1561</v>
      </c>
      <c r="O689" t="s">
        <v>1562</v>
      </c>
      <c r="P689" t="s">
        <v>1563</v>
      </c>
      <c r="Q689" t="s">
        <v>1564</v>
      </c>
      <c r="R689" t="s">
        <v>1565</v>
      </c>
      <c r="S689" t="s">
        <v>1566</v>
      </c>
      <c r="T689" t="s">
        <v>1567</v>
      </c>
      <c r="U689" t="s">
        <v>1568</v>
      </c>
      <c r="V689" t="s">
        <v>1569</v>
      </c>
      <c r="W689" t="s">
        <v>1570</v>
      </c>
      <c r="X689" t="s">
        <v>1571</v>
      </c>
      <c r="Y689" t="s">
        <v>1572</v>
      </c>
      <c r="Z689" t="s">
        <v>1582</v>
      </c>
      <c r="AA689"/>
      <c r="AB689"/>
      <c r="AC689"/>
      <c r="AD689"/>
      <c r="AE689"/>
      <c r="AF689"/>
      <c r="AG689"/>
      <c r="AH689"/>
      <c r="AI689"/>
      <c r="AJ689"/>
      <c r="AK689"/>
      <c r="AL689"/>
    </row>
    <row r="690">
      <c r="A690" t="s">
        <v>250</v>
      </c>
      <c r="B690" t="s">
        <v>248</v>
      </c>
      <c r="C690" t="s">
        <v>231</v>
      </c>
      <c r="D690" t="s">
        <v>213</v>
      </c>
      <c r="E690" t="s">
        <v>323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</row>
    <row r="691">
      <c r="A691" t="s">
        <v>250</v>
      </c>
      <c r="B691" t="s">
        <v>248</v>
      </c>
      <c r="C691" t="s">
        <v>231</v>
      </c>
      <c r="D691" t="s">
        <v>213</v>
      </c>
      <c r="E691" t="s">
        <v>324</v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</row>
    <row r="692">
      <c r="A692" t="s">
        <v>250</v>
      </c>
      <c r="B692" t="s">
        <v>248</v>
      </c>
      <c r="C692" t="s">
        <v>231</v>
      </c>
      <c r="D692" t="s">
        <v>213</v>
      </c>
      <c r="E692" t="s">
        <v>325</v>
      </c>
      <c r="F692"/>
      <c r="G692"/>
      <c r="H692"/>
      <c r="I692"/>
      <c r="J692"/>
      <c r="K692" t="s">
        <v>254</v>
      </c>
      <c r="L692"/>
      <c r="M692"/>
      <c r="N692" t="s">
        <v>259</v>
      </c>
      <c r="O692"/>
      <c r="P692" t="s">
        <v>269</v>
      </c>
      <c r="Q692"/>
      <c r="R692"/>
      <c r="S692"/>
      <c r="T692" t="s">
        <v>269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</row>
    <row r="693">
      <c r="A693" t="s">
        <v>250</v>
      </c>
      <c r="B693" t="s">
        <v>248</v>
      </c>
      <c r="C693" t="s">
        <v>231</v>
      </c>
      <c r="D693" t="s">
        <v>213</v>
      </c>
      <c r="E693" t="s">
        <v>326</v>
      </c>
      <c r="F693"/>
      <c r="G693"/>
      <c r="H693"/>
      <c r="I693"/>
      <c r="J693"/>
      <c r="K693" t="s">
        <v>1583</v>
      </c>
      <c r="L693"/>
      <c r="M693"/>
      <c r="N693" t="s">
        <v>1584</v>
      </c>
      <c r="O693"/>
      <c r="P693" t="s">
        <v>1585</v>
      </c>
      <c r="Q693"/>
      <c r="R693"/>
      <c r="S693"/>
      <c r="T693" t="s">
        <v>1586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</row>
    <row r="694">
      <c r="A694" t="s">
        <v>250</v>
      </c>
      <c r="B694" t="s">
        <v>248</v>
      </c>
      <c r="C694" t="s">
        <v>231</v>
      </c>
      <c r="D694" t="s">
        <v>213</v>
      </c>
      <c r="E694" t="s">
        <v>329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</row>
    <row r="695">
      <c r="A695" t="s">
        <v>250</v>
      </c>
      <c r="B695" t="s">
        <v>248</v>
      </c>
      <c r="C695" t="s">
        <v>231</v>
      </c>
      <c r="D695" t="s">
        <v>213</v>
      </c>
      <c r="E695" t="s">
        <v>330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 t="n">
        <v>544501</v>
      </c>
      <c r="AE695" t="n">
        <v>449857</v>
      </c>
      <c r="AF695"/>
      <c r="AG695"/>
      <c r="AH695"/>
      <c r="AI695"/>
      <c r="AJ695"/>
      <c r="AK695"/>
      <c r="AL695"/>
    </row>
    <row r="696">
      <c r="A696" t="s">
        <v>250</v>
      </c>
      <c r="B696" t="s">
        <v>248</v>
      </c>
      <c r="C696" t="s">
        <v>231</v>
      </c>
      <c r="D696" t="s">
        <v>213</v>
      </c>
      <c r="E696" t="s">
        <v>331</v>
      </c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</row>
    <row r="697">
      <c r="A697" t="s">
        <v>250</v>
      </c>
      <c r="B697" t="s">
        <v>248</v>
      </c>
      <c r="C697" t="s">
        <v>231</v>
      </c>
      <c r="D697" t="s">
        <v>213</v>
      </c>
      <c r="E697" t="s">
        <v>332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 t="n">
        <v>94644</v>
      </c>
      <c r="AE697" t="n">
        <v>94644</v>
      </c>
      <c r="AF697"/>
      <c r="AG697"/>
      <c r="AH697"/>
      <c r="AI697"/>
      <c r="AJ697"/>
      <c r="AK697"/>
      <c r="AL697"/>
    </row>
    <row r="698">
      <c r="A698" t="s">
        <v>250</v>
      </c>
      <c r="B698" t="s">
        <v>248</v>
      </c>
      <c r="C698" t="s">
        <v>231</v>
      </c>
      <c r="D698" t="s">
        <v>213</v>
      </c>
      <c r="E698" t="s">
        <v>333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 t="n">
        <v>449857</v>
      </c>
      <c r="AE698" t="n">
        <v>355213</v>
      </c>
      <c r="AF698"/>
      <c r="AG698"/>
      <c r="AH698"/>
      <c r="AI698"/>
      <c r="AJ698"/>
      <c r="AK698"/>
      <c r="AL698"/>
    </row>
    <row r="699">
      <c r="A699" t="s">
        <v>250</v>
      </c>
      <c r="B699" t="s">
        <v>248</v>
      </c>
      <c r="C699" t="s">
        <v>231</v>
      </c>
      <c r="D699" t="s">
        <v>213</v>
      </c>
      <c r="E699" t="s">
        <v>334</v>
      </c>
      <c r="F699"/>
      <c r="G699"/>
      <c r="H699"/>
      <c r="I699" t="s">
        <v>961</v>
      </c>
      <c r="J699" t="s">
        <v>961</v>
      </c>
      <c r="K699" t="s">
        <v>961</v>
      </c>
      <c r="L699" t="s">
        <v>961</v>
      </c>
      <c r="M699" t="s">
        <v>961</v>
      </c>
      <c r="N699" t="s">
        <v>961</v>
      </c>
      <c r="O699" t="s">
        <v>961</v>
      </c>
      <c r="P699" t="s">
        <v>961</v>
      </c>
      <c r="Q699" t="s">
        <v>961</v>
      </c>
      <c r="R699" t="s">
        <v>961</v>
      </c>
      <c r="S699" t="s">
        <v>961</v>
      </c>
      <c r="T699" t="s">
        <v>961</v>
      </c>
      <c r="U699" t="s">
        <v>961</v>
      </c>
      <c r="V699" t="s">
        <v>961</v>
      </c>
      <c r="W699" t="s">
        <v>961</v>
      </c>
      <c r="X699" t="s">
        <v>961</v>
      </c>
      <c r="Y699" t="s">
        <v>961</v>
      </c>
      <c r="Z699" t="s">
        <v>961</v>
      </c>
      <c r="AA699"/>
      <c r="AB699"/>
      <c r="AC699"/>
      <c r="AD699" t="n">
        <v>9</v>
      </c>
      <c r="AE699" t="n">
        <v>9</v>
      </c>
      <c r="AF699"/>
      <c r="AG699"/>
      <c r="AH699"/>
      <c r="AI699"/>
      <c r="AJ699"/>
      <c r="AK699"/>
      <c r="AL699"/>
    </row>
    <row r="700">
      <c r="A700" t="s">
        <v>250</v>
      </c>
      <c r="B700" t="s">
        <v>248</v>
      </c>
      <c r="C700" t="s">
        <v>231</v>
      </c>
      <c r="D700" t="s">
        <v>213</v>
      </c>
      <c r="E700" t="s">
        <v>336</v>
      </c>
      <c r="F700"/>
      <c r="G700"/>
      <c r="H700"/>
      <c r="I700" t="s">
        <v>417</v>
      </c>
      <c r="J700" t="s">
        <v>417</v>
      </c>
      <c r="K700" t="s">
        <v>417</v>
      </c>
      <c r="L700" t="s">
        <v>417</v>
      </c>
      <c r="M700" t="s">
        <v>417</v>
      </c>
      <c r="N700" t="s">
        <v>417</v>
      </c>
      <c r="O700" t="s">
        <v>417</v>
      </c>
      <c r="P700" t="s">
        <v>417</v>
      </c>
      <c r="Q700" t="s">
        <v>417</v>
      </c>
      <c r="R700" t="s">
        <v>417</v>
      </c>
      <c r="S700" t="s">
        <v>417</v>
      </c>
      <c r="T700" t="s">
        <v>417</v>
      </c>
      <c r="U700" t="s">
        <v>417</v>
      </c>
      <c r="V700" t="s">
        <v>417</v>
      </c>
      <c r="W700" t="s">
        <v>417</v>
      </c>
      <c r="X700" t="s">
        <v>417</v>
      </c>
      <c r="Y700" t="s">
        <v>417</v>
      </c>
      <c r="Z700" t="s">
        <v>417</v>
      </c>
      <c r="AA700"/>
      <c r="AB700"/>
      <c r="AC700"/>
      <c r="AD700" t="n">
        <v>14</v>
      </c>
      <c r="AE700" t="n">
        <v>14</v>
      </c>
      <c r="AF700"/>
      <c r="AG700"/>
      <c r="AH700"/>
      <c r="AI700"/>
      <c r="AJ700"/>
      <c r="AK700"/>
      <c r="AL700"/>
    </row>
    <row r="701">
      <c r="A701" t="s">
        <v>250</v>
      </c>
      <c r="B701" t="s">
        <v>248</v>
      </c>
      <c r="C701" t="s">
        <v>231</v>
      </c>
      <c r="D701" t="s">
        <v>213</v>
      </c>
      <c r="E701" t="s">
        <v>338</v>
      </c>
      <c r="F701"/>
      <c r="G701"/>
      <c r="H701"/>
      <c r="I701" t="s">
        <v>417</v>
      </c>
      <c r="J701" t="s">
        <v>417</v>
      </c>
      <c r="K701" t="s">
        <v>417</v>
      </c>
      <c r="L701" t="s">
        <v>417</v>
      </c>
      <c r="M701" t="s">
        <v>417</v>
      </c>
      <c r="N701" t="s">
        <v>417</v>
      </c>
      <c r="O701" t="s">
        <v>417</v>
      </c>
      <c r="P701" t="s">
        <v>417</v>
      </c>
      <c r="Q701" t="s">
        <v>417</v>
      </c>
      <c r="R701" t="s">
        <v>417</v>
      </c>
      <c r="S701" t="s">
        <v>417</v>
      </c>
      <c r="T701" t="s">
        <v>417</v>
      </c>
      <c r="U701" t="s">
        <v>417</v>
      </c>
      <c r="V701" t="s">
        <v>417</v>
      </c>
      <c r="W701" t="s">
        <v>417</v>
      </c>
      <c r="X701" t="s">
        <v>417</v>
      </c>
      <c r="Y701" t="s">
        <v>417</v>
      </c>
      <c r="Z701" t="s">
        <v>417</v>
      </c>
      <c r="AA701"/>
      <c r="AB701"/>
      <c r="AC701"/>
      <c r="AD701" t="n">
        <v>13</v>
      </c>
      <c r="AE701" t="n">
        <v>13</v>
      </c>
      <c r="AF701"/>
      <c r="AG701"/>
      <c r="AH701"/>
      <c r="AI701"/>
      <c r="AJ701"/>
      <c r="AK701"/>
      <c r="AL701"/>
    </row>
    <row r="702">
      <c r="A702" t="s">
        <v>250</v>
      </c>
      <c r="B702" t="s">
        <v>248</v>
      </c>
      <c r="C702" t="s">
        <v>231</v>
      </c>
      <c r="D702" t="s">
        <v>213</v>
      </c>
      <c r="E702" t="s">
        <v>339</v>
      </c>
      <c r="F702"/>
      <c r="G702"/>
      <c r="H702"/>
      <c r="I702" t="s">
        <v>1587</v>
      </c>
      <c r="J702" t="s">
        <v>1588</v>
      </c>
      <c r="K702" t="s">
        <v>1589</v>
      </c>
      <c r="L702" t="s">
        <v>1590</v>
      </c>
      <c r="M702" t="s">
        <v>1591</v>
      </c>
      <c r="N702" t="s">
        <v>1592</v>
      </c>
      <c r="O702" t="s">
        <v>1593</v>
      </c>
      <c r="P702" t="s">
        <v>1594</v>
      </c>
      <c r="Q702" t="s">
        <v>1595</v>
      </c>
      <c r="R702" t="s">
        <v>1596</v>
      </c>
      <c r="S702" t="s">
        <v>1597</v>
      </c>
      <c r="T702" t="s">
        <v>1598</v>
      </c>
      <c r="U702" t="s">
        <v>1599</v>
      </c>
      <c r="V702" t="s">
        <v>1600</v>
      </c>
      <c r="W702" t="s">
        <v>1601</v>
      </c>
      <c r="X702" t="s">
        <v>1602</v>
      </c>
      <c r="Y702" t="s">
        <v>1603</v>
      </c>
      <c r="Z702" t="s">
        <v>1604</v>
      </c>
      <c r="AA702"/>
      <c r="AB702"/>
      <c r="AC702"/>
      <c r="AD702" t="n">
        <v>4.75314864122396</v>
      </c>
      <c r="AE702" t="n">
        <v>3.75314864122396</v>
      </c>
      <c r="AF702"/>
      <c r="AG702"/>
      <c r="AH702"/>
      <c r="AI702"/>
      <c r="AJ702"/>
      <c r="AK702"/>
      <c r="AL702"/>
    </row>
    <row r="703">
      <c r="A703" t="s">
        <v>250</v>
      </c>
      <c r="B703" t="s">
        <v>248</v>
      </c>
      <c r="C703" t="s">
        <v>231</v>
      </c>
      <c r="D703" t="s">
        <v>213</v>
      </c>
      <c r="E703" t="s">
        <v>358</v>
      </c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</row>
    <row r="704">
      <c r="A704" t="s">
        <v>226</v>
      </c>
      <c r="B704" t="s">
        <v>248</v>
      </c>
      <c r="C704"/>
      <c r="D704" t="s">
        <v>213</v>
      </c>
      <c r="E704" t="s">
        <v>297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</row>
    <row r="705">
      <c r="A705" t="s">
        <v>226</v>
      </c>
      <c r="B705" t="s">
        <v>248</v>
      </c>
      <c r="C705"/>
      <c r="D705" t="s">
        <v>213</v>
      </c>
      <c r="E705" t="s">
        <v>316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</row>
    <row r="706">
      <c r="A706" t="s">
        <v>226</v>
      </c>
      <c r="B706" t="s">
        <v>248</v>
      </c>
      <c r="C706"/>
      <c r="D706" t="s">
        <v>213</v>
      </c>
      <c r="E706" t="s">
        <v>317</v>
      </c>
      <c r="F706"/>
      <c r="G706"/>
      <c r="H706"/>
      <c r="I706" t="s">
        <v>1605</v>
      </c>
      <c r="J706" t="s">
        <v>1605</v>
      </c>
      <c r="K706" t="s">
        <v>1605</v>
      </c>
      <c r="L706" t="s">
        <v>1605</v>
      </c>
      <c r="M706" t="s">
        <v>1605</v>
      </c>
      <c r="N706" t="s">
        <v>1605</v>
      </c>
      <c r="O706" t="s">
        <v>1605</v>
      </c>
      <c r="P706" t="s">
        <v>1605</v>
      </c>
      <c r="Q706" t="s">
        <v>1605</v>
      </c>
      <c r="R706" t="s">
        <v>1606</v>
      </c>
      <c r="S706" t="s">
        <v>1606</v>
      </c>
      <c r="T706" t="s">
        <v>1606</v>
      </c>
      <c r="U706" t="s">
        <v>1606</v>
      </c>
      <c r="V706" t="s">
        <v>1606</v>
      </c>
      <c r="W706" t="s">
        <v>1606</v>
      </c>
      <c r="X706" t="s">
        <v>1606</v>
      </c>
      <c r="Y706" t="s">
        <v>1606</v>
      </c>
      <c r="Z706" t="s">
        <v>1606</v>
      </c>
      <c r="AA706" t="s">
        <v>1606</v>
      </c>
      <c r="AB706" t="s">
        <v>1606</v>
      </c>
      <c r="AC706" t="s">
        <v>1606</v>
      </c>
      <c r="AD706"/>
      <c r="AE706"/>
      <c r="AF706"/>
      <c r="AG706"/>
      <c r="AH706"/>
      <c r="AI706"/>
      <c r="AJ706"/>
      <c r="AK706"/>
      <c r="AL706"/>
    </row>
    <row r="707">
      <c r="A707" t="s">
        <v>226</v>
      </c>
      <c r="B707" t="s">
        <v>248</v>
      </c>
      <c r="C707"/>
      <c r="D707" t="s">
        <v>213</v>
      </c>
      <c r="E707" t="s">
        <v>320</v>
      </c>
      <c r="F707"/>
      <c r="G707"/>
      <c r="H707"/>
      <c r="I707" t="s">
        <v>360</v>
      </c>
      <c r="J707" t="s">
        <v>360</v>
      </c>
      <c r="K707" t="s">
        <v>360</v>
      </c>
      <c r="L707" t="s">
        <v>360</v>
      </c>
      <c r="M707" t="s">
        <v>360</v>
      </c>
      <c r="N707" t="s">
        <v>360</v>
      </c>
      <c r="O707" t="s">
        <v>360</v>
      </c>
      <c r="P707" t="s">
        <v>360</v>
      </c>
      <c r="Q707" t="s">
        <v>360</v>
      </c>
      <c r="R707" t="s">
        <v>360</v>
      </c>
      <c r="S707" t="s">
        <v>360</v>
      </c>
      <c r="T707" t="s">
        <v>360</v>
      </c>
      <c r="U707" t="s">
        <v>360</v>
      </c>
      <c r="V707" t="s">
        <v>360</v>
      </c>
      <c r="W707" t="s">
        <v>360</v>
      </c>
      <c r="X707" t="s">
        <v>360</v>
      </c>
      <c r="Y707" t="s">
        <v>360</v>
      </c>
      <c r="Z707" t="s">
        <v>360</v>
      </c>
      <c r="AA707" t="s">
        <v>360</v>
      </c>
      <c r="AB707" t="s">
        <v>360</v>
      </c>
      <c r="AC707" t="s">
        <v>360</v>
      </c>
      <c r="AD707"/>
      <c r="AE707"/>
      <c r="AF707"/>
      <c r="AG707"/>
      <c r="AH707"/>
      <c r="AI707"/>
      <c r="AJ707"/>
      <c r="AK707"/>
      <c r="AL707"/>
    </row>
    <row r="708">
      <c r="A708" t="s">
        <v>226</v>
      </c>
      <c r="B708" t="s">
        <v>248</v>
      </c>
      <c r="C708"/>
      <c r="D708" t="s">
        <v>213</v>
      </c>
      <c r="E708" t="s">
        <v>323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</row>
    <row r="709">
      <c r="A709" t="s">
        <v>226</v>
      </c>
      <c r="B709" t="s">
        <v>248</v>
      </c>
      <c r="C709"/>
      <c r="D709" t="s">
        <v>213</v>
      </c>
      <c r="E709" t="s">
        <v>324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</row>
    <row r="710">
      <c r="A710" t="s">
        <v>226</v>
      </c>
      <c r="B710" t="s">
        <v>248</v>
      </c>
      <c r="C710"/>
      <c r="D710" t="s">
        <v>213</v>
      </c>
      <c r="E710" t="s">
        <v>325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</row>
    <row r="711">
      <c r="A711" t="s">
        <v>226</v>
      </c>
      <c r="B711" t="s">
        <v>248</v>
      </c>
      <c r="C711"/>
      <c r="D711" t="s">
        <v>213</v>
      </c>
      <c r="E711" t="s">
        <v>326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</row>
    <row r="712">
      <c r="A712" t="s">
        <v>226</v>
      </c>
      <c r="B712" t="s">
        <v>248</v>
      </c>
      <c r="C712"/>
      <c r="D712" t="s">
        <v>213</v>
      </c>
      <c r="E712" t="s">
        <v>329</v>
      </c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</row>
    <row r="713">
      <c r="A713" t="s">
        <v>226</v>
      </c>
      <c r="B713" t="s">
        <v>248</v>
      </c>
      <c r="C713"/>
      <c r="D713" t="s">
        <v>213</v>
      </c>
      <c r="E713" t="s">
        <v>330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 t="n">
        <v>4616</v>
      </c>
      <c r="AF713" t="n">
        <v>3710</v>
      </c>
      <c r="AG713"/>
      <c r="AH713"/>
      <c r="AI713"/>
      <c r="AJ713"/>
      <c r="AK713"/>
      <c r="AL713"/>
    </row>
    <row r="714">
      <c r="A714" t="s">
        <v>226</v>
      </c>
      <c r="B714" t="s">
        <v>248</v>
      </c>
      <c r="C714"/>
      <c r="D714" t="s">
        <v>213</v>
      </c>
      <c r="E714" t="s">
        <v>331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</row>
    <row r="715">
      <c r="A715" t="s">
        <v>226</v>
      </c>
      <c r="B715" t="s">
        <v>248</v>
      </c>
      <c r="C715"/>
      <c r="D715" t="s">
        <v>213</v>
      </c>
      <c r="E715" t="s">
        <v>332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 t="n">
        <v>906</v>
      </c>
      <c r="AF715" t="n">
        <v>906</v>
      </c>
      <c r="AG715"/>
      <c r="AH715"/>
      <c r="AI715"/>
      <c r="AJ715"/>
      <c r="AK715"/>
      <c r="AL715"/>
    </row>
    <row r="716">
      <c r="A716" t="s">
        <v>226</v>
      </c>
      <c r="B716" t="s">
        <v>248</v>
      </c>
      <c r="C716"/>
      <c r="D716" t="s">
        <v>213</v>
      </c>
      <c r="E716" t="s">
        <v>333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 t="n">
        <v>3710</v>
      </c>
      <c r="AF716" t="n">
        <v>2804</v>
      </c>
      <c r="AG716"/>
      <c r="AH716"/>
      <c r="AI716"/>
      <c r="AJ716"/>
      <c r="AK716"/>
      <c r="AL716"/>
    </row>
    <row r="717">
      <c r="A717" t="s">
        <v>226</v>
      </c>
      <c r="B717" t="s">
        <v>248</v>
      </c>
      <c r="C717"/>
      <c r="D717" t="s">
        <v>213</v>
      </c>
      <c r="E717" t="s">
        <v>334</v>
      </c>
      <c r="F717"/>
      <c r="G717"/>
      <c r="H717"/>
      <c r="I717" t="s">
        <v>392</v>
      </c>
      <c r="J717" t="s">
        <v>392</v>
      </c>
      <c r="K717" t="s">
        <v>392</v>
      </c>
      <c r="L717" t="s">
        <v>392</v>
      </c>
      <c r="M717" t="s">
        <v>392</v>
      </c>
      <c r="N717" t="s">
        <v>392</v>
      </c>
      <c r="O717" t="s">
        <v>392</v>
      </c>
      <c r="P717" t="s">
        <v>392</v>
      </c>
      <c r="Q717" t="s">
        <v>392</v>
      </c>
      <c r="R717" t="s">
        <v>392</v>
      </c>
      <c r="S717" t="s">
        <v>392</v>
      </c>
      <c r="T717" t="s">
        <v>392</v>
      </c>
      <c r="U717" t="s">
        <v>392</v>
      </c>
      <c r="V717" t="s">
        <v>392</v>
      </c>
      <c r="W717" t="s">
        <v>392</v>
      </c>
      <c r="X717" t="s">
        <v>392</v>
      </c>
      <c r="Y717" t="s">
        <v>392</v>
      </c>
      <c r="Z717" t="s">
        <v>392</v>
      </c>
      <c r="AA717" t="s">
        <v>392</v>
      </c>
      <c r="AB717" t="s">
        <v>392</v>
      </c>
      <c r="AC717" t="s">
        <v>392</v>
      </c>
      <c r="AD717"/>
      <c r="AE717" t="n">
        <v>9</v>
      </c>
      <c r="AF717" t="n">
        <v>9</v>
      </c>
      <c r="AG717"/>
      <c r="AH717"/>
      <c r="AI717"/>
      <c r="AJ717"/>
      <c r="AK717"/>
      <c r="AL717"/>
    </row>
    <row r="718">
      <c r="A718" t="s">
        <v>226</v>
      </c>
      <c r="B718" t="s">
        <v>248</v>
      </c>
      <c r="C718"/>
      <c r="D718" t="s">
        <v>213</v>
      </c>
      <c r="E718" t="s">
        <v>336</v>
      </c>
      <c r="F718"/>
      <c r="G718"/>
      <c r="H718"/>
      <c r="I718" t="s">
        <v>335</v>
      </c>
      <c r="J718" t="s">
        <v>335</v>
      </c>
      <c r="K718" t="s">
        <v>335</v>
      </c>
      <c r="L718" t="s">
        <v>335</v>
      </c>
      <c r="M718" t="s">
        <v>335</v>
      </c>
      <c r="N718" t="s">
        <v>335</v>
      </c>
      <c r="O718" t="s">
        <v>335</v>
      </c>
      <c r="P718" t="s">
        <v>335</v>
      </c>
      <c r="Q718" t="s">
        <v>335</v>
      </c>
      <c r="R718" t="s">
        <v>335</v>
      </c>
      <c r="S718" t="s">
        <v>335</v>
      </c>
      <c r="T718" t="s">
        <v>335</v>
      </c>
      <c r="U718" t="s">
        <v>335</v>
      </c>
      <c r="V718" t="s">
        <v>335</v>
      </c>
      <c r="W718" t="s">
        <v>335</v>
      </c>
      <c r="X718" t="s">
        <v>335</v>
      </c>
      <c r="Y718" t="s">
        <v>335</v>
      </c>
      <c r="Z718" t="s">
        <v>335</v>
      </c>
      <c r="AA718" t="s">
        <v>335</v>
      </c>
      <c r="AB718" t="s">
        <v>335</v>
      </c>
      <c r="AC718" t="s">
        <v>335</v>
      </c>
      <c r="AD718"/>
      <c r="AE718" t="n">
        <v>14</v>
      </c>
      <c r="AF718" t="n">
        <v>14</v>
      </c>
      <c r="AG718"/>
      <c r="AH718"/>
      <c r="AI718"/>
      <c r="AJ718"/>
      <c r="AK718"/>
      <c r="AL718"/>
    </row>
    <row r="719">
      <c r="A719" t="s">
        <v>226</v>
      </c>
      <c r="B719" t="s">
        <v>248</v>
      </c>
      <c r="C719"/>
      <c r="D719" t="s">
        <v>213</v>
      </c>
      <c r="E719" t="s">
        <v>338</v>
      </c>
      <c r="F719"/>
      <c r="G719"/>
      <c r="H719"/>
      <c r="I719" t="s">
        <v>335</v>
      </c>
      <c r="J719" t="s">
        <v>335</v>
      </c>
      <c r="K719" t="s">
        <v>335</v>
      </c>
      <c r="L719" t="s">
        <v>335</v>
      </c>
      <c r="M719" t="s">
        <v>335</v>
      </c>
      <c r="N719" t="s">
        <v>335</v>
      </c>
      <c r="O719" t="s">
        <v>335</v>
      </c>
      <c r="P719" t="s">
        <v>335</v>
      </c>
      <c r="Q719" t="s">
        <v>335</v>
      </c>
      <c r="R719" t="s">
        <v>335</v>
      </c>
      <c r="S719" t="s">
        <v>335</v>
      </c>
      <c r="T719" t="s">
        <v>335</v>
      </c>
      <c r="U719" t="s">
        <v>335</v>
      </c>
      <c r="V719" t="s">
        <v>335</v>
      </c>
      <c r="W719" t="s">
        <v>335</v>
      </c>
      <c r="X719" t="s">
        <v>335</v>
      </c>
      <c r="Y719" t="s">
        <v>335</v>
      </c>
      <c r="Z719" t="s">
        <v>335</v>
      </c>
      <c r="AA719" t="s">
        <v>335</v>
      </c>
      <c r="AB719" t="s">
        <v>335</v>
      </c>
      <c r="AC719" t="s">
        <v>335</v>
      </c>
      <c r="AD719"/>
      <c r="AE719" t="n">
        <v>13</v>
      </c>
      <c r="AF719" t="n">
        <v>13</v>
      </c>
      <c r="AG719"/>
      <c r="AH719"/>
      <c r="AI719"/>
      <c r="AJ719"/>
      <c r="AK719"/>
      <c r="AL719"/>
    </row>
    <row r="720">
      <c r="A720" t="s">
        <v>226</v>
      </c>
      <c r="B720" t="s">
        <v>248</v>
      </c>
      <c r="C720"/>
      <c r="D720" t="s">
        <v>213</v>
      </c>
      <c r="E720" t="s">
        <v>339</v>
      </c>
      <c r="F720"/>
      <c r="G720"/>
      <c r="H720"/>
      <c r="I720" t="s">
        <v>360</v>
      </c>
      <c r="J720" t="s">
        <v>360</v>
      </c>
      <c r="K720" t="s">
        <v>360</v>
      </c>
      <c r="L720" t="s">
        <v>360</v>
      </c>
      <c r="M720" t="s">
        <v>360</v>
      </c>
      <c r="N720" t="s">
        <v>360</v>
      </c>
      <c r="O720" t="s">
        <v>360</v>
      </c>
      <c r="P720" t="s">
        <v>360</v>
      </c>
      <c r="Q720" t="s">
        <v>360</v>
      </c>
      <c r="R720" t="s">
        <v>360</v>
      </c>
      <c r="S720" t="s">
        <v>360</v>
      </c>
      <c r="T720" t="s">
        <v>360</v>
      </c>
      <c r="U720" t="s">
        <v>360</v>
      </c>
      <c r="V720" t="s">
        <v>360</v>
      </c>
      <c r="W720" t="s">
        <v>360</v>
      </c>
      <c r="X720" t="s">
        <v>360</v>
      </c>
      <c r="Y720" t="s">
        <v>360</v>
      </c>
      <c r="Z720" t="s">
        <v>360</v>
      </c>
      <c r="AA720" t="s">
        <v>360</v>
      </c>
      <c r="AB720" t="s">
        <v>360</v>
      </c>
      <c r="AC720" t="s">
        <v>360</v>
      </c>
      <c r="AD720"/>
      <c r="AE720" t="n">
        <v>4.09492273730684</v>
      </c>
      <c r="AF720" t="n">
        <v>3.09492273730684</v>
      </c>
      <c r="AG720"/>
      <c r="AH720"/>
      <c r="AI720"/>
      <c r="AJ720"/>
      <c r="AK720"/>
      <c r="AL720"/>
    </row>
    <row r="721">
      <c r="A721" t="s">
        <v>226</v>
      </c>
      <c r="B721" t="s">
        <v>248</v>
      </c>
      <c r="C721"/>
      <c r="D721" t="s">
        <v>213</v>
      </c>
      <c r="E721" t="s">
        <v>358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</row>
    <row r="722">
      <c r="A722" t="s">
        <v>229</v>
      </c>
      <c r="B722" t="s">
        <v>248</v>
      </c>
      <c r="C722"/>
      <c r="D722" t="s">
        <v>213</v>
      </c>
      <c r="E722" t="s">
        <v>297</v>
      </c>
      <c r="F722"/>
      <c r="G722"/>
      <c r="H722"/>
      <c r="I722" t="s">
        <v>1607</v>
      </c>
      <c r="J722" t="s">
        <v>1608</v>
      </c>
      <c r="K722" t="s">
        <v>1609</v>
      </c>
      <c r="L722" t="s">
        <v>1610</v>
      </c>
      <c r="M722" t="s">
        <v>1611</v>
      </c>
      <c r="N722" t="s">
        <v>1612</v>
      </c>
      <c r="O722" t="s">
        <v>1613</v>
      </c>
      <c r="P722" t="s">
        <v>360</v>
      </c>
      <c r="Q722" t="s">
        <v>360</v>
      </c>
      <c r="R722"/>
      <c r="S722"/>
      <c r="T722"/>
      <c r="U722"/>
      <c r="V722"/>
      <c r="W722"/>
      <c r="X722"/>
      <c r="Y722"/>
      <c r="Z722"/>
      <c r="AA722"/>
      <c r="AB722"/>
      <c r="AC722"/>
      <c r="AD722" t="n">
        <v>130171</v>
      </c>
      <c r="AE722" t="n">
        <v>88230</v>
      </c>
      <c r="AF722" t="n">
        <v>46289</v>
      </c>
      <c r="AG722"/>
      <c r="AH722"/>
      <c r="AI722"/>
      <c r="AJ722"/>
      <c r="AK722"/>
      <c r="AL722"/>
    </row>
    <row r="723">
      <c r="A723" t="s">
        <v>229</v>
      </c>
      <c r="B723" t="s">
        <v>248</v>
      </c>
      <c r="C723"/>
      <c r="D723" t="s">
        <v>213</v>
      </c>
      <c r="E723" t="s">
        <v>316</v>
      </c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</row>
    <row r="724">
      <c r="A724" t="s">
        <v>229</v>
      </c>
      <c r="B724" t="s">
        <v>248</v>
      </c>
      <c r="C724"/>
      <c r="D724" t="s">
        <v>213</v>
      </c>
      <c r="E724" t="s">
        <v>317</v>
      </c>
      <c r="F724"/>
      <c r="G724"/>
      <c r="H724"/>
      <c r="I724" t="s">
        <v>1614</v>
      </c>
      <c r="J724" t="s">
        <v>1614</v>
      </c>
      <c r="K724" t="s">
        <v>1614</v>
      </c>
      <c r="L724" t="s">
        <v>1614</v>
      </c>
      <c r="M724" t="s">
        <v>1614</v>
      </c>
      <c r="N724" t="s">
        <v>1614</v>
      </c>
      <c r="O724" t="s">
        <v>1614</v>
      </c>
      <c r="P724" t="s">
        <v>1614</v>
      </c>
      <c r="Q724" t="s">
        <v>1614</v>
      </c>
      <c r="R724"/>
      <c r="S724"/>
      <c r="T724"/>
      <c r="U724"/>
      <c r="V724"/>
      <c r="W724"/>
      <c r="X724"/>
      <c r="Y724"/>
      <c r="Z724"/>
      <c r="AA724"/>
      <c r="AB724"/>
      <c r="AC724"/>
      <c r="AD724" t="n">
        <v>41941</v>
      </c>
      <c r="AE724" t="n">
        <v>41941</v>
      </c>
      <c r="AF724" t="n">
        <v>41941</v>
      </c>
      <c r="AG724"/>
      <c r="AH724"/>
      <c r="AI724"/>
      <c r="AJ724"/>
      <c r="AK724"/>
      <c r="AL724"/>
    </row>
    <row r="725">
      <c r="A725" t="s">
        <v>229</v>
      </c>
      <c r="B725" t="s">
        <v>248</v>
      </c>
      <c r="C725"/>
      <c r="D725" t="s">
        <v>213</v>
      </c>
      <c r="E725" t="s">
        <v>320</v>
      </c>
      <c r="F725"/>
      <c r="G725"/>
      <c r="H725"/>
      <c r="I725" t="s">
        <v>1608</v>
      </c>
      <c r="J725" t="s">
        <v>1609</v>
      </c>
      <c r="K725" t="s">
        <v>1610</v>
      </c>
      <c r="L725" t="s">
        <v>1611</v>
      </c>
      <c r="M725" t="s">
        <v>1612</v>
      </c>
      <c r="N725" t="s">
        <v>1613</v>
      </c>
      <c r="O725" t="s">
        <v>360</v>
      </c>
      <c r="P725" t="s">
        <v>360</v>
      </c>
      <c r="Q725" t="s">
        <v>360</v>
      </c>
      <c r="R725"/>
      <c r="S725"/>
      <c r="T725"/>
      <c r="U725"/>
      <c r="V725"/>
      <c r="W725"/>
      <c r="X725"/>
      <c r="Y725"/>
      <c r="Z725"/>
      <c r="AA725"/>
      <c r="AB725"/>
      <c r="AC725"/>
      <c r="AD725" t="n">
        <v>88230</v>
      </c>
      <c r="AE725" t="n">
        <v>46289</v>
      </c>
      <c r="AF725" t="n">
        <v>4348</v>
      </c>
      <c r="AG725"/>
      <c r="AH725"/>
      <c r="AI725"/>
      <c r="AJ725"/>
      <c r="AK725"/>
      <c r="AL725"/>
    </row>
    <row r="726">
      <c r="A726" t="s">
        <v>229</v>
      </c>
      <c r="B726" t="s">
        <v>248</v>
      </c>
      <c r="C726"/>
      <c r="D726" t="s">
        <v>213</v>
      </c>
      <c r="E726" t="s">
        <v>323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 t="n">
        <v>6</v>
      </c>
      <c r="AE726" t="n">
        <v>6</v>
      </c>
      <c r="AF726" t="n">
        <v>6</v>
      </c>
      <c r="AG726"/>
      <c r="AH726"/>
      <c r="AI726"/>
      <c r="AJ726"/>
      <c r="AK726"/>
      <c r="AL726"/>
    </row>
    <row r="727">
      <c r="A727" t="s">
        <v>229</v>
      </c>
      <c r="B727" t="s">
        <v>248</v>
      </c>
      <c r="C727"/>
      <c r="D727" t="s">
        <v>213</v>
      </c>
      <c r="E727" t="s">
        <v>324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 t="n">
        <v>12</v>
      </c>
      <c r="AE727" t="n">
        <v>12</v>
      </c>
      <c r="AF727" t="n">
        <v>12</v>
      </c>
      <c r="AG727"/>
      <c r="AH727"/>
      <c r="AI727"/>
      <c r="AJ727"/>
      <c r="AK727"/>
      <c r="AL727"/>
    </row>
    <row r="728">
      <c r="A728" t="s">
        <v>229</v>
      </c>
      <c r="B728" t="s">
        <v>248</v>
      </c>
      <c r="C728"/>
      <c r="D728" t="s">
        <v>213</v>
      </c>
      <c r="E728" t="s">
        <v>325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 t="n">
        <v>12</v>
      </c>
      <c r="AE728" t="n">
        <v>12</v>
      </c>
      <c r="AF728" t="n">
        <v>12</v>
      </c>
      <c r="AG728"/>
      <c r="AH728"/>
      <c r="AI728"/>
      <c r="AJ728"/>
      <c r="AK728"/>
      <c r="AL728"/>
    </row>
    <row r="729">
      <c r="A729" t="s">
        <v>229</v>
      </c>
      <c r="B729" t="s">
        <v>248</v>
      </c>
      <c r="C729"/>
      <c r="D729" t="s">
        <v>213</v>
      </c>
      <c r="E729" t="s">
        <v>326</v>
      </c>
      <c r="F729"/>
      <c r="G729"/>
      <c r="H729"/>
      <c r="I729"/>
      <c r="J729"/>
      <c r="K729"/>
      <c r="L729" t="s">
        <v>1615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 t="n">
        <v>2.10366944040438</v>
      </c>
      <c r="AE729" t="n">
        <v>1.10366944040438</v>
      </c>
      <c r="AF729" t="n">
        <v>0.103669440404378</v>
      </c>
      <c r="AG729"/>
      <c r="AH729"/>
      <c r="AI729"/>
      <c r="AJ729"/>
      <c r="AK729"/>
      <c r="AL729"/>
    </row>
    <row r="730">
      <c r="A730" t="s">
        <v>229</v>
      </c>
      <c r="B730" t="s">
        <v>248</v>
      </c>
      <c r="C730"/>
      <c r="D730" t="s">
        <v>213</v>
      </c>
      <c r="E730" t="s">
        <v>329</v>
      </c>
      <c r="F730"/>
      <c r="G730"/>
      <c r="H730"/>
      <c r="I730"/>
      <c r="J730"/>
      <c r="K730"/>
      <c r="L730" t="s">
        <v>267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</row>
    <row r="731">
      <c r="A731" t="s">
        <v>229</v>
      </c>
      <c r="B731" t="s">
        <v>248</v>
      </c>
      <c r="C731"/>
      <c r="D731" t="s">
        <v>213</v>
      </c>
      <c r="E731" t="s">
        <v>330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 t="n">
        <v>21562</v>
      </c>
      <c r="AE731" t="n">
        <v>16332</v>
      </c>
      <c r="AF731" t="n">
        <v>11102</v>
      </c>
      <c r="AG731"/>
      <c r="AH731"/>
      <c r="AI731"/>
      <c r="AJ731"/>
      <c r="AK731"/>
      <c r="AL731"/>
    </row>
    <row r="732">
      <c r="A732" t="s">
        <v>229</v>
      </c>
      <c r="B732" t="s">
        <v>248</v>
      </c>
      <c r="C732"/>
      <c r="D732" t="s">
        <v>213</v>
      </c>
      <c r="E732" t="s">
        <v>331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</row>
    <row r="733">
      <c r="A733" t="s">
        <v>229</v>
      </c>
      <c r="B733" t="s">
        <v>248</v>
      </c>
      <c r="C733"/>
      <c r="D733" t="s">
        <v>213</v>
      </c>
      <c r="E733" t="s">
        <v>332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 t="n">
        <v>5230</v>
      </c>
      <c r="AE733" t="n">
        <v>5230</v>
      </c>
      <c r="AF733" t="n">
        <v>5230</v>
      </c>
      <c r="AG733"/>
      <c r="AH733"/>
      <c r="AI733"/>
      <c r="AJ733"/>
      <c r="AK733"/>
      <c r="AL733"/>
    </row>
    <row r="734">
      <c r="A734" t="s">
        <v>229</v>
      </c>
      <c r="B734" t="s">
        <v>248</v>
      </c>
      <c r="C734"/>
      <c r="D734" t="s">
        <v>213</v>
      </c>
      <c r="E734" t="s">
        <v>333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 t="n">
        <v>16332</v>
      </c>
      <c r="AE734" t="n">
        <v>11102</v>
      </c>
      <c r="AF734" t="n">
        <v>5872</v>
      </c>
      <c r="AG734"/>
      <c r="AH734"/>
      <c r="AI734"/>
      <c r="AJ734"/>
      <c r="AK734"/>
      <c r="AL734"/>
    </row>
    <row r="735">
      <c r="A735" t="s">
        <v>229</v>
      </c>
      <c r="B735" t="s">
        <v>248</v>
      </c>
      <c r="C735"/>
      <c r="D735" t="s">
        <v>213</v>
      </c>
      <c r="E735" t="s">
        <v>334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 t="n">
        <v>6</v>
      </c>
      <c r="AE735" t="n">
        <v>6</v>
      </c>
      <c r="AF735" t="n">
        <v>6</v>
      </c>
      <c r="AG735"/>
      <c r="AH735"/>
      <c r="AI735"/>
      <c r="AJ735"/>
      <c r="AK735"/>
      <c r="AL735"/>
    </row>
    <row r="736">
      <c r="A736" t="s">
        <v>229</v>
      </c>
      <c r="B736" t="s">
        <v>248</v>
      </c>
      <c r="C736"/>
      <c r="D736" t="s">
        <v>213</v>
      </c>
      <c r="E736" t="s">
        <v>336</v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 t="n">
        <v>12</v>
      </c>
      <c r="AE736" t="n">
        <v>12</v>
      </c>
      <c r="AF736" t="n">
        <v>12</v>
      </c>
      <c r="AG736"/>
      <c r="AH736"/>
      <c r="AI736"/>
      <c r="AJ736"/>
      <c r="AK736"/>
      <c r="AL736"/>
    </row>
    <row r="737">
      <c r="A737" t="s">
        <v>229</v>
      </c>
      <c r="B737" t="s">
        <v>248</v>
      </c>
      <c r="C737"/>
      <c r="D737" t="s">
        <v>213</v>
      </c>
      <c r="E737" t="s">
        <v>338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 t="n">
        <v>12</v>
      </c>
      <c r="AE737" t="n">
        <v>12</v>
      </c>
      <c r="AF737" t="n">
        <v>12</v>
      </c>
      <c r="AG737"/>
      <c r="AH737"/>
      <c r="AI737"/>
      <c r="AJ737"/>
      <c r="AK737"/>
      <c r="AL737"/>
    </row>
    <row r="738">
      <c r="A738" t="s">
        <v>229</v>
      </c>
      <c r="B738" t="s">
        <v>248</v>
      </c>
      <c r="C738"/>
      <c r="D738" t="s">
        <v>213</v>
      </c>
      <c r="E738" t="s">
        <v>339</v>
      </c>
      <c r="F738"/>
      <c r="G738"/>
      <c r="H738"/>
      <c r="I738" t="s">
        <v>1616</v>
      </c>
      <c r="J738" t="s">
        <v>1617</v>
      </c>
      <c r="K738" t="s">
        <v>1618</v>
      </c>
      <c r="L738" t="s">
        <v>1619</v>
      </c>
      <c r="M738" t="s">
        <v>1620</v>
      </c>
      <c r="N738" t="s">
        <v>1621</v>
      </c>
      <c r="O738" t="s">
        <v>360</v>
      </c>
      <c r="P738" t="s">
        <v>360</v>
      </c>
      <c r="Q738" t="s">
        <v>360</v>
      </c>
      <c r="R738"/>
      <c r="S738"/>
      <c r="T738"/>
      <c r="U738"/>
      <c r="V738"/>
      <c r="W738"/>
      <c r="X738"/>
      <c r="Y738"/>
      <c r="Z738"/>
      <c r="AA738"/>
      <c r="AB738"/>
      <c r="AC738"/>
      <c r="AD738" t="n">
        <v>3.12275334608031</v>
      </c>
      <c r="AE738" t="n">
        <v>2.12275334608031</v>
      </c>
      <c r="AF738" t="n">
        <v>1.12275334608031</v>
      </c>
      <c r="AG738"/>
      <c r="AH738"/>
      <c r="AI738"/>
      <c r="AJ738"/>
      <c r="AK738"/>
      <c r="AL738"/>
    </row>
    <row r="739">
      <c r="A739" t="s">
        <v>229</v>
      </c>
      <c r="B739" t="s">
        <v>248</v>
      </c>
      <c r="C739"/>
      <c r="D739" t="s">
        <v>213</v>
      </c>
      <c r="E739" t="s">
        <v>358</v>
      </c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</row>
    <row r="740">
      <c r="A740" t="s">
        <v>250</v>
      </c>
      <c r="B740" t="s">
        <v>230</v>
      </c>
      <c r="C740" t="s">
        <v>231</v>
      </c>
      <c r="D740" t="s">
        <v>213</v>
      </c>
      <c r="E740" t="s">
        <v>297</v>
      </c>
      <c r="F740"/>
      <c r="G740"/>
      <c r="H740"/>
      <c r="I740" t="s">
        <v>1622</v>
      </c>
      <c r="J740" t="s">
        <v>1623</v>
      </c>
      <c r="K740" t="s">
        <v>1624</v>
      </c>
      <c r="L740" t="s">
        <v>1625</v>
      </c>
      <c r="M740" t="s">
        <v>1626</v>
      </c>
      <c r="N740" t="s">
        <v>1627</v>
      </c>
      <c r="O740" t="s">
        <v>1628</v>
      </c>
      <c r="P740" t="s">
        <v>1629</v>
      </c>
      <c r="Q740" t="s">
        <v>1630</v>
      </c>
      <c r="R740" t="s">
        <v>1631</v>
      </c>
      <c r="S740" t="s">
        <v>1632</v>
      </c>
      <c r="T740" t="s">
        <v>1633</v>
      </c>
      <c r="U740" t="s">
        <v>1634</v>
      </c>
      <c r="V740" t="s">
        <v>1635</v>
      </c>
      <c r="W740" t="s">
        <v>1636</v>
      </c>
      <c r="X740" t="s">
        <v>1637</v>
      </c>
      <c r="Y740" t="s">
        <v>1638</v>
      </c>
      <c r="Z740" t="s">
        <v>1639</v>
      </c>
      <c r="AA740"/>
      <c r="AB740"/>
      <c r="AC740"/>
      <c r="AD740" t="n">
        <v>2302</v>
      </c>
      <c r="AE740" t="n">
        <v>2243</v>
      </c>
      <c r="AF740" t="n">
        <v>2184</v>
      </c>
      <c r="AG740"/>
      <c r="AH740"/>
      <c r="AI740"/>
      <c r="AJ740"/>
      <c r="AK740"/>
      <c r="AL740"/>
    </row>
    <row r="741">
      <c r="A741" t="s">
        <v>250</v>
      </c>
      <c r="B741" t="s">
        <v>230</v>
      </c>
      <c r="C741" t="s">
        <v>231</v>
      </c>
      <c r="D741" t="s">
        <v>213</v>
      </c>
      <c r="E741" t="s">
        <v>316</v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</row>
    <row r="742">
      <c r="A742" t="s">
        <v>250</v>
      </c>
      <c r="B742" t="s">
        <v>230</v>
      </c>
      <c r="C742" t="s">
        <v>231</v>
      </c>
      <c r="D742" t="s">
        <v>213</v>
      </c>
      <c r="E742" t="s">
        <v>317</v>
      </c>
      <c r="F742"/>
      <c r="G742"/>
      <c r="H742"/>
      <c r="I742" t="s">
        <v>1640</v>
      </c>
      <c r="J742" t="s">
        <v>1641</v>
      </c>
      <c r="K742" t="s">
        <v>1642</v>
      </c>
      <c r="L742" t="s">
        <v>1643</v>
      </c>
      <c r="M742" t="s">
        <v>1644</v>
      </c>
      <c r="N742" t="s">
        <v>1645</v>
      </c>
      <c r="O742" t="s">
        <v>1646</v>
      </c>
      <c r="P742" t="s">
        <v>1647</v>
      </c>
      <c r="Q742" t="s">
        <v>1648</v>
      </c>
      <c r="R742" t="s">
        <v>1649</v>
      </c>
      <c r="S742" t="s">
        <v>1650</v>
      </c>
      <c r="T742" t="s">
        <v>1651</v>
      </c>
      <c r="U742" t="s">
        <v>1652</v>
      </c>
      <c r="V742" t="s">
        <v>1653</v>
      </c>
      <c r="W742" t="s">
        <v>1654</v>
      </c>
      <c r="X742" t="s">
        <v>1655</v>
      </c>
      <c r="Y742" t="s">
        <v>1656</v>
      </c>
      <c r="Z742" t="s">
        <v>1657</v>
      </c>
      <c r="AA742"/>
      <c r="AB742"/>
      <c r="AC742"/>
      <c r="AD742" t="n">
        <v>59</v>
      </c>
      <c r="AE742" t="n">
        <v>59</v>
      </c>
      <c r="AF742" t="n">
        <v>59</v>
      </c>
      <c r="AG742"/>
      <c r="AH742"/>
      <c r="AI742"/>
      <c r="AJ742"/>
      <c r="AK742"/>
      <c r="AL742"/>
    </row>
    <row r="743">
      <c r="A743" t="s">
        <v>250</v>
      </c>
      <c r="B743" t="s">
        <v>230</v>
      </c>
      <c r="C743" t="s">
        <v>231</v>
      </c>
      <c r="D743" t="s">
        <v>213</v>
      </c>
      <c r="E743" t="s">
        <v>320</v>
      </c>
      <c r="F743"/>
      <c r="G743"/>
      <c r="H743"/>
      <c r="I743" t="s">
        <v>1623</v>
      </c>
      <c r="J743" t="s">
        <v>1624</v>
      </c>
      <c r="K743" t="s">
        <v>1625</v>
      </c>
      <c r="L743" t="s">
        <v>1626</v>
      </c>
      <c r="M743" t="s">
        <v>1627</v>
      </c>
      <c r="N743" t="s">
        <v>1628</v>
      </c>
      <c r="O743" t="s">
        <v>1629</v>
      </c>
      <c r="P743" t="s">
        <v>1630</v>
      </c>
      <c r="Q743" t="s">
        <v>1631</v>
      </c>
      <c r="R743" t="s">
        <v>1632</v>
      </c>
      <c r="S743" t="s">
        <v>1633</v>
      </c>
      <c r="T743" t="s">
        <v>1634</v>
      </c>
      <c r="U743" t="s">
        <v>1635</v>
      </c>
      <c r="V743" t="s">
        <v>1636</v>
      </c>
      <c r="W743" t="s">
        <v>1637</v>
      </c>
      <c r="X743" t="s">
        <v>1638</v>
      </c>
      <c r="Y743" t="s">
        <v>1639</v>
      </c>
      <c r="Z743" t="s">
        <v>1658</v>
      </c>
      <c r="AA743"/>
      <c r="AB743"/>
      <c r="AC743"/>
      <c r="AD743" t="n">
        <v>2243</v>
      </c>
      <c r="AE743" t="n">
        <v>2184</v>
      </c>
      <c r="AF743" t="n">
        <v>2125</v>
      </c>
      <c r="AG743"/>
      <c r="AH743"/>
      <c r="AI743"/>
      <c r="AJ743"/>
      <c r="AK743"/>
      <c r="AL743"/>
    </row>
    <row r="744">
      <c r="A744" t="s">
        <v>250</v>
      </c>
      <c r="B744" t="s">
        <v>230</v>
      </c>
      <c r="C744" t="s">
        <v>231</v>
      </c>
      <c r="D744" t="s">
        <v>213</v>
      </c>
      <c r="E744" t="s">
        <v>323</v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 t="n">
        <v>9</v>
      </c>
      <c r="AE744" t="n">
        <v>9</v>
      </c>
      <c r="AF744" t="n">
        <v>9</v>
      </c>
      <c r="AG744"/>
      <c r="AH744"/>
      <c r="AI744"/>
      <c r="AJ744"/>
      <c r="AK744"/>
      <c r="AL744"/>
    </row>
    <row r="745">
      <c r="A745" t="s">
        <v>250</v>
      </c>
      <c r="B745" t="s">
        <v>230</v>
      </c>
      <c r="C745" t="s">
        <v>231</v>
      </c>
      <c r="D745" t="s">
        <v>213</v>
      </c>
      <c r="E745" t="s">
        <v>324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 t="n">
        <v>14</v>
      </c>
      <c r="AE745" t="n">
        <v>14</v>
      </c>
      <c r="AF745" t="n">
        <v>14</v>
      </c>
      <c r="AG745"/>
      <c r="AH745"/>
      <c r="AI745"/>
      <c r="AJ745"/>
      <c r="AK745"/>
      <c r="AL745"/>
    </row>
    <row r="746">
      <c r="A746" t="s">
        <v>250</v>
      </c>
      <c r="B746" t="s">
        <v>230</v>
      </c>
      <c r="C746" t="s">
        <v>231</v>
      </c>
      <c r="D746" t="s">
        <v>213</v>
      </c>
      <c r="E746" t="s">
        <v>325</v>
      </c>
      <c r="F746"/>
      <c r="G746"/>
      <c r="H746"/>
      <c r="I746"/>
      <c r="J746"/>
      <c r="K746"/>
      <c r="L746"/>
      <c r="M746"/>
      <c r="N746" t="s">
        <v>269</v>
      </c>
      <c r="O746"/>
      <c r="P746"/>
      <c r="Q746"/>
      <c r="R746"/>
      <c r="S746"/>
      <c r="T746"/>
      <c r="U746" t="s">
        <v>269</v>
      </c>
      <c r="V746"/>
      <c r="W746"/>
      <c r="X746"/>
      <c r="Y746"/>
      <c r="Z746"/>
      <c r="AA746"/>
      <c r="AB746"/>
      <c r="AC746"/>
      <c r="AD746" t="n">
        <v>13</v>
      </c>
      <c r="AE746" t="n">
        <v>13</v>
      </c>
      <c r="AF746" t="n">
        <v>13</v>
      </c>
      <c r="AG746"/>
      <c r="AH746"/>
      <c r="AI746"/>
      <c r="AJ746"/>
      <c r="AK746"/>
      <c r="AL746"/>
    </row>
    <row r="747">
      <c r="A747" t="s">
        <v>250</v>
      </c>
      <c r="B747" t="s">
        <v>230</v>
      </c>
      <c r="C747" t="s">
        <v>231</v>
      </c>
      <c r="D747" t="s">
        <v>213</v>
      </c>
      <c r="E747" t="s">
        <v>326</v>
      </c>
      <c r="F747"/>
      <c r="G747"/>
      <c r="H747"/>
      <c r="I747"/>
      <c r="J747"/>
      <c r="K747"/>
      <c r="L747"/>
      <c r="M747"/>
      <c r="N747" t="s">
        <v>1659</v>
      </c>
      <c r="O747"/>
      <c r="P747"/>
      <c r="Q747"/>
      <c r="R747"/>
      <c r="S747"/>
      <c r="T747"/>
      <c r="U747" t="s">
        <v>1660</v>
      </c>
      <c r="V747"/>
      <c r="W747"/>
      <c r="X747"/>
      <c r="Y747"/>
      <c r="Z747"/>
      <c r="AA747"/>
      <c r="AB747"/>
      <c r="AC747"/>
      <c r="AD747" t="n">
        <v>38.0169491525424</v>
      </c>
      <c r="AE747" t="n">
        <v>37.0169491525424</v>
      </c>
      <c r="AF747" t="n">
        <v>36.0169491525424</v>
      </c>
      <c r="AG747"/>
      <c r="AH747"/>
      <c r="AI747"/>
      <c r="AJ747"/>
      <c r="AK747"/>
      <c r="AL747"/>
    </row>
    <row r="748">
      <c r="A748" t="s">
        <v>250</v>
      </c>
      <c r="B748" t="s">
        <v>230</v>
      </c>
      <c r="C748" t="s">
        <v>231</v>
      </c>
      <c r="D748" t="s">
        <v>213</v>
      </c>
      <c r="E748" t="s">
        <v>329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</row>
    <row r="749">
      <c r="A749" t="s">
        <v>250</v>
      </c>
      <c r="B749" t="s">
        <v>230</v>
      </c>
      <c r="C749" t="s">
        <v>231</v>
      </c>
      <c r="D749" t="s">
        <v>213</v>
      </c>
      <c r="E749" t="s">
        <v>330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 t="n">
        <v>333406</v>
      </c>
      <c r="AE749" t="n">
        <v>254438</v>
      </c>
      <c r="AF749" t="n">
        <v>175470</v>
      </c>
      <c r="AG749"/>
      <c r="AH749"/>
      <c r="AI749"/>
      <c r="AJ749"/>
      <c r="AK749"/>
      <c r="AL749"/>
    </row>
    <row r="750">
      <c r="A750" t="s">
        <v>250</v>
      </c>
      <c r="B750" t="s">
        <v>230</v>
      </c>
      <c r="C750" t="s">
        <v>231</v>
      </c>
      <c r="D750" t="s">
        <v>213</v>
      </c>
      <c r="E750" t="s">
        <v>331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</row>
    <row r="751">
      <c r="A751" t="s">
        <v>250</v>
      </c>
      <c r="B751" t="s">
        <v>230</v>
      </c>
      <c r="C751" t="s">
        <v>231</v>
      </c>
      <c r="D751" t="s">
        <v>213</v>
      </c>
      <c r="E751" t="s">
        <v>332</v>
      </c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 t="n">
        <v>78968</v>
      </c>
      <c r="AE751" t="n">
        <v>78968</v>
      </c>
      <c r="AF751" t="n">
        <v>78968</v>
      </c>
      <c r="AG751"/>
      <c r="AH751"/>
      <c r="AI751"/>
      <c r="AJ751"/>
      <c r="AK751"/>
      <c r="AL751"/>
    </row>
    <row r="752">
      <c r="A752" t="s">
        <v>250</v>
      </c>
      <c r="B752" t="s">
        <v>230</v>
      </c>
      <c r="C752" t="s">
        <v>231</v>
      </c>
      <c r="D752" t="s">
        <v>213</v>
      </c>
      <c r="E752" t="s">
        <v>333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 t="n">
        <v>254438</v>
      </c>
      <c r="AE752" t="n">
        <v>175470</v>
      </c>
      <c r="AF752" t="n">
        <v>96502</v>
      </c>
      <c r="AG752"/>
      <c r="AH752"/>
      <c r="AI752"/>
      <c r="AJ752"/>
      <c r="AK752"/>
      <c r="AL752"/>
    </row>
    <row r="753">
      <c r="A753" t="s">
        <v>250</v>
      </c>
      <c r="B753" t="s">
        <v>230</v>
      </c>
      <c r="C753" t="s">
        <v>231</v>
      </c>
      <c r="D753" t="s">
        <v>213</v>
      </c>
      <c r="E753" t="s">
        <v>334</v>
      </c>
      <c r="F753"/>
      <c r="G753"/>
      <c r="H753"/>
      <c r="I753" t="s">
        <v>335</v>
      </c>
      <c r="J753" t="s">
        <v>335</v>
      </c>
      <c r="K753" t="s">
        <v>335</v>
      </c>
      <c r="L753" t="s">
        <v>335</v>
      </c>
      <c r="M753" t="s">
        <v>335</v>
      </c>
      <c r="N753" t="s">
        <v>335</v>
      </c>
      <c r="O753" t="s">
        <v>335</v>
      </c>
      <c r="P753" t="s">
        <v>335</v>
      </c>
      <c r="Q753" t="s">
        <v>335</v>
      </c>
      <c r="R753" t="s">
        <v>335</v>
      </c>
      <c r="S753" t="s">
        <v>335</v>
      </c>
      <c r="T753" t="s">
        <v>335</v>
      </c>
      <c r="U753" t="s">
        <v>335</v>
      </c>
      <c r="V753" t="s">
        <v>335</v>
      </c>
      <c r="W753" t="s">
        <v>335</v>
      </c>
      <c r="X753" t="s">
        <v>335</v>
      </c>
      <c r="Y753" t="s">
        <v>335</v>
      </c>
      <c r="Z753" t="s">
        <v>335</v>
      </c>
      <c r="AA753"/>
      <c r="AB753"/>
      <c r="AC753"/>
      <c r="AD753" t="n">
        <v>9</v>
      </c>
      <c r="AE753" t="n">
        <v>9</v>
      </c>
      <c r="AF753" t="n">
        <v>9</v>
      </c>
      <c r="AG753"/>
      <c r="AH753"/>
      <c r="AI753"/>
      <c r="AJ753"/>
      <c r="AK753"/>
      <c r="AL753"/>
    </row>
    <row r="754">
      <c r="A754" t="s">
        <v>250</v>
      </c>
      <c r="B754" t="s">
        <v>230</v>
      </c>
      <c r="C754" t="s">
        <v>231</v>
      </c>
      <c r="D754" t="s">
        <v>213</v>
      </c>
      <c r="E754" t="s">
        <v>336</v>
      </c>
      <c r="F754"/>
      <c r="G754"/>
      <c r="H754"/>
      <c r="I754" t="s">
        <v>337</v>
      </c>
      <c r="J754" t="s">
        <v>337</v>
      </c>
      <c r="K754" t="s">
        <v>337</v>
      </c>
      <c r="L754" t="s">
        <v>337</v>
      </c>
      <c r="M754" t="s">
        <v>337</v>
      </c>
      <c r="N754" t="s">
        <v>337</v>
      </c>
      <c r="O754" t="s">
        <v>337</v>
      </c>
      <c r="P754" t="s">
        <v>337</v>
      </c>
      <c r="Q754" t="s">
        <v>337</v>
      </c>
      <c r="R754" t="s">
        <v>337</v>
      </c>
      <c r="S754" t="s">
        <v>337</v>
      </c>
      <c r="T754" t="s">
        <v>337</v>
      </c>
      <c r="U754" t="s">
        <v>337</v>
      </c>
      <c r="V754" t="s">
        <v>337</v>
      </c>
      <c r="W754" t="s">
        <v>337</v>
      </c>
      <c r="X754" t="s">
        <v>337</v>
      </c>
      <c r="Y754" t="s">
        <v>337</v>
      </c>
      <c r="Z754" t="s">
        <v>337</v>
      </c>
      <c r="AA754"/>
      <c r="AB754"/>
      <c r="AC754"/>
      <c r="AD754" t="n">
        <v>14</v>
      </c>
      <c r="AE754" t="n">
        <v>14</v>
      </c>
      <c r="AF754" t="n">
        <v>14</v>
      </c>
      <c r="AG754"/>
      <c r="AH754"/>
      <c r="AI754"/>
      <c r="AJ754"/>
      <c r="AK754"/>
      <c r="AL754"/>
    </row>
    <row r="755">
      <c r="A755" t="s">
        <v>250</v>
      </c>
      <c r="B755" t="s">
        <v>230</v>
      </c>
      <c r="C755" t="s">
        <v>231</v>
      </c>
      <c r="D755" t="s">
        <v>213</v>
      </c>
      <c r="E755" t="s">
        <v>338</v>
      </c>
      <c r="F755"/>
      <c r="G755"/>
      <c r="H755"/>
      <c r="I755" t="s">
        <v>337</v>
      </c>
      <c r="J755" t="s">
        <v>337</v>
      </c>
      <c r="K755" t="s">
        <v>337</v>
      </c>
      <c r="L755" t="s">
        <v>337</v>
      </c>
      <c r="M755" t="s">
        <v>337</v>
      </c>
      <c r="N755" t="s">
        <v>337</v>
      </c>
      <c r="O755" t="s">
        <v>337</v>
      </c>
      <c r="P755" t="s">
        <v>337</v>
      </c>
      <c r="Q755" t="s">
        <v>337</v>
      </c>
      <c r="R755" t="s">
        <v>337</v>
      </c>
      <c r="S755" t="s">
        <v>337</v>
      </c>
      <c r="T755" t="s">
        <v>337</v>
      </c>
      <c r="U755" t="s">
        <v>337</v>
      </c>
      <c r="V755" t="s">
        <v>337</v>
      </c>
      <c r="W755" t="s">
        <v>337</v>
      </c>
      <c r="X755" t="s">
        <v>337</v>
      </c>
      <c r="Y755" t="s">
        <v>337</v>
      </c>
      <c r="Z755" t="s">
        <v>337</v>
      </c>
      <c r="AA755"/>
      <c r="AB755"/>
      <c r="AC755"/>
      <c r="AD755" t="n">
        <v>13</v>
      </c>
      <c r="AE755" t="n">
        <v>13</v>
      </c>
      <c r="AF755" t="n">
        <v>13</v>
      </c>
      <c r="AG755"/>
      <c r="AH755"/>
      <c r="AI755"/>
      <c r="AJ755"/>
      <c r="AK755"/>
      <c r="AL755"/>
    </row>
    <row r="756">
      <c r="A756" t="s">
        <v>250</v>
      </c>
      <c r="B756" t="s">
        <v>230</v>
      </c>
      <c r="C756" t="s">
        <v>231</v>
      </c>
      <c r="D756" t="s">
        <v>213</v>
      </c>
      <c r="E756" t="s">
        <v>339</v>
      </c>
      <c r="F756"/>
      <c r="G756"/>
      <c r="H756"/>
      <c r="I756" t="s">
        <v>1661</v>
      </c>
      <c r="J756" t="s">
        <v>1662</v>
      </c>
      <c r="K756" t="s">
        <v>1663</v>
      </c>
      <c r="L756" t="s">
        <v>1664</v>
      </c>
      <c r="M756" t="s">
        <v>1665</v>
      </c>
      <c r="N756" t="s">
        <v>1666</v>
      </c>
      <c r="O756" t="s">
        <v>1667</v>
      </c>
      <c r="P756" t="s">
        <v>1668</v>
      </c>
      <c r="Q756" t="s">
        <v>1669</v>
      </c>
      <c r="R756" t="s">
        <v>1670</v>
      </c>
      <c r="S756" t="s">
        <v>1671</v>
      </c>
      <c r="T756" t="s">
        <v>1672</v>
      </c>
      <c r="U756" t="s">
        <v>1673</v>
      </c>
      <c r="V756" t="s">
        <v>1674</v>
      </c>
      <c r="W756" t="s">
        <v>1675</v>
      </c>
      <c r="X756" t="s">
        <v>1676</v>
      </c>
      <c r="Y756" t="s">
        <v>1677</v>
      </c>
      <c r="Z756" t="s">
        <v>1678</v>
      </c>
      <c r="AA756"/>
      <c r="AB756"/>
      <c r="AC756"/>
      <c r="AD756" t="n">
        <v>3.22203930706109</v>
      </c>
      <c r="AE756" t="n">
        <v>2.22203930706109</v>
      </c>
      <c r="AF756" t="n">
        <v>1.22203930706109</v>
      </c>
      <c r="AG756"/>
      <c r="AH756"/>
      <c r="AI756"/>
      <c r="AJ756"/>
      <c r="AK756"/>
      <c r="AL756"/>
    </row>
    <row r="757">
      <c r="A757" t="s">
        <v>250</v>
      </c>
      <c r="B757" t="s">
        <v>230</v>
      </c>
      <c r="C757" t="s">
        <v>231</v>
      </c>
      <c r="D757" t="s">
        <v>213</v>
      </c>
      <c r="E757" t="s">
        <v>358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</row>
    <row r="758">
      <c r="A758" t="s">
        <v>226</v>
      </c>
      <c r="B758" t="s">
        <v>230</v>
      </c>
      <c r="C758" t="s">
        <v>231</v>
      </c>
      <c r="D758" t="s">
        <v>213</v>
      </c>
      <c r="E758" t="s">
        <v>297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 t="n">
        <v>2154015</v>
      </c>
      <c r="AE758"/>
      <c r="AF758"/>
      <c r="AG758"/>
      <c r="AH758"/>
      <c r="AI758"/>
      <c r="AJ758"/>
      <c r="AK758"/>
      <c r="AL758"/>
    </row>
    <row r="759">
      <c r="A759" t="s">
        <v>226</v>
      </c>
      <c r="B759" t="s">
        <v>230</v>
      </c>
      <c r="C759" t="s">
        <v>231</v>
      </c>
      <c r="D759" t="s">
        <v>213</v>
      </c>
      <c r="E759" t="s">
        <v>316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</row>
    <row r="760">
      <c r="A760" t="s">
        <v>226</v>
      </c>
      <c r="B760" t="s">
        <v>230</v>
      </c>
      <c r="C760" t="s">
        <v>231</v>
      </c>
      <c r="D760" t="s">
        <v>213</v>
      </c>
      <c r="E760" t="s">
        <v>317</v>
      </c>
      <c r="F760"/>
      <c r="G760"/>
      <c r="H760"/>
      <c r="I760" t="s">
        <v>1679</v>
      </c>
      <c r="J760" t="s">
        <v>1679</v>
      </c>
      <c r="K760" t="s">
        <v>1679</v>
      </c>
      <c r="L760" t="s">
        <v>1679</v>
      </c>
      <c r="M760" t="s">
        <v>1679</v>
      </c>
      <c r="N760" t="s">
        <v>1679</v>
      </c>
      <c r="O760" t="s">
        <v>1679</v>
      </c>
      <c r="P760" t="s">
        <v>1679</v>
      </c>
      <c r="Q760" t="s">
        <v>1679</v>
      </c>
      <c r="R760" t="s">
        <v>1680</v>
      </c>
      <c r="S760" t="s">
        <v>1680</v>
      </c>
      <c r="T760" t="s">
        <v>1680</v>
      </c>
      <c r="U760" t="s">
        <v>1680</v>
      </c>
      <c r="V760" t="s">
        <v>1680</v>
      </c>
      <c r="W760" t="s">
        <v>1680</v>
      </c>
      <c r="X760" t="s">
        <v>1680</v>
      </c>
      <c r="Y760" t="s">
        <v>1680</v>
      </c>
      <c r="Z760" t="s">
        <v>1680</v>
      </c>
      <c r="AA760" t="s">
        <v>1680</v>
      </c>
      <c r="AB760" t="s">
        <v>1680</v>
      </c>
      <c r="AC760" t="s">
        <v>1680</v>
      </c>
      <c r="AD760" t="n">
        <v>1332535</v>
      </c>
      <c r="AE760"/>
      <c r="AF760"/>
      <c r="AG760"/>
      <c r="AH760"/>
      <c r="AI760"/>
      <c r="AJ760"/>
      <c r="AK760"/>
      <c r="AL760"/>
    </row>
    <row r="761">
      <c r="A761" t="s">
        <v>226</v>
      </c>
      <c r="B761" t="s">
        <v>230</v>
      </c>
      <c r="C761" t="s">
        <v>231</v>
      </c>
      <c r="D761" t="s">
        <v>213</v>
      </c>
      <c r="E761" t="s">
        <v>320</v>
      </c>
      <c r="F761"/>
      <c r="G761"/>
      <c r="H761"/>
      <c r="I761" t="s">
        <v>360</v>
      </c>
      <c r="J761" t="s">
        <v>360</v>
      </c>
      <c r="K761" t="s">
        <v>360</v>
      </c>
      <c r="L761" t="s">
        <v>360</v>
      </c>
      <c r="M761" t="s">
        <v>360</v>
      </c>
      <c r="N761" t="s">
        <v>360</v>
      </c>
      <c r="O761" t="s">
        <v>360</v>
      </c>
      <c r="P761" t="s">
        <v>360</v>
      </c>
      <c r="Q761" t="s">
        <v>360</v>
      </c>
      <c r="R761" t="s">
        <v>360</v>
      </c>
      <c r="S761" t="s">
        <v>360</v>
      </c>
      <c r="T761" t="s">
        <v>360</v>
      </c>
      <c r="U761" t="s">
        <v>360</v>
      </c>
      <c r="V761" t="s">
        <v>360</v>
      </c>
      <c r="W761" t="s">
        <v>360</v>
      </c>
      <c r="X761" t="s">
        <v>360</v>
      </c>
      <c r="Y761" t="s">
        <v>360</v>
      </c>
      <c r="Z761" t="s">
        <v>360</v>
      </c>
      <c r="AA761" t="s">
        <v>360</v>
      </c>
      <c r="AB761" t="s">
        <v>360</v>
      </c>
      <c r="AC761" t="s">
        <v>360</v>
      </c>
      <c r="AD761" t="n">
        <v>821480</v>
      </c>
      <c r="AE761"/>
      <c r="AF761"/>
      <c r="AG761"/>
      <c r="AH761"/>
      <c r="AI761"/>
      <c r="AJ761"/>
      <c r="AK761"/>
      <c r="AL761"/>
    </row>
    <row r="762">
      <c r="A762" t="s">
        <v>226</v>
      </c>
      <c r="B762" t="s">
        <v>230</v>
      </c>
      <c r="C762" t="s">
        <v>231</v>
      </c>
      <c r="D762" t="s">
        <v>213</v>
      </c>
      <c r="E762" t="s">
        <v>323</v>
      </c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 t="n">
        <v>6</v>
      </c>
      <c r="AE762"/>
      <c r="AF762"/>
      <c r="AG762"/>
      <c r="AH762"/>
      <c r="AI762"/>
      <c r="AJ762"/>
      <c r="AK762"/>
      <c r="AL762"/>
    </row>
    <row r="763">
      <c r="A763" t="s">
        <v>226</v>
      </c>
      <c r="B763" t="s">
        <v>230</v>
      </c>
      <c r="C763" t="s">
        <v>231</v>
      </c>
      <c r="D763" t="s">
        <v>213</v>
      </c>
      <c r="E763" t="s">
        <v>324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 t="n">
        <v>12</v>
      </c>
      <c r="AE763"/>
      <c r="AF763"/>
      <c r="AG763"/>
      <c r="AH763"/>
      <c r="AI763"/>
      <c r="AJ763"/>
      <c r="AK763"/>
      <c r="AL763"/>
    </row>
    <row r="764">
      <c r="A764" t="s">
        <v>226</v>
      </c>
      <c r="B764" t="s">
        <v>230</v>
      </c>
      <c r="C764" t="s">
        <v>231</v>
      </c>
      <c r="D764" t="s">
        <v>213</v>
      </c>
      <c r="E764" t="s">
        <v>325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 t="n">
        <v>12</v>
      </c>
      <c r="AE764"/>
      <c r="AF764"/>
      <c r="AG764"/>
      <c r="AH764"/>
      <c r="AI764"/>
      <c r="AJ764"/>
      <c r="AK764"/>
      <c r="AL764"/>
    </row>
    <row r="765">
      <c r="A765" t="s">
        <v>226</v>
      </c>
      <c r="B765" t="s">
        <v>230</v>
      </c>
      <c r="C765" t="s">
        <v>231</v>
      </c>
      <c r="D765" t="s">
        <v>213</v>
      </c>
      <c r="E765" t="s">
        <v>326</v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 t="n">
        <v>0.616479116871227</v>
      </c>
      <c r="AE765"/>
      <c r="AF765"/>
      <c r="AG765"/>
      <c r="AH765"/>
      <c r="AI765"/>
      <c r="AJ765"/>
      <c r="AK765"/>
      <c r="AL765"/>
    </row>
    <row r="766">
      <c r="A766" t="s">
        <v>226</v>
      </c>
      <c r="B766" t="s">
        <v>230</v>
      </c>
      <c r="C766" t="s">
        <v>231</v>
      </c>
      <c r="D766" t="s">
        <v>213</v>
      </c>
      <c r="E766" t="s">
        <v>329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</row>
    <row r="767">
      <c r="A767" t="s">
        <v>226</v>
      </c>
      <c r="B767" t="s">
        <v>230</v>
      </c>
      <c r="C767" t="s">
        <v>231</v>
      </c>
      <c r="D767" t="s">
        <v>213</v>
      </c>
      <c r="E767" t="s">
        <v>330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 t="n">
        <v>287505</v>
      </c>
      <c r="AE767" t="n">
        <v>262090</v>
      </c>
      <c r="AF767" t="n">
        <v>236675</v>
      </c>
      <c r="AG767"/>
      <c r="AH767"/>
      <c r="AI767"/>
      <c r="AJ767"/>
      <c r="AK767"/>
      <c r="AL767"/>
    </row>
    <row r="768">
      <c r="A768" t="s">
        <v>226</v>
      </c>
      <c r="B768" t="s">
        <v>230</v>
      </c>
      <c r="C768" t="s">
        <v>231</v>
      </c>
      <c r="D768" t="s">
        <v>213</v>
      </c>
      <c r="E768" t="s">
        <v>331</v>
      </c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</row>
    <row r="769">
      <c r="A769" t="s">
        <v>226</v>
      </c>
      <c r="B769" t="s">
        <v>230</v>
      </c>
      <c r="C769" t="s">
        <v>231</v>
      </c>
      <c r="D769" t="s">
        <v>213</v>
      </c>
      <c r="E769" t="s">
        <v>332</v>
      </c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 t="n">
        <v>25415</v>
      </c>
      <c r="AE769" t="n">
        <v>25415</v>
      </c>
      <c r="AF769" t="n">
        <v>25415</v>
      </c>
      <c r="AG769"/>
      <c r="AH769"/>
      <c r="AI769"/>
      <c r="AJ769"/>
      <c r="AK769"/>
      <c r="AL769"/>
    </row>
    <row r="770">
      <c r="A770" t="s">
        <v>226</v>
      </c>
      <c r="B770" t="s">
        <v>230</v>
      </c>
      <c r="C770" t="s">
        <v>231</v>
      </c>
      <c r="D770" t="s">
        <v>213</v>
      </c>
      <c r="E770" t="s">
        <v>333</v>
      </c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 t="n">
        <v>262090</v>
      </c>
      <c r="AE770" t="n">
        <v>236675</v>
      </c>
      <c r="AF770" t="n">
        <v>211260</v>
      </c>
      <c r="AG770"/>
      <c r="AH770"/>
      <c r="AI770"/>
      <c r="AJ770"/>
      <c r="AK770"/>
      <c r="AL770"/>
    </row>
    <row r="771">
      <c r="A771" t="s">
        <v>226</v>
      </c>
      <c r="B771" t="s">
        <v>230</v>
      </c>
      <c r="C771" t="s">
        <v>231</v>
      </c>
      <c r="D771" t="s">
        <v>213</v>
      </c>
      <c r="E771" t="s">
        <v>334</v>
      </c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 t="n">
        <v>9</v>
      </c>
      <c r="AE771" t="n">
        <v>9</v>
      </c>
      <c r="AF771" t="n">
        <v>9</v>
      </c>
      <c r="AG771"/>
      <c r="AH771"/>
      <c r="AI771"/>
      <c r="AJ771"/>
      <c r="AK771"/>
      <c r="AL771"/>
    </row>
    <row r="772">
      <c r="A772" t="s">
        <v>226</v>
      </c>
      <c r="B772" t="s">
        <v>230</v>
      </c>
      <c r="C772" t="s">
        <v>231</v>
      </c>
      <c r="D772" t="s">
        <v>213</v>
      </c>
      <c r="E772" t="s">
        <v>336</v>
      </c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 t="n">
        <v>14</v>
      </c>
      <c r="AE772" t="n">
        <v>14</v>
      </c>
      <c r="AF772" t="n">
        <v>14</v>
      </c>
      <c r="AG772"/>
      <c r="AH772"/>
      <c r="AI772"/>
      <c r="AJ772"/>
      <c r="AK772"/>
      <c r="AL772"/>
    </row>
    <row r="773">
      <c r="A773" t="s">
        <v>226</v>
      </c>
      <c r="B773" t="s">
        <v>230</v>
      </c>
      <c r="C773" t="s">
        <v>231</v>
      </c>
      <c r="D773" t="s">
        <v>213</v>
      </c>
      <c r="E773" t="s">
        <v>338</v>
      </c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 t="n">
        <v>13</v>
      </c>
      <c r="AE773" t="n">
        <v>13</v>
      </c>
      <c r="AF773" t="n">
        <v>13</v>
      </c>
      <c r="AG773"/>
      <c r="AH773"/>
      <c r="AI773"/>
      <c r="AJ773"/>
      <c r="AK773"/>
      <c r="AL773"/>
    </row>
    <row r="774">
      <c r="A774" t="s">
        <v>226</v>
      </c>
      <c r="B774" t="s">
        <v>230</v>
      </c>
      <c r="C774" t="s">
        <v>231</v>
      </c>
      <c r="D774" t="s">
        <v>213</v>
      </c>
      <c r="E774" t="s">
        <v>339</v>
      </c>
      <c r="F774"/>
      <c r="G774"/>
      <c r="H774"/>
      <c r="I774" t="s">
        <v>360</v>
      </c>
      <c r="J774" t="s">
        <v>360</v>
      </c>
      <c r="K774" t="s">
        <v>360</v>
      </c>
      <c r="L774" t="s">
        <v>360</v>
      </c>
      <c r="M774" t="s">
        <v>360</v>
      </c>
      <c r="N774" t="s">
        <v>360</v>
      </c>
      <c r="O774" t="s">
        <v>360</v>
      </c>
      <c r="P774" t="s">
        <v>360</v>
      </c>
      <c r="Q774" t="s">
        <v>360</v>
      </c>
      <c r="R774" t="s">
        <v>360</v>
      </c>
      <c r="S774" t="s">
        <v>360</v>
      </c>
      <c r="T774" t="s">
        <v>360</v>
      </c>
      <c r="U774" t="s">
        <v>360</v>
      </c>
      <c r="V774" t="s">
        <v>360</v>
      </c>
      <c r="W774" t="s">
        <v>360</v>
      </c>
      <c r="X774" t="s">
        <v>360</v>
      </c>
      <c r="Y774" t="s">
        <v>360</v>
      </c>
      <c r="Z774" t="s">
        <v>360</v>
      </c>
      <c r="AA774" t="s">
        <v>360</v>
      </c>
      <c r="AB774" t="s">
        <v>360</v>
      </c>
      <c r="AC774" t="s">
        <v>360</v>
      </c>
      <c r="AD774" t="n">
        <v>10.3124139287822</v>
      </c>
      <c r="AE774" t="n">
        <v>9.31241392878221</v>
      </c>
      <c r="AF774" t="n">
        <v>8.31241392878221</v>
      </c>
      <c r="AG774"/>
      <c r="AH774"/>
      <c r="AI774"/>
      <c r="AJ774"/>
      <c r="AK774"/>
      <c r="AL774"/>
    </row>
    <row r="775">
      <c r="A775" t="s">
        <v>226</v>
      </c>
      <c r="B775" t="s">
        <v>230</v>
      </c>
      <c r="C775" t="s">
        <v>231</v>
      </c>
      <c r="D775" t="s">
        <v>213</v>
      </c>
      <c r="E775" t="s">
        <v>358</v>
      </c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</row>
    <row r="776">
      <c r="A776" t="s">
        <v>250</v>
      </c>
      <c r="B776" t="s">
        <v>232</v>
      </c>
      <c r="C776"/>
      <c r="D776" t="s">
        <v>213</v>
      </c>
      <c r="E776" t="s">
        <v>297</v>
      </c>
      <c r="F776"/>
      <c r="G776"/>
      <c r="H776"/>
      <c r="I776" t="s">
        <v>1681</v>
      </c>
      <c r="J776" t="s">
        <v>1682</v>
      </c>
      <c r="K776" t="s">
        <v>1683</v>
      </c>
      <c r="L776" t="s">
        <v>1684</v>
      </c>
      <c r="M776" t="s">
        <v>1685</v>
      </c>
      <c r="N776" t="s">
        <v>1686</v>
      </c>
      <c r="O776" t="s">
        <v>1687</v>
      </c>
      <c r="P776" t="s">
        <v>1688</v>
      </c>
      <c r="Q776" t="s">
        <v>1689</v>
      </c>
      <c r="R776" t="s">
        <v>1690</v>
      </c>
      <c r="S776" t="s">
        <v>1691</v>
      </c>
      <c r="T776" t="s">
        <v>1692</v>
      </c>
      <c r="U776" t="s">
        <v>1693</v>
      </c>
      <c r="V776" t="s">
        <v>1694</v>
      </c>
      <c r="W776" t="s">
        <v>1695</v>
      </c>
      <c r="X776" t="s">
        <v>1696</v>
      </c>
      <c r="Y776" t="s">
        <v>1697</v>
      </c>
      <c r="Z776" t="s">
        <v>1698</v>
      </c>
      <c r="AA776"/>
      <c r="AB776"/>
      <c r="AC776"/>
      <c r="AD776" t="n">
        <v>0</v>
      </c>
      <c r="AE776" t="n">
        <v>0</v>
      </c>
      <c r="AF776" t="n">
        <v>0</v>
      </c>
      <c r="AG776"/>
      <c r="AH776"/>
      <c r="AI776"/>
      <c r="AJ776"/>
      <c r="AK776"/>
      <c r="AL776"/>
    </row>
    <row r="777">
      <c r="A777" t="s">
        <v>250</v>
      </c>
      <c r="B777" t="s">
        <v>232</v>
      </c>
      <c r="C777"/>
      <c r="D777" t="s">
        <v>213</v>
      </c>
      <c r="E777" t="s">
        <v>316</v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</row>
    <row r="778">
      <c r="A778" t="s">
        <v>250</v>
      </c>
      <c r="B778" t="s">
        <v>232</v>
      </c>
      <c r="C778"/>
      <c r="D778" t="s">
        <v>213</v>
      </c>
      <c r="E778" t="s">
        <v>317</v>
      </c>
      <c r="F778"/>
      <c r="G778"/>
      <c r="H778"/>
      <c r="I778" t="s">
        <v>1699</v>
      </c>
      <c r="J778" t="s">
        <v>608</v>
      </c>
      <c r="K778" t="s">
        <v>1700</v>
      </c>
      <c r="L778" t="s">
        <v>1701</v>
      </c>
      <c r="M778" t="s">
        <v>1701</v>
      </c>
      <c r="N778" t="s">
        <v>1702</v>
      </c>
      <c r="O778" t="s">
        <v>1703</v>
      </c>
      <c r="P778" t="s">
        <v>1704</v>
      </c>
      <c r="Q778" t="s">
        <v>1700</v>
      </c>
      <c r="R778" t="s">
        <v>1700</v>
      </c>
      <c r="S778" t="s">
        <v>1705</v>
      </c>
      <c r="T778" t="s">
        <v>1704</v>
      </c>
      <c r="U778" t="s">
        <v>1705</v>
      </c>
      <c r="V778" t="s">
        <v>1705</v>
      </c>
      <c r="W778" t="s">
        <v>1705</v>
      </c>
      <c r="X778" t="s">
        <v>1705</v>
      </c>
      <c r="Y778" t="s">
        <v>1705</v>
      </c>
      <c r="Z778" t="s">
        <v>1705</v>
      </c>
      <c r="AA778"/>
      <c r="AB778"/>
      <c r="AC778"/>
      <c r="AD778" t="n">
        <v>66627</v>
      </c>
      <c r="AE778" t="n">
        <v>66627</v>
      </c>
      <c r="AF778" t="n">
        <v>66627</v>
      </c>
      <c r="AG778"/>
      <c r="AH778"/>
      <c r="AI778"/>
      <c r="AJ778"/>
      <c r="AK778"/>
      <c r="AL778"/>
    </row>
    <row r="779">
      <c r="A779" t="s">
        <v>250</v>
      </c>
      <c r="B779" t="s">
        <v>232</v>
      </c>
      <c r="C779"/>
      <c r="D779" t="s">
        <v>213</v>
      </c>
      <c r="E779" t="s">
        <v>320</v>
      </c>
      <c r="F779"/>
      <c r="G779"/>
      <c r="H779"/>
      <c r="I779" t="s">
        <v>1682</v>
      </c>
      <c r="J779" t="s">
        <v>1683</v>
      </c>
      <c r="K779" t="s">
        <v>1684</v>
      </c>
      <c r="L779" t="s">
        <v>1685</v>
      </c>
      <c r="M779" t="s">
        <v>1686</v>
      </c>
      <c r="N779" t="s">
        <v>1687</v>
      </c>
      <c r="O779" t="s">
        <v>1688</v>
      </c>
      <c r="P779" t="s">
        <v>1689</v>
      </c>
      <c r="Q779" t="s">
        <v>1690</v>
      </c>
      <c r="R779" t="s">
        <v>1691</v>
      </c>
      <c r="S779" t="s">
        <v>1692</v>
      </c>
      <c r="T779" t="s">
        <v>1693</v>
      </c>
      <c r="U779" t="s">
        <v>1694</v>
      </c>
      <c r="V779" t="s">
        <v>1695</v>
      </c>
      <c r="W779" t="s">
        <v>1696</v>
      </c>
      <c r="X779" t="s">
        <v>1697</v>
      </c>
      <c r="Y779" t="s">
        <v>1698</v>
      </c>
      <c r="Z779" t="s">
        <v>1706</v>
      </c>
      <c r="AA779"/>
      <c r="AB779"/>
      <c r="AC779"/>
      <c r="AD779" t="n">
        <v>0</v>
      </c>
      <c r="AE779" t="n">
        <v>0</v>
      </c>
      <c r="AF779" t="n">
        <v>0</v>
      </c>
      <c r="AG779"/>
      <c r="AH779"/>
      <c r="AI779"/>
      <c r="AJ779"/>
      <c r="AK779"/>
      <c r="AL779"/>
    </row>
    <row r="780">
      <c r="A780" t="s">
        <v>250</v>
      </c>
      <c r="B780" t="s">
        <v>232</v>
      </c>
      <c r="C780"/>
      <c r="D780" t="s">
        <v>213</v>
      </c>
      <c r="E780" t="s">
        <v>323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 t="n">
        <v>6</v>
      </c>
      <c r="AE780" t="n">
        <v>6</v>
      </c>
      <c r="AF780" t="n">
        <v>6</v>
      </c>
      <c r="AG780"/>
      <c r="AH780"/>
      <c r="AI780"/>
      <c r="AJ780"/>
      <c r="AK780"/>
      <c r="AL780"/>
    </row>
    <row r="781">
      <c r="A781" t="s">
        <v>250</v>
      </c>
      <c r="B781" t="s">
        <v>232</v>
      </c>
      <c r="C781"/>
      <c r="D781" t="s">
        <v>213</v>
      </c>
      <c r="E781" t="s">
        <v>324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 t="n">
        <v>12</v>
      </c>
      <c r="AE781" t="n">
        <v>12</v>
      </c>
      <c r="AF781" t="n">
        <v>12</v>
      </c>
      <c r="AG781"/>
      <c r="AH781"/>
      <c r="AI781"/>
      <c r="AJ781"/>
      <c r="AK781"/>
      <c r="AL781"/>
    </row>
    <row r="782">
      <c r="A782" t="s">
        <v>250</v>
      </c>
      <c r="B782" t="s">
        <v>232</v>
      </c>
      <c r="C782"/>
      <c r="D782" t="s">
        <v>213</v>
      </c>
      <c r="E782" t="s">
        <v>325</v>
      </c>
      <c r="F782"/>
      <c r="G782"/>
      <c r="H782"/>
      <c r="I782" t="s">
        <v>254</v>
      </c>
      <c r="J782" t="s">
        <v>254</v>
      </c>
      <c r="K782"/>
      <c r="L782" t="s">
        <v>254</v>
      </c>
      <c r="M782"/>
      <c r="N782"/>
      <c r="O782" t="s">
        <v>269</v>
      </c>
      <c r="P782"/>
      <c r="Q782"/>
      <c r="R782"/>
      <c r="S782"/>
      <c r="T782"/>
      <c r="U782"/>
      <c r="V782"/>
      <c r="W782"/>
      <c r="X782" t="s">
        <v>269</v>
      </c>
      <c r="Y782"/>
      <c r="Z782"/>
      <c r="AA782"/>
      <c r="AB782"/>
      <c r="AC782"/>
      <c r="AD782" t="n">
        <v>12</v>
      </c>
      <c r="AE782" t="n">
        <v>12</v>
      </c>
      <c r="AF782" t="n">
        <v>12</v>
      </c>
      <c r="AG782"/>
      <c r="AH782"/>
      <c r="AI782"/>
      <c r="AJ782"/>
      <c r="AK782"/>
      <c r="AL782"/>
    </row>
    <row r="783">
      <c r="A783" t="s">
        <v>250</v>
      </c>
      <c r="B783" t="s">
        <v>232</v>
      </c>
      <c r="C783"/>
      <c r="D783" t="s">
        <v>213</v>
      </c>
      <c r="E783" t="s">
        <v>326</v>
      </c>
      <c r="F783"/>
      <c r="G783"/>
      <c r="H783"/>
      <c r="I783" t="s">
        <v>1707</v>
      </c>
      <c r="J783" t="s">
        <v>1708</v>
      </c>
      <c r="K783"/>
      <c r="L783" t="s">
        <v>1709</v>
      </c>
      <c r="M783"/>
      <c r="N783"/>
      <c r="O783" t="s">
        <v>1710</v>
      </c>
      <c r="P783"/>
      <c r="Q783"/>
      <c r="R783"/>
      <c r="S783"/>
      <c r="T783"/>
      <c r="U783"/>
      <c r="V783"/>
      <c r="W783"/>
      <c r="X783" t="s">
        <v>1711</v>
      </c>
      <c r="Y783"/>
      <c r="Z783"/>
      <c r="AA783"/>
      <c r="AB783"/>
      <c r="AC783"/>
      <c r="AD783" t="n">
        <v>0</v>
      </c>
      <c r="AE783" t="n">
        <v>0</v>
      </c>
      <c r="AF783" t="n">
        <v>0</v>
      </c>
      <c r="AG783"/>
      <c r="AH783"/>
      <c r="AI783"/>
      <c r="AJ783"/>
      <c r="AK783"/>
      <c r="AL783"/>
    </row>
    <row r="784">
      <c r="A784" t="s">
        <v>250</v>
      </c>
      <c r="B784" t="s">
        <v>232</v>
      </c>
      <c r="C784"/>
      <c r="D784" t="s">
        <v>213</v>
      </c>
      <c r="E784" t="s">
        <v>329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</row>
    <row r="785">
      <c r="A785" t="s">
        <v>250</v>
      </c>
      <c r="B785" t="s">
        <v>232</v>
      </c>
      <c r="C785"/>
      <c r="D785" t="s">
        <v>213</v>
      </c>
      <c r="E785" t="s">
        <v>330</v>
      </c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 t="n">
        <v>82210</v>
      </c>
      <c r="AE785" t="n">
        <v>74214</v>
      </c>
      <c r="AF785" t="n">
        <v>66218</v>
      </c>
      <c r="AG785"/>
      <c r="AH785"/>
      <c r="AI785"/>
      <c r="AJ785"/>
      <c r="AK785"/>
      <c r="AL785"/>
    </row>
    <row r="786">
      <c r="A786" t="s">
        <v>250</v>
      </c>
      <c r="B786" t="s">
        <v>232</v>
      </c>
      <c r="C786"/>
      <c r="D786" t="s">
        <v>213</v>
      </c>
      <c r="E786" t="s">
        <v>331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</row>
    <row r="787">
      <c r="A787" t="s">
        <v>250</v>
      </c>
      <c r="B787" t="s">
        <v>232</v>
      </c>
      <c r="C787"/>
      <c r="D787" t="s">
        <v>213</v>
      </c>
      <c r="E787" t="s">
        <v>332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7996</v>
      </c>
      <c r="AE787" t="n">
        <v>7996</v>
      </c>
      <c r="AF787" t="n">
        <v>7996</v>
      </c>
      <c r="AG787"/>
      <c r="AH787"/>
      <c r="AI787"/>
      <c r="AJ787"/>
      <c r="AK787"/>
      <c r="AL787"/>
    </row>
    <row r="788">
      <c r="A788" t="s">
        <v>250</v>
      </c>
      <c r="B788" t="s">
        <v>232</v>
      </c>
      <c r="C788"/>
      <c r="D788" t="s">
        <v>213</v>
      </c>
      <c r="E788" t="s">
        <v>333</v>
      </c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 t="n">
        <v>74214</v>
      </c>
      <c r="AE788" t="n">
        <v>66218</v>
      </c>
      <c r="AF788" t="n">
        <v>58222</v>
      </c>
      <c r="AG788"/>
      <c r="AH788"/>
      <c r="AI788"/>
      <c r="AJ788"/>
      <c r="AK788"/>
      <c r="AL788"/>
    </row>
    <row r="789">
      <c r="A789" t="s">
        <v>250</v>
      </c>
      <c r="B789" t="s">
        <v>232</v>
      </c>
      <c r="C789"/>
      <c r="D789" t="s">
        <v>213</v>
      </c>
      <c r="E789" t="s">
        <v>334</v>
      </c>
      <c r="F789"/>
      <c r="G789"/>
      <c r="H789"/>
      <c r="I789" t="s">
        <v>961</v>
      </c>
      <c r="J789" t="s">
        <v>961</v>
      </c>
      <c r="K789" t="s">
        <v>961</v>
      </c>
      <c r="L789" t="s">
        <v>961</v>
      </c>
      <c r="M789" t="s">
        <v>961</v>
      </c>
      <c r="N789" t="s">
        <v>961</v>
      </c>
      <c r="O789" t="s">
        <v>961</v>
      </c>
      <c r="P789" t="s">
        <v>961</v>
      </c>
      <c r="Q789" t="s">
        <v>961</v>
      </c>
      <c r="R789" t="s">
        <v>961</v>
      </c>
      <c r="S789" t="s">
        <v>961</v>
      </c>
      <c r="T789" t="s">
        <v>961</v>
      </c>
      <c r="U789" t="s">
        <v>961</v>
      </c>
      <c r="V789" t="s">
        <v>961</v>
      </c>
      <c r="W789" t="s">
        <v>961</v>
      </c>
      <c r="X789" t="s">
        <v>961</v>
      </c>
      <c r="Y789" t="s">
        <v>961</v>
      </c>
      <c r="Z789" t="s">
        <v>961</v>
      </c>
      <c r="AA789"/>
      <c r="AB789"/>
      <c r="AC789"/>
      <c r="AD789" t="n">
        <v>9</v>
      </c>
      <c r="AE789" t="n">
        <v>9</v>
      </c>
      <c r="AF789" t="n">
        <v>9</v>
      </c>
      <c r="AG789"/>
      <c r="AH789"/>
      <c r="AI789"/>
      <c r="AJ789"/>
      <c r="AK789"/>
      <c r="AL789"/>
    </row>
    <row r="790">
      <c r="A790" t="s">
        <v>250</v>
      </c>
      <c r="B790" t="s">
        <v>232</v>
      </c>
      <c r="C790"/>
      <c r="D790" t="s">
        <v>213</v>
      </c>
      <c r="E790" t="s">
        <v>336</v>
      </c>
      <c r="F790"/>
      <c r="G790"/>
      <c r="H790"/>
      <c r="I790" t="s">
        <v>417</v>
      </c>
      <c r="J790" t="s">
        <v>417</v>
      </c>
      <c r="K790" t="s">
        <v>417</v>
      </c>
      <c r="L790" t="s">
        <v>417</v>
      </c>
      <c r="M790" t="s">
        <v>417</v>
      </c>
      <c r="N790" t="s">
        <v>417</v>
      </c>
      <c r="O790" t="s">
        <v>417</v>
      </c>
      <c r="P790" t="s">
        <v>417</v>
      </c>
      <c r="Q790" t="s">
        <v>417</v>
      </c>
      <c r="R790" t="s">
        <v>417</v>
      </c>
      <c r="S790" t="s">
        <v>417</v>
      </c>
      <c r="T790" t="s">
        <v>417</v>
      </c>
      <c r="U790" t="s">
        <v>417</v>
      </c>
      <c r="V790" t="s">
        <v>417</v>
      </c>
      <c r="W790" t="s">
        <v>417</v>
      </c>
      <c r="X790" t="s">
        <v>417</v>
      </c>
      <c r="Y790" t="s">
        <v>417</v>
      </c>
      <c r="Z790" t="s">
        <v>417</v>
      </c>
      <c r="AA790"/>
      <c r="AB790"/>
      <c r="AC790"/>
      <c r="AD790" t="n">
        <v>14</v>
      </c>
      <c r="AE790" t="n">
        <v>14</v>
      </c>
      <c r="AF790" t="n">
        <v>14</v>
      </c>
      <c r="AG790"/>
      <c r="AH790"/>
      <c r="AI790"/>
      <c r="AJ790"/>
      <c r="AK790"/>
      <c r="AL790"/>
    </row>
    <row r="791">
      <c r="A791" t="s">
        <v>250</v>
      </c>
      <c r="B791" t="s">
        <v>232</v>
      </c>
      <c r="C791"/>
      <c r="D791" t="s">
        <v>213</v>
      </c>
      <c r="E791" t="s">
        <v>338</v>
      </c>
      <c r="F791"/>
      <c r="G791"/>
      <c r="H791"/>
      <c r="I791" t="s">
        <v>417</v>
      </c>
      <c r="J791" t="s">
        <v>417</v>
      </c>
      <c r="K791" t="s">
        <v>417</v>
      </c>
      <c r="L791" t="s">
        <v>417</v>
      </c>
      <c r="M791" t="s">
        <v>417</v>
      </c>
      <c r="N791" t="s">
        <v>417</v>
      </c>
      <c r="O791" t="s">
        <v>417</v>
      </c>
      <c r="P791" t="s">
        <v>417</v>
      </c>
      <c r="Q791" t="s">
        <v>417</v>
      </c>
      <c r="R791" t="s">
        <v>417</v>
      </c>
      <c r="S791" t="s">
        <v>417</v>
      </c>
      <c r="T791" t="s">
        <v>417</v>
      </c>
      <c r="U791" t="s">
        <v>417</v>
      </c>
      <c r="V791" t="s">
        <v>417</v>
      </c>
      <c r="W791" t="s">
        <v>417</v>
      </c>
      <c r="X791" t="s">
        <v>417</v>
      </c>
      <c r="Y791" t="s">
        <v>417</v>
      </c>
      <c r="Z791" t="s">
        <v>417</v>
      </c>
      <c r="AA791"/>
      <c r="AB791"/>
      <c r="AC791"/>
      <c r="AD791" t="n">
        <v>13</v>
      </c>
      <c r="AE791" t="n">
        <v>13</v>
      </c>
      <c r="AF791" t="n">
        <v>13</v>
      </c>
      <c r="AG791"/>
      <c r="AH791"/>
      <c r="AI791"/>
      <c r="AJ791"/>
      <c r="AK791"/>
      <c r="AL791"/>
    </row>
    <row r="792">
      <c r="A792" t="s">
        <v>250</v>
      </c>
      <c r="B792" t="s">
        <v>232</v>
      </c>
      <c r="C792"/>
      <c r="D792" t="s">
        <v>213</v>
      </c>
      <c r="E792" t="s">
        <v>339</v>
      </c>
      <c r="F792"/>
      <c r="G792"/>
      <c r="H792"/>
      <c r="I792" t="s">
        <v>1712</v>
      </c>
      <c r="J792" t="s">
        <v>1713</v>
      </c>
      <c r="K792" t="s">
        <v>1714</v>
      </c>
      <c r="L792" t="s">
        <v>1715</v>
      </c>
      <c r="M792" t="s">
        <v>1716</v>
      </c>
      <c r="N792" t="s">
        <v>1717</v>
      </c>
      <c r="O792" t="s">
        <v>1718</v>
      </c>
      <c r="P792" t="s">
        <v>1719</v>
      </c>
      <c r="Q792" t="s">
        <v>1720</v>
      </c>
      <c r="R792" t="s">
        <v>1721</v>
      </c>
      <c r="S792" t="s">
        <v>1722</v>
      </c>
      <c r="T792" t="s">
        <v>1723</v>
      </c>
      <c r="U792" t="s">
        <v>1724</v>
      </c>
      <c r="V792" t="s">
        <v>1725</v>
      </c>
      <c r="W792" t="s">
        <v>1726</v>
      </c>
      <c r="X792" t="s">
        <v>1727</v>
      </c>
      <c r="Y792" t="s">
        <v>1728</v>
      </c>
      <c r="Z792" t="s">
        <v>1729</v>
      </c>
      <c r="AA792"/>
      <c r="AB792"/>
      <c r="AC792"/>
      <c r="AD792" t="n">
        <v>9.28139069534767</v>
      </c>
      <c r="AE792" t="n">
        <v>8.28139069534767</v>
      </c>
      <c r="AF792" t="n">
        <v>7.28139069534767</v>
      </c>
      <c r="AG792"/>
      <c r="AH792"/>
      <c r="AI792"/>
      <c r="AJ792"/>
      <c r="AK792"/>
      <c r="AL792"/>
    </row>
    <row r="793">
      <c r="A793" t="s">
        <v>250</v>
      </c>
      <c r="B793" t="s">
        <v>232</v>
      </c>
      <c r="C793"/>
      <c r="D793" t="s">
        <v>213</v>
      </c>
      <c r="E793" t="s">
        <v>358</v>
      </c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</row>
    <row r="794">
      <c r="A794" t="s">
        <v>229</v>
      </c>
      <c r="B794" t="s">
        <v>232</v>
      </c>
      <c r="C794"/>
      <c r="D794" t="s">
        <v>213</v>
      </c>
      <c r="E794" t="s">
        <v>297</v>
      </c>
      <c r="F794"/>
      <c r="G794"/>
      <c r="H794"/>
      <c r="I794" t="s">
        <v>1730</v>
      </c>
      <c r="J794" t="s">
        <v>1731</v>
      </c>
      <c r="K794" t="s">
        <v>1732</v>
      </c>
      <c r="L794" t="s">
        <v>1733</v>
      </c>
      <c r="M794" t="s">
        <v>1734</v>
      </c>
      <c r="N794" t="s">
        <v>1735</v>
      </c>
      <c r="O794" t="s">
        <v>1736</v>
      </c>
      <c r="P794" t="s">
        <v>1737</v>
      </c>
      <c r="Q794" t="s">
        <v>1738</v>
      </c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</row>
    <row r="795">
      <c r="A795" t="s">
        <v>229</v>
      </c>
      <c r="B795" t="s">
        <v>232</v>
      </c>
      <c r="C795"/>
      <c r="D795" t="s">
        <v>213</v>
      </c>
      <c r="E795" t="s">
        <v>316</v>
      </c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</row>
    <row r="796">
      <c r="A796" t="s">
        <v>229</v>
      </c>
      <c r="B796" t="s">
        <v>232</v>
      </c>
      <c r="C796"/>
      <c r="D796" t="s">
        <v>213</v>
      </c>
      <c r="E796" t="s">
        <v>317</v>
      </c>
      <c r="F796"/>
      <c r="G796"/>
      <c r="H796"/>
      <c r="I796" t="s">
        <v>1739</v>
      </c>
      <c r="J796" t="s">
        <v>1739</v>
      </c>
      <c r="K796" t="s">
        <v>1739</v>
      </c>
      <c r="L796" t="s">
        <v>1739</v>
      </c>
      <c r="M796" t="s">
        <v>1739</v>
      </c>
      <c r="N796" t="s">
        <v>1739</v>
      </c>
      <c r="O796" t="s">
        <v>1739</v>
      </c>
      <c r="P796" t="s">
        <v>1739</v>
      </c>
      <c r="Q796" t="s">
        <v>1739</v>
      </c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</row>
    <row r="797">
      <c r="A797" t="s">
        <v>229</v>
      </c>
      <c r="B797" t="s">
        <v>232</v>
      </c>
      <c r="C797"/>
      <c r="D797" t="s">
        <v>213</v>
      </c>
      <c r="E797" t="s">
        <v>320</v>
      </c>
      <c r="F797"/>
      <c r="G797"/>
      <c r="H797"/>
      <c r="I797" t="s">
        <v>1731</v>
      </c>
      <c r="J797" t="s">
        <v>1732</v>
      </c>
      <c r="K797" t="s">
        <v>1733</v>
      </c>
      <c r="L797" t="s">
        <v>1734</v>
      </c>
      <c r="M797" t="s">
        <v>1735</v>
      </c>
      <c r="N797" t="s">
        <v>1736</v>
      </c>
      <c r="O797" t="s">
        <v>1737</v>
      </c>
      <c r="P797" t="s">
        <v>1738</v>
      </c>
      <c r="Q797" t="s">
        <v>1740</v>
      </c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</row>
    <row r="798">
      <c r="A798" t="s">
        <v>229</v>
      </c>
      <c r="B798" t="s">
        <v>232</v>
      </c>
      <c r="C798"/>
      <c r="D798" t="s">
        <v>213</v>
      </c>
      <c r="E798" t="s">
        <v>323</v>
      </c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</row>
    <row r="799">
      <c r="A799" t="s">
        <v>229</v>
      </c>
      <c r="B799" t="s">
        <v>232</v>
      </c>
      <c r="C799"/>
      <c r="D799" t="s">
        <v>213</v>
      </c>
      <c r="E799" t="s">
        <v>324</v>
      </c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</row>
    <row r="800">
      <c r="A800" t="s">
        <v>229</v>
      </c>
      <c r="B800" t="s">
        <v>232</v>
      </c>
      <c r="C800"/>
      <c r="D800" t="s">
        <v>213</v>
      </c>
      <c r="E800" t="s">
        <v>325</v>
      </c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</row>
    <row r="801">
      <c r="A801" t="s">
        <v>229</v>
      </c>
      <c r="B801" t="s">
        <v>232</v>
      </c>
      <c r="C801"/>
      <c r="D801" t="s">
        <v>213</v>
      </c>
      <c r="E801" t="s">
        <v>326</v>
      </c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</row>
    <row r="802">
      <c r="A802" t="s">
        <v>229</v>
      </c>
      <c r="B802" t="s">
        <v>232</v>
      </c>
      <c r="C802"/>
      <c r="D802" t="s">
        <v>213</v>
      </c>
      <c r="E802" t="s">
        <v>329</v>
      </c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</row>
    <row r="803">
      <c r="A803" t="s">
        <v>229</v>
      </c>
      <c r="B803" t="s">
        <v>232</v>
      </c>
      <c r="C803"/>
      <c r="D803" t="s">
        <v>213</v>
      </c>
      <c r="E803" t="s">
        <v>330</v>
      </c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 t="n">
        <v>191961</v>
      </c>
      <c r="AE803" t="n">
        <v>123984</v>
      </c>
      <c r="AF803" t="n">
        <v>56007</v>
      </c>
      <c r="AG803"/>
      <c r="AH803"/>
      <c r="AI803"/>
      <c r="AJ803"/>
      <c r="AK803"/>
      <c r="AL803"/>
    </row>
    <row r="804">
      <c r="A804" t="s">
        <v>229</v>
      </c>
      <c r="B804" t="s">
        <v>232</v>
      </c>
      <c r="C804"/>
      <c r="D804" t="s">
        <v>213</v>
      </c>
      <c r="E804" t="s">
        <v>331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</row>
    <row r="805">
      <c r="A805" t="s">
        <v>229</v>
      </c>
      <c r="B805" t="s">
        <v>232</v>
      </c>
      <c r="C805"/>
      <c r="D805" t="s">
        <v>213</v>
      </c>
      <c r="E805" t="s">
        <v>332</v>
      </c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 t="n">
        <v>67977</v>
      </c>
      <c r="AE805" t="n">
        <v>67977</v>
      </c>
      <c r="AF805" t="n">
        <v>67977</v>
      </c>
      <c r="AG805"/>
      <c r="AH805"/>
      <c r="AI805"/>
      <c r="AJ805"/>
      <c r="AK805"/>
      <c r="AL805"/>
    </row>
    <row r="806">
      <c r="A806" t="s">
        <v>229</v>
      </c>
      <c r="B806" t="s">
        <v>232</v>
      </c>
      <c r="C806"/>
      <c r="D806" t="s">
        <v>213</v>
      </c>
      <c r="E806" t="s">
        <v>333</v>
      </c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 t="n">
        <v>123984</v>
      </c>
      <c r="AE806" t="n">
        <v>56007</v>
      </c>
      <c r="AF806" t="n">
        <v>0</v>
      </c>
      <c r="AG806"/>
      <c r="AH806"/>
      <c r="AI806"/>
      <c r="AJ806"/>
      <c r="AK806"/>
      <c r="AL806"/>
    </row>
    <row r="807">
      <c r="A807" t="s">
        <v>229</v>
      </c>
      <c r="B807" t="s">
        <v>232</v>
      </c>
      <c r="C807"/>
      <c r="D807" t="s">
        <v>213</v>
      </c>
      <c r="E807" t="s">
        <v>334</v>
      </c>
      <c r="F807"/>
      <c r="G807"/>
      <c r="H807"/>
      <c r="I807" t="s">
        <v>416</v>
      </c>
      <c r="J807" t="s">
        <v>416</v>
      </c>
      <c r="K807" t="s">
        <v>416</v>
      </c>
      <c r="L807" t="s">
        <v>416</v>
      </c>
      <c r="M807" t="s">
        <v>416</v>
      </c>
      <c r="N807" t="s">
        <v>416</v>
      </c>
      <c r="O807" t="s">
        <v>416</v>
      </c>
      <c r="P807" t="s">
        <v>416</v>
      </c>
      <c r="Q807" t="s">
        <v>416</v>
      </c>
      <c r="R807"/>
      <c r="S807"/>
      <c r="T807"/>
      <c r="U807"/>
      <c r="V807"/>
      <c r="W807"/>
      <c r="X807"/>
      <c r="Y807"/>
      <c r="Z807"/>
      <c r="AA807"/>
      <c r="AB807"/>
      <c r="AC807"/>
      <c r="AD807" t="n">
        <v>6</v>
      </c>
      <c r="AE807" t="n">
        <v>6</v>
      </c>
      <c r="AF807" t="n">
        <v>6</v>
      </c>
      <c r="AG807"/>
      <c r="AH807"/>
      <c r="AI807"/>
      <c r="AJ807"/>
      <c r="AK807"/>
      <c r="AL807"/>
    </row>
    <row r="808">
      <c r="A808" t="s">
        <v>229</v>
      </c>
      <c r="B808" t="s">
        <v>232</v>
      </c>
      <c r="C808"/>
      <c r="D808" t="s">
        <v>213</v>
      </c>
      <c r="E808" t="s">
        <v>336</v>
      </c>
      <c r="F808"/>
      <c r="G808"/>
      <c r="H808"/>
      <c r="I808" t="s">
        <v>417</v>
      </c>
      <c r="J808" t="s">
        <v>417</v>
      </c>
      <c r="K808" t="s">
        <v>417</v>
      </c>
      <c r="L808" t="s">
        <v>417</v>
      </c>
      <c r="M808" t="s">
        <v>417</v>
      </c>
      <c r="N808" t="s">
        <v>417</v>
      </c>
      <c r="O808" t="s">
        <v>417</v>
      </c>
      <c r="P808" t="s">
        <v>417</v>
      </c>
      <c r="Q808" t="s">
        <v>417</v>
      </c>
      <c r="R808"/>
      <c r="S808"/>
      <c r="T808"/>
      <c r="U808"/>
      <c r="V808"/>
      <c r="W808"/>
      <c r="X808"/>
      <c r="Y808"/>
      <c r="Z808"/>
      <c r="AA808"/>
      <c r="AB808"/>
      <c r="AC808"/>
      <c r="AD808" t="n">
        <v>12</v>
      </c>
      <c r="AE808" t="n">
        <v>12</v>
      </c>
      <c r="AF808" t="n">
        <v>12</v>
      </c>
      <c r="AG808"/>
      <c r="AH808"/>
      <c r="AI808"/>
      <c r="AJ808"/>
      <c r="AK808"/>
      <c r="AL808"/>
    </row>
    <row r="809">
      <c r="A809" t="s">
        <v>229</v>
      </c>
      <c r="B809" t="s">
        <v>232</v>
      </c>
      <c r="C809"/>
      <c r="D809" t="s">
        <v>213</v>
      </c>
      <c r="E809" t="s">
        <v>338</v>
      </c>
      <c r="F809"/>
      <c r="G809"/>
      <c r="H809"/>
      <c r="I809" t="s">
        <v>417</v>
      </c>
      <c r="J809" t="s">
        <v>417</v>
      </c>
      <c r="K809" t="s">
        <v>417</v>
      </c>
      <c r="L809" t="s">
        <v>417</v>
      </c>
      <c r="M809" t="s">
        <v>417</v>
      </c>
      <c r="N809" t="s">
        <v>417</v>
      </c>
      <c r="O809" t="s">
        <v>417</v>
      </c>
      <c r="P809" t="s">
        <v>417</v>
      </c>
      <c r="Q809" t="s">
        <v>417</v>
      </c>
      <c r="R809"/>
      <c r="S809"/>
      <c r="T809"/>
      <c r="U809"/>
      <c r="V809"/>
      <c r="W809"/>
      <c r="X809"/>
      <c r="Y809"/>
      <c r="Z809"/>
      <c r="AA809"/>
      <c r="AB809"/>
      <c r="AC809"/>
      <c r="AD809" t="n">
        <v>12</v>
      </c>
      <c r="AE809" t="n">
        <v>12</v>
      </c>
      <c r="AF809" t="n">
        <v>12</v>
      </c>
      <c r="AG809"/>
      <c r="AH809"/>
      <c r="AI809"/>
      <c r="AJ809"/>
      <c r="AK809"/>
      <c r="AL809"/>
    </row>
    <row r="810">
      <c r="A810" t="s">
        <v>229</v>
      </c>
      <c r="B810" t="s">
        <v>232</v>
      </c>
      <c r="C810"/>
      <c r="D810" t="s">
        <v>213</v>
      </c>
      <c r="E810" t="s">
        <v>339</v>
      </c>
      <c r="F810"/>
      <c r="G810"/>
      <c r="H810"/>
      <c r="I810" t="s">
        <v>1741</v>
      </c>
      <c r="J810" t="s">
        <v>1742</v>
      </c>
      <c r="K810" t="s">
        <v>1743</v>
      </c>
      <c r="L810" t="s">
        <v>1744</v>
      </c>
      <c r="M810" t="s">
        <v>1745</v>
      </c>
      <c r="N810" t="s">
        <v>1746</v>
      </c>
      <c r="O810" t="s">
        <v>1747</v>
      </c>
      <c r="P810" t="s">
        <v>1748</v>
      </c>
      <c r="Q810" t="s">
        <v>1749</v>
      </c>
      <c r="R810"/>
      <c r="S810"/>
      <c r="T810"/>
      <c r="U810"/>
      <c r="V810"/>
      <c r="W810"/>
      <c r="X810"/>
      <c r="Y810"/>
      <c r="Z810"/>
      <c r="AA810"/>
      <c r="AB810"/>
      <c r="AC810"/>
      <c r="AD810" t="n">
        <v>1.82391102873031</v>
      </c>
      <c r="AE810" t="n">
        <v>0.823911028730306</v>
      </c>
      <c r="AF810" t="n">
        <v>0</v>
      </c>
      <c r="AG810"/>
      <c r="AH810"/>
      <c r="AI810"/>
      <c r="AJ810"/>
      <c r="AK810"/>
      <c r="AL810"/>
    </row>
    <row r="811">
      <c r="A811" t="s">
        <v>229</v>
      </c>
      <c r="B811" t="s">
        <v>232</v>
      </c>
      <c r="C811"/>
      <c r="D811" t="s">
        <v>213</v>
      </c>
      <c r="E811" t="s">
        <v>358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</row>
    <row r="812">
      <c r="A812" t="s">
        <v>250</v>
      </c>
      <c r="B812" t="s">
        <v>234</v>
      </c>
      <c r="C812"/>
      <c r="D812" t="s">
        <v>213</v>
      </c>
      <c r="E812" t="s">
        <v>297</v>
      </c>
      <c r="F812"/>
      <c r="G812"/>
      <c r="H812"/>
      <c r="I812" t="s">
        <v>1750</v>
      </c>
      <c r="J812" t="s">
        <v>1751</v>
      </c>
      <c r="K812" t="s">
        <v>1752</v>
      </c>
      <c r="L812" t="s">
        <v>1753</v>
      </c>
      <c r="M812" t="s">
        <v>1754</v>
      </c>
      <c r="N812" t="s">
        <v>1755</v>
      </c>
      <c r="O812" t="s">
        <v>1756</v>
      </c>
      <c r="P812" t="s">
        <v>1757</v>
      </c>
      <c r="Q812" t="s">
        <v>1758</v>
      </c>
      <c r="R812" t="s">
        <v>1759</v>
      </c>
      <c r="S812" t="s">
        <v>1760</v>
      </c>
      <c r="T812" t="s">
        <v>1761</v>
      </c>
      <c r="U812" t="s">
        <v>1762</v>
      </c>
      <c r="V812" t="s">
        <v>1763</v>
      </c>
      <c r="W812" t="s">
        <v>1764</v>
      </c>
      <c r="X812" t="s">
        <v>1765</v>
      </c>
      <c r="Y812" t="s">
        <v>1766</v>
      </c>
      <c r="Z812" t="s">
        <v>1767</v>
      </c>
      <c r="AA812"/>
      <c r="AB812"/>
      <c r="AC812"/>
      <c r="AD812" t="n">
        <v>886</v>
      </c>
      <c r="AE812" t="n">
        <v>828</v>
      </c>
      <c r="AF812" t="n">
        <v>770</v>
      </c>
      <c r="AG812"/>
      <c r="AH812"/>
      <c r="AI812"/>
      <c r="AJ812"/>
      <c r="AK812"/>
      <c r="AL812"/>
    </row>
    <row r="813">
      <c r="A813" t="s">
        <v>250</v>
      </c>
      <c r="B813" t="s">
        <v>234</v>
      </c>
      <c r="C813"/>
      <c r="D813" t="s">
        <v>213</v>
      </c>
      <c r="E813" t="s">
        <v>316</v>
      </c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</row>
    <row r="814">
      <c r="A814" t="s">
        <v>250</v>
      </c>
      <c r="B814" t="s">
        <v>234</v>
      </c>
      <c r="C814"/>
      <c r="D814" t="s">
        <v>213</v>
      </c>
      <c r="E814" t="s">
        <v>317</v>
      </c>
      <c r="F814"/>
      <c r="G814"/>
      <c r="H814"/>
      <c r="I814" t="s">
        <v>1768</v>
      </c>
      <c r="J814" t="s">
        <v>1769</v>
      </c>
      <c r="K814" t="s">
        <v>1770</v>
      </c>
      <c r="L814" t="s">
        <v>1771</v>
      </c>
      <c r="M814" t="s">
        <v>1772</v>
      </c>
      <c r="N814" t="s">
        <v>1773</v>
      </c>
      <c r="O814" t="s">
        <v>1774</v>
      </c>
      <c r="P814" t="s">
        <v>1775</v>
      </c>
      <c r="Q814" t="s">
        <v>1776</v>
      </c>
      <c r="R814" t="s">
        <v>1777</v>
      </c>
      <c r="S814" t="s">
        <v>1778</v>
      </c>
      <c r="T814" t="s">
        <v>1779</v>
      </c>
      <c r="U814" t="s">
        <v>1097</v>
      </c>
      <c r="V814" t="s">
        <v>1780</v>
      </c>
      <c r="W814" t="s">
        <v>1781</v>
      </c>
      <c r="X814" t="s">
        <v>1782</v>
      </c>
      <c r="Y814" t="s">
        <v>1783</v>
      </c>
      <c r="Z814" t="s">
        <v>1784</v>
      </c>
      <c r="AA814"/>
      <c r="AB814"/>
      <c r="AC814"/>
      <c r="AD814" t="n">
        <v>58</v>
      </c>
      <c r="AE814" t="n">
        <v>58</v>
      </c>
      <c r="AF814" t="n">
        <v>58</v>
      </c>
      <c r="AG814"/>
      <c r="AH814"/>
      <c r="AI814"/>
      <c r="AJ814"/>
      <c r="AK814"/>
      <c r="AL814"/>
    </row>
    <row r="815">
      <c r="A815" t="s">
        <v>250</v>
      </c>
      <c r="B815" t="s">
        <v>234</v>
      </c>
      <c r="C815"/>
      <c r="D815" t="s">
        <v>213</v>
      </c>
      <c r="E815" t="s">
        <v>320</v>
      </c>
      <c r="F815"/>
      <c r="G815"/>
      <c r="H815"/>
      <c r="I815" t="s">
        <v>1751</v>
      </c>
      <c r="J815" t="s">
        <v>1752</v>
      </c>
      <c r="K815" t="s">
        <v>1753</v>
      </c>
      <c r="L815" t="s">
        <v>1754</v>
      </c>
      <c r="M815" t="s">
        <v>1755</v>
      </c>
      <c r="N815" t="s">
        <v>1756</v>
      </c>
      <c r="O815" t="s">
        <v>1757</v>
      </c>
      <c r="P815" t="s">
        <v>1758</v>
      </c>
      <c r="Q815" t="s">
        <v>1759</v>
      </c>
      <c r="R815" t="s">
        <v>1760</v>
      </c>
      <c r="S815" t="s">
        <v>1761</v>
      </c>
      <c r="T815" t="s">
        <v>1762</v>
      </c>
      <c r="U815" t="s">
        <v>1763</v>
      </c>
      <c r="V815" t="s">
        <v>1764</v>
      </c>
      <c r="W815" t="s">
        <v>1765</v>
      </c>
      <c r="X815" t="s">
        <v>1766</v>
      </c>
      <c r="Y815" t="s">
        <v>1767</v>
      </c>
      <c r="Z815" t="s">
        <v>1785</v>
      </c>
      <c r="AA815"/>
      <c r="AB815"/>
      <c r="AC815"/>
      <c r="AD815" t="n">
        <v>828</v>
      </c>
      <c r="AE815" t="n">
        <v>770</v>
      </c>
      <c r="AF815" t="n">
        <v>712</v>
      </c>
      <c r="AG815"/>
      <c r="AH815"/>
      <c r="AI815"/>
      <c r="AJ815"/>
      <c r="AK815"/>
      <c r="AL815"/>
    </row>
    <row r="816">
      <c r="A816" t="s">
        <v>250</v>
      </c>
      <c r="B816" t="s">
        <v>234</v>
      </c>
      <c r="C816"/>
      <c r="D816" t="s">
        <v>213</v>
      </c>
      <c r="E816" t="s">
        <v>323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 t="n">
        <v>9</v>
      </c>
      <c r="AE816" t="n">
        <v>9</v>
      </c>
      <c r="AF816" t="n">
        <v>9</v>
      </c>
      <c r="AG816"/>
      <c r="AH816"/>
      <c r="AI816"/>
      <c r="AJ816"/>
      <c r="AK816"/>
      <c r="AL816"/>
    </row>
    <row r="817">
      <c r="A817" t="s">
        <v>250</v>
      </c>
      <c r="B817" t="s">
        <v>234</v>
      </c>
      <c r="C817"/>
      <c r="D817" t="s">
        <v>213</v>
      </c>
      <c r="E817" t="s">
        <v>324</v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 t="n">
        <v>14</v>
      </c>
      <c r="AE817" t="n">
        <v>14</v>
      </c>
      <c r="AF817" t="n">
        <v>14</v>
      </c>
      <c r="AG817"/>
      <c r="AH817"/>
      <c r="AI817"/>
      <c r="AJ817"/>
      <c r="AK817"/>
      <c r="AL817"/>
    </row>
    <row r="818">
      <c r="A818" t="s">
        <v>250</v>
      </c>
      <c r="B818" t="s">
        <v>234</v>
      </c>
      <c r="C818"/>
      <c r="D818" t="s">
        <v>213</v>
      </c>
      <c r="E818" t="s">
        <v>325</v>
      </c>
      <c r="F818"/>
      <c r="G818"/>
      <c r="H818"/>
      <c r="I818"/>
      <c r="J818"/>
      <c r="K818"/>
      <c r="L818"/>
      <c r="M818"/>
      <c r="N818" t="s">
        <v>259</v>
      </c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 t="n">
        <v>13</v>
      </c>
      <c r="AE818" t="n">
        <v>13</v>
      </c>
      <c r="AF818" t="n">
        <v>13</v>
      </c>
      <c r="AG818"/>
      <c r="AH818"/>
      <c r="AI818"/>
      <c r="AJ818"/>
      <c r="AK818"/>
      <c r="AL818"/>
    </row>
    <row r="819">
      <c r="A819" t="s">
        <v>250</v>
      </c>
      <c r="B819" t="s">
        <v>234</v>
      </c>
      <c r="C819"/>
      <c r="D819" t="s">
        <v>213</v>
      </c>
      <c r="E819" t="s">
        <v>326</v>
      </c>
      <c r="F819"/>
      <c r="G819"/>
      <c r="H819"/>
      <c r="I819"/>
      <c r="J819"/>
      <c r="K819"/>
      <c r="L819"/>
      <c r="M819"/>
      <c r="N819" t="s">
        <v>1214</v>
      </c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 t="n">
        <v>14.2758620689655</v>
      </c>
      <c r="AE819" t="n">
        <v>13.2758620689655</v>
      </c>
      <c r="AF819" t="n">
        <v>12.2758620689655</v>
      </c>
      <c r="AG819"/>
      <c r="AH819"/>
      <c r="AI819"/>
      <c r="AJ819"/>
      <c r="AK819"/>
      <c r="AL819"/>
    </row>
    <row r="820">
      <c r="A820" t="s">
        <v>250</v>
      </c>
      <c r="B820" t="s">
        <v>234</v>
      </c>
      <c r="C820"/>
      <c r="D820" t="s">
        <v>213</v>
      </c>
      <c r="E820" t="s">
        <v>329</v>
      </c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</row>
    <row r="821">
      <c r="A821" t="s">
        <v>250</v>
      </c>
      <c r="B821" t="s">
        <v>234</v>
      </c>
      <c r="C821"/>
      <c r="D821" t="s">
        <v>213</v>
      </c>
      <c r="E821" t="s">
        <v>330</v>
      </c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 t="n">
        <v>15259</v>
      </c>
      <c r="AE821" t="n">
        <v>14357</v>
      </c>
      <c r="AF821" t="n">
        <v>13455</v>
      </c>
      <c r="AG821"/>
      <c r="AH821"/>
      <c r="AI821"/>
      <c r="AJ821"/>
      <c r="AK821"/>
      <c r="AL821"/>
    </row>
    <row r="822">
      <c r="A822" t="s">
        <v>250</v>
      </c>
      <c r="B822" t="s">
        <v>234</v>
      </c>
      <c r="C822"/>
      <c r="D822" t="s">
        <v>213</v>
      </c>
      <c r="E822" t="s">
        <v>331</v>
      </c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</row>
    <row r="823">
      <c r="A823" t="s">
        <v>250</v>
      </c>
      <c r="B823" t="s">
        <v>234</v>
      </c>
      <c r="C823"/>
      <c r="D823" t="s">
        <v>213</v>
      </c>
      <c r="E823" t="s">
        <v>332</v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 t="n">
        <v>902</v>
      </c>
      <c r="AE823" t="n">
        <v>902</v>
      </c>
      <c r="AF823" t="n">
        <v>902</v>
      </c>
      <c r="AG823"/>
      <c r="AH823"/>
      <c r="AI823"/>
      <c r="AJ823"/>
      <c r="AK823"/>
      <c r="AL823"/>
    </row>
    <row r="824">
      <c r="A824" t="s">
        <v>250</v>
      </c>
      <c r="B824" t="s">
        <v>234</v>
      </c>
      <c r="C824"/>
      <c r="D824" t="s">
        <v>213</v>
      </c>
      <c r="E824" t="s">
        <v>333</v>
      </c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 t="n">
        <v>14357</v>
      </c>
      <c r="AE824" t="n">
        <v>13455</v>
      </c>
      <c r="AF824" t="n">
        <v>12553</v>
      </c>
      <c r="AG824"/>
      <c r="AH824"/>
      <c r="AI824"/>
      <c r="AJ824"/>
      <c r="AK824"/>
      <c r="AL824"/>
    </row>
    <row r="825">
      <c r="A825" t="s">
        <v>250</v>
      </c>
      <c r="B825" t="s">
        <v>234</v>
      </c>
      <c r="C825"/>
      <c r="D825" t="s">
        <v>213</v>
      </c>
      <c r="E825" t="s">
        <v>334</v>
      </c>
      <c r="F825"/>
      <c r="G825"/>
      <c r="H825"/>
      <c r="I825" t="s">
        <v>961</v>
      </c>
      <c r="J825" t="s">
        <v>961</v>
      </c>
      <c r="K825" t="s">
        <v>961</v>
      </c>
      <c r="L825" t="s">
        <v>961</v>
      </c>
      <c r="M825" t="s">
        <v>961</v>
      </c>
      <c r="N825" t="s">
        <v>961</v>
      </c>
      <c r="O825" t="s">
        <v>961</v>
      </c>
      <c r="P825" t="s">
        <v>961</v>
      </c>
      <c r="Q825" t="s">
        <v>961</v>
      </c>
      <c r="R825" t="s">
        <v>961</v>
      </c>
      <c r="S825" t="s">
        <v>961</v>
      </c>
      <c r="T825" t="s">
        <v>961</v>
      </c>
      <c r="U825" t="s">
        <v>961</v>
      </c>
      <c r="V825" t="s">
        <v>961</v>
      </c>
      <c r="W825" t="s">
        <v>961</v>
      </c>
      <c r="X825" t="s">
        <v>961</v>
      </c>
      <c r="Y825" t="s">
        <v>961</v>
      </c>
      <c r="Z825" t="s">
        <v>961</v>
      </c>
      <c r="AA825"/>
      <c r="AB825"/>
      <c r="AC825"/>
      <c r="AD825" t="n">
        <v>9</v>
      </c>
      <c r="AE825" t="n">
        <v>9</v>
      </c>
      <c r="AF825" t="n">
        <v>9</v>
      </c>
      <c r="AG825"/>
      <c r="AH825"/>
      <c r="AI825"/>
      <c r="AJ825"/>
      <c r="AK825"/>
      <c r="AL825"/>
    </row>
    <row r="826">
      <c r="A826" t="s">
        <v>250</v>
      </c>
      <c r="B826" t="s">
        <v>234</v>
      </c>
      <c r="C826"/>
      <c r="D826" t="s">
        <v>213</v>
      </c>
      <c r="E826" t="s">
        <v>336</v>
      </c>
      <c r="F826"/>
      <c r="G826"/>
      <c r="H826"/>
      <c r="I826" t="s">
        <v>417</v>
      </c>
      <c r="J826" t="s">
        <v>417</v>
      </c>
      <c r="K826" t="s">
        <v>417</v>
      </c>
      <c r="L826" t="s">
        <v>417</v>
      </c>
      <c r="M826" t="s">
        <v>417</v>
      </c>
      <c r="N826" t="s">
        <v>417</v>
      </c>
      <c r="O826" t="s">
        <v>417</v>
      </c>
      <c r="P826" t="s">
        <v>417</v>
      </c>
      <c r="Q826" t="s">
        <v>417</v>
      </c>
      <c r="R826" t="s">
        <v>417</v>
      </c>
      <c r="S826" t="s">
        <v>417</v>
      </c>
      <c r="T826" t="s">
        <v>417</v>
      </c>
      <c r="U826" t="s">
        <v>417</v>
      </c>
      <c r="V826" t="s">
        <v>417</v>
      </c>
      <c r="W826" t="s">
        <v>417</v>
      </c>
      <c r="X826" t="s">
        <v>417</v>
      </c>
      <c r="Y826" t="s">
        <v>417</v>
      </c>
      <c r="Z826" t="s">
        <v>417</v>
      </c>
      <c r="AA826"/>
      <c r="AB826"/>
      <c r="AC826"/>
      <c r="AD826" t="n">
        <v>14</v>
      </c>
      <c r="AE826" t="n">
        <v>14</v>
      </c>
      <c r="AF826" t="n">
        <v>14</v>
      </c>
      <c r="AG826"/>
      <c r="AH826"/>
      <c r="AI826"/>
      <c r="AJ826"/>
      <c r="AK826"/>
      <c r="AL826"/>
    </row>
    <row r="827">
      <c r="A827" t="s">
        <v>250</v>
      </c>
      <c r="B827" t="s">
        <v>234</v>
      </c>
      <c r="C827"/>
      <c r="D827" t="s">
        <v>213</v>
      </c>
      <c r="E827" t="s">
        <v>338</v>
      </c>
      <c r="F827"/>
      <c r="G827"/>
      <c r="H827"/>
      <c r="I827" t="s">
        <v>417</v>
      </c>
      <c r="J827" t="s">
        <v>417</v>
      </c>
      <c r="K827" t="s">
        <v>417</v>
      </c>
      <c r="L827" t="s">
        <v>417</v>
      </c>
      <c r="M827" t="s">
        <v>417</v>
      </c>
      <c r="N827" t="s">
        <v>417</v>
      </c>
      <c r="O827" t="s">
        <v>417</v>
      </c>
      <c r="P827" t="s">
        <v>417</v>
      </c>
      <c r="Q827" t="s">
        <v>417</v>
      </c>
      <c r="R827" t="s">
        <v>417</v>
      </c>
      <c r="S827" t="s">
        <v>417</v>
      </c>
      <c r="T827" t="s">
        <v>417</v>
      </c>
      <c r="U827" t="s">
        <v>417</v>
      </c>
      <c r="V827" t="s">
        <v>417</v>
      </c>
      <c r="W827" t="s">
        <v>417</v>
      </c>
      <c r="X827" t="s">
        <v>417</v>
      </c>
      <c r="Y827" t="s">
        <v>417</v>
      </c>
      <c r="Z827" t="s">
        <v>417</v>
      </c>
      <c r="AA827"/>
      <c r="AB827"/>
      <c r="AC827"/>
      <c r="AD827" t="n">
        <v>13</v>
      </c>
      <c r="AE827" t="n">
        <v>13</v>
      </c>
      <c r="AF827" t="n">
        <v>13</v>
      </c>
      <c r="AG827"/>
      <c r="AH827"/>
      <c r="AI827"/>
      <c r="AJ827"/>
      <c r="AK827"/>
      <c r="AL827"/>
    </row>
    <row r="828">
      <c r="A828" t="s">
        <v>250</v>
      </c>
      <c r="B828" t="s">
        <v>234</v>
      </c>
      <c r="C828"/>
      <c r="D828" t="s">
        <v>213</v>
      </c>
      <c r="E828" t="s">
        <v>339</v>
      </c>
      <c r="F828"/>
      <c r="G828"/>
      <c r="H828"/>
      <c r="I828" t="s">
        <v>1786</v>
      </c>
      <c r="J828" t="s">
        <v>1787</v>
      </c>
      <c r="K828" t="s">
        <v>1788</v>
      </c>
      <c r="L828" t="s">
        <v>1789</v>
      </c>
      <c r="M828" t="s">
        <v>1790</v>
      </c>
      <c r="N828" t="s">
        <v>1791</v>
      </c>
      <c r="O828" t="s">
        <v>1792</v>
      </c>
      <c r="P828" t="s">
        <v>1793</v>
      </c>
      <c r="Q828" t="s">
        <v>1794</v>
      </c>
      <c r="R828" t="s">
        <v>1795</v>
      </c>
      <c r="S828" t="s">
        <v>1796</v>
      </c>
      <c r="T828" t="s">
        <v>1797</v>
      </c>
      <c r="U828" t="s">
        <v>1798</v>
      </c>
      <c r="V828" t="s">
        <v>1799</v>
      </c>
      <c r="W828" t="s">
        <v>1800</v>
      </c>
      <c r="X828" t="s">
        <v>1801</v>
      </c>
      <c r="Y828" t="s">
        <v>1802</v>
      </c>
      <c r="Z828" t="s">
        <v>1803</v>
      </c>
      <c r="AA828"/>
      <c r="AB828"/>
      <c r="AC828"/>
      <c r="AD828" t="n">
        <v>15.9168514412417</v>
      </c>
      <c r="AE828" t="n">
        <v>14.9168514412417</v>
      </c>
      <c r="AF828" t="n">
        <v>13.9168514412417</v>
      </c>
      <c r="AG828"/>
      <c r="AH828"/>
      <c r="AI828"/>
      <c r="AJ828"/>
      <c r="AK828"/>
      <c r="AL828"/>
    </row>
    <row r="829">
      <c r="A829" t="s">
        <v>250</v>
      </c>
      <c r="B829" t="s">
        <v>234</v>
      </c>
      <c r="C829"/>
      <c r="D829" t="s">
        <v>213</v>
      </c>
      <c r="E829" t="s">
        <v>358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</row>
    <row r="830">
      <c r="A830" t="s">
        <v>226</v>
      </c>
      <c r="B830" t="s">
        <v>234</v>
      </c>
      <c r="C830"/>
      <c r="D830" t="s">
        <v>213</v>
      </c>
      <c r="E830" t="s">
        <v>297</v>
      </c>
      <c r="F830"/>
      <c r="G830"/>
      <c r="H830"/>
      <c r="I830" t="s">
        <v>1804</v>
      </c>
      <c r="J830" t="s">
        <v>1805</v>
      </c>
      <c r="K830" t="s">
        <v>1806</v>
      </c>
      <c r="L830" t="s">
        <v>1807</v>
      </c>
      <c r="M830" t="s">
        <v>1808</v>
      </c>
      <c r="N830" t="s">
        <v>1809</v>
      </c>
      <c r="O830" t="s">
        <v>1810</v>
      </c>
      <c r="P830" t="s">
        <v>1811</v>
      </c>
      <c r="Q830" t="s">
        <v>1812</v>
      </c>
      <c r="R830" t="s">
        <v>1813</v>
      </c>
      <c r="S830" t="s">
        <v>1814</v>
      </c>
      <c r="T830" t="s">
        <v>1815</v>
      </c>
      <c r="U830" t="s">
        <v>1816</v>
      </c>
      <c r="V830" t="s">
        <v>1817</v>
      </c>
      <c r="W830" t="s">
        <v>1818</v>
      </c>
      <c r="X830" t="s">
        <v>1819</v>
      </c>
      <c r="Y830" t="s">
        <v>1820</v>
      </c>
      <c r="Z830" t="s">
        <v>1821</v>
      </c>
      <c r="AA830" t="s">
        <v>1822</v>
      </c>
      <c r="AB830" t="s">
        <v>1823</v>
      </c>
      <c r="AC830" t="s">
        <v>1824</v>
      </c>
      <c r="AD830" t="n">
        <v>13602</v>
      </c>
      <c r="AE830" t="n">
        <v>0</v>
      </c>
      <c r="AF830" t="n">
        <v>0</v>
      </c>
      <c r="AG830"/>
      <c r="AH830"/>
      <c r="AI830"/>
      <c r="AJ830"/>
      <c r="AK830"/>
      <c r="AL830"/>
    </row>
    <row r="831">
      <c r="A831" t="s">
        <v>226</v>
      </c>
      <c r="B831" t="s">
        <v>234</v>
      </c>
      <c r="C831"/>
      <c r="D831" t="s">
        <v>213</v>
      </c>
      <c r="E831" t="s">
        <v>316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</row>
    <row r="832">
      <c r="A832" t="s">
        <v>226</v>
      </c>
      <c r="B832" t="s">
        <v>234</v>
      </c>
      <c r="C832"/>
      <c r="D832" t="s">
        <v>213</v>
      </c>
      <c r="E832" t="s">
        <v>317</v>
      </c>
      <c r="F832"/>
      <c r="G832"/>
      <c r="H832"/>
      <c r="I832" t="s">
        <v>1825</v>
      </c>
      <c r="J832" t="s">
        <v>1825</v>
      </c>
      <c r="K832" t="s">
        <v>1825</v>
      </c>
      <c r="L832" t="s">
        <v>1825</v>
      </c>
      <c r="M832" t="s">
        <v>1825</v>
      </c>
      <c r="N832" t="s">
        <v>1825</v>
      </c>
      <c r="O832" t="s">
        <v>1825</v>
      </c>
      <c r="P832" t="s">
        <v>1825</v>
      </c>
      <c r="Q832" t="s">
        <v>1825</v>
      </c>
      <c r="R832" t="s">
        <v>1826</v>
      </c>
      <c r="S832" t="s">
        <v>1826</v>
      </c>
      <c r="T832" t="s">
        <v>1826</v>
      </c>
      <c r="U832" t="s">
        <v>1826</v>
      </c>
      <c r="V832" t="s">
        <v>1826</v>
      </c>
      <c r="W832" t="s">
        <v>1826</v>
      </c>
      <c r="X832" t="s">
        <v>1826</v>
      </c>
      <c r="Y832" t="s">
        <v>1826</v>
      </c>
      <c r="Z832" t="s">
        <v>1826</v>
      </c>
      <c r="AA832" t="s">
        <v>1826</v>
      </c>
      <c r="AB832" t="s">
        <v>1826</v>
      </c>
      <c r="AC832" t="s">
        <v>1826</v>
      </c>
      <c r="AD832" t="n">
        <v>17890</v>
      </c>
      <c r="AE832" t="n">
        <v>17890</v>
      </c>
      <c r="AF832" t="n">
        <v>17890</v>
      </c>
      <c r="AG832"/>
      <c r="AH832"/>
      <c r="AI832"/>
      <c r="AJ832"/>
      <c r="AK832"/>
      <c r="AL832"/>
    </row>
    <row r="833">
      <c r="A833" t="s">
        <v>226</v>
      </c>
      <c r="B833" t="s">
        <v>234</v>
      </c>
      <c r="C833"/>
      <c r="D833" t="s">
        <v>213</v>
      </c>
      <c r="E833" t="s">
        <v>320</v>
      </c>
      <c r="F833"/>
      <c r="G833"/>
      <c r="H833"/>
      <c r="I833" t="s">
        <v>1805</v>
      </c>
      <c r="J833" t="s">
        <v>1806</v>
      </c>
      <c r="K833" t="s">
        <v>1807</v>
      </c>
      <c r="L833" t="s">
        <v>1808</v>
      </c>
      <c r="M833" t="s">
        <v>1809</v>
      </c>
      <c r="N833" t="s">
        <v>1810</v>
      </c>
      <c r="O833" t="s">
        <v>1811</v>
      </c>
      <c r="P833" t="s">
        <v>1812</v>
      </c>
      <c r="Q833" t="s">
        <v>1813</v>
      </c>
      <c r="R833" t="s">
        <v>1814</v>
      </c>
      <c r="S833" t="s">
        <v>1815</v>
      </c>
      <c r="T833" t="s">
        <v>1816</v>
      </c>
      <c r="U833" t="s">
        <v>1817</v>
      </c>
      <c r="V833" t="s">
        <v>1818</v>
      </c>
      <c r="W833" t="s">
        <v>1819</v>
      </c>
      <c r="X833" t="s">
        <v>1820</v>
      </c>
      <c r="Y833" t="s">
        <v>1821</v>
      </c>
      <c r="Z833" t="s">
        <v>1822</v>
      </c>
      <c r="AA833" t="s">
        <v>1823</v>
      </c>
      <c r="AB833" t="s">
        <v>1824</v>
      </c>
      <c r="AC833" t="s">
        <v>1827</v>
      </c>
      <c r="AD833" t="n">
        <v>0</v>
      </c>
      <c r="AE833" t="n">
        <v>0</v>
      </c>
      <c r="AF833" t="n">
        <v>0</v>
      </c>
      <c r="AG833"/>
      <c r="AH833"/>
      <c r="AI833"/>
      <c r="AJ833"/>
      <c r="AK833"/>
      <c r="AL833"/>
    </row>
    <row r="834">
      <c r="A834" t="s">
        <v>226</v>
      </c>
      <c r="B834" t="s">
        <v>234</v>
      </c>
      <c r="C834"/>
      <c r="D834" t="s">
        <v>213</v>
      </c>
      <c r="E834" t="s">
        <v>323</v>
      </c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 t="n">
        <v>9</v>
      </c>
      <c r="AE834" t="n">
        <v>9</v>
      </c>
      <c r="AF834" t="n">
        <v>9</v>
      </c>
      <c r="AG834"/>
      <c r="AH834"/>
      <c r="AI834"/>
      <c r="AJ834"/>
      <c r="AK834"/>
      <c r="AL834"/>
    </row>
    <row r="835">
      <c r="A835" t="s">
        <v>226</v>
      </c>
      <c r="B835" t="s">
        <v>234</v>
      </c>
      <c r="C835"/>
      <c r="D835" t="s">
        <v>213</v>
      </c>
      <c r="E835" t="s">
        <v>324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 t="n">
        <v>14</v>
      </c>
      <c r="AE835" t="n">
        <v>14</v>
      </c>
      <c r="AF835" t="n">
        <v>14</v>
      </c>
      <c r="AG835"/>
      <c r="AH835"/>
      <c r="AI835"/>
      <c r="AJ835"/>
      <c r="AK835"/>
      <c r="AL835"/>
    </row>
    <row r="836">
      <c r="A836" t="s">
        <v>226</v>
      </c>
      <c r="B836" t="s">
        <v>234</v>
      </c>
      <c r="C836"/>
      <c r="D836" t="s">
        <v>213</v>
      </c>
      <c r="E836" t="s">
        <v>325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 t="n">
        <v>13</v>
      </c>
      <c r="AE836" t="n">
        <v>13</v>
      </c>
      <c r="AF836" t="n">
        <v>13</v>
      </c>
      <c r="AG836"/>
      <c r="AH836"/>
      <c r="AI836"/>
      <c r="AJ836"/>
      <c r="AK836"/>
      <c r="AL836"/>
    </row>
    <row r="837">
      <c r="A837" t="s">
        <v>226</v>
      </c>
      <c r="B837" t="s">
        <v>234</v>
      </c>
      <c r="C837"/>
      <c r="D837" t="s">
        <v>213</v>
      </c>
      <c r="E837" t="s">
        <v>326</v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 t="n">
        <v>0</v>
      </c>
      <c r="AE837" t="n">
        <v>0</v>
      </c>
      <c r="AF837" t="n">
        <v>0</v>
      </c>
      <c r="AG837"/>
      <c r="AH837"/>
      <c r="AI837"/>
      <c r="AJ837"/>
      <c r="AK837"/>
      <c r="AL837"/>
    </row>
    <row r="838">
      <c r="A838" t="s">
        <v>226</v>
      </c>
      <c r="B838" t="s">
        <v>234</v>
      </c>
      <c r="C838"/>
      <c r="D838" t="s">
        <v>213</v>
      </c>
      <c r="E838" t="s">
        <v>329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</row>
    <row r="839">
      <c r="A839" t="s">
        <v>226</v>
      </c>
      <c r="B839" t="s">
        <v>234</v>
      </c>
      <c r="C839"/>
      <c r="D839" t="s">
        <v>213</v>
      </c>
      <c r="E839" t="s">
        <v>330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 t="n">
        <v>0</v>
      </c>
      <c r="AE839" t="n">
        <v>0</v>
      </c>
      <c r="AF839" t="n">
        <v>0</v>
      </c>
      <c r="AG839"/>
      <c r="AH839"/>
      <c r="AI839"/>
      <c r="AJ839"/>
      <c r="AK839"/>
      <c r="AL839"/>
    </row>
    <row r="840">
      <c r="A840" t="s">
        <v>226</v>
      </c>
      <c r="B840" t="s">
        <v>234</v>
      </c>
      <c r="C840"/>
      <c r="D840" t="s">
        <v>213</v>
      </c>
      <c r="E840" t="s">
        <v>331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</row>
    <row r="841">
      <c r="A841" t="s">
        <v>226</v>
      </c>
      <c r="B841" t="s">
        <v>234</v>
      </c>
      <c r="C841"/>
      <c r="D841" t="s">
        <v>213</v>
      </c>
      <c r="E841" t="s">
        <v>332</v>
      </c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 t="n">
        <v>180673</v>
      </c>
      <c r="AE841" t="n">
        <v>180673</v>
      </c>
      <c r="AF841" t="n">
        <v>180673</v>
      </c>
      <c r="AG841"/>
      <c r="AH841"/>
      <c r="AI841"/>
      <c r="AJ841"/>
      <c r="AK841"/>
      <c r="AL841"/>
    </row>
    <row r="842">
      <c r="A842" t="s">
        <v>226</v>
      </c>
      <c r="B842" t="s">
        <v>234</v>
      </c>
      <c r="C842"/>
      <c r="D842" t="s">
        <v>213</v>
      </c>
      <c r="E842" t="s">
        <v>333</v>
      </c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 t="n">
        <v>0</v>
      </c>
      <c r="AE842" t="n">
        <v>0</v>
      </c>
      <c r="AF842" t="n">
        <v>0</v>
      </c>
      <c r="AG842"/>
      <c r="AH842"/>
      <c r="AI842"/>
      <c r="AJ842"/>
      <c r="AK842"/>
      <c r="AL842"/>
    </row>
    <row r="843">
      <c r="A843" t="s">
        <v>226</v>
      </c>
      <c r="B843" t="s">
        <v>234</v>
      </c>
      <c r="C843"/>
      <c r="D843" t="s">
        <v>213</v>
      </c>
      <c r="E843" t="s">
        <v>334</v>
      </c>
      <c r="F843"/>
      <c r="G843"/>
      <c r="H843"/>
      <c r="I843" t="s">
        <v>392</v>
      </c>
      <c r="J843" t="s">
        <v>392</v>
      </c>
      <c r="K843" t="s">
        <v>392</v>
      </c>
      <c r="L843" t="s">
        <v>392</v>
      </c>
      <c r="M843" t="s">
        <v>392</v>
      </c>
      <c r="N843" t="s">
        <v>392</v>
      </c>
      <c r="O843" t="s">
        <v>392</v>
      </c>
      <c r="P843" t="s">
        <v>392</v>
      </c>
      <c r="Q843" t="s">
        <v>392</v>
      </c>
      <c r="R843" t="s">
        <v>392</v>
      </c>
      <c r="S843" t="s">
        <v>392</v>
      </c>
      <c r="T843" t="s">
        <v>392</v>
      </c>
      <c r="U843" t="s">
        <v>392</v>
      </c>
      <c r="V843" t="s">
        <v>392</v>
      </c>
      <c r="W843" t="s">
        <v>392</v>
      </c>
      <c r="X843" t="s">
        <v>392</v>
      </c>
      <c r="Y843" t="s">
        <v>392</v>
      </c>
      <c r="Z843" t="s">
        <v>392</v>
      </c>
      <c r="AA843" t="s">
        <v>392</v>
      </c>
      <c r="AB843" t="s">
        <v>392</v>
      </c>
      <c r="AC843" t="s">
        <v>392</v>
      </c>
      <c r="AD843" t="n">
        <v>6</v>
      </c>
      <c r="AE843" t="n">
        <v>6</v>
      </c>
      <c r="AF843" t="n">
        <v>6</v>
      </c>
      <c r="AG843"/>
      <c r="AH843"/>
      <c r="AI843"/>
      <c r="AJ843"/>
      <c r="AK843"/>
      <c r="AL843"/>
    </row>
    <row r="844">
      <c r="A844" t="s">
        <v>226</v>
      </c>
      <c r="B844" t="s">
        <v>234</v>
      </c>
      <c r="C844"/>
      <c r="D844" t="s">
        <v>213</v>
      </c>
      <c r="E844" t="s">
        <v>336</v>
      </c>
      <c r="F844"/>
      <c r="G844"/>
      <c r="H844"/>
      <c r="I844" t="s">
        <v>335</v>
      </c>
      <c r="J844" t="s">
        <v>335</v>
      </c>
      <c r="K844" t="s">
        <v>335</v>
      </c>
      <c r="L844" t="s">
        <v>335</v>
      </c>
      <c r="M844" t="s">
        <v>335</v>
      </c>
      <c r="N844" t="s">
        <v>335</v>
      </c>
      <c r="O844" t="s">
        <v>335</v>
      </c>
      <c r="P844" t="s">
        <v>335</v>
      </c>
      <c r="Q844" t="s">
        <v>335</v>
      </c>
      <c r="R844" t="s">
        <v>335</v>
      </c>
      <c r="S844" t="s">
        <v>335</v>
      </c>
      <c r="T844" t="s">
        <v>335</v>
      </c>
      <c r="U844" t="s">
        <v>335</v>
      </c>
      <c r="V844" t="s">
        <v>335</v>
      </c>
      <c r="W844" t="s">
        <v>335</v>
      </c>
      <c r="X844" t="s">
        <v>335</v>
      </c>
      <c r="Y844" t="s">
        <v>335</v>
      </c>
      <c r="Z844" t="s">
        <v>335</v>
      </c>
      <c r="AA844" t="s">
        <v>335</v>
      </c>
      <c r="AB844" t="s">
        <v>335</v>
      </c>
      <c r="AC844" t="s">
        <v>335</v>
      </c>
      <c r="AD844" t="n">
        <v>12</v>
      </c>
      <c r="AE844" t="n">
        <v>12</v>
      </c>
      <c r="AF844" t="n">
        <v>12</v>
      </c>
      <c r="AG844"/>
      <c r="AH844"/>
      <c r="AI844"/>
      <c r="AJ844"/>
      <c r="AK844"/>
      <c r="AL844"/>
    </row>
    <row r="845">
      <c r="A845" t="s">
        <v>226</v>
      </c>
      <c r="B845" t="s">
        <v>234</v>
      </c>
      <c r="C845"/>
      <c r="D845" t="s">
        <v>213</v>
      </c>
      <c r="E845" t="s">
        <v>338</v>
      </c>
      <c r="F845"/>
      <c r="G845"/>
      <c r="H845"/>
      <c r="I845" t="s">
        <v>335</v>
      </c>
      <c r="J845" t="s">
        <v>335</v>
      </c>
      <c r="K845" t="s">
        <v>335</v>
      </c>
      <c r="L845" t="s">
        <v>335</v>
      </c>
      <c r="M845" t="s">
        <v>335</v>
      </c>
      <c r="N845" t="s">
        <v>335</v>
      </c>
      <c r="O845" t="s">
        <v>335</v>
      </c>
      <c r="P845" t="s">
        <v>335</v>
      </c>
      <c r="Q845" t="s">
        <v>335</v>
      </c>
      <c r="R845" t="s">
        <v>335</v>
      </c>
      <c r="S845" t="s">
        <v>335</v>
      </c>
      <c r="T845" t="s">
        <v>335</v>
      </c>
      <c r="U845" t="s">
        <v>335</v>
      </c>
      <c r="V845" t="s">
        <v>335</v>
      </c>
      <c r="W845" t="s">
        <v>335</v>
      </c>
      <c r="X845" t="s">
        <v>335</v>
      </c>
      <c r="Y845" t="s">
        <v>335</v>
      </c>
      <c r="Z845" t="s">
        <v>335</v>
      </c>
      <c r="AA845" t="s">
        <v>335</v>
      </c>
      <c r="AB845" t="s">
        <v>335</v>
      </c>
      <c r="AC845" t="s">
        <v>335</v>
      </c>
      <c r="AD845" t="n">
        <v>12</v>
      </c>
      <c r="AE845" t="n">
        <v>12</v>
      </c>
      <c r="AF845" t="n">
        <v>12</v>
      </c>
      <c r="AG845"/>
      <c r="AH845"/>
      <c r="AI845"/>
      <c r="AJ845"/>
      <c r="AK845"/>
      <c r="AL845"/>
    </row>
    <row r="846">
      <c r="A846" t="s">
        <v>226</v>
      </c>
      <c r="B846" t="s">
        <v>234</v>
      </c>
      <c r="C846"/>
      <c r="D846" t="s">
        <v>213</v>
      </c>
      <c r="E846" t="s">
        <v>339</v>
      </c>
      <c r="F846"/>
      <c r="G846"/>
      <c r="H846"/>
      <c r="I846" t="s">
        <v>1828</v>
      </c>
      <c r="J846" t="s">
        <v>1829</v>
      </c>
      <c r="K846" t="s">
        <v>1830</v>
      </c>
      <c r="L846" t="s">
        <v>1831</v>
      </c>
      <c r="M846" t="s">
        <v>1832</v>
      </c>
      <c r="N846" t="s">
        <v>1833</v>
      </c>
      <c r="O846" t="s">
        <v>1834</v>
      </c>
      <c r="P846" t="s">
        <v>1835</v>
      </c>
      <c r="Q846" t="s">
        <v>1836</v>
      </c>
      <c r="R846" t="s">
        <v>1837</v>
      </c>
      <c r="S846" t="s">
        <v>1838</v>
      </c>
      <c r="T846" t="s">
        <v>1839</v>
      </c>
      <c r="U846" t="s">
        <v>1840</v>
      </c>
      <c r="V846" t="s">
        <v>1841</v>
      </c>
      <c r="W846" t="s">
        <v>1842</v>
      </c>
      <c r="X846" t="s">
        <v>1843</v>
      </c>
      <c r="Y846" t="s">
        <v>1844</v>
      </c>
      <c r="Z846" t="s">
        <v>1845</v>
      </c>
      <c r="AA846" t="s">
        <v>1846</v>
      </c>
      <c r="AB846" t="s">
        <v>1847</v>
      </c>
      <c r="AC846" t="s">
        <v>1848</v>
      </c>
      <c r="AD846" t="n">
        <v>0</v>
      </c>
      <c r="AE846" t="n">
        <v>0</v>
      </c>
      <c r="AF846" t="n">
        <v>0</v>
      </c>
      <c r="AG846"/>
      <c r="AH846"/>
      <c r="AI846"/>
      <c r="AJ846"/>
      <c r="AK846"/>
      <c r="AL846"/>
    </row>
    <row r="847">
      <c r="A847" t="s">
        <v>226</v>
      </c>
      <c r="B847" t="s">
        <v>234</v>
      </c>
      <c r="C847"/>
      <c r="D847" t="s">
        <v>213</v>
      </c>
      <c r="E847" t="s">
        <v>358</v>
      </c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</row>
    <row r="848">
      <c r="A848" t="s">
        <v>229</v>
      </c>
      <c r="B848" t="s">
        <v>234</v>
      </c>
      <c r="C848" t="s">
        <v>212</v>
      </c>
      <c r="D848" t="s">
        <v>213</v>
      </c>
      <c r="E848" t="s">
        <v>297</v>
      </c>
      <c r="F848"/>
      <c r="G848"/>
      <c r="H848"/>
      <c r="I848" t="s">
        <v>1849</v>
      </c>
      <c r="J848" t="s">
        <v>1850</v>
      </c>
      <c r="K848" t="s">
        <v>840</v>
      </c>
      <c r="L848" t="s">
        <v>1851</v>
      </c>
      <c r="M848" t="s">
        <v>1852</v>
      </c>
      <c r="N848" t="s">
        <v>1853</v>
      </c>
      <c r="O848" t="s">
        <v>1854</v>
      </c>
      <c r="P848" t="s">
        <v>1855</v>
      </c>
      <c r="Q848" t="s">
        <v>1856</v>
      </c>
      <c r="R848"/>
      <c r="S848"/>
      <c r="T848"/>
      <c r="U848"/>
      <c r="V848"/>
      <c r="W848"/>
      <c r="X848"/>
      <c r="Y848"/>
      <c r="Z848"/>
      <c r="AA848"/>
      <c r="AB848"/>
      <c r="AC848"/>
      <c r="AD848" t="n">
        <v>83172</v>
      </c>
      <c r="AE848" t="n">
        <v>75398</v>
      </c>
      <c r="AF848"/>
      <c r="AG848"/>
      <c r="AH848"/>
      <c r="AI848"/>
      <c r="AJ848"/>
      <c r="AK848"/>
      <c r="AL848"/>
    </row>
    <row r="849">
      <c r="A849" t="s">
        <v>229</v>
      </c>
      <c r="B849" t="s">
        <v>234</v>
      </c>
      <c r="C849" t="s">
        <v>212</v>
      </c>
      <c r="D849" t="s">
        <v>213</v>
      </c>
      <c r="E849" t="s">
        <v>316</v>
      </c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</row>
    <row r="850">
      <c r="A850" t="s">
        <v>229</v>
      </c>
      <c r="B850" t="s">
        <v>234</v>
      </c>
      <c r="C850" t="s">
        <v>212</v>
      </c>
      <c r="D850" t="s">
        <v>213</v>
      </c>
      <c r="E850" t="s">
        <v>317</v>
      </c>
      <c r="F850"/>
      <c r="G850"/>
      <c r="H850"/>
      <c r="I850" t="s">
        <v>1857</v>
      </c>
      <c r="J850" t="s">
        <v>1857</v>
      </c>
      <c r="K850" t="s">
        <v>1857</v>
      </c>
      <c r="L850" t="s">
        <v>1857</v>
      </c>
      <c r="M850" t="s">
        <v>1857</v>
      </c>
      <c r="N850" t="s">
        <v>1857</v>
      </c>
      <c r="O850" t="s">
        <v>1857</v>
      </c>
      <c r="P850" t="s">
        <v>1857</v>
      </c>
      <c r="Q850" t="s">
        <v>1857</v>
      </c>
      <c r="R850"/>
      <c r="S850"/>
      <c r="T850"/>
      <c r="U850"/>
      <c r="V850"/>
      <c r="W850"/>
      <c r="X850"/>
      <c r="Y850"/>
      <c r="Z850"/>
      <c r="AA850"/>
      <c r="AB850"/>
      <c r="AC850"/>
      <c r="AD850" t="n">
        <v>7774</v>
      </c>
      <c r="AE850" t="n">
        <v>7774</v>
      </c>
      <c r="AF850"/>
      <c r="AG850"/>
      <c r="AH850"/>
      <c r="AI850"/>
      <c r="AJ850"/>
      <c r="AK850"/>
      <c r="AL850"/>
    </row>
    <row r="851">
      <c r="A851" t="s">
        <v>229</v>
      </c>
      <c r="B851" t="s">
        <v>234</v>
      </c>
      <c r="C851" t="s">
        <v>212</v>
      </c>
      <c r="D851" t="s">
        <v>213</v>
      </c>
      <c r="E851" t="s">
        <v>320</v>
      </c>
      <c r="F851"/>
      <c r="G851"/>
      <c r="H851"/>
      <c r="I851" t="s">
        <v>1850</v>
      </c>
      <c r="J851" t="s">
        <v>840</v>
      </c>
      <c r="K851" t="s">
        <v>1851</v>
      </c>
      <c r="L851" t="s">
        <v>1852</v>
      </c>
      <c r="M851" t="s">
        <v>1853</v>
      </c>
      <c r="N851" t="s">
        <v>1854</v>
      </c>
      <c r="O851" t="s">
        <v>1855</v>
      </c>
      <c r="P851" t="s">
        <v>1856</v>
      </c>
      <c r="Q851" t="s">
        <v>1858</v>
      </c>
      <c r="R851"/>
      <c r="S851"/>
      <c r="T851"/>
      <c r="U851"/>
      <c r="V851"/>
      <c r="W851"/>
      <c r="X851"/>
      <c r="Y851"/>
      <c r="Z851"/>
      <c r="AA851"/>
      <c r="AB851"/>
      <c r="AC851"/>
      <c r="AD851" t="n">
        <v>75398</v>
      </c>
      <c r="AE851" t="n">
        <v>67624</v>
      </c>
      <c r="AF851"/>
      <c r="AG851"/>
      <c r="AH851"/>
      <c r="AI851"/>
      <c r="AJ851"/>
      <c r="AK851"/>
      <c r="AL851"/>
    </row>
    <row r="852">
      <c r="A852" t="s">
        <v>229</v>
      </c>
      <c r="B852" t="s">
        <v>234</v>
      </c>
      <c r="C852" t="s">
        <v>212</v>
      </c>
      <c r="D852" t="s">
        <v>213</v>
      </c>
      <c r="E852" t="s">
        <v>323</v>
      </c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 t="n">
        <v>9</v>
      </c>
      <c r="AE852" t="n">
        <v>9</v>
      </c>
      <c r="AF852"/>
      <c r="AG852"/>
      <c r="AH852"/>
      <c r="AI852"/>
      <c r="AJ852"/>
      <c r="AK852"/>
      <c r="AL852"/>
    </row>
    <row r="853">
      <c r="A853" t="s">
        <v>229</v>
      </c>
      <c r="B853" t="s">
        <v>234</v>
      </c>
      <c r="C853" t="s">
        <v>212</v>
      </c>
      <c r="D853" t="s">
        <v>213</v>
      </c>
      <c r="E853" t="s">
        <v>324</v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 t="n">
        <v>14</v>
      </c>
      <c r="AE853" t="n">
        <v>14</v>
      </c>
      <c r="AF853"/>
      <c r="AG853"/>
      <c r="AH853"/>
      <c r="AI853"/>
      <c r="AJ853"/>
      <c r="AK853"/>
      <c r="AL853"/>
    </row>
    <row r="854">
      <c r="A854" t="s">
        <v>229</v>
      </c>
      <c r="B854" t="s">
        <v>234</v>
      </c>
      <c r="C854" t="s">
        <v>212</v>
      </c>
      <c r="D854" t="s">
        <v>213</v>
      </c>
      <c r="E854" t="s">
        <v>325</v>
      </c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 t="n">
        <v>13</v>
      </c>
      <c r="AE854" t="n">
        <v>13</v>
      </c>
      <c r="AF854"/>
      <c r="AG854"/>
      <c r="AH854"/>
      <c r="AI854"/>
      <c r="AJ854"/>
      <c r="AK854"/>
      <c r="AL854"/>
    </row>
    <row r="855">
      <c r="A855" t="s">
        <v>229</v>
      </c>
      <c r="B855" t="s">
        <v>234</v>
      </c>
      <c r="C855" t="s">
        <v>212</v>
      </c>
      <c r="D855" t="s">
        <v>213</v>
      </c>
      <c r="E855" t="s">
        <v>326</v>
      </c>
      <c r="F855"/>
      <c r="G855"/>
      <c r="H855"/>
      <c r="I855"/>
      <c r="J855"/>
      <c r="K855" t="s">
        <v>1859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 t="n">
        <v>9.6987393877026</v>
      </c>
      <c r="AE855" t="n">
        <v>8.6987393877026</v>
      </c>
      <c r="AF855"/>
      <c r="AG855"/>
      <c r="AH855"/>
      <c r="AI855"/>
      <c r="AJ855"/>
      <c r="AK855"/>
      <c r="AL855"/>
    </row>
    <row r="856">
      <c r="A856" t="s">
        <v>229</v>
      </c>
      <c r="B856" t="s">
        <v>234</v>
      </c>
      <c r="C856" t="s">
        <v>212</v>
      </c>
      <c r="D856" t="s">
        <v>213</v>
      </c>
      <c r="E856" t="s">
        <v>329</v>
      </c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</row>
    <row r="857">
      <c r="A857" t="s">
        <v>229</v>
      </c>
      <c r="B857" t="s">
        <v>234</v>
      </c>
      <c r="C857" t="s">
        <v>212</v>
      </c>
      <c r="D857" t="s">
        <v>213</v>
      </c>
      <c r="E857" t="s">
        <v>330</v>
      </c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 t="n">
        <v>0</v>
      </c>
      <c r="AE857" t="n">
        <v>0</v>
      </c>
      <c r="AF857" t="n">
        <v>0</v>
      </c>
      <c r="AG857"/>
      <c r="AH857"/>
      <c r="AI857"/>
      <c r="AJ857"/>
      <c r="AK857"/>
      <c r="AL857"/>
    </row>
    <row r="858">
      <c r="A858" t="s">
        <v>229</v>
      </c>
      <c r="B858" t="s">
        <v>234</v>
      </c>
      <c r="C858" t="s">
        <v>212</v>
      </c>
      <c r="D858" t="s">
        <v>213</v>
      </c>
      <c r="E858" t="s">
        <v>331</v>
      </c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</row>
    <row r="859">
      <c r="A859" t="s">
        <v>229</v>
      </c>
      <c r="B859" t="s">
        <v>234</v>
      </c>
      <c r="C859" t="s">
        <v>212</v>
      </c>
      <c r="D859" t="s">
        <v>213</v>
      </c>
      <c r="E859" t="s">
        <v>332</v>
      </c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 t="n">
        <v>47645</v>
      </c>
      <c r="AE859" t="n">
        <v>47645</v>
      </c>
      <c r="AF859" t="n">
        <v>47645</v>
      </c>
      <c r="AG859"/>
      <c r="AH859"/>
      <c r="AI859"/>
      <c r="AJ859"/>
      <c r="AK859"/>
      <c r="AL859"/>
    </row>
    <row r="860">
      <c r="A860" t="s">
        <v>229</v>
      </c>
      <c r="B860" t="s">
        <v>234</v>
      </c>
      <c r="C860" t="s">
        <v>212</v>
      </c>
      <c r="D860" t="s">
        <v>213</v>
      </c>
      <c r="E860" t="s">
        <v>333</v>
      </c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 t="n">
        <v>0</v>
      </c>
      <c r="AE860" t="n">
        <v>0</v>
      </c>
      <c r="AF860" t="n">
        <v>0</v>
      </c>
      <c r="AG860"/>
      <c r="AH860"/>
      <c r="AI860"/>
      <c r="AJ860"/>
      <c r="AK860"/>
      <c r="AL860"/>
    </row>
    <row r="861">
      <c r="A861" t="s">
        <v>229</v>
      </c>
      <c r="B861" t="s">
        <v>234</v>
      </c>
      <c r="C861" t="s">
        <v>212</v>
      </c>
      <c r="D861" t="s">
        <v>213</v>
      </c>
      <c r="E861" t="s">
        <v>334</v>
      </c>
      <c r="F861"/>
      <c r="G861"/>
      <c r="H861"/>
      <c r="I861" t="s">
        <v>416</v>
      </c>
      <c r="J861" t="s">
        <v>416</v>
      </c>
      <c r="K861" t="s">
        <v>416</v>
      </c>
      <c r="L861" t="s">
        <v>416</v>
      </c>
      <c r="M861" t="s">
        <v>416</v>
      </c>
      <c r="N861" t="s">
        <v>416</v>
      </c>
      <c r="O861" t="s">
        <v>416</v>
      </c>
      <c r="P861" t="s">
        <v>416</v>
      </c>
      <c r="Q861" t="s">
        <v>416</v>
      </c>
      <c r="R861"/>
      <c r="S861"/>
      <c r="T861"/>
      <c r="U861"/>
      <c r="V861"/>
      <c r="W861"/>
      <c r="X861"/>
      <c r="Y861"/>
      <c r="Z861"/>
      <c r="AA861"/>
      <c r="AB861"/>
      <c r="AC861"/>
      <c r="AD861" t="n">
        <v>6</v>
      </c>
      <c r="AE861" t="n">
        <v>6</v>
      </c>
      <c r="AF861" t="n">
        <v>6</v>
      </c>
      <c r="AG861"/>
      <c r="AH861"/>
      <c r="AI861"/>
      <c r="AJ861"/>
      <c r="AK861"/>
      <c r="AL861"/>
    </row>
    <row r="862">
      <c r="A862" t="s">
        <v>229</v>
      </c>
      <c r="B862" t="s">
        <v>234</v>
      </c>
      <c r="C862" t="s">
        <v>212</v>
      </c>
      <c r="D862" t="s">
        <v>213</v>
      </c>
      <c r="E862" t="s">
        <v>336</v>
      </c>
      <c r="F862"/>
      <c r="G862"/>
      <c r="H862"/>
      <c r="I862" t="s">
        <v>417</v>
      </c>
      <c r="J862" t="s">
        <v>417</v>
      </c>
      <c r="K862" t="s">
        <v>417</v>
      </c>
      <c r="L862" t="s">
        <v>417</v>
      </c>
      <c r="M862" t="s">
        <v>417</v>
      </c>
      <c r="N862" t="s">
        <v>417</v>
      </c>
      <c r="O862" t="s">
        <v>417</v>
      </c>
      <c r="P862" t="s">
        <v>417</v>
      </c>
      <c r="Q862" t="s">
        <v>417</v>
      </c>
      <c r="R862"/>
      <c r="S862"/>
      <c r="T862"/>
      <c r="U862"/>
      <c r="V862"/>
      <c r="W862"/>
      <c r="X862"/>
      <c r="Y862"/>
      <c r="Z862"/>
      <c r="AA862"/>
      <c r="AB862"/>
      <c r="AC862"/>
      <c r="AD862" t="n">
        <v>12</v>
      </c>
      <c r="AE862" t="n">
        <v>12</v>
      </c>
      <c r="AF862" t="n">
        <v>12</v>
      </c>
      <c r="AG862"/>
      <c r="AH862"/>
      <c r="AI862"/>
      <c r="AJ862"/>
      <c r="AK862"/>
      <c r="AL862"/>
    </row>
    <row r="863">
      <c r="A863" t="s">
        <v>229</v>
      </c>
      <c r="B863" t="s">
        <v>234</v>
      </c>
      <c r="C863" t="s">
        <v>212</v>
      </c>
      <c r="D863" t="s">
        <v>213</v>
      </c>
      <c r="E863" t="s">
        <v>338</v>
      </c>
      <c r="F863"/>
      <c r="G863"/>
      <c r="H863"/>
      <c r="I863" t="s">
        <v>417</v>
      </c>
      <c r="J863" t="s">
        <v>417</v>
      </c>
      <c r="K863" t="s">
        <v>417</v>
      </c>
      <c r="L863" t="s">
        <v>417</v>
      </c>
      <c r="M863" t="s">
        <v>417</v>
      </c>
      <c r="N863" t="s">
        <v>417</v>
      </c>
      <c r="O863" t="s">
        <v>417</v>
      </c>
      <c r="P863" t="s">
        <v>417</v>
      </c>
      <c r="Q863" t="s">
        <v>417</v>
      </c>
      <c r="R863"/>
      <c r="S863"/>
      <c r="T863"/>
      <c r="U863"/>
      <c r="V863"/>
      <c r="W863"/>
      <c r="X863"/>
      <c r="Y863"/>
      <c r="Z863"/>
      <c r="AA863"/>
      <c r="AB863"/>
      <c r="AC863"/>
      <c r="AD863" t="n">
        <v>12</v>
      </c>
      <c r="AE863" t="n">
        <v>12</v>
      </c>
      <c r="AF863" t="n">
        <v>12</v>
      </c>
      <c r="AG863"/>
      <c r="AH863"/>
      <c r="AI863"/>
      <c r="AJ863"/>
      <c r="AK863"/>
      <c r="AL863"/>
    </row>
    <row r="864">
      <c r="A864" t="s">
        <v>229</v>
      </c>
      <c r="B864" t="s">
        <v>234</v>
      </c>
      <c r="C864" t="s">
        <v>212</v>
      </c>
      <c r="D864" t="s">
        <v>213</v>
      </c>
      <c r="E864" t="s">
        <v>339</v>
      </c>
      <c r="F864"/>
      <c r="G864"/>
      <c r="H864"/>
      <c r="I864" t="s">
        <v>1860</v>
      </c>
      <c r="J864" t="s">
        <v>1861</v>
      </c>
      <c r="K864" t="s">
        <v>1862</v>
      </c>
      <c r="L864" t="s">
        <v>1863</v>
      </c>
      <c r="M864" t="s">
        <v>1864</v>
      </c>
      <c r="N864" t="s">
        <v>1865</v>
      </c>
      <c r="O864" t="s">
        <v>1866</v>
      </c>
      <c r="P864" t="s">
        <v>1867</v>
      </c>
      <c r="Q864" t="s">
        <v>1868</v>
      </c>
      <c r="R864"/>
      <c r="S864"/>
      <c r="T864"/>
      <c r="U864"/>
      <c r="V864"/>
      <c r="W864"/>
      <c r="X864"/>
      <c r="Y864"/>
      <c r="Z864"/>
      <c r="AA864"/>
      <c r="AB864"/>
      <c r="AC864"/>
      <c r="AD864" t="n">
        <v>0</v>
      </c>
      <c r="AE864" t="n">
        <v>0</v>
      </c>
      <c r="AF864" t="n">
        <v>0</v>
      </c>
      <c r="AG864"/>
      <c r="AH864"/>
      <c r="AI864"/>
      <c r="AJ864"/>
      <c r="AK864"/>
      <c r="AL864"/>
    </row>
    <row r="865">
      <c r="A865" t="s">
        <v>229</v>
      </c>
      <c r="B865" t="s">
        <v>234</v>
      </c>
      <c r="C865" t="s">
        <v>212</v>
      </c>
      <c r="D865" t="s">
        <v>213</v>
      </c>
      <c r="E865" t="s">
        <v>358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</row>
    <row r="866">
      <c r="A866" t="s">
        <v>261</v>
      </c>
      <c r="B866" t="s">
        <v>262</v>
      </c>
      <c r="C866" t="s">
        <v>212</v>
      </c>
      <c r="D866" t="s">
        <v>213</v>
      </c>
      <c r="E866" t="s">
        <v>297</v>
      </c>
      <c r="F866"/>
      <c r="G866"/>
      <c r="H866"/>
      <c r="I866"/>
      <c r="J866"/>
      <c r="K866"/>
      <c r="L866" t="s">
        <v>1869</v>
      </c>
      <c r="M866" t="s">
        <v>1870</v>
      </c>
      <c r="N866" t="s">
        <v>1871</v>
      </c>
      <c r="O866" t="s">
        <v>1872</v>
      </c>
      <c r="P866" t="s">
        <v>1873</v>
      </c>
      <c r="Q866" t="s">
        <v>1874</v>
      </c>
      <c r="R866" t="s">
        <v>1875</v>
      </c>
      <c r="S866" t="s">
        <v>1876</v>
      </c>
      <c r="T866" t="s">
        <v>1877</v>
      </c>
      <c r="U866" t="s">
        <v>1878</v>
      </c>
      <c r="V866" t="s">
        <v>1879</v>
      </c>
      <c r="W866" t="s">
        <v>1880</v>
      </c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</row>
    <row r="867">
      <c r="A867" t="s">
        <v>261</v>
      </c>
      <c r="B867" t="s">
        <v>262</v>
      </c>
      <c r="C867" t="s">
        <v>212</v>
      </c>
      <c r="D867" t="s">
        <v>213</v>
      </c>
      <c r="E867" t="s">
        <v>316</v>
      </c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</row>
    <row r="868">
      <c r="A868" t="s">
        <v>261</v>
      </c>
      <c r="B868" t="s">
        <v>262</v>
      </c>
      <c r="C868" t="s">
        <v>212</v>
      </c>
      <c r="D868" t="s">
        <v>213</v>
      </c>
      <c r="E868" t="s">
        <v>317</v>
      </c>
      <c r="F868"/>
      <c r="G868"/>
      <c r="H868"/>
      <c r="I868"/>
      <c r="J868"/>
      <c r="K868"/>
      <c r="L868" t="s">
        <v>1881</v>
      </c>
      <c r="M868" t="s">
        <v>1881</v>
      </c>
      <c r="N868" t="s">
        <v>1881</v>
      </c>
      <c r="O868" t="s">
        <v>1881</v>
      </c>
      <c r="P868" t="s">
        <v>1881</v>
      </c>
      <c r="Q868" t="s">
        <v>1881</v>
      </c>
      <c r="R868" t="s">
        <v>1881</v>
      </c>
      <c r="S868" t="s">
        <v>1881</v>
      </c>
      <c r="T868" t="s">
        <v>1881</v>
      </c>
      <c r="U868" t="s">
        <v>1881</v>
      </c>
      <c r="V868" t="s">
        <v>1881</v>
      </c>
      <c r="W868" t="s">
        <v>1881</v>
      </c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</row>
    <row r="869">
      <c r="A869" t="s">
        <v>261</v>
      </c>
      <c r="B869" t="s">
        <v>262</v>
      </c>
      <c r="C869" t="s">
        <v>212</v>
      </c>
      <c r="D869" t="s">
        <v>213</v>
      </c>
      <c r="E869" t="s">
        <v>320</v>
      </c>
      <c r="F869"/>
      <c r="G869"/>
      <c r="H869"/>
      <c r="I869"/>
      <c r="J869"/>
      <c r="K869"/>
      <c r="L869" t="s">
        <v>1870</v>
      </c>
      <c r="M869" t="s">
        <v>1871</v>
      </c>
      <c r="N869" t="s">
        <v>1872</v>
      </c>
      <c r="O869" t="s">
        <v>1873</v>
      </c>
      <c r="P869" t="s">
        <v>1874</v>
      </c>
      <c r="Q869" t="s">
        <v>1875</v>
      </c>
      <c r="R869" t="s">
        <v>1876</v>
      </c>
      <c r="S869" t="s">
        <v>1877</v>
      </c>
      <c r="T869" t="s">
        <v>1878</v>
      </c>
      <c r="U869" t="s">
        <v>1879</v>
      </c>
      <c r="V869" t="s">
        <v>1880</v>
      </c>
      <c r="W869" t="s">
        <v>1882</v>
      </c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</row>
    <row r="870">
      <c r="A870" t="s">
        <v>261</v>
      </c>
      <c r="B870" t="s">
        <v>262</v>
      </c>
      <c r="C870" t="s">
        <v>212</v>
      </c>
      <c r="D870" t="s">
        <v>213</v>
      </c>
      <c r="E870" t="s">
        <v>323</v>
      </c>
      <c r="F870"/>
      <c r="G870"/>
      <c r="H870"/>
      <c r="I870"/>
      <c r="J870"/>
      <c r="K870"/>
      <c r="L870"/>
      <c r="M870" t="s">
        <v>236</v>
      </c>
      <c r="N870"/>
      <c r="O870"/>
      <c r="P870"/>
      <c r="Q870"/>
      <c r="R870" t="s">
        <v>272</v>
      </c>
      <c r="S870"/>
      <c r="T870"/>
      <c r="U870"/>
      <c r="V870"/>
      <c r="W870" t="s">
        <v>272</v>
      </c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</row>
    <row r="871">
      <c r="A871" t="s">
        <v>261</v>
      </c>
      <c r="B871" t="s">
        <v>262</v>
      </c>
      <c r="C871" t="s">
        <v>212</v>
      </c>
      <c r="D871" t="s">
        <v>213</v>
      </c>
      <c r="E871" t="s">
        <v>324</v>
      </c>
      <c r="F871"/>
      <c r="G871"/>
      <c r="H871"/>
      <c r="I871"/>
      <c r="J871"/>
      <c r="K871"/>
      <c r="L871"/>
      <c r="M871" t="s">
        <v>236</v>
      </c>
      <c r="N871"/>
      <c r="O871"/>
      <c r="P871"/>
      <c r="Q871"/>
      <c r="R871" t="s">
        <v>272</v>
      </c>
      <c r="S871"/>
      <c r="T871"/>
      <c r="U871"/>
      <c r="V871"/>
      <c r="W871" t="s">
        <v>272</v>
      </c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</row>
    <row r="872">
      <c r="A872" t="s">
        <v>261</v>
      </c>
      <c r="B872" t="s">
        <v>262</v>
      </c>
      <c r="C872" t="s">
        <v>212</v>
      </c>
      <c r="D872" t="s">
        <v>213</v>
      </c>
      <c r="E872" t="s">
        <v>325</v>
      </c>
      <c r="F872"/>
      <c r="G872"/>
      <c r="H872"/>
      <c r="I872"/>
      <c r="J872"/>
      <c r="K872"/>
      <c r="L872"/>
      <c r="M872" t="s">
        <v>269</v>
      </c>
      <c r="N872"/>
      <c r="O872"/>
      <c r="P872"/>
      <c r="Q872"/>
      <c r="R872" t="s">
        <v>269</v>
      </c>
      <c r="S872"/>
      <c r="T872"/>
      <c r="U872"/>
      <c r="V872"/>
      <c r="W872" t="s">
        <v>269</v>
      </c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</row>
    <row r="873">
      <c r="A873" t="s">
        <v>261</v>
      </c>
      <c r="B873" t="s">
        <v>262</v>
      </c>
      <c r="C873" t="s">
        <v>212</v>
      </c>
      <c r="D873" t="s">
        <v>213</v>
      </c>
      <c r="E873" t="s">
        <v>326</v>
      </c>
      <c r="F873"/>
      <c r="G873"/>
      <c r="H873"/>
      <c r="I873"/>
      <c r="J873"/>
      <c r="K873"/>
      <c r="L873"/>
      <c r="M873" t="s">
        <v>1883</v>
      </c>
      <c r="N873"/>
      <c r="O873"/>
      <c r="P873"/>
      <c r="Q873"/>
      <c r="R873" t="s">
        <v>1884</v>
      </c>
      <c r="S873"/>
      <c r="T873"/>
      <c r="U873"/>
      <c r="V873"/>
      <c r="W873" t="s">
        <v>1885</v>
      </c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</row>
    <row r="874">
      <c r="A874" t="s">
        <v>261</v>
      </c>
      <c r="B874" t="s">
        <v>262</v>
      </c>
      <c r="C874" t="s">
        <v>212</v>
      </c>
      <c r="D874" t="s">
        <v>213</v>
      </c>
      <c r="E874" t="s">
        <v>329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</row>
    <row r="875">
      <c r="A875" t="s">
        <v>261</v>
      </c>
      <c r="B875" t="s">
        <v>262</v>
      </c>
      <c r="C875" t="s">
        <v>212</v>
      </c>
      <c r="D875" t="s">
        <v>213</v>
      </c>
      <c r="E875" t="s">
        <v>330</v>
      </c>
      <c r="F875"/>
      <c r="G875"/>
      <c r="H875"/>
      <c r="I875"/>
      <c r="J875"/>
      <c r="K875"/>
      <c r="L875"/>
      <c r="M875" t="s">
        <v>1886</v>
      </c>
      <c r="N875"/>
      <c r="O875"/>
      <c r="P875"/>
      <c r="Q875"/>
      <c r="R875" t="s">
        <v>1887</v>
      </c>
      <c r="S875"/>
      <c r="T875"/>
      <c r="U875"/>
      <c r="V875"/>
      <c r="W875" t="s">
        <v>1888</v>
      </c>
      <c r="X875"/>
      <c r="Y875"/>
      <c r="Z875"/>
      <c r="AA875"/>
      <c r="AB875"/>
      <c r="AC875"/>
      <c r="AD875" t="n">
        <v>17575790</v>
      </c>
      <c r="AE875" t="n">
        <v>16476667</v>
      </c>
      <c r="AF875"/>
      <c r="AG875"/>
      <c r="AH875"/>
      <c r="AI875"/>
      <c r="AJ875"/>
      <c r="AK875"/>
      <c r="AL875"/>
    </row>
    <row r="876">
      <c r="A876" t="s">
        <v>261</v>
      </c>
      <c r="B876" t="s">
        <v>262</v>
      </c>
      <c r="C876" t="s">
        <v>212</v>
      </c>
      <c r="D876" t="s">
        <v>213</v>
      </c>
      <c r="E876" t="s">
        <v>331</v>
      </c>
      <c r="F876"/>
      <c r="G876"/>
      <c r="H876"/>
      <c r="I876"/>
      <c r="J876"/>
      <c r="K876"/>
      <c r="L876"/>
      <c r="M876" t="s">
        <v>270</v>
      </c>
      <c r="N876"/>
      <c r="O876"/>
      <c r="P876"/>
      <c r="Q876"/>
      <c r="R876" t="s">
        <v>282</v>
      </c>
      <c r="S876"/>
      <c r="T876"/>
      <c r="U876"/>
      <c r="V876"/>
      <c r="W876" t="s">
        <v>286</v>
      </c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</row>
    <row r="877">
      <c r="A877" t="s">
        <v>261</v>
      </c>
      <c r="B877" t="s">
        <v>262</v>
      </c>
      <c r="C877" t="s">
        <v>212</v>
      </c>
      <c r="D877" t="s">
        <v>213</v>
      </c>
      <c r="E877" t="s">
        <v>332</v>
      </c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 t="n">
        <v>1099123</v>
      </c>
      <c r="AE877" t="n">
        <v>1099123</v>
      </c>
      <c r="AF877"/>
      <c r="AG877"/>
      <c r="AH877"/>
      <c r="AI877"/>
      <c r="AJ877"/>
      <c r="AK877"/>
      <c r="AL877"/>
    </row>
    <row r="878">
      <c r="A878" t="s">
        <v>261</v>
      </c>
      <c r="B878" t="s">
        <v>262</v>
      </c>
      <c r="C878" t="s">
        <v>212</v>
      </c>
      <c r="D878" t="s">
        <v>213</v>
      </c>
      <c r="E878" t="s">
        <v>333</v>
      </c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 t="n">
        <v>16476667</v>
      </c>
      <c r="AE878" t="n">
        <v>15377544</v>
      </c>
      <c r="AF878"/>
      <c r="AG878"/>
      <c r="AH878"/>
      <c r="AI878"/>
      <c r="AJ878"/>
      <c r="AK878"/>
      <c r="AL878"/>
    </row>
    <row r="879">
      <c r="A879" t="s">
        <v>261</v>
      </c>
      <c r="B879" t="s">
        <v>262</v>
      </c>
      <c r="C879" t="s">
        <v>212</v>
      </c>
      <c r="D879" t="s">
        <v>213</v>
      </c>
      <c r="E879" t="s">
        <v>334</v>
      </c>
      <c r="F879"/>
      <c r="G879"/>
      <c r="H879"/>
      <c r="I879"/>
      <c r="J879"/>
      <c r="K879"/>
      <c r="L879" t="s">
        <v>416</v>
      </c>
      <c r="M879" t="s">
        <v>416</v>
      </c>
      <c r="N879" t="s">
        <v>416</v>
      </c>
      <c r="O879" t="s">
        <v>416</v>
      </c>
      <c r="P879" t="s">
        <v>416</v>
      </c>
      <c r="Q879" t="s">
        <v>416</v>
      </c>
      <c r="R879" t="s">
        <v>416</v>
      </c>
      <c r="S879" t="s">
        <v>416</v>
      </c>
      <c r="T879" t="s">
        <v>416</v>
      </c>
      <c r="U879" t="s">
        <v>416</v>
      </c>
      <c r="V879" t="s">
        <v>416</v>
      </c>
      <c r="W879" t="s">
        <v>416</v>
      </c>
      <c r="X879"/>
      <c r="Y879"/>
      <c r="Z879"/>
      <c r="AA879"/>
      <c r="AB879"/>
      <c r="AC879"/>
      <c r="AD879" t="n">
        <v>9</v>
      </c>
      <c r="AE879" t="n">
        <v>9</v>
      </c>
      <c r="AF879"/>
      <c r="AG879"/>
      <c r="AH879"/>
      <c r="AI879"/>
      <c r="AJ879"/>
      <c r="AK879"/>
      <c r="AL879"/>
    </row>
    <row r="880">
      <c r="A880" t="s">
        <v>261</v>
      </c>
      <c r="B880" t="s">
        <v>262</v>
      </c>
      <c r="C880" t="s">
        <v>212</v>
      </c>
      <c r="D880" t="s">
        <v>213</v>
      </c>
      <c r="E880" t="s">
        <v>336</v>
      </c>
      <c r="F880"/>
      <c r="G880"/>
      <c r="H880"/>
      <c r="I880"/>
      <c r="J880"/>
      <c r="K880"/>
      <c r="L880" t="s">
        <v>1093</v>
      </c>
      <c r="M880" t="s">
        <v>1093</v>
      </c>
      <c r="N880" t="s">
        <v>1093</v>
      </c>
      <c r="O880" t="s">
        <v>1093</v>
      </c>
      <c r="P880" t="s">
        <v>1093</v>
      </c>
      <c r="Q880" t="s">
        <v>1093</v>
      </c>
      <c r="R880" t="s">
        <v>1093</v>
      </c>
      <c r="S880" t="s">
        <v>1093</v>
      </c>
      <c r="T880" t="s">
        <v>1093</v>
      </c>
      <c r="U880" t="s">
        <v>1093</v>
      </c>
      <c r="V880" t="s">
        <v>1093</v>
      </c>
      <c r="W880" t="s">
        <v>1093</v>
      </c>
      <c r="X880"/>
      <c r="Y880"/>
      <c r="Z880"/>
      <c r="AA880"/>
      <c r="AB880"/>
      <c r="AC880"/>
      <c r="AD880" t="n">
        <v>14</v>
      </c>
      <c r="AE880" t="n">
        <v>14</v>
      </c>
      <c r="AF880"/>
      <c r="AG880"/>
      <c r="AH880"/>
      <c r="AI880"/>
      <c r="AJ880"/>
      <c r="AK880"/>
      <c r="AL880"/>
    </row>
    <row r="881">
      <c r="A881" t="s">
        <v>261</v>
      </c>
      <c r="B881" t="s">
        <v>262</v>
      </c>
      <c r="C881" t="s">
        <v>212</v>
      </c>
      <c r="D881" t="s">
        <v>213</v>
      </c>
      <c r="E881" t="s">
        <v>338</v>
      </c>
      <c r="F881"/>
      <c r="G881"/>
      <c r="H881"/>
      <c r="I881"/>
      <c r="J881"/>
      <c r="K881"/>
      <c r="L881" t="s">
        <v>1889</v>
      </c>
      <c r="M881" t="s">
        <v>1889</v>
      </c>
      <c r="N881" t="s">
        <v>1889</v>
      </c>
      <c r="O881" t="s">
        <v>1889</v>
      </c>
      <c r="P881" t="s">
        <v>1889</v>
      </c>
      <c r="Q881" t="s">
        <v>1889</v>
      </c>
      <c r="R881" t="s">
        <v>1889</v>
      </c>
      <c r="S881" t="s">
        <v>1889</v>
      </c>
      <c r="T881" t="s">
        <v>1889</v>
      </c>
      <c r="U881" t="s">
        <v>1889</v>
      </c>
      <c r="V881" t="s">
        <v>1889</v>
      </c>
      <c r="W881" t="s">
        <v>1889</v>
      </c>
      <c r="X881"/>
      <c r="Y881"/>
      <c r="Z881"/>
      <c r="AA881"/>
      <c r="AB881"/>
      <c r="AC881"/>
      <c r="AD881" t="n">
        <v>13</v>
      </c>
      <c r="AE881" t="n">
        <v>13</v>
      </c>
      <c r="AF881"/>
      <c r="AG881"/>
      <c r="AH881"/>
      <c r="AI881"/>
      <c r="AJ881"/>
      <c r="AK881"/>
      <c r="AL881"/>
    </row>
    <row r="882">
      <c r="A882" t="s">
        <v>261</v>
      </c>
      <c r="B882" t="s">
        <v>262</v>
      </c>
      <c r="C882" t="s">
        <v>212</v>
      </c>
      <c r="D882" t="s">
        <v>213</v>
      </c>
      <c r="E882" t="s">
        <v>339</v>
      </c>
      <c r="F882"/>
      <c r="G882"/>
      <c r="H882"/>
      <c r="I882"/>
      <c r="J882"/>
      <c r="K882"/>
      <c r="L882" t="s">
        <v>1890</v>
      </c>
      <c r="M882" t="s">
        <v>1891</v>
      </c>
      <c r="N882" t="s">
        <v>1892</v>
      </c>
      <c r="O882" t="s">
        <v>1893</v>
      </c>
      <c r="P882" t="s">
        <v>1894</v>
      </c>
      <c r="Q882" t="s">
        <v>1895</v>
      </c>
      <c r="R882" t="s">
        <v>1896</v>
      </c>
      <c r="S882" t="s">
        <v>1897</v>
      </c>
      <c r="T882" t="s">
        <v>1898</v>
      </c>
      <c r="U882" t="s">
        <v>1899</v>
      </c>
      <c r="V882" t="s">
        <v>1900</v>
      </c>
      <c r="W882" t="s">
        <v>1901</v>
      </c>
      <c r="X882"/>
      <c r="Y882"/>
      <c r="Z882"/>
      <c r="AA882"/>
      <c r="AB882"/>
      <c r="AC882"/>
      <c r="AD882" t="n">
        <v>14.990739889894</v>
      </c>
      <c r="AE882" t="n">
        <v>13.990739889894</v>
      </c>
      <c r="AF882"/>
      <c r="AG882"/>
      <c r="AH882"/>
      <c r="AI882"/>
      <c r="AJ882"/>
      <c r="AK882"/>
      <c r="AL882"/>
    </row>
    <row r="883">
      <c r="A883" t="s">
        <v>261</v>
      </c>
      <c r="B883" t="s">
        <v>262</v>
      </c>
      <c r="C883" t="s">
        <v>212</v>
      </c>
      <c r="D883" t="s">
        <v>213</v>
      </c>
      <c r="E883" t="s">
        <v>358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</row>
    <row r="884">
      <c r="A884" t="s">
        <v>261</v>
      </c>
      <c r="B884" t="s">
        <v>238</v>
      </c>
      <c r="C884" t="s">
        <v>231</v>
      </c>
      <c r="D884" t="s">
        <v>213</v>
      </c>
      <c r="E884" t="s">
        <v>297</v>
      </c>
      <c r="F884"/>
      <c r="G884"/>
      <c r="H884"/>
      <c r="I884"/>
      <c r="J884"/>
      <c r="K884"/>
      <c r="L884" t="s">
        <v>1902</v>
      </c>
      <c r="M884" t="s">
        <v>1903</v>
      </c>
      <c r="N884" t="s">
        <v>1904</v>
      </c>
      <c r="O884" t="s">
        <v>1905</v>
      </c>
      <c r="P884" t="s">
        <v>1906</v>
      </c>
      <c r="Q884" t="s">
        <v>1907</v>
      </c>
      <c r="R884" t="s">
        <v>1908</v>
      </c>
      <c r="S884" t="s">
        <v>1909</v>
      </c>
      <c r="T884" t="s">
        <v>1910</v>
      </c>
      <c r="U884" t="s">
        <v>1911</v>
      </c>
      <c r="V884" t="s">
        <v>1912</v>
      </c>
      <c r="W884" t="s">
        <v>1913</v>
      </c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</row>
    <row r="885">
      <c r="A885" t="s">
        <v>261</v>
      </c>
      <c r="B885" t="s">
        <v>238</v>
      </c>
      <c r="C885" t="s">
        <v>231</v>
      </c>
      <c r="D885" t="s">
        <v>213</v>
      </c>
      <c r="E885" t="s">
        <v>316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</row>
    <row r="886">
      <c r="A886" t="s">
        <v>261</v>
      </c>
      <c r="B886" t="s">
        <v>238</v>
      </c>
      <c r="C886" t="s">
        <v>231</v>
      </c>
      <c r="D886" t="s">
        <v>213</v>
      </c>
      <c r="E886" t="s">
        <v>317</v>
      </c>
      <c r="F886"/>
      <c r="G886"/>
      <c r="H886"/>
      <c r="I886"/>
      <c r="J886"/>
      <c r="K886"/>
      <c r="L886" t="s">
        <v>1914</v>
      </c>
      <c r="M886" t="s">
        <v>1914</v>
      </c>
      <c r="N886" t="s">
        <v>1914</v>
      </c>
      <c r="O886" t="s">
        <v>1914</v>
      </c>
      <c r="P886" t="s">
        <v>1914</v>
      </c>
      <c r="Q886" t="s">
        <v>1914</v>
      </c>
      <c r="R886" t="s">
        <v>1914</v>
      </c>
      <c r="S886" t="s">
        <v>1914</v>
      </c>
      <c r="T886" t="s">
        <v>1914</v>
      </c>
      <c r="U886" t="s">
        <v>1914</v>
      </c>
      <c r="V886" t="s">
        <v>1914</v>
      </c>
      <c r="W886" t="s">
        <v>1914</v>
      </c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</row>
    <row r="887">
      <c r="A887" t="s">
        <v>261</v>
      </c>
      <c r="B887" t="s">
        <v>238</v>
      </c>
      <c r="C887" t="s">
        <v>231</v>
      </c>
      <c r="D887" t="s">
        <v>213</v>
      </c>
      <c r="E887" t="s">
        <v>320</v>
      </c>
      <c r="F887"/>
      <c r="G887"/>
      <c r="H887"/>
      <c r="I887"/>
      <c r="J887"/>
      <c r="K887"/>
      <c r="L887" t="s">
        <v>1903</v>
      </c>
      <c r="M887" t="s">
        <v>1904</v>
      </c>
      <c r="N887" t="s">
        <v>1905</v>
      </c>
      <c r="O887" t="s">
        <v>1906</v>
      </c>
      <c r="P887" t="s">
        <v>1907</v>
      </c>
      <c r="Q887" t="s">
        <v>1908</v>
      </c>
      <c r="R887" t="s">
        <v>1909</v>
      </c>
      <c r="S887" t="s">
        <v>1910</v>
      </c>
      <c r="T887" t="s">
        <v>1911</v>
      </c>
      <c r="U887" t="s">
        <v>1912</v>
      </c>
      <c r="V887" t="s">
        <v>1913</v>
      </c>
      <c r="W887" t="s">
        <v>1915</v>
      </c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</row>
    <row r="888">
      <c r="A888" t="s">
        <v>261</v>
      </c>
      <c r="B888" t="s">
        <v>238</v>
      </c>
      <c r="C888" t="s">
        <v>231</v>
      </c>
      <c r="D888" t="s">
        <v>213</v>
      </c>
      <c r="E888" t="s">
        <v>323</v>
      </c>
      <c r="F888"/>
      <c r="G888"/>
      <c r="H888"/>
      <c r="I888"/>
      <c r="J888"/>
      <c r="K888"/>
      <c r="L888"/>
      <c r="M888"/>
      <c r="N888"/>
      <c r="O888"/>
      <c r="P888" t="s">
        <v>272</v>
      </c>
      <c r="Q888"/>
      <c r="R888"/>
      <c r="S888"/>
      <c r="T888"/>
      <c r="U888" t="s">
        <v>272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</row>
    <row r="889">
      <c r="A889" t="s">
        <v>261</v>
      </c>
      <c r="B889" t="s">
        <v>238</v>
      </c>
      <c r="C889" t="s">
        <v>231</v>
      </c>
      <c r="D889" t="s">
        <v>213</v>
      </c>
      <c r="E889" t="s">
        <v>324</v>
      </c>
      <c r="F889"/>
      <c r="G889"/>
      <c r="H889"/>
      <c r="I889"/>
      <c r="J889"/>
      <c r="K889"/>
      <c r="L889"/>
      <c r="M889"/>
      <c r="N889"/>
      <c r="O889"/>
      <c r="P889" t="s">
        <v>272</v>
      </c>
      <c r="Q889"/>
      <c r="R889"/>
      <c r="S889"/>
      <c r="T889"/>
      <c r="U889" t="s">
        <v>272</v>
      </c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</row>
    <row r="890">
      <c r="A890" t="s">
        <v>261</v>
      </c>
      <c r="B890" t="s">
        <v>238</v>
      </c>
      <c r="C890" t="s">
        <v>231</v>
      </c>
      <c r="D890" t="s">
        <v>213</v>
      </c>
      <c r="E890" t="s">
        <v>325</v>
      </c>
      <c r="F890"/>
      <c r="G890"/>
      <c r="H890"/>
      <c r="I890"/>
      <c r="J890"/>
      <c r="K890"/>
      <c r="L890"/>
      <c r="M890"/>
      <c r="N890"/>
      <c r="O890"/>
      <c r="P890" t="s">
        <v>269</v>
      </c>
      <c r="Q890"/>
      <c r="R890"/>
      <c r="S890"/>
      <c r="T890"/>
      <c r="U890" t="s">
        <v>269</v>
      </c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</row>
    <row r="891">
      <c r="A891" t="s">
        <v>261</v>
      </c>
      <c r="B891" t="s">
        <v>238</v>
      </c>
      <c r="C891" t="s">
        <v>231</v>
      </c>
      <c r="D891" t="s">
        <v>213</v>
      </c>
      <c r="E891" t="s">
        <v>326</v>
      </c>
      <c r="F891"/>
      <c r="G891"/>
      <c r="H891"/>
      <c r="I891"/>
      <c r="J891"/>
      <c r="K891"/>
      <c r="L891"/>
      <c r="M891"/>
      <c r="N891"/>
      <c r="O891"/>
      <c r="P891" t="s">
        <v>1916</v>
      </c>
      <c r="Q891"/>
      <c r="R891"/>
      <c r="S891"/>
      <c r="T891"/>
      <c r="U891" t="s">
        <v>1917</v>
      </c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</row>
    <row r="892">
      <c r="A892" t="s">
        <v>261</v>
      </c>
      <c r="B892" t="s">
        <v>238</v>
      </c>
      <c r="C892" t="s">
        <v>231</v>
      </c>
      <c r="D892" t="s">
        <v>213</v>
      </c>
      <c r="E892" t="s">
        <v>329</v>
      </c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</row>
    <row r="893">
      <c r="A893" t="s">
        <v>261</v>
      </c>
      <c r="B893" t="s">
        <v>238</v>
      </c>
      <c r="C893" t="s">
        <v>231</v>
      </c>
      <c r="D893" t="s">
        <v>213</v>
      </c>
      <c r="E893" t="s">
        <v>330</v>
      </c>
      <c r="F893"/>
      <c r="G893"/>
      <c r="H893"/>
      <c r="I893"/>
      <c r="J893"/>
      <c r="K893"/>
      <c r="L893"/>
      <c r="M893"/>
      <c r="N893"/>
      <c r="O893"/>
      <c r="P893" t="s">
        <v>1918</v>
      </c>
      <c r="Q893"/>
      <c r="R893"/>
      <c r="S893"/>
      <c r="T893"/>
      <c r="U893" t="s">
        <v>1919</v>
      </c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</row>
    <row r="894">
      <c r="A894" t="s">
        <v>261</v>
      </c>
      <c r="B894" t="s">
        <v>238</v>
      </c>
      <c r="C894" t="s">
        <v>231</v>
      </c>
      <c r="D894" t="s">
        <v>213</v>
      </c>
      <c r="E894" t="s">
        <v>331</v>
      </c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</row>
    <row r="895">
      <c r="A895" t="s">
        <v>261</v>
      </c>
      <c r="B895" t="s">
        <v>238</v>
      </c>
      <c r="C895" t="s">
        <v>231</v>
      </c>
      <c r="D895" t="s">
        <v>213</v>
      </c>
      <c r="E895" t="s">
        <v>332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</row>
    <row r="896">
      <c r="A896" t="s">
        <v>261</v>
      </c>
      <c r="B896" t="s">
        <v>238</v>
      </c>
      <c r="C896" t="s">
        <v>231</v>
      </c>
      <c r="D896" t="s">
        <v>213</v>
      </c>
      <c r="E896" t="s">
        <v>333</v>
      </c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</row>
    <row r="897">
      <c r="A897" t="s">
        <v>261</v>
      </c>
      <c r="B897" t="s">
        <v>238</v>
      </c>
      <c r="C897" t="s">
        <v>231</v>
      </c>
      <c r="D897" t="s">
        <v>213</v>
      </c>
      <c r="E897" t="s">
        <v>334</v>
      </c>
      <c r="F897"/>
      <c r="G897"/>
      <c r="H897"/>
      <c r="I897"/>
      <c r="J897"/>
      <c r="K897"/>
      <c r="L897" t="s">
        <v>416</v>
      </c>
      <c r="M897" t="s">
        <v>416</v>
      </c>
      <c r="N897" t="s">
        <v>416</v>
      </c>
      <c r="O897" t="s">
        <v>416</v>
      </c>
      <c r="P897" t="s">
        <v>416</v>
      </c>
      <c r="Q897" t="s">
        <v>416</v>
      </c>
      <c r="R897" t="s">
        <v>416</v>
      </c>
      <c r="S897" t="s">
        <v>416</v>
      </c>
      <c r="T897" t="s">
        <v>416</v>
      </c>
      <c r="U897" t="s">
        <v>416</v>
      </c>
      <c r="V897" t="s">
        <v>416</v>
      </c>
      <c r="W897" t="s">
        <v>416</v>
      </c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</row>
    <row r="898">
      <c r="A898" t="s">
        <v>261</v>
      </c>
      <c r="B898" t="s">
        <v>238</v>
      </c>
      <c r="C898" t="s">
        <v>231</v>
      </c>
      <c r="D898" t="s">
        <v>213</v>
      </c>
      <c r="E898" t="s">
        <v>336</v>
      </c>
      <c r="F898"/>
      <c r="G898"/>
      <c r="H898"/>
      <c r="I898"/>
      <c r="J898"/>
      <c r="K898"/>
      <c r="L898" t="s">
        <v>1093</v>
      </c>
      <c r="M898" t="s">
        <v>1093</v>
      </c>
      <c r="N898" t="s">
        <v>1093</v>
      </c>
      <c r="O898" t="s">
        <v>1093</v>
      </c>
      <c r="P898" t="s">
        <v>1093</v>
      </c>
      <c r="Q898" t="s">
        <v>1093</v>
      </c>
      <c r="R898" t="s">
        <v>1093</v>
      </c>
      <c r="S898" t="s">
        <v>1093</v>
      </c>
      <c r="T898" t="s">
        <v>1093</v>
      </c>
      <c r="U898" t="s">
        <v>1093</v>
      </c>
      <c r="V898" t="s">
        <v>1093</v>
      </c>
      <c r="W898" t="s">
        <v>1093</v>
      </c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</row>
    <row r="899">
      <c r="A899" t="s">
        <v>261</v>
      </c>
      <c r="B899" t="s">
        <v>238</v>
      </c>
      <c r="C899" t="s">
        <v>231</v>
      </c>
      <c r="D899" t="s">
        <v>213</v>
      </c>
      <c r="E899" t="s">
        <v>338</v>
      </c>
      <c r="F899"/>
      <c r="G899"/>
      <c r="H899"/>
      <c r="I899"/>
      <c r="J899"/>
      <c r="K899"/>
      <c r="L899" t="s">
        <v>1889</v>
      </c>
      <c r="M899" t="s">
        <v>1889</v>
      </c>
      <c r="N899" t="s">
        <v>1889</v>
      </c>
      <c r="O899" t="s">
        <v>1889</v>
      </c>
      <c r="P899" t="s">
        <v>1889</v>
      </c>
      <c r="Q899" t="s">
        <v>1889</v>
      </c>
      <c r="R899" t="s">
        <v>1889</v>
      </c>
      <c r="S899" t="s">
        <v>1889</v>
      </c>
      <c r="T899" t="s">
        <v>1889</v>
      </c>
      <c r="U899" t="s">
        <v>1889</v>
      </c>
      <c r="V899" t="s">
        <v>1889</v>
      </c>
      <c r="W899" t="s">
        <v>1889</v>
      </c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</row>
    <row r="900">
      <c r="A900" t="s">
        <v>261</v>
      </c>
      <c r="B900" t="s">
        <v>238</v>
      </c>
      <c r="C900" t="s">
        <v>231</v>
      </c>
      <c r="D900" t="s">
        <v>213</v>
      </c>
      <c r="E900" t="s">
        <v>339</v>
      </c>
      <c r="F900"/>
      <c r="G900"/>
      <c r="H900"/>
      <c r="I900"/>
      <c r="J900"/>
      <c r="K900"/>
      <c r="L900" t="s">
        <v>1920</v>
      </c>
      <c r="M900" t="s">
        <v>1921</v>
      </c>
      <c r="N900" t="s">
        <v>1922</v>
      </c>
      <c r="O900" t="s">
        <v>1923</v>
      </c>
      <c r="P900" t="s">
        <v>1924</v>
      </c>
      <c r="Q900" t="s">
        <v>1925</v>
      </c>
      <c r="R900" t="s">
        <v>1926</v>
      </c>
      <c r="S900" t="s">
        <v>1927</v>
      </c>
      <c r="T900" t="s">
        <v>1928</v>
      </c>
      <c r="U900" t="s">
        <v>1929</v>
      </c>
      <c r="V900" t="s">
        <v>1930</v>
      </c>
      <c r="W900" t="s">
        <v>1931</v>
      </c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</row>
    <row r="901">
      <c r="A901" t="s">
        <v>261</v>
      </c>
      <c r="B901" t="s">
        <v>238</v>
      </c>
      <c r="C901" t="s">
        <v>231</v>
      </c>
      <c r="D901" t="s">
        <v>213</v>
      </c>
      <c r="E901" t="s">
        <v>358</v>
      </c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</row>
    <row r="902">
      <c r="A902" t="s">
        <v>210</v>
      </c>
      <c r="B902" t="s">
        <v>238</v>
      </c>
      <c r="C902" t="s">
        <v>231</v>
      </c>
      <c r="D902" t="s">
        <v>213</v>
      </c>
      <c r="E902" t="s">
        <v>297</v>
      </c>
      <c r="F902"/>
      <c r="G902"/>
      <c r="H902"/>
      <c r="I902"/>
      <c r="J902"/>
      <c r="K902"/>
      <c r="L902" t="s">
        <v>360</v>
      </c>
      <c r="M902" t="s">
        <v>360</v>
      </c>
      <c r="N902" t="s">
        <v>360</v>
      </c>
      <c r="O902" t="s">
        <v>360</v>
      </c>
      <c r="P902" t="s">
        <v>360</v>
      </c>
      <c r="Q902" t="s">
        <v>1932</v>
      </c>
      <c r="R902" t="s">
        <v>1933</v>
      </c>
      <c r="S902" t="s">
        <v>1934</v>
      </c>
      <c r="T902" t="s">
        <v>1935</v>
      </c>
      <c r="U902" t="s">
        <v>1936</v>
      </c>
      <c r="V902" t="s">
        <v>1937</v>
      </c>
      <c r="W902" t="s">
        <v>1938</v>
      </c>
      <c r="X902"/>
      <c r="Y902"/>
      <c r="Z902"/>
      <c r="AA902"/>
      <c r="AB902"/>
      <c r="AC902"/>
      <c r="AD902" t="n">
        <v>16163407</v>
      </c>
      <c r="AE902" t="n">
        <v>14128114</v>
      </c>
      <c r="AF902" t="n">
        <v>12092821</v>
      </c>
      <c r="AG902"/>
      <c r="AH902"/>
      <c r="AI902"/>
      <c r="AJ902"/>
      <c r="AK902"/>
      <c r="AL902"/>
    </row>
    <row r="903">
      <c r="A903" t="s">
        <v>210</v>
      </c>
      <c r="B903" t="s">
        <v>238</v>
      </c>
      <c r="C903" t="s">
        <v>231</v>
      </c>
      <c r="D903" t="s">
        <v>213</v>
      </c>
      <c r="E903" t="s">
        <v>316</v>
      </c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</row>
    <row r="904">
      <c r="A904" t="s">
        <v>210</v>
      </c>
      <c r="B904" t="s">
        <v>238</v>
      </c>
      <c r="C904" t="s">
        <v>231</v>
      </c>
      <c r="D904" t="s">
        <v>213</v>
      </c>
      <c r="E904" t="s">
        <v>317</v>
      </c>
      <c r="F904"/>
      <c r="G904"/>
      <c r="H904"/>
      <c r="I904"/>
      <c r="J904"/>
      <c r="K904"/>
      <c r="L904" t="s">
        <v>1939</v>
      </c>
      <c r="M904" t="s">
        <v>1939</v>
      </c>
      <c r="N904" t="s">
        <v>1939</v>
      </c>
      <c r="O904" t="s">
        <v>1939</v>
      </c>
      <c r="P904" t="s">
        <v>1939</v>
      </c>
      <c r="Q904" t="s">
        <v>1939</v>
      </c>
      <c r="R904" t="s">
        <v>1939</v>
      </c>
      <c r="S904" t="s">
        <v>1939</v>
      </c>
      <c r="T904" t="s">
        <v>1939</v>
      </c>
      <c r="U904" t="s">
        <v>1939</v>
      </c>
      <c r="V904" t="s">
        <v>1939</v>
      </c>
      <c r="W904" t="s">
        <v>1939</v>
      </c>
      <c r="X904"/>
      <c r="Y904"/>
      <c r="Z904"/>
      <c r="AA904"/>
      <c r="AB904"/>
      <c r="AC904"/>
      <c r="AD904" t="n">
        <v>2035293</v>
      </c>
      <c r="AE904" t="n">
        <v>2035293</v>
      </c>
      <c r="AF904" t="n">
        <v>2035293</v>
      </c>
      <c r="AG904"/>
      <c r="AH904"/>
      <c r="AI904"/>
      <c r="AJ904"/>
      <c r="AK904"/>
      <c r="AL904"/>
    </row>
    <row r="905">
      <c r="A905" t="s">
        <v>210</v>
      </c>
      <c r="B905" t="s">
        <v>238</v>
      </c>
      <c r="C905" t="s">
        <v>231</v>
      </c>
      <c r="D905" t="s">
        <v>213</v>
      </c>
      <c r="E905" t="s">
        <v>320</v>
      </c>
      <c r="F905"/>
      <c r="G905"/>
      <c r="H905"/>
      <c r="I905"/>
      <c r="J905"/>
      <c r="K905"/>
      <c r="L905" t="s">
        <v>360</v>
      </c>
      <c r="M905" t="s">
        <v>360</v>
      </c>
      <c r="N905" t="s">
        <v>360</v>
      </c>
      <c r="O905" t="s">
        <v>360</v>
      </c>
      <c r="P905" t="s">
        <v>1932</v>
      </c>
      <c r="Q905" t="s">
        <v>1933</v>
      </c>
      <c r="R905" t="s">
        <v>1934</v>
      </c>
      <c r="S905" t="s">
        <v>1935</v>
      </c>
      <c r="T905" t="s">
        <v>1936</v>
      </c>
      <c r="U905" t="s">
        <v>1937</v>
      </c>
      <c r="V905" t="s">
        <v>1938</v>
      </c>
      <c r="W905" t="s">
        <v>1940</v>
      </c>
      <c r="X905"/>
      <c r="Y905"/>
      <c r="Z905"/>
      <c r="AA905"/>
      <c r="AB905"/>
      <c r="AC905"/>
      <c r="AD905" t="n">
        <v>14128114</v>
      </c>
      <c r="AE905" t="n">
        <v>12092821</v>
      </c>
      <c r="AF905" t="n">
        <v>10057528</v>
      </c>
      <c r="AG905"/>
      <c r="AH905"/>
      <c r="AI905"/>
      <c r="AJ905"/>
      <c r="AK905"/>
      <c r="AL905"/>
    </row>
    <row r="906">
      <c r="A906" t="s">
        <v>210</v>
      </c>
      <c r="B906" t="s">
        <v>238</v>
      </c>
      <c r="C906" t="s">
        <v>231</v>
      </c>
      <c r="D906" t="s">
        <v>213</v>
      </c>
      <c r="E906" t="s">
        <v>323</v>
      </c>
      <c r="F906"/>
      <c r="G906"/>
      <c r="H906"/>
      <c r="I906"/>
      <c r="J906"/>
      <c r="K906"/>
      <c r="L906"/>
      <c r="M906"/>
      <c r="N906"/>
      <c r="O906"/>
      <c r="P906" t="s">
        <v>266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 t="n">
        <v>6</v>
      </c>
      <c r="AE906" t="n">
        <v>6</v>
      </c>
      <c r="AF906" t="n">
        <v>6</v>
      </c>
      <c r="AG906"/>
      <c r="AH906"/>
      <c r="AI906"/>
      <c r="AJ906"/>
      <c r="AK906"/>
      <c r="AL906"/>
    </row>
    <row r="907">
      <c r="A907" t="s">
        <v>210</v>
      </c>
      <c r="B907" t="s">
        <v>238</v>
      </c>
      <c r="C907" t="s">
        <v>231</v>
      </c>
      <c r="D907" t="s">
        <v>213</v>
      </c>
      <c r="E907" t="s">
        <v>324</v>
      </c>
      <c r="F907"/>
      <c r="G907"/>
      <c r="H907"/>
      <c r="I907"/>
      <c r="J907"/>
      <c r="K907"/>
      <c r="L907"/>
      <c r="M907"/>
      <c r="N907"/>
      <c r="O907"/>
      <c r="P907" t="s">
        <v>266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 t="n">
        <v>12</v>
      </c>
      <c r="AE907" t="n">
        <v>12</v>
      </c>
      <c r="AF907" t="n">
        <v>12</v>
      </c>
      <c r="AG907"/>
      <c r="AH907"/>
      <c r="AI907"/>
      <c r="AJ907"/>
      <c r="AK907"/>
      <c r="AL907"/>
    </row>
    <row r="908">
      <c r="A908" t="s">
        <v>210</v>
      </c>
      <c r="B908" t="s">
        <v>238</v>
      </c>
      <c r="C908" t="s">
        <v>231</v>
      </c>
      <c r="D908" t="s">
        <v>213</v>
      </c>
      <c r="E908" t="s">
        <v>325</v>
      </c>
      <c r="F908"/>
      <c r="G908"/>
      <c r="H908"/>
      <c r="I908"/>
      <c r="J908"/>
      <c r="K908"/>
      <c r="L908"/>
      <c r="M908"/>
      <c r="N908"/>
      <c r="O908"/>
      <c r="P908" t="s">
        <v>259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 t="n">
        <v>12</v>
      </c>
      <c r="AE908" t="n">
        <v>12</v>
      </c>
      <c r="AF908" t="n">
        <v>12</v>
      </c>
      <c r="AG908"/>
      <c r="AH908"/>
      <c r="AI908"/>
      <c r="AJ908"/>
      <c r="AK908"/>
      <c r="AL908"/>
    </row>
    <row r="909">
      <c r="A909" t="s">
        <v>210</v>
      </c>
      <c r="B909" t="s">
        <v>238</v>
      </c>
      <c r="C909" t="s">
        <v>231</v>
      </c>
      <c r="D909" t="s">
        <v>213</v>
      </c>
      <c r="E909" t="s">
        <v>326</v>
      </c>
      <c r="F909"/>
      <c r="G909"/>
      <c r="H909"/>
      <c r="I909"/>
      <c r="J909"/>
      <c r="K909"/>
      <c r="L909"/>
      <c r="M909"/>
      <c r="N909"/>
      <c r="O909"/>
      <c r="P909" t="s">
        <v>1941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 t="n">
        <v>6.9415627135749</v>
      </c>
      <c r="AE909" t="n">
        <v>5.9415627135749</v>
      </c>
      <c r="AF909" t="n">
        <v>4.9415627135749</v>
      </c>
      <c r="AG909"/>
      <c r="AH909"/>
      <c r="AI909"/>
      <c r="AJ909"/>
      <c r="AK909"/>
      <c r="AL909"/>
    </row>
    <row r="910">
      <c r="A910" t="s">
        <v>210</v>
      </c>
      <c r="B910" t="s">
        <v>238</v>
      </c>
      <c r="C910" t="s">
        <v>231</v>
      </c>
      <c r="D910" t="s">
        <v>213</v>
      </c>
      <c r="E910" t="s">
        <v>329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</row>
    <row r="911">
      <c r="A911" t="s">
        <v>210</v>
      </c>
      <c r="B911" t="s">
        <v>238</v>
      </c>
      <c r="C911" t="s">
        <v>231</v>
      </c>
      <c r="D911" t="s">
        <v>213</v>
      </c>
      <c r="E911" t="s">
        <v>330</v>
      </c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 t="n">
        <v>1049290</v>
      </c>
      <c r="AE911" t="n">
        <v>1030213</v>
      </c>
      <c r="AF911"/>
      <c r="AG911"/>
      <c r="AH911"/>
      <c r="AI911"/>
      <c r="AJ911"/>
      <c r="AK911"/>
      <c r="AL911"/>
    </row>
    <row r="912">
      <c r="A912" t="s">
        <v>210</v>
      </c>
      <c r="B912" t="s">
        <v>238</v>
      </c>
      <c r="C912" t="s">
        <v>231</v>
      </c>
      <c r="D912" t="s">
        <v>213</v>
      </c>
      <c r="E912" t="s">
        <v>331</v>
      </c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</row>
    <row r="913">
      <c r="A913" t="s">
        <v>210</v>
      </c>
      <c r="B913" t="s">
        <v>238</v>
      </c>
      <c r="C913" t="s">
        <v>231</v>
      </c>
      <c r="D913" t="s">
        <v>213</v>
      </c>
      <c r="E913" t="s">
        <v>332</v>
      </c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 t="n">
        <v>19077</v>
      </c>
      <c r="AE913" t="n">
        <v>19077</v>
      </c>
      <c r="AF913"/>
      <c r="AG913"/>
      <c r="AH913"/>
      <c r="AI913"/>
      <c r="AJ913"/>
      <c r="AK913"/>
      <c r="AL913"/>
    </row>
    <row r="914">
      <c r="A914" t="s">
        <v>210</v>
      </c>
      <c r="B914" t="s">
        <v>238</v>
      </c>
      <c r="C914" t="s">
        <v>231</v>
      </c>
      <c r="D914" t="s">
        <v>213</v>
      </c>
      <c r="E914" t="s">
        <v>333</v>
      </c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 t="n">
        <v>1030213</v>
      </c>
      <c r="AE914" t="n">
        <v>1011136</v>
      </c>
      <c r="AF914"/>
      <c r="AG914"/>
      <c r="AH914"/>
      <c r="AI914"/>
      <c r="AJ914"/>
      <c r="AK914"/>
      <c r="AL914"/>
    </row>
    <row r="915">
      <c r="A915" t="s">
        <v>210</v>
      </c>
      <c r="B915" t="s">
        <v>238</v>
      </c>
      <c r="C915" t="s">
        <v>231</v>
      </c>
      <c r="D915" t="s">
        <v>213</v>
      </c>
      <c r="E915" t="s">
        <v>334</v>
      </c>
      <c r="F915"/>
      <c r="G915"/>
      <c r="H915"/>
      <c r="I915"/>
      <c r="J915"/>
      <c r="K915"/>
      <c r="L915" t="s">
        <v>335</v>
      </c>
      <c r="M915" t="s">
        <v>335</v>
      </c>
      <c r="N915" t="s">
        <v>335</v>
      </c>
      <c r="O915" t="s">
        <v>335</v>
      </c>
      <c r="P915" t="s">
        <v>335</v>
      </c>
      <c r="Q915" t="s">
        <v>335</v>
      </c>
      <c r="R915" t="s">
        <v>335</v>
      </c>
      <c r="S915" t="s">
        <v>335</v>
      </c>
      <c r="T915" t="s">
        <v>335</v>
      </c>
      <c r="U915" t="s">
        <v>335</v>
      </c>
      <c r="V915" t="s">
        <v>335</v>
      </c>
      <c r="W915" t="s">
        <v>335</v>
      </c>
      <c r="X915"/>
      <c r="Y915"/>
      <c r="Z915"/>
      <c r="AA915"/>
      <c r="AB915"/>
      <c r="AC915"/>
      <c r="AD915" t="n">
        <v>9</v>
      </c>
      <c r="AE915" t="n">
        <v>9</v>
      </c>
      <c r="AF915"/>
      <c r="AG915"/>
      <c r="AH915"/>
      <c r="AI915"/>
      <c r="AJ915"/>
      <c r="AK915"/>
      <c r="AL915"/>
    </row>
    <row r="916">
      <c r="A916" t="s">
        <v>210</v>
      </c>
      <c r="B916" t="s">
        <v>238</v>
      </c>
      <c r="C916" t="s">
        <v>231</v>
      </c>
      <c r="D916" t="s">
        <v>213</v>
      </c>
      <c r="E916" t="s">
        <v>336</v>
      </c>
      <c r="F916"/>
      <c r="G916"/>
      <c r="H916"/>
      <c r="I916"/>
      <c r="J916"/>
      <c r="K916"/>
      <c r="L916" t="s">
        <v>337</v>
      </c>
      <c r="M916" t="s">
        <v>337</v>
      </c>
      <c r="N916" t="s">
        <v>337</v>
      </c>
      <c r="O916" t="s">
        <v>337</v>
      </c>
      <c r="P916" t="s">
        <v>337</v>
      </c>
      <c r="Q916" t="s">
        <v>337</v>
      </c>
      <c r="R916" t="s">
        <v>337</v>
      </c>
      <c r="S916" t="s">
        <v>337</v>
      </c>
      <c r="T916" t="s">
        <v>337</v>
      </c>
      <c r="U916" t="s">
        <v>337</v>
      </c>
      <c r="V916" t="s">
        <v>337</v>
      </c>
      <c r="W916" t="s">
        <v>337</v>
      </c>
      <c r="X916"/>
      <c r="Y916"/>
      <c r="Z916"/>
      <c r="AA916"/>
      <c r="AB916"/>
      <c r="AC916"/>
      <c r="AD916" t="n">
        <v>14</v>
      </c>
      <c r="AE916" t="n">
        <v>14</v>
      </c>
      <c r="AF916"/>
      <c r="AG916"/>
      <c r="AH916"/>
      <c r="AI916"/>
      <c r="AJ916"/>
      <c r="AK916"/>
      <c r="AL916"/>
    </row>
    <row r="917">
      <c r="A917" t="s">
        <v>210</v>
      </c>
      <c r="B917" t="s">
        <v>238</v>
      </c>
      <c r="C917" t="s">
        <v>231</v>
      </c>
      <c r="D917" t="s">
        <v>213</v>
      </c>
      <c r="E917" t="s">
        <v>338</v>
      </c>
      <c r="F917"/>
      <c r="G917"/>
      <c r="H917"/>
      <c r="I917"/>
      <c r="J917"/>
      <c r="K917"/>
      <c r="L917" t="s">
        <v>337</v>
      </c>
      <c r="M917" t="s">
        <v>337</v>
      </c>
      <c r="N917" t="s">
        <v>337</v>
      </c>
      <c r="O917" t="s">
        <v>337</v>
      </c>
      <c r="P917" t="s">
        <v>337</v>
      </c>
      <c r="Q917" t="s">
        <v>337</v>
      </c>
      <c r="R917" t="s">
        <v>337</v>
      </c>
      <c r="S917" t="s">
        <v>337</v>
      </c>
      <c r="T917" t="s">
        <v>337</v>
      </c>
      <c r="U917" t="s">
        <v>337</v>
      </c>
      <c r="V917" t="s">
        <v>337</v>
      </c>
      <c r="W917" t="s">
        <v>337</v>
      </c>
      <c r="X917"/>
      <c r="Y917"/>
      <c r="Z917"/>
      <c r="AA917"/>
      <c r="AB917"/>
      <c r="AC917"/>
      <c r="AD917" t="n">
        <v>13</v>
      </c>
      <c r="AE917" t="n">
        <v>13</v>
      </c>
      <c r="AF917"/>
      <c r="AG917"/>
      <c r="AH917"/>
      <c r="AI917"/>
      <c r="AJ917"/>
      <c r="AK917"/>
      <c r="AL917"/>
    </row>
    <row r="918">
      <c r="A918" t="s">
        <v>210</v>
      </c>
      <c r="B918" t="s">
        <v>238</v>
      </c>
      <c r="C918" t="s">
        <v>231</v>
      </c>
      <c r="D918" t="s">
        <v>213</v>
      </c>
      <c r="E918" t="s">
        <v>339</v>
      </c>
      <c r="F918"/>
      <c r="G918"/>
      <c r="H918"/>
      <c r="I918"/>
      <c r="J918"/>
      <c r="K918"/>
      <c r="L918" t="s">
        <v>360</v>
      </c>
      <c r="M918" t="s">
        <v>360</v>
      </c>
      <c r="N918" t="s">
        <v>360</v>
      </c>
      <c r="O918" t="s">
        <v>360</v>
      </c>
      <c r="P918" t="s">
        <v>1942</v>
      </c>
      <c r="Q918" t="s">
        <v>1943</v>
      </c>
      <c r="R918" t="s">
        <v>1944</v>
      </c>
      <c r="S918" t="s">
        <v>1945</v>
      </c>
      <c r="T918" t="s">
        <v>1946</v>
      </c>
      <c r="U918" t="s">
        <v>1947</v>
      </c>
      <c r="V918" t="s">
        <v>1948</v>
      </c>
      <c r="W918" t="s">
        <v>1949</v>
      </c>
      <c r="X918"/>
      <c r="Y918"/>
      <c r="Z918"/>
      <c r="AA918"/>
      <c r="AB918"/>
      <c r="AC918"/>
      <c r="AD918" t="n">
        <v>54.0028830528909</v>
      </c>
      <c r="AE918" t="n">
        <v>53.0028830528909</v>
      </c>
      <c r="AF918"/>
      <c r="AG918"/>
      <c r="AH918"/>
      <c r="AI918"/>
      <c r="AJ918"/>
      <c r="AK918"/>
      <c r="AL918"/>
    </row>
    <row r="919">
      <c r="A919" t="s">
        <v>210</v>
      </c>
      <c r="B919" t="s">
        <v>238</v>
      </c>
      <c r="C919" t="s">
        <v>231</v>
      </c>
      <c r="D919" t="s">
        <v>213</v>
      </c>
      <c r="E919" t="s">
        <v>358</v>
      </c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</row>
    <row r="920">
      <c r="A920" t="s">
        <v>210</v>
      </c>
      <c r="B920" t="s">
        <v>263</v>
      </c>
      <c r="C920" t="s">
        <v>251</v>
      </c>
      <c r="D920" t="s">
        <v>213</v>
      </c>
      <c r="E920" t="s">
        <v>297</v>
      </c>
      <c r="F920"/>
      <c r="G920"/>
      <c r="H920"/>
      <c r="I920"/>
      <c r="J920"/>
      <c r="K920"/>
      <c r="L920" t="s">
        <v>1950</v>
      </c>
      <c r="M920" t="s">
        <v>1951</v>
      </c>
      <c r="N920" t="s">
        <v>1952</v>
      </c>
      <c r="O920" t="s">
        <v>1953</v>
      </c>
      <c r="P920" t="s">
        <v>1954</v>
      </c>
      <c r="Q920" t="s">
        <v>1955</v>
      </c>
      <c r="R920" t="s">
        <v>1956</v>
      </c>
      <c r="S920" t="s">
        <v>1957</v>
      </c>
      <c r="T920" t="s">
        <v>1958</v>
      </c>
      <c r="U920" t="s">
        <v>1959</v>
      </c>
      <c r="V920" t="s">
        <v>1960</v>
      </c>
      <c r="W920" t="s">
        <v>1961</v>
      </c>
      <c r="X920"/>
      <c r="Y920"/>
      <c r="Z920"/>
      <c r="AA920"/>
      <c r="AB920"/>
      <c r="AC920"/>
      <c r="AD920" t="n">
        <v>1166857</v>
      </c>
      <c r="AE920" t="n">
        <v>1048884</v>
      </c>
      <c r="AF920" t="n">
        <v>930911</v>
      </c>
      <c r="AG920"/>
      <c r="AH920"/>
      <c r="AI920"/>
      <c r="AJ920"/>
      <c r="AK920"/>
      <c r="AL920"/>
    </row>
    <row r="921">
      <c r="A921" t="s">
        <v>210</v>
      </c>
      <c r="B921" t="s">
        <v>263</v>
      </c>
      <c r="C921" t="s">
        <v>251</v>
      </c>
      <c r="D921" t="s">
        <v>213</v>
      </c>
      <c r="E921" t="s">
        <v>316</v>
      </c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</row>
    <row r="922">
      <c r="A922" t="s">
        <v>210</v>
      </c>
      <c r="B922" t="s">
        <v>263</v>
      </c>
      <c r="C922" t="s">
        <v>251</v>
      </c>
      <c r="D922" t="s">
        <v>213</v>
      </c>
      <c r="E922" t="s">
        <v>317</v>
      </c>
      <c r="F922"/>
      <c r="G922"/>
      <c r="H922"/>
      <c r="I922"/>
      <c r="J922"/>
      <c r="K922"/>
      <c r="L922" t="s">
        <v>1962</v>
      </c>
      <c r="M922" t="s">
        <v>1962</v>
      </c>
      <c r="N922" t="s">
        <v>1962</v>
      </c>
      <c r="O922" t="s">
        <v>1962</v>
      </c>
      <c r="P922" t="s">
        <v>1962</v>
      </c>
      <c r="Q922" t="s">
        <v>1962</v>
      </c>
      <c r="R922" t="s">
        <v>1962</v>
      </c>
      <c r="S922" t="s">
        <v>1962</v>
      </c>
      <c r="T922" t="s">
        <v>1962</v>
      </c>
      <c r="U922" t="s">
        <v>1962</v>
      </c>
      <c r="V922" t="s">
        <v>1962</v>
      </c>
      <c r="W922" t="s">
        <v>1962</v>
      </c>
      <c r="X922"/>
      <c r="Y922"/>
      <c r="Z922"/>
      <c r="AA922"/>
      <c r="AB922"/>
      <c r="AC922"/>
      <c r="AD922" t="n">
        <v>117973</v>
      </c>
      <c r="AE922" t="n">
        <v>117973</v>
      </c>
      <c r="AF922" t="n">
        <v>117973</v>
      </c>
      <c r="AG922"/>
      <c r="AH922"/>
      <c r="AI922"/>
      <c r="AJ922"/>
      <c r="AK922"/>
      <c r="AL922"/>
    </row>
    <row r="923">
      <c r="A923" t="s">
        <v>210</v>
      </c>
      <c r="B923" t="s">
        <v>263</v>
      </c>
      <c r="C923" t="s">
        <v>251</v>
      </c>
      <c r="D923" t="s">
        <v>213</v>
      </c>
      <c r="E923" t="s">
        <v>320</v>
      </c>
      <c r="F923"/>
      <c r="G923"/>
      <c r="H923"/>
      <c r="I923"/>
      <c r="J923"/>
      <c r="K923"/>
      <c r="L923" t="s">
        <v>1951</v>
      </c>
      <c r="M923" t="s">
        <v>1952</v>
      </c>
      <c r="N923" t="s">
        <v>1953</v>
      </c>
      <c r="O923" t="s">
        <v>1954</v>
      </c>
      <c r="P923" t="s">
        <v>1955</v>
      </c>
      <c r="Q923" t="s">
        <v>1956</v>
      </c>
      <c r="R923" t="s">
        <v>1957</v>
      </c>
      <c r="S923" t="s">
        <v>1958</v>
      </c>
      <c r="T923" t="s">
        <v>1959</v>
      </c>
      <c r="U923" t="s">
        <v>1960</v>
      </c>
      <c r="V923" t="s">
        <v>1961</v>
      </c>
      <c r="W923" t="s">
        <v>1963</v>
      </c>
      <c r="X923"/>
      <c r="Y923"/>
      <c r="Z923"/>
      <c r="AA923"/>
      <c r="AB923"/>
      <c r="AC923"/>
      <c r="AD923" t="n">
        <v>1048884</v>
      </c>
      <c r="AE923" t="n">
        <v>930911</v>
      </c>
      <c r="AF923" t="n">
        <v>812938</v>
      </c>
      <c r="AG923"/>
      <c r="AH923"/>
      <c r="AI923"/>
      <c r="AJ923"/>
      <c r="AK923"/>
      <c r="AL923"/>
    </row>
    <row r="924">
      <c r="A924" t="s">
        <v>210</v>
      </c>
      <c r="B924" t="s">
        <v>263</v>
      </c>
      <c r="C924" t="s">
        <v>251</v>
      </c>
      <c r="D924" t="s">
        <v>213</v>
      </c>
      <c r="E924" t="s">
        <v>323</v>
      </c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 t="n">
        <v>6</v>
      </c>
      <c r="AE924" t="n">
        <v>6</v>
      </c>
      <c r="AF924" t="n">
        <v>6</v>
      </c>
      <c r="AG924"/>
      <c r="AH924"/>
      <c r="AI924"/>
      <c r="AJ924"/>
      <c r="AK924"/>
      <c r="AL924"/>
    </row>
    <row r="925">
      <c r="A925" t="s">
        <v>210</v>
      </c>
      <c r="B925" t="s">
        <v>263</v>
      </c>
      <c r="C925" t="s">
        <v>251</v>
      </c>
      <c r="D925" t="s">
        <v>213</v>
      </c>
      <c r="E925" t="s">
        <v>324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 t="n">
        <v>12</v>
      </c>
      <c r="AE925" t="n">
        <v>12</v>
      </c>
      <c r="AF925" t="n">
        <v>12</v>
      </c>
      <c r="AG925"/>
      <c r="AH925"/>
      <c r="AI925"/>
      <c r="AJ925"/>
      <c r="AK925"/>
      <c r="AL925"/>
    </row>
    <row r="926">
      <c r="A926" t="s">
        <v>210</v>
      </c>
      <c r="B926" t="s">
        <v>263</v>
      </c>
      <c r="C926" t="s">
        <v>251</v>
      </c>
      <c r="D926" t="s">
        <v>213</v>
      </c>
      <c r="E926" t="s">
        <v>325</v>
      </c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 t="n">
        <v>12</v>
      </c>
      <c r="AE926" t="n">
        <v>12</v>
      </c>
      <c r="AF926" t="n">
        <v>12</v>
      </c>
      <c r="AG926"/>
      <c r="AH926"/>
      <c r="AI926"/>
      <c r="AJ926"/>
      <c r="AK926"/>
      <c r="AL926"/>
    </row>
    <row r="927">
      <c r="A927" t="s">
        <v>210</v>
      </c>
      <c r="B927" t="s">
        <v>263</v>
      </c>
      <c r="C927" t="s">
        <v>251</v>
      </c>
      <c r="D927" t="s">
        <v>213</v>
      </c>
      <c r="E927" t="s">
        <v>326</v>
      </c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 t="n">
        <v>8.89088181194002</v>
      </c>
      <c r="AE927" t="n">
        <v>7.89088181194002</v>
      </c>
      <c r="AF927" t="n">
        <v>6.89088181194002</v>
      </c>
      <c r="AG927"/>
      <c r="AH927"/>
      <c r="AI927"/>
      <c r="AJ927"/>
      <c r="AK927"/>
      <c r="AL927"/>
    </row>
    <row r="928">
      <c r="A928" t="s">
        <v>210</v>
      </c>
      <c r="B928" t="s">
        <v>263</v>
      </c>
      <c r="C928" t="s">
        <v>251</v>
      </c>
      <c r="D928" t="s">
        <v>213</v>
      </c>
      <c r="E928" t="s">
        <v>329</v>
      </c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</row>
    <row r="929">
      <c r="A929" t="s">
        <v>210</v>
      </c>
      <c r="B929" t="s">
        <v>263</v>
      </c>
      <c r="C929" t="s">
        <v>251</v>
      </c>
      <c r="D929" t="s">
        <v>213</v>
      </c>
      <c r="E929" t="s">
        <v>330</v>
      </c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</row>
    <row r="930">
      <c r="A930" t="s">
        <v>210</v>
      </c>
      <c r="B930" t="s">
        <v>263</v>
      </c>
      <c r="C930" t="s">
        <v>251</v>
      </c>
      <c r="D930" t="s">
        <v>213</v>
      </c>
      <c r="E930" t="s">
        <v>331</v>
      </c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</row>
    <row r="931">
      <c r="A931" t="s">
        <v>210</v>
      </c>
      <c r="B931" t="s">
        <v>263</v>
      </c>
      <c r="C931" t="s">
        <v>251</v>
      </c>
      <c r="D931" t="s">
        <v>213</v>
      </c>
      <c r="E931" t="s">
        <v>332</v>
      </c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</row>
    <row r="932">
      <c r="A932" t="s">
        <v>210</v>
      </c>
      <c r="B932" t="s">
        <v>263</v>
      </c>
      <c r="C932" t="s">
        <v>251</v>
      </c>
      <c r="D932" t="s">
        <v>213</v>
      </c>
      <c r="E932" t="s">
        <v>333</v>
      </c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</row>
    <row r="933">
      <c r="A933" t="s">
        <v>210</v>
      </c>
      <c r="B933" t="s">
        <v>263</v>
      </c>
      <c r="C933" t="s">
        <v>251</v>
      </c>
      <c r="D933" t="s">
        <v>213</v>
      </c>
      <c r="E933" t="s">
        <v>334</v>
      </c>
      <c r="F933"/>
      <c r="G933"/>
      <c r="H933"/>
      <c r="I933"/>
      <c r="J933"/>
      <c r="K933"/>
      <c r="L933" t="s">
        <v>335</v>
      </c>
      <c r="M933" t="s">
        <v>335</v>
      </c>
      <c r="N933" t="s">
        <v>335</v>
      </c>
      <c r="O933" t="s">
        <v>335</v>
      </c>
      <c r="P933" t="s">
        <v>335</v>
      </c>
      <c r="Q933" t="s">
        <v>335</v>
      </c>
      <c r="R933" t="s">
        <v>335</v>
      </c>
      <c r="S933" t="s">
        <v>335</v>
      </c>
      <c r="T933" t="s">
        <v>335</v>
      </c>
      <c r="U933" t="s">
        <v>335</v>
      </c>
      <c r="V933" t="s">
        <v>335</v>
      </c>
      <c r="W933" t="s">
        <v>335</v>
      </c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</row>
    <row r="934">
      <c r="A934" t="s">
        <v>210</v>
      </c>
      <c r="B934" t="s">
        <v>263</v>
      </c>
      <c r="C934" t="s">
        <v>251</v>
      </c>
      <c r="D934" t="s">
        <v>213</v>
      </c>
      <c r="E934" t="s">
        <v>336</v>
      </c>
      <c r="F934"/>
      <c r="G934"/>
      <c r="H934"/>
      <c r="I934"/>
      <c r="J934"/>
      <c r="K934"/>
      <c r="L934" t="s">
        <v>337</v>
      </c>
      <c r="M934" t="s">
        <v>337</v>
      </c>
      <c r="N934" t="s">
        <v>337</v>
      </c>
      <c r="O934" t="s">
        <v>337</v>
      </c>
      <c r="P934" t="s">
        <v>337</v>
      </c>
      <c r="Q934" t="s">
        <v>337</v>
      </c>
      <c r="R934" t="s">
        <v>337</v>
      </c>
      <c r="S934" t="s">
        <v>337</v>
      </c>
      <c r="T934" t="s">
        <v>337</v>
      </c>
      <c r="U934" t="s">
        <v>337</v>
      </c>
      <c r="V934" t="s">
        <v>337</v>
      </c>
      <c r="W934" t="s">
        <v>337</v>
      </c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</row>
    <row r="935">
      <c r="A935" t="s">
        <v>210</v>
      </c>
      <c r="B935" t="s">
        <v>263</v>
      </c>
      <c r="C935" t="s">
        <v>251</v>
      </c>
      <c r="D935" t="s">
        <v>213</v>
      </c>
      <c r="E935" t="s">
        <v>338</v>
      </c>
      <c r="F935"/>
      <c r="G935"/>
      <c r="H935"/>
      <c r="I935"/>
      <c r="J935"/>
      <c r="K935"/>
      <c r="L935" t="s">
        <v>337</v>
      </c>
      <c r="M935" t="s">
        <v>337</v>
      </c>
      <c r="N935" t="s">
        <v>337</v>
      </c>
      <c r="O935" t="s">
        <v>337</v>
      </c>
      <c r="P935" t="s">
        <v>337</v>
      </c>
      <c r="Q935" t="s">
        <v>337</v>
      </c>
      <c r="R935" t="s">
        <v>337</v>
      </c>
      <c r="S935" t="s">
        <v>337</v>
      </c>
      <c r="T935" t="s">
        <v>337</v>
      </c>
      <c r="U935" t="s">
        <v>337</v>
      </c>
      <c r="V935" t="s">
        <v>337</v>
      </c>
      <c r="W935" t="s">
        <v>337</v>
      </c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</row>
    <row r="936">
      <c r="A936" t="s">
        <v>210</v>
      </c>
      <c r="B936" t="s">
        <v>263</v>
      </c>
      <c r="C936" t="s">
        <v>251</v>
      </c>
      <c r="D936" t="s">
        <v>213</v>
      </c>
      <c r="E936" t="s">
        <v>339</v>
      </c>
      <c r="F936"/>
      <c r="G936"/>
      <c r="H936"/>
      <c r="I936"/>
      <c r="J936"/>
      <c r="K936"/>
      <c r="L936" t="s">
        <v>1964</v>
      </c>
      <c r="M936" t="s">
        <v>1965</v>
      </c>
      <c r="N936" t="s">
        <v>1966</v>
      </c>
      <c r="O936" t="s">
        <v>1967</v>
      </c>
      <c r="P936" t="s">
        <v>1968</v>
      </c>
      <c r="Q936" t="s">
        <v>1969</v>
      </c>
      <c r="R936" t="s">
        <v>1970</v>
      </c>
      <c r="S936" t="s">
        <v>1971</v>
      </c>
      <c r="T936" t="s">
        <v>1972</v>
      </c>
      <c r="U936" t="s">
        <v>1973</v>
      </c>
      <c r="V936" t="s">
        <v>1974</v>
      </c>
      <c r="W936" t="s">
        <v>1975</v>
      </c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</row>
    <row r="937">
      <c r="A937" t="s">
        <v>210</v>
      </c>
      <c r="B937" t="s">
        <v>263</v>
      </c>
      <c r="C937" t="s">
        <v>251</v>
      </c>
      <c r="D937" t="s">
        <v>213</v>
      </c>
      <c r="E937" t="s">
        <v>358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</row>
    <row r="938">
      <c r="A938" t="s">
        <v>261</v>
      </c>
      <c r="B938" t="s">
        <v>239</v>
      </c>
      <c r="C938" t="s">
        <v>264</v>
      </c>
      <c r="D938" t="s">
        <v>213</v>
      </c>
      <c r="E938" t="s">
        <v>297</v>
      </c>
      <c r="F938"/>
      <c r="G938"/>
      <c r="H938"/>
      <c r="I938"/>
      <c r="J938"/>
      <c r="K938"/>
      <c r="L938" t="s">
        <v>1976</v>
      </c>
      <c r="M938" t="s">
        <v>1977</v>
      </c>
      <c r="N938" t="s">
        <v>1978</v>
      </c>
      <c r="O938" t="s">
        <v>1979</v>
      </c>
      <c r="P938" t="s">
        <v>1980</v>
      </c>
      <c r="Q938" t="s">
        <v>1981</v>
      </c>
      <c r="R938" t="s">
        <v>1982</v>
      </c>
      <c r="S938" t="s">
        <v>1983</v>
      </c>
      <c r="T938" t="s">
        <v>1984</v>
      </c>
      <c r="U938" t="s">
        <v>1985</v>
      </c>
      <c r="V938" t="s">
        <v>1986</v>
      </c>
      <c r="W938" t="s">
        <v>1987</v>
      </c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</row>
    <row r="939">
      <c r="A939" t="s">
        <v>261</v>
      </c>
      <c r="B939" t="s">
        <v>239</v>
      </c>
      <c r="C939" t="s">
        <v>264</v>
      </c>
      <c r="D939" t="s">
        <v>213</v>
      </c>
      <c r="E939" t="s">
        <v>316</v>
      </c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</row>
    <row r="940">
      <c r="A940" t="s">
        <v>261</v>
      </c>
      <c r="B940" t="s">
        <v>239</v>
      </c>
      <c r="C940" t="s">
        <v>264</v>
      </c>
      <c r="D940" t="s">
        <v>213</v>
      </c>
      <c r="E940" t="s">
        <v>317</v>
      </c>
      <c r="F940"/>
      <c r="G940"/>
      <c r="H940"/>
      <c r="I940"/>
      <c r="J940"/>
      <c r="K940"/>
      <c r="L940" t="s">
        <v>1988</v>
      </c>
      <c r="M940" t="s">
        <v>1988</v>
      </c>
      <c r="N940" t="s">
        <v>1988</v>
      </c>
      <c r="O940" t="s">
        <v>1988</v>
      </c>
      <c r="P940" t="s">
        <v>1988</v>
      </c>
      <c r="Q940" t="s">
        <v>1988</v>
      </c>
      <c r="R940" t="s">
        <v>1988</v>
      </c>
      <c r="S940" t="s">
        <v>1988</v>
      </c>
      <c r="T940" t="s">
        <v>1988</v>
      </c>
      <c r="U940" t="s">
        <v>1988</v>
      </c>
      <c r="V940" t="s">
        <v>1988</v>
      </c>
      <c r="W940" t="s">
        <v>1988</v>
      </c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</row>
    <row r="941">
      <c r="A941" t="s">
        <v>261</v>
      </c>
      <c r="B941" t="s">
        <v>239</v>
      </c>
      <c r="C941" t="s">
        <v>264</v>
      </c>
      <c r="D941" t="s">
        <v>213</v>
      </c>
      <c r="E941" t="s">
        <v>320</v>
      </c>
      <c r="F941"/>
      <c r="G941"/>
      <c r="H941"/>
      <c r="I941"/>
      <c r="J941"/>
      <c r="K941"/>
      <c r="L941" t="s">
        <v>1977</v>
      </c>
      <c r="M941" t="s">
        <v>1978</v>
      </c>
      <c r="N941" t="s">
        <v>1979</v>
      </c>
      <c r="O941" t="s">
        <v>1980</v>
      </c>
      <c r="P941" t="s">
        <v>1981</v>
      </c>
      <c r="Q941" t="s">
        <v>1982</v>
      </c>
      <c r="R941" t="s">
        <v>1983</v>
      </c>
      <c r="S941" t="s">
        <v>1984</v>
      </c>
      <c r="T941" t="s">
        <v>1985</v>
      </c>
      <c r="U941" t="s">
        <v>1986</v>
      </c>
      <c r="V941" t="s">
        <v>1987</v>
      </c>
      <c r="W941" t="s">
        <v>1989</v>
      </c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</row>
    <row r="942">
      <c r="A942" t="s">
        <v>261</v>
      </c>
      <c r="B942" t="s">
        <v>239</v>
      </c>
      <c r="C942" t="s">
        <v>264</v>
      </c>
      <c r="D942" t="s">
        <v>213</v>
      </c>
      <c r="E942" t="s">
        <v>323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</row>
    <row r="943">
      <c r="A943" t="s">
        <v>261</v>
      </c>
      <c r="B943" t="s">
        <v>239</v>
      </c>
      <c r="C943" t="s">
        <v>264</v>
      </c>
      <c r="D943" t="s">
        <v>213</v>
      </c>
      <c r="E943" t="s">
        <v>324</v>
      </c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</row>
    <row r="944">
      <c r="A944" t="s">
        <v>261</v>
      </c>
      <c r="B944" t="s">
        <v>239</v>
      </c>
      <c r="C944" t="s">
        <v>264</v>
      </c>
      <c r="D944" t="s">
        <v>213</v>
      </c>
      <c r="E944" t="s">
        <v>325</v>
      </c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</row>
    <row r="945">
      <c r="A945" t="s">
        <v>261</v>
      </c>
      <c r="B945" t="s">
        <v>239</v>
      </c>
      <c r="C945" t="s">
        <v>264</v>
      </c>
      <c r="D945" t="s">
        <v>213</v>
      </c>
      <c r="E945" t="s">
        <v>326</v>
      </c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</row>
    <row r="946">
      <c r="A946" t="s">
        <v>261</v>
      </c>
      <c r="B946" t="s">
        <v>239</v>
      </c>
      <c r="C946" t="s">
        <v>264</v>
      </c>
      <c r="D946" t="s">
        <v>213</v>
      </c>
      <c r="E946" t="s">
        <v>329</v>
      </c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</row>
    <row r="947">
      <c r="A947" t="s">
        <v>261</v>
      </c>
      <c r="B947" t="s">
        <v>239</v>
      </c>
      <c r="C947" t="s">
        <v>264</v>
      </c>
      <c r="D947" t="s">
        <v>213</v>
      </c>
      <c r="E947" t="s">
        <v>330</v>
      </c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</row>
    <row r="948">
      <c r="A948" t="s">
        <v>261</v>
      </c>
      <c r="B948" t="s">
        <v>239</v>
      </c>
      <c r="C948" t="s">
        <v>264</v>
      </c>
      <c r="D948" t="s">
        <v>213</v>
      </c>
      <c r="E948" t="s">
        <v>331</v>
      </c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</row>
    <row r="949">
      <c r="A949" t="s">
        <v>261</v>
      </c>
      <c r="B949" t="s">
        <v>239</v>
      </c>
      <c r="C949" t="s">
        <v>264</v>
      </c>
      <c r="D949" t="s">
        <v>213</v>
      </c>
      <c r="E949" t="s">
        <v>332</v>
      </c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</row>
    <row r="950">
      <c r="A950" t="s">
        <v>261</v>
      </c>
      <c r="B950" t="s">
        <v>239</v>
      </c>
      <c r="C950" t="s">
        <v>264</v>
      </c>
      <c r="D950" t="s">
        <v>213</v>
      </c>
      <c r="E950" t="s">
        <v>333</v>
      </c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</row>
    <row r="951">
      <c r="A951" t="s">
        <v>261</v>
      </c>
      <c r="B951" t="s">
        <v>239</v>
      </c>
      <c r="C951" t="s">
        <v>264</v>
      </c>
      <c r="D951" t="s">
        <v>213</v>
      </c>
      <c r="E951" t="s">
        <v>334</v>
      </c>
      <c r="F951"/>
      <c r="G951"/>
      <c r="H951"/>
      <c r="I951"/>
      <c r="J951"/>
      <c r="K951"/>
      <c r="L951" t="s">
        <v>416</v>
      </c>
      <c r="M951" t="s">
        <v>416</v>
      </c>
      <c r="N951" t="s">
        <v>416</v>
      </c>
      <c r="O951" t="s">
        <v>416</v>
      </c>
      <c r="P951" t="s">
        <v>416</v>
      </c>
      <c r="Q951" t="s">
        <v>416</v>
      </c>
      <c r="R951" t="s">
        <v>416</v>
      </c>
      <c r="S951" t="s">
        <v>416</v>
      </c>
      <c r="T951" t="s">
        <v>416</v>
      </c>
      <c r="U951" t="s">
        <v>416</v>
      </c>
      <c r="V951" t="s">
        <v>416</v>
      </c>
      <c r="W951" t="s">
        <v>416</v>
      </c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</row>
    <row r="952">
      <c r="A952" t="s">
        <v>261</v>
      </c>
      <c r="B952" t="s">
        <v>239</v>
      </c>
      <c r="C952" t="s">
        <v>264</v>
      </c>
      <c r="D952" t="s">
        <v>213</v>
      </c>
      <c r="E952" t="s">
        <v>336</v>
      </c>
      <c r="F952"/>
      <c r="G952"/>
      <c r="H952"/>
      <c r="I952"/>
      <c r="J952"/>
      <c r="K952"/>
      <c r="L952" t="s">
        <v>1093</v>
      </c>
      <c r="M952" t="s">
        <v>1093</v>
      </c>
      <c r="N952" t="s">
        <v>1093</v>
      </c>
      <c r="O952" t="s">
        <v>1093</v>
      </c>
      <c r="P952" t="s">
        <v>1093</v>
      </c>
      <c r="Q952" t="s">
        <v>1093</v>
      </c>
      <c r="R952" t="s">
        <v>1093</v>
      </c>
      <c r="S952" t="s">
        <v>1093</v>
      </c>
      <c r="T952" t="s">
        <v>1093</v>
      </c>
      <c r="U952" t="s">
        <v>1093</v>
      </c>
      <c r="V952" t="s">
        <v>1093</v>
      </c>
      <c r="W952" t="s">
        <v>1093</v>
      </c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</row>
    <row r="953">
      <c r="A953" t="s">
        <v>261</v>
      </c>
      <c r="B953" t="s">
        <v>239</v>
      </c>
      <c r="C953" t="s">
        <v>264</v>
      </c>
      <c r="D953" t="s">
        <v>213</v>
      </c>
      <c r="E953" t="s">
        <v>338</v>
      </c>
      <c r="F953"/>
      <c r="G953"/>
      <c r="H953"/>
      <c r="I953"/>
      <c r="J953"/>
      <c r="K953"/>
      <c r="L953" t="s">
        <v>1889</v>
      </c>
      <c r="M953" t="s">
        <v>1889</v>
      </c>
      <c r="N953" t="s">
        <v>1889</v>
      </c>
      <c r="O953" t="s">
        <v>1889</v>
      </c>
      <c r="P953" t="s">
        <v>1889</v>
      </c>
      <c r="Q953" t="s">
        <v>1889</v>
      </c>
      <c r="R953" t="s">
        <v>1889</v>
      </c>
      <c r="S953" t="s">
        <v>1889</v>
      </c>
      <c r="T953" t="s">
        <v>1889</v>
      </c>
      <c r="U953" t="s">
        <v>1889</v>
      </c>
      <c r="V953" t="s">
        <v>1889</v>
      </c>
      <c r="W953" t="s">
        <v>1889</v>
      </c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</row>
    <row r="954">
      <c r="A954" t="s">
        <v>261</v>
      </c>
      <c r="B954" t="s">
        <v>239</v>
      </c>
      <c r="C954" t="s">
        <v>264</v>
      </c>
      <c r="D954" t="s">
        <v>213</v>
      </c>
      <c r="E954" t="s">
        <v>339</v>
      </c>
      <c r="F954"/>
      <c r="G954"/>
      <c r="H954"/>
      <c r="I954"/>
      <c r="J954"/>
      <c r="K954"/>
      <c r="L954" t="s">
        <v>1990</v>
      </c>
      <c r="M954" t="s">
        <v>1991</v>
      </c>
      <c r="N954" t="s">
        <v>1992</v>
      </c>
      <c r="O954" t="s">
        <v>1993</v>
      </c>
      <c r="P954" t="s">
        <v>1994</v>
      </c>
      <c r="Q954" t="s">
        <v>1995</v>
      </c>
      <c r="R954" t="s">
        <v>1996</v>
      </c>
      <c r="S954" t="s">
        <v>1997</v>
      </c>
      <c r="T954" t="s">
        <v>1998</v>
      </c>
      <c r="U954" t="s">
        <v>1999</v>
      </c>
      <c r="V954" t="s">
        <v>2000</v>
      </c>
      <c r="W954" t="s">
        <v>2001</v>
      </c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</row>
    <row r="955">
      <c r="A955" t="s">
        <v>261</v>
      </c>
      <c r="B955" t="s">
        <v>239</v>
      </c>
      <c r="C955" t="s">
        <v>264</v>
      </c>
      <c r="D955" t="s">
        <v>213</v>
      </c>
      <c r="E955" t="s">
        <v>358</v>
      </c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</row>
    <row r="956">
      <c r="A956" t="s">
        <v>261</v>
      </c>
      <c r="B956" t="s">
        <v>240</v>
      </c>
      <c r="C956" t="s">
        <v>241</v>
      </c>
      <c r="D956" t="s">
        <v>213</v>
      </c>
      <c r="E956" t="s">
        <v>297</v>
      </c>
      <c r="F956"/>
      <c r="G956"/>
      <c r="H956"/>
      <c r="I956"/>
      <c r="J956"/>
      <c r="K956"/>
      <c r="L956" t="s">
        <v>2002</v>
      </c>
      <c r="M956" t="s">
        <v>2003</v>
      </c>
      <c r="N956" t="s">
        <v>2004</v>
      </c>
      <c r="O956" t="s">
        <v>2005</v>
      </c>
      <c r="P956" t="s">
        <v>2006</v>
      </c>
      <c r="Q956" t="s">
        <v>2007</v>
      </c>
      <c r="R956" t="s">
        <v>2008</v>
      </c>
      <c r="S956" t="s">
        <v>2009</v>
      </c>
      <c r="T956" t="s">
        <v>2010</v>
      </c>
      <c r="U956" t="s">
        <v>2011</v>
      </c>
      <c r="V956" t="s">
        <v>2012</v>
      </c>
      <c r="W956" t="s">
        <v>2013</v>
      </c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</row>
    <row r="957">
      <c r="A957" t="s">
        <v>261</v>
      </c>
      <c r="B957" t="s">
        <v>240</v>
      </c>
      <c r="C957" t="s">
        <v>241</v>
      </c>
      <c r="D957" t="s">
        <v>213</v>
      </c>
      <c r="E957" t="s">
        <v>316</v>
      </c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</row>
    <row r="958">
      <c r="A958" t="s">
        <v>261</v>
      </c>
      <c r="B958" t="s">
        <v>240</v>
      </c>
      <c r="C958" t="s">
        <v>241</v>
      </c>
      <c r="D958" t="s">
        <v>213</v>
      </c>
      <c r="E958" t="s">
        <v>317</v>
      </c>
      <c r="F958"/>
      <c r="G958"/>
      <c r="H958"/>
      <c r="I958"/>
      <c r="J958"/>
      <c r="K958"/>
      <c r="L958" t="s">
        <v>2014</v>
      </c>
      <c r="M958" t="s">
        <v>2014</v>
      </c>
      <c r="N958" t="s">
        <v>2014</v>
      </c>
      <c r="O958" t="s">
        <v>2014</v>
      </c>
      <c r="P958" t="s">
        <v>2014</v>
      </c>
      <c r="Q958" t="s">
        <v>2014</v>
      </c>
      <c r="R958" t="s">
        <v>2014</v>
      </c>
      <c r="S958" t="s">
        <v>2014</v>
      </c>
      <c r="T958" t="s">
        <v>2014</v>
      </c>
      <c r="U958" t="s">
        <v>2014</v>
      </c>
      <c r="V958" t="s">
        <v>2014</v>
      </c>
      <c r="W958" t="s">
        <v>2014</v>
      </c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</row>
    <row r="959">
      <c r="A959" t="s">
        <v>261</v>
      </c>
      <c r="B959" t="s">
        <v>240</v>
      </c>
      <c r="C959" t="s">
        <v>241</v>
      </c>
      <c r="D959" t="s">
        <v>213</v>
      </c>
      <c r="E959" t="s">
        <v>320</v>
      </c>
      <c r="F959"/>
      <c r="G959"/>
      <c r="H959"/>
      <c r="I959"/>
      <c r="J959"/>
      <c r="K959"/>
      <c r="L959" t="s">
        <v>2003</v>
      </c>
      <c r="M959" t="s">
        <v>2004</v>
      </c>
      <c r="N959" t="s">
        <v>2005</v>
      </c>
      <c r="O959" t="s">
        <v>2006</v>
      </c>
      <c r="P959" t="s">
        <v>2007</v>
      </c>
      <c r="Q959" t="s">
        <v>2008</v>
      </c>
      <c r="R959" t="s">
        <v>2009</v>
      </c>
      <c r="S959" t="s">
        <v>2010</v>
      </c>
      <c r="T959" t="s">
        <v>2011</v>
      </c>
      <c r="U959" t="s">
        <v>2012</v>
      </c>
      <c r="V959" t="s">
        <v>2013</v>
      </c>
      <c r="W959" t="s">
        <v>2015</v>
      </c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</row>
    <row r="960">
      <c r="A960" t="s">
        <v>261</v>
      </c>
      <c r="B960" t="s">
        <v>240</v>
      </c>
      <c r="C960" t="s">
        <v>241</v>
      </c>
      <c r="D960" t="s">
        <v>213</v>
      </c>
      <c r="E960" t="s">
        <v>323</v>
      </c>
      <c r="F960"/>
      <c r="G960"/>
      <c r="H960"/>
      <c r="I960"/>
      <c r="J960"/>
      <c r="K960"/>
      <c r="L960"/>
      <c r="M960"/>
      <c r="N960" t="s">
        <v>272</v>
      </c>
      <c r="O960"/>
      <c r="P960"/>
      <c r="Q960"/>
      <c r="R960"/>
      <c r="S960" t="s">
        <v>272</v>
      </c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</row>
    <row r="961">
      <c r="A961" t="s">
        <v>261</v>
      </c>
      <c r="B961" t="s">
        <v>240</v>
      </c>
      <c r="C961" t="s">
        <v>241</v>
      </c>
      <c r="D961" t="s">
        <v>213</v>
      </c>
      <c r="E961" t="s">
        <v>324</v>
      </c>
      <c r="F961"/>
      <c r="G961"/>
      <c r="H961"/>
      <c r="I961"/>
      <c r="J961"/>
      <c r="K961"/>
      <c r="L961"/>
      <c r="M961"/>
      <c r="N961" t="s">
        <v>272</v>
      </c>
      <c r="O961"/>
      <c r="P961"/>
      <c r="Q961"/>
      <c r="R961"/>
      <c r="S961" t="s">
        <v>272</v>
      </c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</row>
    <row r="962">
      <c r="A962" t="s">
        <v>261</v>
      </c>
      <c r="B962" t="s">
        <v>240</v>
      </c>
      <c r="C962" t="s">
        <v>241</v>
      </c>
      <c r="D962" t="s">
        <v>213</v>
      </c>
      <c r="E962" t="s">
        <v>325</v>
      </c>
      <c r="F962"/>
      <c r="G962"/>
      <c r="H962"/>
      <c r="I962"/>
      <c r="J962"/>
      <c r="K962"/>
      <c r="L962"/>
      <c r="M962"/>
      <c r="N962" t="s">
        <v>269</v>
      </c>
      <c r="O962"/>
      <c r="P962"/>
      <c r="Q962"/>
      <c r="R962"/>
      <c r="S962" t="s">
        <v>269</v>
      </c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</row>
    <row r="963">
      <c r="A963" t="s">
        <v>261</v>
      </c>
      <c r="B963" t="s">
        <v>240</v>
      </c>
      <c r="C963" t="s">
        <v>241</v>
      </c>
      <c r="D963" t="s">
        <v>213</v>
      </c>
      <c r="E963" t="s">
        <v>326</v>
      </c>
      <c r="F963"/>
      <c r="G963"/>
      <c r="H963"/>
      <c r="I963"/>
      <c r="J963"/>
      <c r="K963"/>
      <c r="L963"/>
      <c r="M963"/>
      <c r="N963" t="s">
        <v>2016</v>
      </c>
      <c r="O963"/>
      <c r="P963"/>
      <c r="Q963"/>
      <c r="R963"/>
      <c r="S963" t="s">
        <v>2017</v>
      </c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</row>
    <row r="964">
      <c r="A964" t="s">
        <v>261</v>
      </c>
      <c r="B964" t="s">
        <v>240</v>
      </c>
      <c r="C964" t="s">
        <v>241</v>
      </c>
      <c r="D964" t="s">
        <v>213</v>
      </c>
      <c r="E964" t="s">
        <v>329</v>
      </c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</row>
    <row r="965">
      <c r="A965" t="s">
        <v>261</v>
      </c>
      <c r="B965" t="s">
        <v>240</v>
      </c>
      <c r="C965" t="s">
        <v>241</v>
      </c>
      <c r="D965" t="s">
        <v>213</v>
      </c>
      <c r="E965" t="s">
        <v>330</v>
      </c>
      <c r="F965"/>
      <c r="G965"/>
      <c r="H965"/>
      <c r="I965"/>
      <c r="J965"/>
      <c r="K965"/>
      <c r="L965"/>
      <c r="M965"/>
      <c r="N965" t="s">
        <v>2018</v>
      </c>
      <c r="O965"/>
      <c r="P965"/>
      <c r="Q965"/>
      <c r="R965"/>
      <c r="S965" t="s">
        <v>2019</v>
      </c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</row>
    <row r="966">
      <c r="A966" t="s">
        <v>261</v>
      </c>
      <c r="B966" t="s">
        <v>240</v>
      </c>
      <c r="C966" t="s">
        <v>241</v>
      </c>
      <c r="D966" t="s">
        <v>213</v>
      </c>
      <c r="E966" t="s">
        <v>331</v>
      </c>
      <c r="F966"/>
      <c r="G966"/>
      <c r="H966"/>
      <c r="I966"/>
      <c r="J966"/>
      <c r="K966"/>
      <c r="L966"/>
      <c r="M966"/>
      <c r="N966" t="s">
        <v>276</v>
      </c>
      <c r="O966"/>
      <c r="P966"/>
      <c r="Q966"/>
      <c r="R966"/>
      <c r="S966" t="s">
        <v>283</v>
      </c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</row>
    <row r="967">
      <c r="A967" t="s">
        <v>261</v>
      </c>
      <c r="B967" t="s">
        <v>240</v>
      </c>
      <c r="C967" t="s">
        <v>241</v>
      </c>
      <c r="D967" t="s">
        <v>213</v>
      </c>
      <c r="E967" t="s">
        <v>332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</row>
    <row r="968">
      <c r="A968" t="s">
        <v>261</v>
      </c>
      <c r="B968" t="s">
        <v>240</v>
      </c>
      <c r="C968" t="s">
        <v>241</v>
      </c>
      <c r="D968" t="s">
        <v>213</v>
      </c>
      <c r="E968" t="s">
        <v>333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</row>
    <row r="969">
      <c r="A969" t="s">
        <v>261</v>
      </c>
      <c r="B969" t="s">
        <v>240</v>
      </c>
      <c r="C969" t="s">
        <v>241</v>
      </c>
      <c r="D969" t="s">
        <v>213</v>
      </c>
      <c r="E969" t="s">
        <v>334</v>
      </c>
      <c r="F969"/>
      <c r="G969"/>
      <c r="H969"/>
      <c r="I969"/>
      <c r="J969"/>
      <c r="K969"/>
      <c r="L969" t="s">
        <v>416</v>
      </c>
      <c r="M969" t="s">
        <v>416</v>
      </c>
      <c r="N969" t="s">
        <v>416</v>
      </c>
      <c r="O969" t="s">
        <v>416</v>
      </c>
      <c r="P969" t="s">
        <v>416</v>
      </c>
      <c r="Q969" t="s">
        <v>416</v>
      </c>
      <c r="R969" t="s">
        <v>416</v>
      </c>
      <c r="S969" t="s">
        <v>416</v>
      </c>
      <c r="T969" t="s">
        <v>416</v>
      </c>
      <c r="U969" t="s">
        <v>416</v>
      </c>
      <c r="V969" t="s">
        <v>416</v>
      </c>
      <c r="W969" t="s">
        <v>416</v>
      </c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</row>
    <row r="970">
      <c r="A970" t="s">
        <v>261</v>
      </c>
      <c r="B970" t="s">
        <v>240</v>
      </c>
      <c r="C970" t="s">
        <v>241</v>
      </c>
      <c r="D970" t="s">
        <v>213</v>
      </c>
      <c r="E970" t="s">
        <v>336</v>
      </c>
      <c r="F970"/>
      <c r="G970"/>
      <c r="H970"/>
      <c r="I970"/>
      <c r="J970"/>
      <c r="K970"/>
      <c r="L970" t="s">
        <v>1093</v>
      </c>
      <c r="M970" t="s">
        <v>1093</v>
      </c>
      <c r="N970" t="s">
        <v>1093</v>
      </c>
      <c r="O970" t="s">
        <v>1093</v>
      </c>
      <c r="P970" t="s">
        <v>1093</v>
      </c>
      <c r="Q970" t="s">
        <v>1093</v>
      </c>
      <c r="R970" t="s">
        <v>1093</v>
      </c>
      <c r="S970" t="s">
        <v>1093</v>
      </c>
      <c r="T970" t="s">
        <v>1093</v>
      </c>
      <c r="U970" t="s">
        <v>1093</v>
      </c>
      <c r="V970" t="s">
        <v>1093</v>
      </c>
      <c r="W970" t="s">
        <v>1093</v>
      </c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</row>
    <row r="971">
      <c r="A971" t="s">
        <v>261</v>
      </c>
      <c r="B971" t="s">
        <v>240</v>
      </c>
      <c r="C971" t="s">
        <v>241</v>
      </c>
      <c r="D971" t="s">
        <v>213</v>
      </c>
      <c r="E971" t="s">
        <v>338</v>
      </c>
      <c r="F971"/>
      <c r="G971"/>
      <c r="H971"/>
      <c r="I971"/>
      <c r="J971"/>
      <c r="K971"/>
      <c r="L971" t="s">
        <v>1889</v>
      </c>
      <c r="M971" t="s">
        <v>1889</v>
      </c>
      <c r="N971" t="s">
        <v>1889</v>
      </c>
      <c r="O971" t="s">
        <v>1889</v>
      </c>
      <c r="P971" t="s">
        <v>1889</v>
      </c>
      <c r="Q971" t="s">
        <v>1889</v>
      </c>
      <c r="R971" t="s">
        <v>1889</v>
      </c>
      <c r="S971" t="s">
        <v>1889</v>
      </c>
      <c r="T971" t="s">
        <v>1889</v>
      </c>
      <c r="U971" t="s">
        <v>1889</v>
      </c>
      <c r="V971" t="s">
        <v>1889</v>
      </c>
      <c r="W971" t="s">
        <v>1889</v>
      </c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</row>
    <row r="972">
      <c r="A972" t="s">
        <v>261</v>
      </c>
      <c r="B972" t="s">
        <v>240</v>
      </c>
      <c r="C972" t="s">
        <v>241</v>
      </c>
      <c r="D972" t="s">
        <v>213</v>
      </c>
      <c r="E972" t="s">
        <v>339</v>
      </c>
      <c r="F972"/>
      <c r="G972"/>
      <c r="H972"/>
      <c r="I972"/>
      <c r="J972"/>
      <c r="K972"/>
      <c r="L972" t="s">
        <v>2020</v>
      </c>
      <c r="M972" t="s">
        <v>2021</v>
      </c>
      <c r="N972" t="s">
        <v>2022</v>
      </c>
      <c r="O972" t="s">
        <v>2023</v>
      </c>
      <c r="P972" t="s">
        <v>2024</v>
      </c>
      <c r="Q972" t="s">
        <v>2025</v>
      </c>
      <c r="R972" t="s">
        <v>2026</v>
      </c>
      <c r="S972" t="s">
        <v>2027</v>
      </c>
      <c r="T972" t="s">
        <v>2028</v>
      </c>
      <c r="U972" t="s">
        <v>2029</v>
      </c>
      <c r="V972" t="s">
        <v>2030</v>
      </c>
      <c r="W972" t="s">
        <v>2031</v>
      </c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</row>
    <row r="973">
      <c r="A973" t="s">
        <v>261</v>
      </c>
      <c r="B973" t="s">
        <v>240</v>
      </c>
      <c r="C973" t="s">
        <v>241</v>
      </c>
      <c r="D973" t="s">
        <v>213</v>
      </c>
      <c r="E973" t="s">
        <v>358</v>
      </c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</row>
    <row r="974">
      <c r="A974" t="s">
        <v>210</v>
      </c>
      <c r="B974" t="s">
        <v>240</v>
      </c>
      <c r="C974" t="s">
        <v>241</v>
      </c>
      <c r="D974" t="s">
        <v>213</v>
      </c>
      <c r="E974" t="s">
        <v>297</v>
      </c>
      <c r="F974"/>
      <c r="G974"/>
      <c r="H974"/>
      <c r="I974"/>
      <c r="J974"/>
      <c r="K974"/>
      <c r="L974" t="s">
        <v>2032</v>
      </c>
      <c r="M974" t="s">
        <v>2033</v>
      </c>
      <c r="N974" t="s">
        <v>2034</v>
      </c>
      <c r="O974" t="s">
        <v>2035</v>
      </c>
      <c r="P974" t="s">
        <v>2036</v>
      </c>
      <c r="Q974" t="s">
        <v>2037</v>
      </c>
      <c r="R974" t="s">
        <v>2038</v>
      </c>
      <c r="S974" t="s">
        <v>2039</v>
      </c>
      <c r="T974" t="s">
        <v>2040</v>
      </c>
      <c r="U974" t="s">
        <v>2041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</row>
    <row r="975">
      <c r="A975" t="s">
        <v>210</v>
      </c>
      <c r="B975" t="s">
        <v>240</v>
      </c>
      <c r="C975" t="s">
        <v>241</v>
      </c>
      <c r="D975" t="s">
        <v>213</v>
      </c>
      <c r="E975" t="s">
        <v>316</v>
      </c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</row>
    <row r="976">
      <c r="A976" t="s">
        <v>210</v>
      </c>
      <c r="B976" t="s">
        <v>240</v>
      </c>
      <c r="C976" t="s">
        <v>241</v>
      </c>
      <c r="D976" t="s">
        <v>213</v>
      </c>
      <c r="E976" t="s">
        <v>317</v>
      </c>
      <c r="F976"/>
      <c r="G976"/>
      <c r="H976"/>
      <c r="I976"/>
      <c r="J976"/>
      <c r="K976"/>
      <c r="L976" t="s">
        <v>2042</v>
      </c>
      <c r="M976" t="s">
        <v>2042</v>
      </c>
      <c r="N976" t="s">
        <v>2042</v>
      </c>
      <c r="O976" t="s">
        <v>2042</v>
      </c>
      <c r="P976" t="s">
        <v>2042</v>
      </c>
      <c r="Q976" t="s">
        <v>2042</v>
      </c>
      <c r="R976" t="s">
        <v>2042</v>
      </c>
      <c r="S976" t="s">
        <v>2042</v>
      </c>
      <c r="T976" t="s">
        <v>2042</v>
      </c>
      <c r="U976" t="s">
        <v>2042</v>
      </c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</row>
    <row r="977">
      <c r="A977" t="s">
        <v>210</v>
      </c>
      <c r="B977" t="s">
        <v>240</v>
      </c>
      <c r="C977" t="s">
        <v>241</v>
      </c>
      <c r="D977" t="s">
        <v>213</v>
      </c>
      <c r="E977" t="s">
        <v>320</v>
      </c>
      <c r="F977"/>
      <c r="G977"/>
      <c r="H977"/>
      <c r="I977"/>
      <c r="J977"/>
      <c r="K977"/>
      <c r="L977" t="s">
        <v>2033</v>
      </c>
      <c r="M977" t="s">
        <v>2034</v>
      </c>
      <c r="N977" t="s">
        <v>2035</v>
      </c>
      <c r="O977" t="s">
        <v>2036</v>
      </c>
      <c r="P977" t="s">
        <v>2037</v>
      </c>
      <c r="Q977" t="s">
        <v>2038</v>
      </c>
      <c r="R977" t="s">
        <v>2039</v>
      </c>
      <c r="S977" t="s">
        <v>2040</v>
      </c>
      <c r="T977" t="s">
        <v>2041</v>
      </c>
      <c r="U977" t="s">
        <v>2043</v>
      </c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</row>
    <row r="978">
      <c r="A978" t="s">
        <v>210</v>
      </c>
      <c r="B978" t="s">
        <v>240</v>
      </c>
      <c r="C978" t="s">
        <v>241</v>
      </c>
      <c r="D978" t="s">
        <v>213</v>
      </c>
      <c r="E978" t="s">
        <v>323</v>
      </c>
      <c r="F978"/>
      <c r="G978"/>
      <c r="H978"/>
      <c r="I978"/>
      <c r="J978"/>
      <c r="K978"/>
      <c r="L978"/>
      <c r="M978" t="s">
        <v>236</v>
      </c>
      <c r="N978" t="s">
        <v>266</v>
      </c>
      <c r="O978"/>
      <c r="P978"/>
      <c r="Q978" t="s">
        <v>266</v>
      </c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</row>
    <row r="979">
      <c r="A979" t="s">
        <v>210</v>
      </c>
      <c r="B979" t="s">
        <v>240</v>
      </c>
      <c r="C979" t="s">
        <v>241</v>
      </c>
      <c r="D979" t="s">
        <v>213</v>
      </c>
      <c r="E979" t="s">
        <v>324</v>
      </c>
      <c r="F979"/>
      <c r="G979"/>
      <c r="H979"/>
      <c r="I979"/>
      <c r="J979"/>
      <c r="K979"/>
      <c r="L979"/>
      <c r="M979" t="s">
        <v>236</v>
      </c>
      <c r="N979" t="s">
        <v>266</v>
      </c>
      <c r="O979"/>
      <c r="P979"/>
      <c r="Q979" t="s">
        <v>266</v>
      </c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</row>
    <row r="980">
      <c r="A980" t="s">
        <v>210</v>
      </c>
      <c r="B980" t="s">
        <v>240</v>
      </c>
      <c r="C980" t="s">
        <v>241</v>
      </c>
      <c r="D980" t="s">
        <v>213</v>
      </c>
      <c r="E980" t="s">
        <v>325</v>
      </c>
      <c r="F980"/>
      <c r="G980"/>
      <c r="H980"/>
      <c r="I980"/>
      <c r="J980"/>
      <c r="K980"/>
      <c r="L980"/>
      <c r="M980" t="s">
        <v>254</v>
      </c>
      <c r="N980" t="s">
        <v>254</v>
      </c>
      <c r="O980"/>
      <c r="P980"/>
      <c r="Q980" t="s">
        <v>259</v>
      </c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</row>
    <row r="981">
      <c r="A981" t="s">
        <v>210</v>
      </c>
      <c r="B981" t="s">
        <v>240</v>
      </c>
      <c r="C981" t="s">
        <v>241</v>
      </c>
      <c r="D981" t="s">
        <v>213</v>
      </c>
      <c r="E981" t="s">
        <v>326</v>
      </c>
      <c r="F981"/>
      <c r="G981"/>
      <c r="H981"/>
      <c r="I981"/>
      <c r="J981"/>
      <c r="K981"/>
      <c r="L981"/>
      <c r="M981" t="s">
        <v>2044</v>
      </c>
      <c r="N981" t="s">
        <v>2045</v>
      </c>
      <c r="O981"/>
      <c r="P981"/>
      <c r="Q981" t="s">
        <v>2046</v>
      </c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</row>
    <row r="982">
      <c r="A982" t="s">
        <v>210</v>
      </c>
      <c r="B982" t="s">
        <v>240</v>
      </c>
      <c r="C982" t="s">
        <v>241</v>
      </c>
      <c r="D982" t="s">
        <v>213</v>
      </c>
      <c r="E982" t="s">
        <v>329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</row>
    <row r="983">
      <c r="A983" t="s">
        <v>210</v>
      </c>
      <c r="B983" t="s">
        <v>240</v>
      </c>
      <c r="C983" t="s">
        <v>241</v>
      </c>
      <c r="D983" t="s">
        <v>213</v>
      </c>
      <c r="E983" t="s">
        <v>330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</row>
    <row r="984">
      <c r="A984" t="s">
        <v>210</v>
      </c>
      <c r="B984" t="s">
        <v>240</v>
      </c>
      <c r="C984" t="s">
        <v>241</v>
      </c>
      <c r="D984" t="s">
        <v>213</v>
      </c>
      <c r="E984" t="s">
        <v>331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</row>
    <row r="985">
      <c r="A985" t="s">
        <v>210</v>
      </c>
      <c r="B985" t="s">
        <v>240</v>
      </c>
      <c r="C985" t="s">
        <v>241</v>
      </c>
      <c r="D985" t="s">
        <v>213</v>
      </c>
      <c r="E985" t="s">
        <v>332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</row>
    <row r="986">
      <c r="A986" t="s">
        <v>210</v>
      </c>
      <c r="B986" t="s">
        <v>240</v>
      </c>
      <c r="C986" t="s">
        <v>241</v>
      </c>
      <c r="D986" t="s">
        <v>213</v>
      </c>
      <c r="E986" t="s">
        <v>333</v>
      </c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</row>
    <row r="987">
      <c r="A987" t="s">
        <v>210</v>
      </c>
      <c r="B987" t="s">
        <v>240</v>
      </c>
      <c r="C987" t="s">
        <v>241</v>
      </c>
      <c r="D987" t="s">
        <v>213</v>
      </c>
      <c r="E987" t="s">
        <v>334</v>
      </c>
      <c r="F987"/>
      <c r="G987"/>
      <c r="H987"/>
      <c r="I987"/>
      <c r="J987"/>
      <c r="K987"/>
      <c r="L987" t="s">
        <v>335</v>
      </c>
      <c r="M987" t="s">
        <v>335</v>
      </c>
      <c r="N987" t="s">
        <v>335</v>
      </c>
      <c r="O987" t="s">
        <v>335</v>
      </c>
      <c r="P987" t="s">
        <v>335</v>
      </c>
      <c r="Q987" t="s">
        <v>335</v>
      </c>
      <c r="R987" t="s">
        <v>335</v>
      </c>
      <c r="S987" t="s">
        <v>335</v>
      </c>
      <c r="T987" t="s">
        <v>335</v>
      </c>
      <c r="U987" t="s">
        <v>335</v>
      </c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</row>
    <row r="988">
      <c r="A988" t="s">
        <v>210</v>
      </c>
      <c r="B988" t="s">
        <v>240</v>
      </c>
      <c r="C988" t="s">
        <v>241</v>
      </c>
      <c r="D988" t="s">
        <v>213</v>
      </c>
      <c r="E988" t="s">
        <v>336</v>
      </c>
      <c r="F988"/>
      <c r="G988"/>
      <c r="H988"/>
      <c r="I988"/>
      <c r="J988"/>
      <c r="K988"/>
      <c r="L988" t="s">
        <v>337</v>
      </c>
      <c r="M988" t="s">
        <v>337</v>
      </c>
      <c r="N988" t="s">
        <v>337</v>
      </c>
      <c r="O988" t="s">
        <v>337</v>
      </c>
      <c r="P988" t="s">
        <v>337</v>
      </c>
      <c r="Q988" t="s">
        <v>337</v>
      </c>
      <c r="R988" t="s">
        <v>337</v>
      </c>
      <c r="S988" t="s">
        <v>337</v>
      </c>
      <c r="T988" t="s">
        <v>337</v>
      </c>
      <c r="U988" t="s">
        <v>337</v>
      </c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</row>
    <row r="989">
      <c r="A989" t="s">
        <v>210</v>
      </c>
      <c r="B989" t="s">
        <v>240</v>
      </c>
      <c r="C989" t="s">
        <v>241</v>
      </c>
      <c r="D989" t="s">
        <v>213</v>
      </c>
      <c r="E989" t="s">
        <v>338</v>
      </c>
      <c r="F989"/>
      <c r="G989"/>
      <c r="H989"/>
      <c r="I989"/>
      <c r="J989"/>
      <c r="K989"/>
      <c r="L989" t="s">
        <v>337</v>
      </c>
      <c r="M989" t="s">
        <v>337</v>
      </c>
      <c r="N989" t="s">
        <v>337</v>
      </c>
      <c r="O989" t="s">
        <v>337</v>
      </c>
      <c r="P989" t="s">
        <v>337</v>
      </c>
      <c r="Q989" t="s">
        <v>337</v>
      </c>
      <c r="R989" t="s">
        <v>337</v>
      </c>
      <c r="S989" t="s">
        <v>337</v>
      </c>
      <c r="T989" t="s">
        <v>337</v>
      </c>
      <c r="U989" t="s">
        <v>337</v>
      </c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</row>
    <row r="990">
      <c r="A990" t="s">
        <v>210</v>
      </c>
      <c r="B990" t="s">
        <v>240</v>
      </c>
      <c r="C990" t="s">
        <v>241</v>
      </c>
      <c r="D990" t="s">
        <v>213</v>
      </c>
      <c r="E990" t="s">
        <v>339</v>
      </c>
      <c r="F990"/>
      <c r="G990"/>
      <c r="H990"/>
      <c r="I990"/>
      <c r="J990"/>
      <c r="K990"/>
      <c r="L990" t="s">
        <v>2047</v>
      </c>
      <c r="M990" t="s">
        <v>2048</v>
      </c>
      <c r="N990" t="s">
        <v>2049</v>
      </c>
      <c r="O990" t="s">
        <v>2050</v>
      </c>
      <c r="P990" t="s">
        <v>2051</v>
      </c>
      <c r="Q990" t="s">
        <v>2052</v>
      </c>
      <c r="R990" t="s">
        <v>2053</v>
      </c>
      <c r="S990" t="s">
        <v>2054</v>
      </c>
      <c r="T990" t="s">
        <v>2055</v>
      </c>
      <c r="U990" t="s">
        <v>2056</v>
      </c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</row>
    <row r="991">
      <c r="A991" t="s">
        <v>210</v>
      </c>
      <c r="B991" t="s">
        <v>240</v>
      </c>
      <c r="C991" t="s">
        <v>241</v>
      </c>
      <c r="D991" t="s">
        <v>213</v>
      </c>
      <c r="E991" t="s">
        <v>358</v>
      </c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</row>
    <row r="992">
      <c r="A992" t="s">
        <v>261</v>
      </c>
      <c r="B992" t="s">
        <v>245</v>
      </c>
      <c r="C992" t="s">
        <v>246</v>
      </c>
      <c r="D992" t="s">
        <v>213</v>
      </c>
      <c r="E992" t="s">
        <v>297</v>
      </c>
      <c r="F992"/>
      <c r="G992"/>
      <c r="H992"/>
      <c r="I992"/>
      <c r="J992"/>
      <c r="K992"/>
      <c r="L992" t="s">
        <v>2057</v>
      </c>
      <c r="M992" t="s">
        <v>2058</v>
      </c>
      <c r="N992" t="s">
        <v>2059</v>
      </c>
      <c r="O992" t="s">
        <v>2060</v>
      </c>
      <c r="P992" t="s">
        <v>2061</v>
      </c>
      <c r="Q992" t="s">
        <v>2062</v>
      </c>
      <c r="R992" t="s">
        <v>2063</v>
      </c>
      <c r="S992" t="s">
        <v>2064</v>
      </c>
      <c r="T992" t="s">
        <v>2065</v>
      </c>
      <c r="U992" t="s">
        <v>2066</v>
      </c>
      <c r="V992" t="s">
        <v>2067</v>
      </c>
      <c r="W992" t="s">
        <v>2068</v>
      </c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</row>
    <row r="993">
      <c r="A993" t="s">
        <v>261</v>
      </c>
      <c r="B993" t="s">
        <v>245</v>
      </c>
      <c r="C993" t="s">
        <v>246</v>
      </c>
      <c r="D993" t="s">
        <v>213</v>
      </c>
      <c r="E993" t="s">
        <v>316</v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</row>
    <row r="994">
      <c r="A994" t="s">
        <v>261</v>
      </c>
      <c r="B994" t="s">
        <v>245</v>
      </c>
      <c r="C994" t="s">
        <v>246</v>
      </c>
      <c r="D994" t="s">
        <v>213</v>
      </c>
      <c r="E994" t="s">
        <v>317</v>
      </c>
      <c r="F994"/>
      <c r="G994"/>
      <c r="H994"/>
      <c r="I994"/>
      <c r="J994"/>
      <c r="K994"/>
      <c r="L994" t="s">
        <v>2069</v>
      </c>
      <c r="M994" t="s">
        <v>2069</v>
      </c>
      <c r="N994" t="s">
        <v>2069</v>
      </c>
      <c r="O994" t="s">
        <v>2069</v>
      </c>
      <c r="P994" t="s">
        <v>2069</v>
      </c>
      <c r="Q994" t="s">
        <v>2069</v>
      </c>
      <c r="R994" t="s">
        <v>2069</v>
      </c>
      <c r="S994" t="s">
        <v>2069</v>
      </c>
      <c r="T994" t="s">
        <v>2069</v>
      </c>
      <c r="U994" t="s">
        <v>2069</v>
      </c>
      <c r="V994" t="s">
        <v>2069</v>
      </c>
      <c r="W994" t="s">
        <v>2069</v>
      </c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</row>
    <row r="995">
      <c r="A995" t="s">
        <v>261</v>
      </c>
      <c r="B995" t="s">
        <v>245</v>
      </c>
      <c r="C995" t="s">
        <v>246</v>
      </c>
      <c r="D995" t="s">
        <v>213</v>
      </c>
      <c r="E995" t="s">
        <v>320</v>
      </c>
      <c r="F995"/>
      <c r="G995"/>
      <c r="H995"/>
      <c r="I995"/>
      <c r="J995"/>
      <c r="K995"/>
      <c r="L995" t="s">
        <v>2058</v>
      </c>
      <c r="M995" t="s">
        <v>2059</v>
      </c>
      <c r="N995" t="s">
        <v>2060</v>
      </c>
      <c r="O995" t="s">
        <v>2061</v>
      </c>
      <c r="P995" t="s">
        <v>2062</v>
      </c>
      <c r="Q995" t="s">
        <v>2063</v>
      </c>
      <c r="R995" t="s">
        <v>2064</v>
      </c>
      <c r="S995" t="s">
        <v>2065</v>
      </c>
      <c r="T995" t="s">
        <v>2066</v>
      </c>
      <c r="U995" t="s">
        <v>2067</v>
      </c>
      <c r="V995" t="s">
        <v>2068</v>
      </c>
      <c r="W995" t="s">
        <v>2070</v>
      </c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</row>
    <row r="996">
      <c r="A996" t="s">
        <v>261</v>
      </c>
      <c r="B996" t="s">
        <v>245</v>
      </c>
      <c r="C996" t="s">
        <v>246</v>
      </c>
      <c r="D996" t="s">
        <v>213</v>
      </c>
      <c r="E996" t="s">
        <v>323</v>
      </c>
      <c r="F996"/>
      <c r="G996"/>
      <c r="H996"/>
      <c r="I996"/>
      <c r="J996"/>
      <c r="K996"/>
      <c r="L996"/>
      <c r="M996"/>
      <c r="N996"/>
      <c r="O996"/>
      <c r="P996"/>
      <c r="Q996"/>
      <c r="R996"/>
      <c r="S996" t="s">
        <v>272</v>
      </c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</row>
    <row r="997">
      <c r="A997" t="s">
        <v>261</v>
      </c>
      <c r="B997" t="s">
        <v>245</v>
      </c>
      <c r="C997" t="s">
        <v>246</v>
      </c>
      <c r="D997" t="s">
        <v>213</v>
      </c>
      <c r="E997" t="s">
        <v>324</v>
      </c>
      <c r="F997"/>
      <c r="G997"/>
      <c r="H997"/>
      <c r="I997"/>
      <c r="J997"/>
      <c r="K997"/>
      <c r="L997"/>
      <c r="M997"/>
      <c r="N997"/>
      <c r="O997"/>
      <c r="P997"/>
      <c r="Q997"/>
      <c r="R997"/>
      <c r="S997" t="s">
        <v>272</v>
      </c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</row>
    <row r="998">
      <c r="A998" t="s">
        <v>261</v>
      </c>
      <c r="B998" t="s">
        <v>245</v>
      </c>
      <c r="C998" t="s">
        <v>246</v>
      </c>
      <c r="D998" t="s">
        <v>213</v>
      </c>
      <c r="E998" t="s">
        <v>325</v>
      </c>
      <c r="F998"/>
      <c r="G998"/>
      <c r="H998"/>
      <c r="I998"/>
      <c r="J998"/>
      <c r="K998"/>
      <c r="L998"/>
      <c r="M998"/>
      <c r="N998"/>
      <c r="O998"/>
      <c r="P998"/>
      <c r="Q998"/>
      <c r="R998"/>
      <c r="S998" t="s">
        <v>269</v>
      </c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</row>
    <row r="999">
      <c r="A999" t="s">
        <v>261</v>
      </c>
      <c r="B999" t="s">
        <v>245</v>
      </c>
      <c r="C999" t="s">
        <v>246</v>
      </c>
      <c r="D999" t="s">
        <v>213</v>
      </c>
      <c r="E999" t="s">
        <v>326</v>
      </c>
      <c r="F999"/>
      <c r="G999"/>
      <c r="H999"/>
      <c r="I999"/>
      <c r="J999"/>
      <c r="K999"/>
      <c r="L999"/>
      <c r="M999"/>
      <c r="N999"/>
      <c r="O999"/>
      <c r="P999"/>
      <c r="Q999"/>
      <c r="R999"/>
      <c r="S999" t="s">
        <v>2071</v>
      </c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</row>
    <row r="1000">
      <c r="A1000" t="s">
        <v>261</v>
      </c>
      <c r="B1000" t="s">
        <v>245</v>
      </c>
      <c r="C1000" t="s">
        <v>246</v>
      </c>
      <c r="D1000" t="s">
        <v>213</v>
      </c>
      <c r="E1000" t="s">
        <v>329</v>
      </c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</row>
    <row r="1001">
      <c r="A1001" t="s">
        <v>261</v>
      </c>
      <c r="B1001" t="s">
        <v>245</v>
      </c>
      <c r="C1001" t="s">
        <v>246</v>
      </c>
      <c r="D1001" t="s">
        <v>213</v>
      </c>
      <c r="E1001" t="s">
        <v>330</v>
      </c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 t="s">
        <v>2072</v>
      </c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</row>
    <row r="1002">
      <c r="A1002" t="s">
        <v>261</v>
      </c>
      <c r="B1002" t="s">
        <v>245</v>
      </c>
      <c r="C1002" t="s">
        <v>246</v>
      </c>
      <c r="D1002" t="s">
        <v>213</v>
      </c>
      <c r="E1002" t="s">
        <v>331</v>
      </c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 t="s">
        <v>283</v>
      </c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</row>
    <row r="1003">
      <c r="A1003" t="s">
        <v>261</v>
      </c>
      <c r="B1003" t="s">
        <v>245</v>
      </c>
      <c r="C1003" t="s">
        <v>246</v>
      </c>
      <c r="D1003" t="s">
        <v>213</v>
      </c>
      <c r="E1003" t="s">
        <v>332</v>
      </c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</row>
    <row r="1004">
      <c r="A1004" t="s">
        <v>261</v>
      </c>
      <c r="B1004" t="s">
        <v>245</v>
      </c>
      <c r="C1004" t="s">
        <v>246</v>
      </c>
      <c r="D1004" t="s">
        <v>213</v>
      </c>
      <c r="E1004" t="s">
        <v>333</v>
      </c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</row>
    <row r="1005">
      <c r="A1005" t="s">
        <v>261</v>
      </c>
      <c r="B1005" t="s">
        <v>245</v>
      </c>
      <c r="C1005" t="s">
        <v>246</v>
      </c>
      <c r="D1005" t="s">
        <v>213</v>
      </c>
      <c r="E1005" t="s">
        <v>334</v>
      </c>
      <c r="F1005"/>
      <c r="G1005"/>
      <c r="H1005"/>
      <c r="I1005"/>
      <c r="J1005"/>
      <c r="K1005"/>
      <c r="L1005" t="s">
        <v>416</v>
      </c>
      <c r="M1005" t="s">
        <v>416</v>
      </c>
      <c r="N1005" t="s">
        <v>416</v>
      </c>
      <c r="O1005" t="s">
        <v>416</v>
      </c>
      <c r="P1005" t="s">
        <v>416</v>
      </c>
      <c r="Q1005" t="s">
        <v>416</v>
      </c>
      <c r="R1005" t="s">
        <v>416</v>
      </c>
      <c r="S1005" t="s">
        <v>416</v>
      </c>
      <c r="T1005" t="s">
        <v>416</v>
      </c>
      <c r="U1005" t="s">
        <v>416</v>
      </c>
      <c r="V1005" t="s">
        <v>416</v>
      </c>
      <c r="W1005" t="s">
        <v>416</v>
      </c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</row>
    <row r="1006">
      <c r="A1006" t="s">
        <v>261</v>
      </c>
      <c r="B1006" t="s">
        <v>245</v>
      </c>
      <c r="C1006" t="s">
        <v>246</v>
      </c>
      <c r="D1006" t="s">
        <v>213</v>
      </c>
      <c r="E1006" t="s">
        <v>336</v>
      </c>
      <c r="F1006"/>
      <c r="G1006"/>
      <c r="H1006"/>
      <c r="I1006"/>
      <c r="J1006"/>
      <c r="K1006"/>
      <c r="L1006" t="s">
        <v>1093</v>
      </c>
      <c r="M1006" t="s">
        <v>1093</v>
      </c>
      <c r="N1006" t="s">
        <v>1093</v>
      </c>
      <c r="O1006" t="s">
        <v>1093</v>
      </c>
      <c r="P1006" t="s">
        <v>1093</v>
      </c>
      <c r="Q1006" t="s">
        <v>1093</v>
      </c>
      <c r="R1006" t="s">
        <v>1093</v>
      </c>
      <c r="S1006" t="s">
        <v>1093</v>
      </c>
      <c r="T1006" t="s">
        <v>1093</v>
      </c>
      <c r="U1006" t="s">
        <v>1093</v>
      </c>
      <c r="V1006" t="s">
        <v>1093</v>
      </c>
      <c r="W1006" t="s">
        <v>1093</v>
      </c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</row>
    <row r="1007">
      <c r="A1007" t="s">
        <v>261</v>
      </c>
      <c r="B1007" t="s">
        <v>245</v>
      </c>
      <c r="C1007" t="s">
        <v>246</v>
      </c>
      <c r="D1007" t="s">
        <v>213</v>
      </c>
      <c r="E1007" t="s">
        <v>338</v>
      </c>
      <c r="F1007"/>
      <c r="G1007"/>
      <c r="H1007"/>
      <c r="I1007"/>
      <c r="J1007"/>
      <c r="K1007"/>
      <c r="L1007" t="s">
        <v>1889</v>
      </c>
      <c r="M1007" t="s">
        <v>1889</v>
      </c>
      <c r="N1007" t="s">
        <v>1889</v>
      </c>
      <c r="O1007" t="s">
        <v>1889</v>
      </c>
      <c r="P1007" t="s">
        <v>1889</v>
      </c>
      <c r="Q1007" t="s">
        <v>1889</v>
      </c>
      <c r="R1007" t="s">
        <v>1889</v>
      </c>
      <c r="S1007" t="s">
        <v>1889</v>
      </c>
      <c r="T1007" t="s">
        <v>1889</v>
      </c>
      <c r="U1007" t="s">
        <v>1889</v>
      </c>
      <c r="V1007" t="s">
        <v>1889</v>
      </c>
      <c r="W1007" t="s">
        <v>1889</v>
      </c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</row>
    <row r="1008">
      <c r="A1008" t="s">
        <v>261</v>
      </c>
      <c r="B1008" t="s">
        <v>245</v>
      </c>
      <c r="C1008" t="s">
        <v>246</v>
      </c>
      <c r="D1008" t="s">
        <v>213</v>
      </c>
      <c r="E1008" t="s">
        <v>339</v>
      </c>
      <c r="F1008"/>
      <c r="G1008"/>
      <c r="H1008"/>
      <c r="I1008"/>
      <c r="J1008"/>
      <c r="K1008"/>
      <c r="L1008" t="s">
        <v>2073</v>
      </c>
      <c r="M1008" t="s">
        <v>2074</v>
      </c>
      <c r="N1008" t="s">
        <v>2075</v>
      </c>
      <c r="O1008" t="s">
        <v>2076</v>
      </c>
      <c r="P1008" t="s">
        <v>2077</v>
      </c>
      <c r="Q1008" t="s">
        <v>2078</v>
      </c>
      <c r="R1008" t="s">
        <v>2079</v>
      </c>
      <c r="S1008" t="s">
        <v>2080</v>
      </c>
      <c r="T1008" t="s">
        <v>2081</v>
      </c>
      <c r="U1008" t="s">
        <v>2082</v>
      </c>
      <c r="V1008" t="s">
        <v>2083</v>
      </c>
      <c r="W1008" t="s">
        <v>2084</v>
      </c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</row>
    <row r="1009">
      <c r="A1009" t="s">
        <v>261</v>
      </c>
      <c r="B1009" t="s">
        <v>245</v>
      </c>
      <c r="C1009" t="s">
        <v>246</v>
      </c>
      <c r="D1009" t="s">
        <v>213</v>
      </c>
      <c r="E1009" t="s">
        <v>358</v>
      </c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</row>
    <row r="1010">
      <c r="A1010" t="s">
        <v>210</v>
      </c>
      <c r="B1010" t="s">
        <v>245</v>
      </c>
      <c r="C1010" t="s">
        <v>246</v>
      </c>
      <c r="D1010" t="s">
        <v>213</v>
      </c>
      <c r="E1010" t="s">
        <v>297</v>
      </c>
      <c r="F1010"/>
      <c r="G1010"/>
      <c r="H1010"/>
      <c r="I1010"/>
      <c r="J1010"/>
      <c r="K1010"/>
      <c r="L1010" t="s">
        <v>2085</v>
      </c>
      <c r="M1010" t="s">
        <v>2086</v>
      </c>
      <c r="N1010" t="s">
        <v>2087</v>
      </c>
      <c r="O1010" t="s">
        <v>2088</v>
      </c>
      <c r="P1010" t="s">
        <v>2089</v>
      </c>
      <c r="Q1010" t="s">
        <v>2090</v>
      </c>
      <c r="R1010" t="s">
        <v>2091</v>
      </c>
      <c r="S1010" t="s">
        <v>2092</v>
      </c>
      <c r="T1010" t="s">
        <v>360</v>
      </c>
      <c r="U1010" t="s">
        <v>360</v>
      </c>
      <c r="V1010" t="s">
        <v>360</v>
      </c>
      <c r="W1010" t="s">
        <v>360</v>
      </c>
      <c r="X1010"/>
      <c r="Y1010"/>
      <c r="Z1010"/>
      <c r="AA1010"/>
      <c r="AB1010"/>
      <c r="AC1010"/>
      <c r="AD1010" t="n">
        <v>0</v>
      </c>
      <c r="AE1010"/>
      <c r="AF1010"/>
      <c r="AG1010" t="n">
        <v>34665</v>
      </c>
      <c r="AH1010" t="n">
        <v>13165</v>
      </c>
      <c r="AI1010"/>
      <c r="AJ1010"/>
      <c r="AK1010"/>
      <c r="AL1010"/>
    </row>
    <row r="1011">
      <c r="A1011" t="s">
        <v>210</v>
      </c>
      <c r="B1011" t="s">
        <v>245</v>
      </c>
      <c r="C1011" t="s">
        <v>246</v>
      </c>
      <c r="D1011" t="s">
        <v>213</v>
      </c>
      <c r="E1011" t="s">
        <v>316</v>
      </c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</row>
    <row r="1012">
      <c r="A1012" t="s">
        <v>210</v>
      </c>
      <c r="B1012" t="s">
        <v>245</v>
      </c>
      <c r="C1012" t="s">
        <v>246</v>
      </c>
      <c r="D1012" t="s">
        <v>213</v>
      </c>
      <c r="E1012" t="s">
        <v>317</v>
      </c>
      <c r="F1012"/>
      <c r="G1012"/>
      <c r="H1012"/>
      <c r="I1012"/>
      <c r="J1012"/>
      <c r="K1012"/>
      <c r="L1012" t="s">
        <v>2093</v>
      </c>
      <c r="M1012" t="s">
        <v>2093</v>
      </c>
      <c r="N1012" t="s">
        <v>2093</v>
      </c>
      <c r="O1012" t="s">
        <v>2093</v>
      </c>
      <c r="P1012" t="s">
        <v>2093</v>
      </c>
      <c r="Q1012" t="s">
        <v>2093</v>
      </c>
      <c r="R1012" t="s">
        <v>2093</v>
      </c>
      <c r="S1012" t="s">
        <v>2093</v>
      </c>
      <c r="T1012" t="s">
        <v>2093</v>
      </c>
      <c r="U1012" t="s">
        <v>2093</v>
      </c>
      <c r="V1012" t="s">
        <v>2093</v>
      </c>
      <c r="W1012" t="s">
        <v>2093</v>
      </c>
      <c r="X1012"/>
      <c r="Y1012"/>
      <c r="Z1012"/>
      <c r="AA1012"/>
      <c r="AB1012"/>
      <c r="AC1012"/>
      <c r="AD1012" t="n">
        <v>21500</v>
      </c>
      <c r="AE1012"/>
      <c r="AF1012"/>
      <c r="AG1012" t="n">
        <v>21500</v>
      </c>
      <c r="AH1012" t="n">
        <v>21500</v>
      </c>
      <c r="AI1012"/>
      <c r="AJ1012"/>
      <c r="AK1012"/>
      <c r="AL1012"/>
    </row>
    <row r="1013">
      <c r="A1013" t="s">
        <v>210</v>
      </c>
      <c r="B1013" t="s">
        <v>245</v>
      </c>
      <c r="C1013" t="s">
        <v>246</v>
      </c>
      <c r="D1013" t="s">
        <v>213</v>
      </c>
      <c r="E1013" t="s">
        <v>320</v>
      </c>
      <c r="F1013"/>
      <c r="G1013"/>
      <c r="H1013"/>
      <c r="I1013"/>
      <c r="J1013"/>
      <c r="K1013"/>
      <c r="L1013" t="s">
        <v>2086</v>
      </c>
      <c r="M1013" t="s">
        <v>2087</v>
      </c>
      <c r="N1013" t="s">
        <v>2088</v>
      </c>
      <c r="O1013" t="s">
        <v>2089</v>
      </c>
      <c r="P1013" t="s">
        <v>2090</v>
      </c>
      <c r="Q1013" t="s">
        <v>2091</v>
      </c>
      <c r="R1013" t="s">
        <v>2092</v>
      </c>
      <c r="S1013" t="s">
        <v>360</v>
      </c>
      <c r="T1013" t="s">
        <v>360</v>
      </c>
      <c r="U1013" t="s">
        <v>360</v>
      </c>
      <c r="V1013" t="s">
        <v>360</v>
      </c>
      <c r="W1013" t="s">
        <v>360</v>
      </c>
      <c r="X1013"/>
      <c r="Y1013"/>
      <c r="Z1013"/>
      <c r="AA1013"/>
      <c r="AB1013"/>
      <c r="AC1013"/>
      <c r="AD1013" t="n">
        <v>0</v>
      </c>
      <c r="AE1013"/>
      <c r="AF1013"/>
      <c r="AG1013" t="n">
        <v>13165</v>
      </c>
      <c r="AH1013" t="n">
        <v>0</v>
      </c>
      <c r="AI1013"/>
      <c r="AJ1013"/>
      <c r="AK1013"/>
      <c r="AL1013"/>
    </row>
    <row r="1014">
      <c r="A1014" t="s">
        <v>210</v>
      </c>
      <c r="B1014" t="s">
        <v>245</v>
      </c>
      <c r="C1014" t="s">
        <v>246</v>
      </c>
      <c r="D1014" t="s">
        <v>213</v>
      </c>
      <c r="E1014" t="s">
        <v>323</v>
      </c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 t="n">
        <v>3</v>
      </c>
      <c r="AE1014"/>
      <c r="AF1014"/>
      <c r="AG1014" t="n">
        <v>3</v>
      </c>
      <c r="AH1014" t="n">
        <v>3</v>
      </c>
      <c r="AI1014"/>
      <c r="AJ1014"/>
      <c r="AK1014"/>
      <c r="AL1014"/>
    </row>
    <row r="1015">
      <c r="A1015" t="s">
        <v>210</v>
      </c>
      <c r="B1015" t="s">
        <v>245</v>
      </c>
      <c r="C1015" t="s">
        <v>246</v>
      </c>
      <c r="D1015" t="s">
        <v>213</v>
      </c>
      <c r="E1015" t="s">
        <v>324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 t="n">
        <v>6</v>
      </c>
      <c r="AE1015"/>
      <c r="AF1015"/>
      <c r="AG1015" t="n">
        <v>6</v>
      </c>
      <c r="AH1015" t="n">
        <v>6</v>
      </c>
      <c r="AI1015"/>
      <c r="AJ1015"/>
      <c r="AK1015"/>
      <c r="AL1015"/>
    </row>
    <row r="1016">
      <c r="A1016" t="s">
        <v>210</v>
      </c>
      <c r="B1016" t="s">
        <v>245</v>
      </c>
      <c r="C1016" t="s">
        <v>246</v>
      </c>
      <c r="D1016" t="s">
        <v>213</v>
      </c>
      <c r="E1016" t="s">
        <v>325</v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 t="n">
        <v>6</v>
      </c>
      <c r="AE1016"/>
      <c r="AF1016"/>
      <c r="AG1016" t="n">
        <v>6</v>
      </c>
      <c r="AH1016" t="n">
        <v>6</v>
      </c>
      <c r="AI1016"/>
      <c r="AJ1016"/>
      <c r="AK1016"/>
      <c r="AL1016"/>
    </row>
    <row r="1017">
      <c r="A1017" t="s">
        <v>210</v>
      </c>
      <c r="B1017" t="s">
        <v>245</v>
      </c>
      <c r="C1017" t="s">
        <v>246</v>
      </c>
      <c r="D1017" t="s">
        <v>213</v>
      </c>
      <c r="E1017" t="s">
        <v>326</v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 t="n">
        <v>0</v>
      </c>
      <c r="AE1017"/>
      <c r="AF1017"/>
      <c r="AG1017" t="n">
        <v>0.612325581395349</v>
      </c>
      <c r="AH1017" t="n">
        <v>0</v>
      </c>
      <c r="AI1017"/>
      <c r="AJ1017"/>
      <c r="AK1017"/>
      <c r="AL1017"/>
    </row>
    <row r="1018">
      <c r="A1018" t="s">
        <v>210</v>
      </c>
      <c r="B1018" t="s">
        <v>245</v>
      </c>
      <c r="C1018" t="s">
        <v>246</v>
      </c>
      <c r="D1018" t="s">
        <v>213</v>
      </c>
      <c r="E1018" t="s">
        <v>329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</row>
    <row r="1019">
      <c r="A1019" t="s">
        <v>210</v>
      </c>
      <c r="B1019" t="s">
        <v>245</v>
      </c>
      <c r="C1019" t="s">
        <v>246</v>
      </c>
      <c r="D1019" t="s">
        <v>213</v>
      </c>
      <c r="E1019" t="s">
        <v>330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</row>
    <row r="1020">
      <c r="A1020" t="s">
        <v>210</v>
      </c>
      <c r="B1020" t="s">
        <v>245</v>
      </c>
      <c r="C1020" t="s">
        <v>246</v>
      </c>
      <c r="D1020" t="s">
        <v>213</v>
      </c>
      <c r="E1020" t="s">
        <v>331</v>
      </c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</row>
    <row r="1021">
      <c r="A1021" t="s">
        <v>210</v>
      </c>
      <c r="B1021" t="s">
        <v>245</v>
      </c>
      <c r="C1021" t="s">
        <v>246</v>
      </c>
      <c r="D1021" t="s">
        <v>213</v>
      </c>
      <c r="E1021" t="s">
        <v>332</v>
      </c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</row>
    <row r="1022">
      <c r="A1022" t="s">
        <v>210</v>
      </c>
      <c r="B1022" t="s">
        <v>245</v>
      </c>
      <c r="C1022" t="s">
        <v>246</v>
      </c>
      <c r="D1022" t="s">
        <v>213</v>
      </c>
      <c r="E1022" t="s">
        <v>333</v>
      </c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</row>
    <row r="1023">
      <c r="A1023" t="s">
        <v>210</v>
      </c>
      <c r="B1023" t="s">
        <v>245</v>
      </c>
      <c r="C1023" t="s">
        <v>246</v>
      </c>
      <c r="D1023" t="s">
        <v>213</v>
      </c>
      <c r="E1023" t="s">
        <v>334</v>
      </c>
      <c r="F1023"/>
      <c r="G1023"/>
      <c r="H1023"/>
      <c r="I1023"/>
      <c r="J1023"/>
      <c r="K1023"/>
      <c r="L1023" t="s">
        <v>335</v>
      </c>
      <c r="M1023" t="s">
        <v>335</v>
      </c>
      <c r="N1023" t="s">
        <v>335</v>
      </c>
      <c r="O1023" t="s">
        <v>335</v>
      </c>
      <c r="P1023" t="s">
        <v>335</v>
      </c>
      <c r="Q1023" t="s">
        <v>335</v>
      </c>
      <c r="R1023" t="s">
        <v>335</v>
      </c>
      <c r="S1023" t="s">
        <v>335</v>
      </c>
      <c r="T1023" t="s">
        <v>335</v>
      </c>
      <c r="U1023" t="s">
        <v>335</v>
      </c>
      <c r="V1023" t="s">
        <v>335</v>
      </c>
      <c r="W1023" t="s">
        <v>335</v>
      </c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</row>
    <row r="1024">
      <c r="A1024" t="s">
        <v>210</v>
      </c>
      <c r="B1024" t="s">
        <v>245</v>
      </c>
      <c r="C1024" t="s">
        <v>246</v>
      </c>
      <c r="D1024" t="s">
        <v>213</v>
      </c>
      <c r="E1024" t="s">
        <v>336</v>
      </c>
      <c r="F1024"/>
      <c r="G1024"/>
      <c r="H1024"/>
      <c r="I1024"/>
      <c r="J1024"/>
      <c r="K1024"/>
      <c r="L1024" t="s">
        <v>337</v>
      </c>
      <c r="M1024" t="s">
        <v>337</v>
      </c>
      <c r="N1024" t="s">
        <v>337</v>
      </c>
      <c r="O1024" t="s">
        <v>337</v>
      </c>
      <c r="P1024" t="s">
        <v>337</v>
      </c>
      <c r="Q1024" t="s">
        <v>337</v>
      </c>
      <c r="R1024" t="s">
        <v>337</v>
      </c>
      <c r="S1024" t="s">
        <v>337</v>
      </c>
      <c r="T1024" t="s">
        <v>337</v>
      </c>
      <c r="U1024" t="s">
        <v>337</v>
      </c>
      <c r="V1024" t="s">
        <v>337</v>
      </c>
      <c r="W1024" t="s">
        <v>337</v>
      </c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</row>
    <row r="1025">
      <c r="A1025" t="s">
        <v>210</v>
      </c>
      <c r="B1025" t="s">
        <v>245</v>
      </c>
      <c r="C1025" t="s">
        <v>246</v>
      </c>
      <c r="D1025" t="s">
        <v>213</v>
      </c>
      <c r="E1025" t="s">
        <v>338</v>
      </c>
      <c r="F1025"/>
      <c r="G1025"/>
      <c r="H1025"/>
      <c r="I1025"/>
      <c r="J1025"/>
      <c r="K1025"/>
      <c r="L1025" t="s">
        <v>337</v>
      </c>
      <c r="M1025" t="s">
        <v>337</v>
      </c>
      <c r="N1025" t="s">
        <v>337</v>
      </c>
      <c r="O1025" t="s">
        <v>337</v>
      </c>
      <c r="P1025" t="s">
        <v>337</v>
      </c>
      <c r="Q1025" t="s">
        <v>337</v>
      </c>
      <c r="R1025" t="s">
        <v>337</v>
      </c>
      <c r="S1025" t="s">
        <v>337</v>
      </c>
      <c r="T1025" t="s">
        <v>337</v>
      </c>
      <c r="U1025" t="s">
        <v>337</v>
      </c>
      <c r="V1025" t="s">
        <v>337</v>
      </c>
      <c r="W1025" t="s">
        <v>337</v>
      </c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</row>
    <row r="1026">
      <c r="A1026" t="s">
        <v>210</v>
      </c>
      <c r="B1026" t="s">
        <v>245</v>
      </c>
      <c r="C1026" t="s">
        <v>246</v>
      </c>
      <c r="D1026" t="s">
        <v>213</v>
      </c>
      <c r="E1026" t="s">
        <v>339</v>
      </c>
      <c r="F1026"/>
      <c r="G1026"/>
      <c r="H1026"/>
      <c r="I1026"/>
      <c r="J1026"/>
      <c r="K1026"/>
      <c r="L1026" t="s">
        <v>2094</v>
      </c>
      <c r="M1026" t="s">
        <v>2095</v>
      </c>
      <c r="N1026" t="s">
        <v>2096</v>
      </c>
      <c r="O1026" t="s">
        <v>2097</v>
      </c>
      <c r="P1026" t="s">
        <v>2098</v>
      </c>
      <c r="Q1026" t="s">
        <v>2099</v>
      </c>
      <c r="R1026" t="s">
        <v>2100</v>
      </c>
      <c r="S1026" t="s">
        <v>360</v>
      </c>
      <c r="T1026" t="s">
        <v>360</v>
      </c>
      <c r="U1026" t="s">
        <v>360</v>
      </c>
      <c r="V1026" t="s">
        <v>360</v>
      </c>
      <c r="W1026" t="s">
        <v>360</v>
      </c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</row>
    <row r="1027">
      <c r="A1027" t="s">
        <v>210</v>
      </c>
      <c r="B1027" t="s">
        <v>245</v>
      </c>
      <c r="C1027" t="s">
        <v>246</v>
      </c>
      <c r="D1027" t="s">
        <v>213</v>
      </c>
      <c r="E1027" t="s">
        <v>358</v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</row>
    <row r="1028">
      <c r="A1028" t="s">
        <v>261</v>
      </c>
      <c r="B1028" t="s">
        <v>224</v>
      </c>
      <c r="C1028" t="s">
        <v>225</v>
      </c>
      <c r="D1028"/>
      <c r="E1028" t="s">
        <v>297</v>
      </c>
      <c r="F1028"/>
      <c r="G1028"/>
      <c r="H1028"/>
      <c r="I1028"/>
      <c r="J1028"/>
      <c r="K1028"/>
      <c r="L1028" t="s">
        <v>2101</v>
      </c>
      <c r="M1028" t="s">
        <v>2102</v>
      </c>
      <c r="N1028" t="s">
        <v>2103</v>
      </c>
      <c r="O1028" t="s">
        <v>2104</v>
      </c>
      <c r="P1028" t="s">
        <v>2105</v>
      </c>
      <c r="Q1028" t="s">
        <v>2106</v>
      </c>
      <c r="R1028" t="s">
        <v>2107</v>
      </c>
      <c r="S1028" t="s">
        <v>2108</v>
      </c>
      <c r="T1028" t="s">
        <v>2109</v>
      </c>
      <c r="U1028" t="s">
        <v>2110</v>
      </c>
      <c r="V1028" t="s">
        <v>2111</v>
      </c>
      <c r="W1028" t="s">
        <v>2112</v>
      </c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</row>
    <row r="1029">
      <c r="A1029" t="s">
        <v>261</v>
      </c>
      <c r="B1029" t="s">
        <v>224</v>
      </c>
      <c r="C1029" t="s">
        <v>225</v>
      </c>
      <c r="D1029"/>
      <c r="E1029" t="s">
        <v>316</v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</row>
    <row r="1030">
      <c r="A1030" t="s">
        <v>261</v>
      </c>
      <c r="B1030" t="s">
        <v>224</v>
      </c>
      <c r="C1030" t="s">
        <v>225</v>
      </c>
      <c r="D1030"/>
      <c r="E1030" t="s">
        <v>317</v>
      </c>
      <c r="F1030"/>
      <c r="G1030"/>
      <c r="H1030"/>
      <c r="I1030"/>
      <c r="J1030"/>
      <c r="K1030"/>
      <c r="L1030" t="s">
        <v>2113</v>
      </c>
      <c r="M1030" t="s">
        <v>2113</v>
      </c>
      <c r="N1030" t="s">
        <v>2113</v>
      </c>
      <c r="O1030" t="s">
        <v>2113</v>
      </c>
      <c r="P1030" t="s">
        <v>2113</v>
      </c>
      <c r="Q1030" t="s">
        <v>2113</v>
      </c>
      <c r="R1030" t="s">
        <v>2113</v>
      </c>
      <c r="S1030" t="s">
        <v>2113</v>
      </c>
      <c r="T1030" t="s">
        <v>2113</v>
      </c>
      <c r="U1030" t="s">
        <v>2113</v>
      </c>
      <c r="V1030" t="s">
        <v>2113</v>
      </c>
      <c r="W1030" t="s">
        <v>2113</v>
      </c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</row>
    <row r="1031">
      <c r="A1031" t="s">
        <v>261</v>
      </c>
      <c r="B1031" t="s">
        <v>224</v>
      </c>
      <c r="C1031" t="s">
        <v>225</v>
      </c>
      <c r="D1031"/>
      <c r="E1031" t="s">
        <v>320</v>
      </c>
      <c r="F1031"/>
      <c r="G1031"/>
      <c r="H1031"/>
      <c r="I1031"/>
      <c r="J1031"/>
      <c r="K1031"/>
      <c r="L1031" t="s">
        <v>2102</v>
      </c>
      <c r="M1031" t="s">
        <v>2103</v>
      </c>
      <c r="N1031" t="s">
        <v>2104</v>
      </c>
      <c r="O1031" t="s">
        <v>2105</v>
      </c>
      <c r="P1031" t="s">
        <v>2106</v>
      </c>
      <c r="Q1031" t="s">
        <v>2107</v>
      </c>
      <c r="R1031" t="s">
        <v>2108</v>
      </c>
      <c r="S1031" t="s">
        <v>2109</v>
      </c>
      <c r="T1031" t="s">
        <v>2110</v>
      </c>
      <c r="U1031" t="s">
        <v>2111</v>
      </c>
      <c r="V1031" t="s">
        <v>2112</v>
      </c>
      <c r="W1031" t="s">
        <v>2114</v>
      </c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</row>
    <row r="1032">
      <c r="A1032" t="s">
        <v>261</v>
      </c>
      <c r="B1032" t="s">
        <v>224</v>
      </c>
      <c r="C1032" t="s">
        <v>225</v>
      </c>
      <c r="D1032"/>
      <c r="E1032" t="s">
        <v>323</v>
      </c>
      <c r="F1032"/>
      <c r="G1032"/>
      <c r="H1032"/>
      <c r="I1032"/>
      <c r="J1032"/>
      <c r="K1032"/>
      <c r="L1032"/>
      <c r="M1032"/>
      <c r="N1032" t="s">
        <v>272</v>
      </c>
      <c r="O1032"/>
      <c r="P1032"/>
      <c r="Q1032"/>
      <c r="R1032"/>
      <c r="S1032" t="s">
        <v>272</v>
      </c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</row>
    <row r="1033">
      <c r="A1033" t="s">
        <v>261</v>
      </c>
      <c r="B1033" t="s">
        <v>224</v>
      </c>
      <c r="C1033" t="s">
        <v>225</v>
      </c>
      <c r="D1033"/>
      <c r="E1033" t="s">
        <v>324</v>
      </c>
      <c r="F1033"/>
      <c r="G1033"/>
      <c r="H1033"/>
      <c r="I1033"/>
      <c r="J1033"/>
      <c r="K1033"/>
      <c r="L1033"/>
      <c r="M1033"/>
      <c r="N1033" t="s">
        <v>272</v>
      </c>
      <c r="O1033"/>
      <c r="P1033"/>
      <c r="Q1033"/>
      <c r="R1033"/>
      <c r="S1033" t="s">
        <v>272</v>
      </c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</row>
    <row r="1034">
      <c r="A1034" t="s">
        <v>261</v>
      </c>
      <c r="B1034" t="s">
        <v>224</v>
      </c>
      <c r="C1034" t="s">
        <v>225</v>
      </c>
      <c r="D1034"/>
      <c r="E1034" t="s">
        <v>325</v>
      </c>
      <c r="F1034"/>
      <c r="G1034"/>
      <c r="H1034"/>
      <c r="I1034"/>
      <c r="J1034"/>
      <c r="K1034"/>
      <c r="L1034"/>
      <c r="M1034"/>
      <c r="N1034" t="s">
        <v>269</v>
      </c>
      <c r="O1034"/>
      <c r="P1034"/>
      <c r="Q1034"/>
      <c r="R1034"/>
      <c r="S1034" t="s">
        <v>269</v>
      </c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</row>
    <row r="1035">
      <c r="A1035" t="s">
        <v>261</v>
      </c>
      <c r="B1035" t="s">
        <v>224</v>
      </c>
      <c r="C1035" t="s">
        <v>225</v>
      </c>
      <c r="D1035"/>
      <c r="E1035" t="s">
        <v>326</v>
      </c>
      <c r="F1035"/>
      <c r="G1035"/>
      <c r="H1035"/>
      <c r="I1035"/>
      <c r="J1035"/>
      <c r="K1035"/>
      <c r="L1035"/>
      <c r="M1035"/>
      <c r="N1035" t="s">
        <v>2115</v>
      </c>
      <c r="O1035"/>
      <c r="P1035"/>
      <c r="Q1035"/>
      <c r="R1035"/>
      <c r="S1035" t="s">
        <v>2116</v>
      </c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</row>
    <row r="1036">
      <c r="A1036" t="s">
        <v>261</v>
      </c>
      <c r="B1036" t="s">
        <v>224</v>
      </c>
      <c r="C1036" t="s">
        <v>225</v>
      </c>
      <c r="D1036"/>
      <c r="E1036" t="s">
        <v>329</v>
      </c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</row>
    <row r="1037">
      <c r="A1037" t="s">
        <v>261</v>
      </c>
      <c r="B1037" t="s">
        <v>224</v>
      </c>
      <c r="C1037" t="s">
        <v>225</v>
      </c>
      <c r="D1037"/>
      <c r="E1037" t="s">
        <v>330</v>
      </c>
      <c r="F1037"/>
      <c r="G1037"/>
      <c r="H1037"/>
      <c r="I1037"/>
      <c r="J1037"/>
      <c r="K1037"/>
      <c r="L1037"/>
      <c r="M1037"/>
      <c r="N1037" t="s">
        <v>2117</v>
      </c>
      <c r="O1037"/>
      <c r="P1037"/>
      <c r="Q1037"/>
      <c r="R1037"/>
      <c r="S1037" t="s">
        <v>2118</v>
      </c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</row>
    <row r="1038">
      <c r="A1038" t="s">
        <v>261</v>
      </c>
      <c r="B1038" t="s">
        <v>224</v>
      </c>
      <c r="C1038" t="s">
        <v>225</v>
      </c>
      <c r="D1038"/>
      <c r="E1038" t="s">
        <v>331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</row>
    <row r="1039">
      <c r="A1039" t="s">
        <v>261</v>
      </c>
      <c r="B1039" t="s">
        <v>224</v>
      </c>
      <c r="C1039" t="s">
        <v>225</v>
      </c>
      <c r="D1039"/>
      <c r="E1039" t="s">
        <v>332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</row>
    <row r="1040">
      <c r="A1040" t="s">
        <v>261</v>
      </c>
      <c r="B1040" t="s">
        <v>224</v>
      </c>
      <c r="C1040" t="s">
        <v>225</v>
      </c>
      <c r="D1040"/>
      <c r="E1040" t="s">
        <v>333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</row>
    <row r="1041">
      <c r="A1041" t="s">
        <v>261</v>
      </c>
      <c r="B1041" t="s">
        <v>224</v>
      </c>
      <c r="C1041" t="s">
        <v>225</v>
      </c>
      <c r="D1041"/>
      <c r="E1041" t="s">
        <v>334</v>
      </c>
      <c r="F1041"/>
      <c r="G1041"/>
      <c r="H1041"/>
      <c r="I1041"/>
      <c r="J1041"/>
      <c r="K1041"/>
      <c r="L1041" t="s">
        <v>416</v>
      </c>
      <c r="M1041" t="s">
        <v>416</v>
      </c>
      <c r="N1041" t="s">
        <v>416</v>
      </c>
      <c r="O1041" t="s">
        <v>416</v>
      </c>
      <c r="P1041" t="s">
        <v>416</v>
      </c>
      <c r="Q1041" t="s">
        <v>416</v>
      </c>
      <c r="R1041" t="s">
        <v>416</v>
      </c>
      <c r="S1041" t="s">
        <v>416</v>
      </c>
      <c r="T1041" t="s">
        <v>416</v>
      </c>
      <c r="U1041" t="s">
        <v>416</v>
      </c>
      <c r="V1041" t="s">
        <v>416</v>
      </c>
      <c r="W1041" t="s">
        <v>416</v>
      </c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</row>
    <row r="1042">
      <c r="A1042" t="s">
        <v>261</v>
      </c>
      <c r="B1042" t="s">
        <v>224</v>
      </c>
      <c r="C1042" t="s">
        <v>225</v>
      </c>
      <c r="D1042"/>
      <c r="E1042" t="s">
        <v>336</v>
      </c>
      <c r="F1042"/>
      <c r="G1042"/>
      <c r="H1042"/>
      <c r="I1042"/>
      <c r="J1042"/>
      <c r="K1042"/>
      <c r="L1042" t="s">
        <v>1093</v>
      </c>
      <c r="M1042" t="s">
        <v>1093</v>
      </c>
      <c r="N1042" t="s">
        <v>1093</v>
      </c>
      <c r="O1042" t="s">
        <v>1093</v>
      </c>
      <c r="P1042" t="s">
        <v>1093</v>
      </c>
      <c r="Q1042" t="s">
        <v>1093</v>
      </c>
      <c r="R1042" t="s">
        <v>1093</v>
      </c>
      <c r="S1042" t="s">
        <v>1093</v>
      </c>
      <c r="T1042" t="s">
        <v>1093</v>
      </c>
      <c r="U1042" t="s">
        <v>1093</v>
      </c>
      <c r="V1042" t="s">
        <v>1093</v>
      </c>
      <c r="W1042" t="s">
        <v>1093</v>
      </c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</row>
    <row r="1043">
      <c r="A1043" t="s">
        <v>261</v>
      </c>
      <c r="B1043" t="s">
        <v>224</v>
      </c>
      <c r="C1043" t="s">
        <v>225</v>
      </c>
      <c r="D1043"/>
      <c r="E1043" t="s">
        <v>338</v>
      </c>
      <c r="F1043"/>
      <c r="G1043"/>
      <c r="H1043"/>
      <c r="I1043"/>
      <c r="J1043"/>
      <c r="K1043"/>
      <c r="L1043" t="s">
        <v>1889</v>
      </c>
      <c r="M1043" t="s">
        <v>1889</v>
      </c>
      <c r="N1043" t="s">
        <v>1889</v>
      </c>
      <c r="O1043" t="s">
        <v>1889</v>
      </c>
      <c r="P1043" t="s">
        <v>1889</v>
      </c>
      <c r="Q1043" t="s">
        <v>1889</v>
      </c>
      <c r="R1043" t="s">
        <v>1889</v>
      </c>
      <c r="S1043" t="s">
        <v>1889</v>
      </c>
      <c r="T1043" t="s">
        <v>1889</v>
      </c>
      <c r="U1043" t="s">
        <v>1889</v>
      </c>
      <c r="V1043" t="s">
        <v>1889</v>
      </c>
      <c r="W1043" t="s">
        <v>1889</v>
      </c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</row>
    <row r="1044">
      <c r="A1044" t="s">
        <v>261</v>
      </c>
      <c r="B1044" t="s">
        <v>224</v>
      </c>
      <c r="C1044" t="s">
        <v>225</v>
      </c>
      <c r="D1044"/>
      <c r="E1044" t="s">
        <v>339</v>
      </c>
      <c r="F1044"/>
      <c r="G1044"/>
      <c r="H1044"/>
      <c r="I1044"/>
      <c r="J1044"/>
      <c r="K1044"/>
      <c r="L1044" t="s">
        <v>2119</v>
      </c>
      <c r="M1044" t="s">
        <v>2120</v>
      </c>
      <c r="N1044" t="s">
        <v>2121</v>
      </c>
      <c r="O1044" t="s">
        <v>2122</v>
      </c>
      <c r="P1044" t="s">
        <v>2123</v>
      </c>
      <c r="Q1044" t="s">
        <v>2124</v>
      </c>
      <c r="R1044" t="s">
        <v>2125</v>
      </c>
      <c r="S1044" t="s">
        <v>2126</v>
      </c>
      <c r="T1044" t="s">
        <v>2127</v>
      </c>
      <c r="U1044" t="s">
        <v>2128</v>
      </c>
      <c r="V1044" t="s">
        <v>2129</v>
      </c>
      <c r="W1044" t="s">
        <v>2130</v>
      </c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</row>
    <row r="1045">
      <c r="A1045" t="s">
        <v>261</v>
      </c>
      <c r="B1045" t="s">
        <v>224</v>
      </c>
      <c r="C1045" t="s">
        <v>225</v>
      </c>
      <c r="D1045"/>
      <c r="E1045" t="s">
        <v>358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</row>
    <row r="1046">
      <c r="A1046" t="s">
        <v>210</v>
      </c>
      <c r="B1046" t="s">
        <v>224</v>
      </c>
      <c r="C1046" t="s">
        <v>225</v>
      </c>
      <c r="D1046" t="s">
        <v>213</v>
      </c>
      <c r="E1046" t="s">
        <v>297</v>
      </c>
      <c r="F1046"/>
      <c r="G1046"/>
      <c r="H1046"/>
      <c r="I1046"/>
      <c r="J1046"/>
      <c r="K1046"/>
      <c r="L1046" t="s">
        <v>360</v>
      </c>
      <c r="M1046" t="s">
        <v>360</v>
      </c>
      <c r="N1046" t="s">
        <v>360</v>
      </c>
      <c r="O1046" t="s">
        <v>2131</v>
      </c>
      <c r="P1046" t="s">
        <v>2132</v>
      </c>
      <c r="Q1046" t="s">
        <v>2133</v>
      </c>
      <c r="R1046" t="s">
        <v>2134</v>
      </c>
      <c r="S1046" t="s">
        <v>2135</v>
      </c>
      <c r="T1046" t="s">
        <v>2136</v>
      </c>
      <c r="U1046" t="s">
        <v>2137</v>
      </c>
      <c r="V1046" t="s">
        <v>2138</v>
      </c>
      <c r="W1046" t="s">
        <v>2139</v>
      </c>
      <c r="X1046"/>
      <c r="Y1046"/>
      <c r="Z1046"/>
      <c r="AA1046"/>
      <c r="AB1046"/>
      <c r="AC1046"/>
      <c r="AD1046" t="n">
        <v>76868</v>
      </c>
      <c r="AE1046" t="n">
        <v>48978</v>
      </c>
      <c r="AF1046" t="n">
        <v>21088</v>
      </c>
      <c r="AG1046" t="n">
        <v>0</v>
      </c>
      <c r="AH1046" t="n">
        <v>0</v>
      </c>
      <c r="AI1046"/>
      <c r="AJ1046"/>
      <c r="AK1046"/>
      <c r="AL1046"/>
    </row>
    <row r="1047">
      <c r="A1047" t="s">
        <v>210</v>
      </c>
      <c r="B1047" t="s">
        <v>224</v>
      </c>
      <c r="C1047" t="s">
        <v>225</v>
      </c>
      <c r="D1047" t="s">
        <v>213</v>
      </c>
      <c r="E1047" t="s">
        <v>316</v>
      </c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</row>
    <row r="1048">
      <c r="A1048" t="s">
        <v>210</v>
      </c>
      <c r="B1048" t="s">
        <v>224</v>
      </c>
      <c r="C1048" t="s">
        <v>225</v>
      </c>
      <c r="D1048" t="s">
        <v>213</v>
      </c>
      <c r="E1048" t="s">
        <v>317</v>
      </c>
      <c r="F1048"/>
      <c r="G1048"/>
      <c r="H1048"/>
      <c r="I1048"/>
      <c r="J1048"/>
      <c r="K1048"/>
      <c r="L1048" t="s">
        <v>2140</v>
      </c>
      <c r="M1048" t="s">
        <v>2140</v>
      </c>
      <c r="N1048" t="s">
        <v>2140</v>
      </c>
      <c r="O1048" t="s">
        <v>2140</v>
      </c>
      <c r="P1048" t="s">
        <v>2140</v>
      </c>
      <c r="Q1048" t="s">
        <v>2140</v>
      </c>
      <c r="R1048" t="s">
        <v>2140</v>
      </c>
      <c r="S1048" t="s">
        <v>2140</v>
      </c>
      <c r="T1048" t="s">
        <v>2140</v>
      </c>
      <c r="U1048" t="s">
        <v>2140</v>
      </c>
      <c r="V1048" t="s">
        <v>2140</v>
      </c>
      <c r="W1048" t="s">
        <v>2140</v>
      </c>
      <c r="X1048"/>
      <c r="Y1048"/>
      <c r="Z1048"/>
      <c r="AA1048"/>
      <c r="AB1048"/>
      <c r="AC1048"/>
      <c r="AD1048" t="n">
        <v>27890</v>
      </c>
      <c r="AE1048" t="n">
        <v>27890</v>
      </c>
      <c r="AF1048" t="n">
        <v>27890</v>
      </c>
      <c r="AG1048" t="n">
        <v>27890</v>
      </c>
      <c r="AH1048" t="n">
        <v>27890</v>
      </c>
      <c r="AI1048"/>
      <c r="AJ1048"/>
      <c r="AK1048"/>
      <c r="AL1048"/>
    </row>
    <row r="1049">
      <c r="A1049" t="s">
        <v>210</v>
      </c>
      <c r="B1049" t="s">
        <v>224</v>
      </c>
      <c r="C1049" t="s">
        <v>225</v>
      </c>
      <c r="D1049" t="s">
        <v>213</v>
      </c>
      <c r="E1049" t="s">
        <v>320</v>
      </c>
      <c r="F1049"/>
      <c r="G1049"/>
      <c r="H1049"/>
      <c r="I1049"/>
      <c r="J1049"/>
      <c r="K1049"/>
      <c r="L1049" t="s">
        <v>360</v>
      </c>
      <c r="M1049" t="s">
        <v>360</v>
      </c>
      <c r="N1049" t="s">
        <v>2131</v>
      </c>
      <c r="O1049" t="s">
        <v>2132</v>
      </c>
      <c r="P1049" t="s">
        <v>2133</v>
      </c>
      <c r="Q1049" t="s">
        <v>2134</v>
      </c>
      <c r="R1049" t="s">
        <v>2135</v>
      </c>
      <c r="S1049" t="s">
        <v>2136</v>
      </c>
      <c r="T1049" t="s">
        <v>2137</v>
      </c>
      <c r="U1049" t="s">
        <v>2138</v>
      </c>
      <c r="V1049" t="s">
        <v>2139</v>
      </c>
      <c r="W1049" t="s">
        <v>360</v>
      </c>
      <c r="X1049"/>
      <c r="Y1049"/>
      <c r="Z1049"/>
      <c r="AA1049"/>
      <c r="AB1049"/>
      <c r="AC1049"/>
      <c r="AD1049" t="n">
        <v>48978</v>
      </c>
      <c r="AE1049" t="n">
        <v>21088</v>
      </c>
      <c r="AF1049" t="n">
        <v>0</v>
      </c>
      <c r="AG1049" t="n">
        <v>0</v>
      </c>
      <c r="AH1049" t="n">
        <v>0</v>
      </c>
      <c r="AI1049"/>
      <c r="AJ1049"/>
      <c r="AK1049"/>
      <c r="AL1049"/>
    </row>
    <row r="1050">
      <c r="A1050" t="s">
        <v>210</v>
      </c>
      <c r="B1050" t="s">
        <v>224</v>
      </c>
      <c r="C1050" t="s">
        <v>225</v>
      </c>
      <c r="D1050" t="s">
        <v>213</v>
      </c>
      <c r="E1050" t="s">
        <v>323</v>
      </c>
      <c r="F1050"/>
      <c r="G1050"/>
      <c r="H1050"/>
      <c r="I1050"/>
      <c r="J1050"/>
      <c r="K1050"/>
      <c r="L1050"/>
      <c r="M1050"/>
      <c r="N1050" t="s">
        <v>236</v>
      </c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 t="n">
        <v>3</v>
      </c>
      <c r="AE1050" t="n">
        <v>3</v>
      </c>
      <c r="AF1050" t="n">
        <v>3</v>
      </c>
      <c r="AG1050" t="n">
        <v>3</v>
      </c>
      <c r="AH1050" t="n">
        <v>3</v>
      </c>
      <c r="AI1050"/>
      <c r="AJ1050"/>
      <c r="AK1050"/>
      <c r="AL1050"/>
    </row>
    <row r="1051">
      <c r="A1051" t="s">
        <v>210</v>
      </c>
      <c r="B1051" t="s">
        <v>224</v>
      </c>
      <c r="C1051" t="s">
        <v>225</v>
      </c>
      <c r="D1051" t="s">
        <v>213</v>
      </c>
      <c r="E1051" t="s">
        <v>324</v>
      </c>
      <c r="F1051"/>
      <c r="G1051"/>
      <c r="H1051"/>
      <c r="I1051"/>
      <c r="J1051"/>
      <c r="K1051"/>
      <c r="L1051"/>
      <c r="M1051"/>
      <c r="N1051" t="s">
        <v>236</v>
      </c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 t="n">
        <v>6</v>
      </c>
      <c r="AE1051" t="n">
        <v>6</v>
      </c>
      <c r="AF1051" t="n">
        <v>6</v>
      </c>
      <c r="AG1051" t="n">
        <v>6</v>
      </c>
      <c r="AH1051" t="n">
        <v>6</v>
      </c>
      <c r="AI1051"/>
      <c r="AJ1051"/>
      <c r="AK1051"/>
      <c r="AL1051"/>
    </row>
    <row r="1052">
      <c r="A1052" t="s">
        <v>210</v>
      </c>
      <c r="B1052" t="s">
        <v>224</v>
      </c>
      <c r="C1052" t="s">
        <v>225</v>
      </c>
      <c r="D1052" t="s">
        <v>213</v>
      </c>
      <c r="E1052" t="s">
        <v>325</v>
      </c>
      <c r="F1052"/>
      <c r="G1052"/>
      <c r="H1052"/>
      <c r="I1052"/>
      <c r="J1052"/>
      <c r="K1052"/>
      <c r="L1052"/>
      <c r="M1052"/>
      <c r="N1052" t="s">
        <v>254</v>
      </c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 t="n">
        <v>6</v>
      </c>
      <c r="AE1052" t="n">
        <v>6</v>
      </c>
      <c r="AF1052" t="n">
        <v>6</v>
      </c>
      <c r="AG1052" t="n">
        <v>6</v>
      </c>
      <c r="AH1052" t="n">
        <v>6</v>
      </c>
      <c r="AI1052"/>
      <c r="AJ1052"/>
      <c r="AK1052"/>
      <c r="AL1052"/>
    </row>
    <row r="1053">
      <c r="A1053" t="s">
        <v>210</v>
      </c>
      <c r="B1053" t="s">
        <v>224</v>
      </c>
      <c r="C1053" t="s">
        <v>225</v>
      </c>
      <c r="D1053" t="s">
        <v>213</v>
      </c>
      <c r="E1053" t="s">
        <v>326</v>
      </c>
      <c r="F1053"/>
      <c r="G1053"/>
      <c r="H1053"/>
      <c r="I1053"/>
      <c r="J1053"/>
      <c r="K1053"/>
      <c r="L1053"/>
      <c r="M1053"/>
      <c r="N1053" t="s">
        <v>2141</v>
      </c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 t="n">
        <v>1.75611330225887</v>
      </c>
      <c r="AE1053" t="n">
        <v>0.756113302258874</v>
      </c>
      <c r="AF1053" t="n">
        <v>0</v>
      </c>
      <c r="AG1053" t="n">
        <v>0</v>
      </c>
      <c r="AH1053" t="n">
        <v>0</v>
      </c>
      <c r="AI1053"/>
      <c r="AJ1053"/>
      <c r="AK1053"/>
      <c r="AL1053"/>
    </row>
    <row r="1054">
      <c r="A1054" t="s">
        <v>210</v>
      </c>
      <c r="B1054" t="s">
        <v>224</v>
      </c>
      <c r="C1054" t="s">
        <v>225</v>
      </c>
      <c r="D1054" t="s">
        <v>213</v>
      </c>
      <c r="E1054" t="s">
        <v>329</v>
      </c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</row>
    <row r="1055">
      <c r="A1055" t="s">
        <v>210</v>
      </c>
      <c r="B1055" t="s">
        <v>224</v>
      </c>
      <c r="C1055" t="s">
        <v>225</v>
      </c>
      <c r="D1055" t="s">
        <v>213</v>
      </c>
      <c r="E1055" t="s">
        <v>330</v>
      </c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</row>
    <row r="1056">
      <c r="A1056" t="s">
        <v>210</v>
      </c>
      <c r="B1056" t="s">
        <v>224</v>
      </c>
      <c r="C1056" t="s">
        <v>225</v>
      </c>
      <c r="D1056" t="s">
        <v>213</v>
      </c>
      <c r="E1056" t="s">
        <v>331</v>
      </c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</row>
    <row r="1057">
      <c r="A1057" t="s">
        <v>210</v>
      </c>
      <c r="B1057" t="s">
        <v>224</v>
      </c>
      <c r="C1057" t="s">
        <v>225</v>
      </c>
      <c r="D1057" t="s">
        <v>213</v>
      </c>
      <c r="E1057" t="s">
        <v>332</v>
      </c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</row>
    <row r="1058">
      <c r="A1058" t="s">
        <v>210</v>
      </c>
      <c r="B1058" t="s">
        <v>224</v>
      </c>
      <c r="C1058" t="s">
        <v>225</v>
      </c>
      <c r="D1058" t="s">
        <v>213</v>
      </c>
      <c r="E1058" t="s">
        <v>333</v>
      </c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</row>
    <row r="1059">
      <c r="A1059" t="s">
        <v>210</v>
      </c>
      <c r="B1059" t="s">
        <v>224</v>
      </c>
      <c r="C1059" t="s">
        <v>225</v>
      </c>
      <c r="D1059" t="s">
        <v>213</v>
      </c>
      <c r="E1059" t="s">
        <v>334</v>
      </c>
      <c r="F1059"/>
      <c r="G1059"/>
      <c r="H1059"/>
      <c r="I1059"/>
      <c r="J1059"/>
      <c r="K1059"/>
      <c r="L1059" t="s">
        <v>335</v>
      </c>
      <c r="M1059" t="s">
        <v>335</v>
      </c>
      <c r="N1059" t="s">
        <v>335</v>
      </c>
      <c r="O1059" t="s">
        <v>335</v>
      </c>
      <c r="P1059" t="s">
        <v>335</v>
      </c>
      <c r="Q1059" t="s">
        <v>335</v>
      </c>
      <c r="R1059" t="s">
        <v>335</v>
      </c>
      <c r="S1059" t="s">
        <v>335</v>
      </c>
      <c r="T1059" t="s">
        <v>335</v>
      </c>
      <c r="U1059" t="s">
        <v>335</v>
      </c>
      <c r="V1059" t="s">
        <v>335</v>
      </c>
      <c r="W1059" t="s">
        <v>335</v>
      </c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</row>
    <row r="1060">
      <c r="A1060" t="s">
        <v>210</v>
      </c>
      <c r="B1060" t="s">
        <v>224</v>
      </c>
      <c r="C1060" t="s">
        <v>225</v>
      </c>
      <c r="D1060" t="s">
        <v>213</v>
      </c>
      <c r="E1060" t="s">
        <v>336</v>
      </c>
      <c r="F1060"/>
      <c r="G1060"/>
      <c r="H1060"/>
      <c r="I1060"/>
      <c r="J1060"/>
      <c r="K1060"/>
      <c r="L1060" t="s">
        <v>337</v>
      </c>
      <c r="M1060" t="s">
        <v>337</v>
      </c>
      <c r="N1060" t="s">
        <v>337</v>
      </c>
      <c r="O1060" t="s">
        <v>337</v>
      </c>
      <c r="P1060" t="s">
        <v>337</v>
      </c>
      <c r="Q1060" t="s">
        <v>337</v>
      </c>
      <c r="R1060" t="s">
        <v>337</v>
      </c>
      <c r="S1060" t="s">
        <v>337</v>
      </c>
      <c r="T1060" t="s">
        <v>337</v>
      </c>
      <c r="U1060" t="s">
        <v>337</v>
      </c>
      <c r="V1060" t="s">
        <v>337</v>
      </c>
      <c r="W1060" t="s">
        <v>337</v>
      </c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</row>
    <row r="1061">
      <c r="A1061" t="s">
        <v>210</v>
      </c>
      <c r="B1061" t="s">
        <v>224</v>
      </c>
      <c r="C1061" t="s">
        <v>225</v>
      </c>
      <c r="D1061" t="s">
        <v>213</v>
      </c>
      <c r="E1061" t="s">
        <v>338</v>
      </c>
      <c r="F1061"/>
      <c r="G1061"/>
      <c r="H1061"/>
      <c r="I1061"/>
      <c r="J1061"/>
      <c r="K1061"/>
      <c r="L1061" t="s">
        <v>337</v>
      </c>
      <c r="M1061" t="s">
        <v>337</v>
      </c>
      <c r="N1061" t="s">
        <v>337</v>
      </c>
      <c r="O1061" t="s">
        <v>337</v>
      </c>
      <c r="P1061" t="s">
        <v>337</v>
      </c>
      <c r="Q1061" t="s">
        <v>337</v>
      </c>
      <c r="R1061" t="s">
        <v>337</v>
      </c>
      <c r="S1061" t="s">
        <v>337</v>
      </c>
      <c r="T1061" t="s">
        <v>337</v>
      </c>
      <c r="U1061" t="s">
        <v>337</v>
      </c>
      <c r="V1061" t="s">
        <v>337</v>
      </c>
      <c r="W1061" t="s">
        <v>337</v>
      </c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</row>
    <row r="1062">
      <c r="A1062" t="s">
        <v>210</v>
      </c>
      <c r="B1062" t="s">
        <v>224</v>
      </c>
      <c r="C1062" t="s">
        <v>225</v>
      </c>
      <c r="D1062" t="s">
        <v>213</v>
      </c>
      <c r="E1062" t="s">
        <v>339</v>
      </c>
      <c r="F1062"/>
      <c r="G1062"/>
      <c r="H1062"/>
      <c r="I1062"/>
      <c r="J1062"/>
      <c r="K1062"/>
      <c r="L1062" t="s">
        <v>360</v>
      </c>
      <c r="M1062" t="s">
        <v>360</v>
      </c>
      <c r="N1062" t="s">
        <v>2142</v>
      </c>
      <c r="O1062" t="s">
        <v>2143</v>
      </c>
      <c r="P1062" t="s">
        <v>2144</v>
      </c>
      <c r="Q1062" t="s">
        <v>2145</v>
      </c>
      <c r="R1062" t="s">
        <v>2146</v>
      </c>
      <c r="S1062" t="s">
        <v>2147</v>
      </c>
      <c r="T1062" t="s">
        <v>2148</v>
      </c>
      <c r="U1062" t="s">
        <v>2149</v>
      </c>
      <c r="V1062" t="s">
        <v>2150</v>
      </c>
      <c r="W1062" t="s">
        <v>360</v>
      </c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</row>
    <row r="1063">
      <c r="A1063" t="s">
        <v>210</v>
      </c>
      <c r="B1063" t="s">
        <v>224</v>
      </c>
      <c r="C1063" t="s">
        <v>225</v>
      </c>
      <c r="D1063" t="s">
        <v>213</v>
      </c>
      <c r="E1063" t="s">
        <v>358</v>
      </c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</row>
    <row r="1064">
      <c r="A1064" t="s">
        <v>261</v>
      </c>
      <c r="B1064" t="s">
        <v>227</v>
      </c>
      <c r="C1064" t="s">
        <v>228</v>
      </c>
      <c r="D1064" t="s">
        <v>213</v>
      </c>
      <c r="E1064" t="s">
        <v>297</v>
      </c>
      <c r="F1064"/>
      <c r="G1064"/>
      <c r="H1064"/>
      <c r="I1064"/>
      <c r="J1064"/>
      <c r="K1064"/>
      <c r="L1064" t="s">
        <v>2151</v>
      </c>
      <c r="M1064" t="s">
        <v>2152</v>
      </c>
      <c r="N1064" t="s">
        <v>2153</v>
      </c>
      <c r="O1064" t="s">
        <v>2154</v>
      </c>
      <c r="P1064" t="s">
        <v>2155</v>
      </c>
      <c r="Q1064" t="s">
        <v>2156</v>
      </c>
      <c r="R1064" t="s">
        <v>2157</v>
      </c>
      <c r="S1064" t="s">
        <v>2158</v>
      </c>
      <c r="T1064" t="s">
        <v>2159</v>
      </c>
      <c r="U1064" t="s">
        <v>2160</v>
      </c>
      <c r="V1064" t="s">
        <v>2161</v>
      </c>
      <c r="W1064" t="s">
        <v>2162</v>
      </c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</row>
    <row r="1065">
      <c r="A1065" t="s">
        <v>261</v>
      </c>
      <c r="B1065" t="s">
        <v>227</v>
      </c>
      <c r="C1065" t="s">
        <v>228</v>
      </c>
      <c r="D1065" t="s">
        <v>213</v>
      </c>
      <c r="E1065" t="s">
        <v>316</v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</row>
    <row r="1066">
      <c r="A1066" t="s">
        <v>261</v>
      </c>
      <c r="B1066" t="s">
        <v>227</v>
      </c>
      <c r="C1066" t="s">
        <v>228</v>
      </c>
      <c r="D1066" t="s">
        <v>213</v>
      </c>
      <c r="E1066" t="s">
        <v>317</v>
      </c>
      <c r="F1066"/>
      <c r="G1066"/>
      <c r="H1066"/>
      <c r="I1066"/>
      <c r="J1066"/>
      <c r="K1066"/>
      <c r="L1066" t="s">
        <v>2163</v>
      </c>
      <c r="M1066" t="s">
        <v>2163</v>
      </c>
      <c r="N1066" t="s">
        <v>2163</v>
      </c>
      <c r="O1066" t="s">
        <v>2163</v>
      </c>
      <c r="P1066" t="s">
        <v>2163</v>
      </c>
      <c r="Q1066" t="s">
        <v>2163</v>
      </c>
      <c r="R1066" t="s">
        <v>2163</v>
      </c>
      <c r="S1066" t="s">
        <v>2163</v>
      </c>
      <c r="T1066" t="s">
        <v>2163</v>
      </c>
      <c r="U1066" t="s">
        <v>2163</v>
      </c>
      <c r="V1066" t="s">
        <v>2163</v>
      </c>
      <c r="W1066" t="s">
        <v>2163</v>
      </c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</row>
    <row r="1067">
      <c r="A1067" t="s">
        <v>261</v>
      </c>
      <c r="B1067" t="s">
        <v>227</v>
      </c>
      <c r="C1067" t="s">
        <v>228</v>
      </c>
      <c r="D1067" t="s">
        <v>213</v>
      </c>
      <c r="E1067" t="s">
        <v>320</v>
      </c>
      <c r="F1067"/>
      <c r="G1067"/>
      <c r="H1067"/>
      <c r="I1067"/>
      <c r="J1067"/>
      <c r="K1067"/>
      <c r="L1067" t="s">
        <v>2152</v>
      </c>
      <c r="M1067" t="s">
        <v>2153</v>
      </c>
      <c r="N1067" t="s">
        <v>2154</v>
      </c>
      <c r="O1067" t="s">
        <v>2155</v>
      </c>
      <c r="P1067" t="s">
        <v>2156</v>
      </c>
      <c r="Q1067" t="s">
        <v>2157</v>
      </c>
      <c r="R1067" t="s">
        <v>2158</v>
      </c>
      <c r="S1067" t="s">
        <v>2159</v>
      </c>
      <c r="T1067" t="s">
        <v>2160</v>
      </c>
      <c r="U1067" t="s">
        <v>2161</v>
      </c>
      <c r="V1067" t="s">
        <v>2162</v>
      </c>
      <c r="W1067" t="s">
        <v>2164</v>
      </c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</row>
    <row r="1068">
      <c r="A1068" t="s">
        <v>261</v>
      </c>
      <c r="B1068" t="s">
        <v>227</v>
      </c>
      <c r="C1068" t="s">
        <v>228</v>
      </c>
      <c r="D1068" t="s">
        <v>213</v>
      </c>
      <c r="E1068" t="s">
        <v>323</v>
      </c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</row>
    <row r="1069">
      <c r="A1069" t="s">
        <v>261</v>
      </c>
      <c r="B1069" t="s">
        <v>227</v>
      </c>
      <c r="C1069" t="s">
        <v>228</v>
      </c>
      <c r="D1069" t="s">
        <v>213</v>
      </c>
      <c r="E1069" t="s">
        <v>324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</row>
    <row r="1070">
      <c r="A1070" t="s">
        <v>261</v>
      </c>
      <c r="B1070" t="s">
        <v>227</v>
      </c>
      <c r="C1070" t="s">
        <v>228</v>
      </c>
      <c r="D1070" t="s">
        <v>213</v>
      </c>
      <c r="E1070" t="s">
        <v>325</v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</row>
    <row r="1071">
      <c r="A1071" t="s">
        <v>261</v>
      </c>
      <c r="B1071" t="s">
        <v>227</v>
      </c>
      <c r="C1071" t="s">
        <v>228</v>
      </c>
      <c r="D1071" t="s">
        <v>213</v>
      </c>
      <c r="E1071" t="s">
        <v>326</v>
      </c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</row>
    <row r="1072">
      <c r="A1072" t="s">
        <v>261</v>
      </c>
      <c r="B1072" t="s">
        <v>227</v>
      </c>
      <c r="C1072" t="s">
        <v>228</v>
      </c>
      <c r="D1072" t="s">
        <v>213</v>
      </c>
      <c r="E1072" t="s">
        <v>329</v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</row>
    <row r="1073">
      <c r="A1073" t="s">
        <v>261</v>
      </c>
      <c r="B1073" t="s">
        <v>227</v>
      </c>
      <c r="C1073" t="s">
        <v>228</v>
      </c>
      <c r="D1073" t="s">
        <v>213</v>
      </c>
      <c r="E1073" t="s">
        <v>330</v>
      </c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</row>
    <row r="1074">
      <c r="A1074" t="s">
        <v>261</v>
      </c>
      <c r="B1074" t="s">
        <v>227</v>
      </c>
      <c r="C1074" t="s">
        <v>228</v>
      </c>
      <c r="D1074" t="s">
        <v>213</v>
      </c>
      <c r="E1074" t="s">
        <v>331</v>
      </c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</row>
    <row r="1075">
      <c r="A1075" t="s">
        <v>261</v>
      </c>
      <c r="B1075" t="s">
        <v>227</v>
      </c>
      <c r="C1075" t="s">
        <v>228</v>
      </c>
      <c r="D1075" t="s">
        <v>213</v>
      </c>
      <c r="E1075" t="s">
        <v>332</v>
      </c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</row>
    <row r="1076">
      <c r="A1076" t="s">
        <v>261</v>
      </c>
      <c r="B1076" t="s">
        <v>227</v>
      </c>
      <c r="C1076" t="s">
        <v>228</v>
      </c>
      <c r="D1076" t="s">
        <v>213</v>
      </c>
      <c r="E1076" t="s">
        <v>333</v>
      </c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</row>
    <row r="1077">
      <c r="A1077" t="s">
        <v>261</v>
      </c>
      <c r="B1077" t="s">
        <v>227</v>
      </c>
      <c r="C1077" t="s">
        <v>228</v>
      </c>
      <c r="D1077" t="s">
        <v>213</v>
      </c>
      <c r="E1077" t="s">
        <v>334</v>
      </c>
      <c r="F1077"/>
      <c r="G1077"/>
      <c r="H1077"/>
      <c r="I1077"/>
      <c r="J1077"/>
      <c r="K1077"/>
      <c r="L1077" t="s">
        <v>416</v>
      </c>
      <c r="M1077" t="s">
        <v>416</v>
      </c>
      <c r="N1077" t="s">
        <v>416</v>
      </c>
      <c r="O1077" t="s">
        <v>416</v>
      </c>
      <c r="P1077" t="s">
        <v>416</v>
      </c>
      <c r="Q1077" t="s">
        <v>416</v>
      </c>
      <c r="R1077" t="s">
        <v>416</v>
      </c>
      <c r="S1077" t="s">
        <v>416</v>
      </c>
      <c r="T1077" t="s">
        <v>416</v>
      </c>
      <c r="U1077" t="s">
        <v>416</v>
      </c>
      <c r="V1077" t="s">
        <v>416</v>
      </c>
      <c r="W1077" t="s">
        <v>416</v>
      </c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</row>
    <row r="1078">
      <c r="A1078" t="s">
        <v>261</v>
      </c>
      <c r="B1078" t="s">
        <v>227</v>
      </c>
      <c r="C1078" t="s">
        <v>228</v>
      </c>
      <c r="D1078" t="s">
        <v>213</v>
      </c>
      <c r="E1078" t="s">
        <v>336</v>
      </c>
      <c r="F1078"/>
      <c r="G1078"/>
      <c r="H1078"/>
      <c r="I1078"/>
      <c r="J1078"/>
      <c r="K1078"/>
      <c r="L1078" t="s">
        <v>1093</v>
      </c>
      <c r="M1078" t="s">
        <v>1093</v>
      </c>
      <c r="N1078" t="s">
        <v>1093</v>
      </c>
      <c r="O1078" t="s">
        <v>1093</v>
      </c>
      <c r="P1078" t="s">
        <v>1093</v>
      </c>
      <c r="Q1078" t="s">
        <v>1093</v>
      </c>
      <c r="R1078" t="s">
        <v>1093</v>
      </c>
      <c r="S1078" t="s">
        <v>1093</v>
      </c>
      <c r="T1078" t="s">
        <v>1093</v>
      </c>
      <c r="U1078" t="s">
        <v>1093</v>
      </c>
      <c r="V1078" t="s">
        <v>1093</v>
      </c>
      <c r="W1078" t="s">
        <v>1093</v>
      </c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</row>
    <row r="1079">
      <c r="A1079" t="s">
        <v>261</v>
      </c>
      <c r="B1079" t="s">
        <v>227</v>
      </c>
      <c r="C1079" t="s">
        <v>228</v>
      </c>
      <c r="D1079" t="s">
        <v>213</v>
      </c>
      <c r="E1079" t="s">
        <v>338</v>
      </c>
      <c r="F1079"/>
      <c r="G1079"/>
      <c r="H1079"/>
      <c r="I1079"/>
      <c r="J1079"/>
      <c r="K1079"/>
      <c r="L1079" t="s">
        <v>1889</v>
      </c>
      <c r="M1079" t="s">
        <v>1889</v>
      </c>
      <c r="N1079" t="s">
        <v>1889</v>
      </c>
      <c r="O1079" t="s">
        <v>1889</v>
      </c>
      <c r="P1079" t="s">
        <v>1889</v>
      </c>
      <c r="Q1079" t="s">
        <v>1889</v>
      </c>
      <c r="R1079" t="s">
        <v>1889</v>
      </c>
      <c r="S1079" t="s">
        <v>1889</v>
      </c>
      <c r="T1079" t="s">
        <v>1889</v>
      </c>
      <c r="U1079" t="s">
        <v>1889</v>
      </c>
      <c r="V1079" t="s">
        <v>1889</v>
      </c>
      <c r="W1079" t="s">
        <v>1889</v>
      </c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</row>
    <row r="1080">
      <c r="A1080" t="s">
        <v>261</v>
      </c>
      <c r="B1080" t="s">
        <v>227</v>
      </c>
      <c r="C1080" t="s">
        <v>228</v>
      </c>
      <c r="D1080" t="s">
        <v>213</v>
      </c>
      <c r="E1080" t="s">
        <v>339</v>
      </c>
      <c r="F1080"/>
      <c r="G1080"/>
      <c r="H1080"/>
      <c r="I1080"/>
      <c r="J1080"/>
      <c r="K1080"/>
      <c r="L1080" t="s">
        <v>2165</v>
      </c>
      <c r="M1080" t="s">
        <v>2166</v>
      </c>
      <c r="N1080" t="s">
        <v>2167</v>
      </c>
      <c r="O1080" t="s">
        <v>2168</v>
      </c>
      <c r="P1080" t="s">
        <v>2169</v>
      </c>
      <c r="Q1080" t="s">
        <v>2170</v>
      </c>
      <c r="R1080" t="s">
        <v>2171</v>
      </c>
      <c r="S1080" t="s">
        <v>2172</v>
      </c>
      <c r="T1080" t="s">
        <v>2173</v>
      </c>
      <c r="U1080" t="s">
        <v>2174</v>
      </c>
      <c r="V1080" t="s">
        <v>2175</v>
      </c>
      <c r="W1080" t="s">
        <v>2176</v>
      </c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</row>
    <row r="1081">
      <c r="A1081" t="s">
        <v>261</v>
      </c>
      <c r="B1081" t="s">
        <v>227</v>
      </c>
      <c r="C1081" t="s">
        <v>228</v>
      </c>
      <c r="D1081" t="s">
        <v>213</v>
      </c>
      <c r="E1081" t="s">
        <v>358</v>
      </c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</row>
    <row r="1082">
      <c r="A1082" t="s">
        <v>261</v>
      </c>
      <c r="B1082" t="s">
        <v>255</v>
      </c>
      <c r="C1082" t="s">
        <v>256</v>
      </c>
      <c r="D1082" t="s">
        <v>213</v>
      </c>
      <c r="E1082" t="s">
        <v>297</v>
      </c>
      <c r="F1082"/>
      <c r="G1082"/>
      <c r="H1082"/>
      <c r="I1082"/>
      <c r="J1082"/>
      <c r="K1082"/>
      <c r="L1082" t="s">
        <v>2177</v>
      </c>
      <c r="M1082" t="s">
        <v>2178</v>
      </c>
      <c r="N1082" t="s">
        <v>2179</v>
      </c>
      <c r="O1082" t="s">
        <v>2180</v>
      </c>
      <c r="P1082" t="s">
        <v>2181</v>
      </c>
      <c r="Q1082" t="s">
        <v>2182</v>
      </c>
      <c r="R1082" t="s">
        <v>2183</v>
      </c>
      <c r="S1082" t="s">
        <v>2184</v>
      </c>
      <c r="T1082" t="s">
        <v>2185</v>
      </c>
      <c r="U1082" t="s">
        <v>2186</v>
      </c>
      <c r="V1082" t="s">
        <v>2187</v>
      </c>
      <c r="W1082" t="s">
        <v>2188</v>
      </c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</row>
    <row r="1083">
      <c r="A1083" t="s">
        <v>261</v>
      </c>
      <c r="B1083" t="s">
        <v>255</v>
      </c>
      <c r="C1083" t="s">
        <v>256</v>
      </c>
      <c r="D1083" t="s">
        <v>213</v>
      </c>
      <c r="E1083" t="s">
        <v>316</v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</row>
    <row r="1084">
      <c r="A1084" t="s">
        <v>261</v>
      </c>
      <c r="B1084" t="s">
        <v>255</v>
      </c>
      <c r="C1084" t="s">
        <v>256</v>
      </c>
      <c r="D1084" t="s">
        <v>213</v>
      </c>
      <c r="E1084" t="s">
        <v>317</v>
      </c>
      <c r="F1084"/>
      <c r="G1084"/>
      <c r="H1084"/>
      <c r="I1084"/>
      <c r="J1084"/>
      <c r="K1084"/>
      <c r="L1084" t="s">
        <v>2189</v>
      </c>
      <c r="M1084" t="s">
        <v>2189</v>
      </c>
      <c r="N1084" t="s">
        <v>2189</v>
      </c>
      <c r="O1084" t="s">
        <v>2189</v>
      </c>
      <c r="P1084" t="s">
        <v>2189</v>
      </c>
      <c r="Q1084" t="s">
        <v>2189</v>
      </c>
      <c r="R1084" t="s">
        <v>2189</v>
      </c>
      <c r="S1084" t="s">
        <v>2189</v>
      </c>
      <c r="T1084" t="s">
        <v>2189</v>
      </c>
      <c r="U1084" t="s">
        <v>2189</v>
      </c>
      <c r="V1084" t="s">
        <v>2189</v>
      </c>
      <c r="W1084" t="s">
        <v>2189</v>
      </c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</row>
    <row r="1085">
      <c r="A1085" t="s">
        <v>261</v>
      </c>
      <c r="B1085" t="s">
        <v>255</v>
      </c>
      <c r="C1085" t="s">
        <v>256</v>
      </c>
      <c r="D1085" t="s">
        <v>213</v>
      </c>
      <c r="E1085" t="s">
        <v>320</v>
      </c>
      <c r="F1085"/>
      <c r="G1085"/>
      <c r="H1085"/>
      <c r="I1085"/>
      <c r="J1085"/>
      <c r="K1085"/>
      <c r="L1085" t="s">
        <v>2178</v>
      </c>
      <c r="M1085" t="s">
        <v>2179</v>
      </c>
      <c r="N1085" t="s">
        <v>2180</v>
      </c>
      <c r="O1085" t="s">
        <v>2181</v>
      </c>
      <c r="P1085" t="s">
        <v>2182</v>
      </c>
      <c r="Q1085" t="s">
        <v>2183</v>
      </c>
      <c r="R1085" t="s">
        <v>2184</v>
      </c>
      <c r="S1085" t="s">
        <v>2185</v>
      </c>
      <c r="T1085" t="s">
        <v>2186</v>
      </c>
      <c r="U1085" t="s">
        <v>2187</v>
      </c>
      <c r="V1085" t="s">
        <v>2188</v>
      </c>
      <c r="W1085" t="s">
        <v>2190</v>
      </c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</row>
    <row r="1086">
      <c r="A1086" t="s">
        <v>261</v>
      </c>
      <c r="B1086" t="s">
        <v>255</v>
      </c>
      <c r="C1086" t="s">
        <v>256</v>
      </c>
      <c r="D1086" t="s">
        <v>213</v>
      </c>
      <c r="E1086" t="s">
        <v>323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s">
        <v>272</v>
      </c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</row>
    <row r="1087">
      <c r="A1087" t="s">
        <v>261</v>
      </c>
      <c r="B1087" t="s">
        <v>255</v>
      </c>
      <c r="C1087" t="s">
        <v>256</v>
      </c>
      <c r="D1087" t="s">
        <v>213</v>
      </c>
      <c r="E1087" t="s">
        <v>324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 t="s">
        <v>272</v>
      </c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</row>
    <row r="1088">
      <c r="A1088" t="s">
        <v>261</v>
      </c>
      <c r="B1088" t="s">
        <v>255</v>
      </c>
      <c r="C1088" t="s">
        <v>256</v>
      </c>
      <c r="D1088" t="s">
        <v>213</v>
      </c>
      <c r="E1088" t="s">
        <v>325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s">
        <v>269</v>
      </c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</row>
    <row r="1089">
      <c r="A1089" t="s">
        <v>261</v>
      </c>
      <c r="B1089" t="s">
        <v>255</v>
      </c>
      <c r="C1089" t="s">
        <v>256</v>
      </c>
      <c r="D1089" t="s">
        <v>213</v>
      </c>
      <c r="E1089" t="s">
        <v>326</v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 t="s">
        <v>2191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</row>
    <row r="1090">
      <c r="A1090" t="s">
        <v>261</v>
      </c>
      <c r="B1090" t="s">
        <v>255</v>
      </c>
      <c r="C1090" t="s">
        <v>256</v>
      </c>
      <c r="D1090" t="s">
        <v>213</v>
      </c>
      <c r="E1090" t="s">
        <v>329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</row>
    <row r="1091">
      <c r="A1091" t="s">
        <v>261</v>
      </c>
      <c r="B1091" t="s">
        <v>255</v>
      </c>
      <c r="C1091" t="s">
        <v>256</v>
      </c>
      <c r="D1091" t="s">
        <v>213</v>
      </c>
      <c r="E1091" t="s">
        <v>330</v>
      </c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 t="s">
        <v>2192</v>
      </c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</row>
    <row r="1092">
      <c r="A1092" t="s">
        <v>261</v>
      </c>
      <c r="B1092" t="s">
        <v>255</v>
      </c>
      <c r="C1092" t="s">
        <v>256</v>
      </c>
      <c r="D1092" t="s">
        <v>213</v>
      </c>
      <c r="E1092" t="s">
        <v>331</v>
      </c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 t="s">
        <v>284</v>
      </c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</row>
    <row r="1093">
      <c r="A1093" t="s">
        <v>261</v>
      </c>
      <c r="B1093" t="s">
        <v>255</v>
      </c>
      <c r="C1093" t="s">
        <v>256</v>
      </c>
      <c r="D1093" t="s">
        <v>213</v>
      </c>
      <c r="E1093" t="s">
        <v>332</v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</row>
    <row r="1094">
      <c r="A1094" t="s">
        <v>261</v>
      </c>
      <c r="B1094" t="s">
        <v>255</v>
      </c>
      <c r="C1094" t="s">
        <v>256</v>
      </c>
      <c r="D1094" t="s">
        <v>213</v>
      </c>
      <c r="E1094" t="s">
        <v>333</v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</row>
    <row r="1095">
      <c r="A1095" t="s">
        <v>261</v>
      </c>
      <c r="B1095" t="s">
        <v>255</v>
      </c>
      <c r="C1095" t="s">
        <v>256</v>
      </c>
      <c r="D1095" t="s">
        <v>213</v>
      </c>
      <c r="E1095" t="s">
        <v>334</v>
      </c>
      <c r="F1095"/>
      <c r="G1095"/>
      <c r="H1095"/>
      <c r="I1095"/>
      <c r="J1095"/>
      <c r="K1095"/>
      <c r="L1095" t="s">
        <v>416</v>
      </c>
      <c r="M1095" t="s">
        <v>416</v>
      </c>
      <c r="N1095" t="s">
        <v>416</v>
      </c>
      <c r="O1095" t="s">
        <v>416</v>
      </c>
      <c r="P1095" t="s">
        <v>416</v>
      </c>
      <c r="Q1095" t="s">
        <v>416</v>
      </c>
      <c r="R1095" t="s">
        <v>416</v>
      </c>
      <c r="S1095" t="s">
        <v>416</v>
      </c>
      <c r="T1095" t="s">
        <v>416</v>
      </c>
      <c r="U1095" t="s">
        <v>416</v>
      </c>
      <c r="V1095" t="s">
        <v>416</v>
      </c>
      <c r="W1095" t="s">
        <v>416</v>
      </c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</row>
    <row r="1096">
      <c r="A1096" t="s">
        <v>261</v>
      </c>
      <c r="B1096" t="s">
        <v>255</v>
      </c>
      <c r="C1096" t="s">
        <v>256</v>
      </c>
      <c r="D1096" t="s">
        <v>213</v>
      </c>
      <c r="E1096" t="s">
        <v>336</v>
      </c>
      <c r="F1096"/>
      <c r="G1096"/>
      <c r="H1096"/>
      <c r="I1096"/>
      <c r="J1096"/>
      <c r="K1096"/>
      <c r="L1096" t="s">
        <v>1093</v>
      </c>
      <c r="M1096" t="s">
        <v>1093</v>
      </c>
      <c r="N1096" t="s">
        <v>1093</v>
      </c>
      <c r="O1096" t="s">
        <v>1093</v>
      </c>
      <c r="P1096" t="s">
        <v>1093</v>
      </c>
      <c r="Q1096" t="s">
        <v>1093</v>
      </c>
      <c r="R1096" t="s">
        <v>1093</v>
      </c>
      <c r="S1096" t="s">
        <v>1093</v>
      </c>
      <c r="T1096" t="s">
        <v>1093</v>
      </c>
      <c r="U1096" t="s">
        <v>1093</v>
      </c>
      <c r="V1096" t="s">
        <v>1093</v>
      </c>
      <c r="W1096" t="s">
        <v>1093</v>
      </c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</row>
    <row r="1097">
      <c r="A1097" t="s">
        <v>261</v>
      </c>
      <c r="B1097" t="s">
        <v>255</v>
      </c>
      <c r="C1097" t="s">
        <v>256</v>
      </c>
      <c r="D1097" t="s">
        <v>213</v>
      </c>
      <c r="E1097" t="s">
        <v>338</v>
      </c>
      <c r="F1097"/>
      <c r="G1097"/>
      <c r="H1097"/>
      <c r="I1097"/>
      <c r="J1097"/>
      <c r="K1097"/>
      <c r="L1097" t="s">
        <v>1889</v>
      </c>
      <c r="M1097" t="s">
        <v>1889</v>
      </c>
      <c r="N1097" t="s">
        <v>1889</v>
      </c>
      <c r="O1097" t="s">
        <v>1889</v>
      </c>
      <c r="P1097" t="s">
        <v>1889</v>
      </c>
      <c r="Q1097" t="s">
        <v>1889</v>
      </c>
      <c r="R1097" t="s">
        <v>1889</v>
      </c>
      <c r="S1097" t="s">
        <v>1889</v>
      </c>
      <c r="T1097" t="s">
        <v>1889</v>
      </c>
      <c r="U1097" t="s">
        <v>1889</v>
      </c>
      <c r="V1097" t="s">
        <v>1889</v>
      </c>
      <c r="W1097" t="s">
        <v>1889</v>
      </c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</row>
    <row r="1098">
      <c r="A1098" t="s">
        <v>261</v>
      </c>
      <c r="B1098" t="s">
        <v>255</v>
      </c>
      <c r="C1098" t="s">
        <v>256</v>
      </c>
      <c r="D1098" t="s">
        <v>213</v>
      </c>
      <c r="E1098" t="s">
        <v>339</v>
      </c>
      <c r="F1098"/>
      <c r="G1098"/>
      <c r="H1098"/>
      <c r="I1098"/>
      <c r="J1098"/>
      <c r="K1098"/>
      <c r="L1098" t="s">
        <v>2193</v>
      </c>
      <c r="M1098" t="s">
        <v>2194</v>
      </c>
      <c r="N1098" t="s">
        <v>2195</v>
      </c>
      <c r="O1098" t="s">
        <v>2196</v>
      </c>
      <c r="P1098" t="s">
        <v>2197</v>
      </c>
      <c r="Q1098" t="s">
        <v>2198</v>
      </c>
      <c r="R1098" t="s">
        <v>2199</v>
      </c>
      <c r="S1098" t="s">
        <v>2200</v>
      </c>
      <c r="T1098" t="s">
        <v>2201</v>
      </c>
      <c r="U1098" t="s">
        <v>2202</v>
      </c>
      <c r="V1098" t="s">
        <v>2203</v>
      </c>
      <c r="W1098" t="s">
        <v>2204</v>
      </c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</row>
    <row r="1099">
      <c r="A1099" t="s">
        <v>261</v>
      </c>
      <c r="B1099" t="s">
        <v>255</v>
      </c>
      <c r="C1099" t="s">
        <v>256</v>
      </c>
      <c r="D1099" t="s">
        <v>213</v>
      </c>
      <c r="E1099" t="s">
        <v>358</v>
      </c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</row>
    <row r="1100">
      <c r="A1100" t="s">
        <v>261</v>
      </c>
      <c r="B1100" t="s">
        <v>247</v>
      </c>
      <c r="C1100" t="s">
        <v>231</v>
      </c>
      <c r="D1100" t="s">
        <v>213</v>
      </c>
      <c r="E1100" t="s">
        <v>297</v>
      </c>
      <c r="F1100"/>
      <c r="G1100"/>
      <c r="H1100"/>
      <c r="I1100"/>
      <c r="J1100"/>
      <c r="K1100"/>
      <c r="L1100" t="s">
        <v>2205</v>
      </c>
      <c r="M1100" t="s">
        <v>2206</v>
      </c>
      <c r="N1100" t="s">
        <v>2207</v>
      </c>
      <c r="O1100" t="s">
        <v>2208</v>
      </c>
      <c r="P1100" t="s">
        <v>2209</v>
      </c>
      <c r="Q1100" t="s">
        <v>2210</v>
      </c>
      <c r="R1100" t="s">
        <v>2211</v>
      </c>
      <c r="S1100" t="s">
        <v>2212</v>
      </c>
      <c r="T1100" t="s">
        <v>2213</v>
      </c>
      <c r="U1100" t="s">
        <v>2214</v>
      </c>
      <c r="V1100" t="s">
        <v>360</v>
      </c>
      <c r="W1100" t="s">
        <v>360</v>
      </c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</row>
    <row r="1101">
      <c r="A1101" t="s">
        <v>261</v>
      </c>
      <c r="B1101" t="s">
        <v>247</v>
      </c>
      <c r="C1101" t="s">
        <v>231</v>
      </c>
      <c r="D1101" t="s">
        <v>213</v>
      </c>
      <c r="E1101" t="s">
        <v>316</v>
      </c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</row>
    <row r="1102">
      <c r="A1102" t="s">
        <v>261</v>
      </c>
      <c r="B1102" t="s">
        <v>247</v>
      </c>
      <c r="C1102" t="s">
        <v>231</v>
      </c>
      <c r="D1102" t="s">
        <v>213</v>
      </c>
      <c r="E1102" t="s">
        <v>317</v>
      </c>
      <c r="F1102"/>
      <c r="G1102"/>
      <c r="H1102"/>
      <c r="I1102"/>
      <c r="J1102"/>
      <c r="K1102"/>
      <c r="L1102" t="s">
        <v>2215</v>
      </c>
      <c r="M1102" t="s">
        <v>2215</v>
      </c>
      <c r="N1102" t="s">
        <v>2215</v>
      </c>
      <c r="O1102" t="s">
        <v>2215</v>
      </c>
      <c r="P1102" t="s">
        <v>2215</v>
      </c>
      <c r="Q1102" t="s">
        <v>2215</v>
      </c>
      <c r="R1102" t="s">
        <v>2215</v>
      </c>
      <c r="S1102" t="s">
        <v>2215</v>
      </c>
      <c r="T1102" t="s">
        <v>2215</v>
      </c>
      <c r="U1102" t="s">
        <v>2215</v>
      </c>
      <c r="V1102" t="s">
        <v>2215</v>
      </c>
      <c r="W1102" t="s">
        <v>2215</v>
      </c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</row>
    <row r="1103">
      <c r="A1103" t="s">
        <v>261</v>
      </c>
      <c r="B1103" t="s">
        <v>247</v>
      </c>
      <c r="C1103" t="s">
        <v>231</v>
      </c>
      <c r="D1103" t="s">
        <v>213</v>
      </c>
      <c r="E1103" t="s">
        <v>320</v>
      </c>
      <c r="F1103"/>
      <c r="G1103"/>
      <c r="H1103"/>
      <c r="I1103"/>
      <c r="J1103"/>
      <c r="K1103"/>
      <c r="L1103" t="s">
        <v>2206</v>
      </c>
      <c r="M1103" t="s">
        <v>2207</v>
      </c>
      <c r="N1103" t="s">
        <v>2216</v>
      </c>
      <c r="O1103" t="s">
        <v>2209</v>
      </c>
      <c r="P1103" t="s">
        <v>2210</v>
      </c>
      <c r="Q1103" t="s">
        <v>2211</v>
      </c>
      <c r="R1103" t="s">
        <v>2212</v>
      </c>
      <c r="S1103" t="s">
        <v>2217</v>
      </c>
      <c r="T1103" t="s">
        <v>2214</v>
      </c>
      <c r="U1103" t="s">
        <v>360</v>
      </c>
      <c r="V1103" t="s">
        <v>360</v>
      </c>
      <c r="W1103" t="s">
        <v>360</v>
      </c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</row>
    <row r="1104">
      <c r="A1104" t="s">
        <v>261</v>
      </c>
      <c r="B1104" t="s">
        <v>247</v>
      </c>
      <c r="C1104" t="s">
        <v>231</v>
      </c>
      <c r="D1104" t="s">
        <v>213</v>
      </c>
      <c r="E1104" t="s">
        <v>323</v>
      </c>
      <c r="F1104"/>
      <c r="G1104"/>
      <c r="H1104"/>
      <c r="I1104"/>
      <c r="J1104"/>
      <c r="K1104"/>
      <c r="L1104"/>
      <c r="M1104"/>
      <c r="N1104" t="s">
        <v>272</v>
      </c>
      <c r="O1104"/>
      <c r="P1104"/>
      <c r="Q1104"/>
      <c r="R1104"/>
      <c r="S1104" t="s">
        <v>272</v>
      </c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</row>
    <row r="1105">
      <c r="A1105" t="s">
        <v>261</v>
      </c>
      <c r="B1105" t="s">
        <v>247</v>
      </c>
      <c r="C1105" t="s">
        <v>231</v>
      </c>
      <c r="D1105" t="s">
        <v>213</v>
      </c>
      <c r="E1105" t="s">
        <v>324</v>
      </c>
      <c r="F1105"/>
      <c r="G1105"/>
      <c r="H1105"/>
      <c r="I1105"/>
      <c r="J1105"/>
      <c r="K1105"/>
      <c r="L1105"/>
      <c r="M1105"/>
      <c r="N1105" t="s">
        <v>272</v>
      </c>
      <c r="O1105"/>
      <c r="P1105"/>
      <c r="Q1105"/>
      <c r="R1105"/>
      <c r="S1105" t="s">
        <v>272</v>
      </c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</row>
    <row r="1106">
      <c r="A1106" t="s">
        <v>261</v>
      </c>
      <c r="B1106" t="s">
        <v>247</v>
      </c>
      <c r="C1106" t="s">
        <v>231</v>
      </c>
      <c r="D1106" t="s">
        <v>213</v>
      </c>
      <c r="E1106" t="s">
        <v>325</v>
      </c>
      <c r="F1106"/>
      <c r="G1106"/>
      <c r="H1106"/>
      <c r="I1106"/>
      <c r="J1106"/>
      <c r="K1106"/>
      <c r="L1106"/>
      <c r="M1106"/>
      <c r="N1106" t="s">
        <v>269</v>
      </c>
      <c r="O1106"/>
      <c r="P1106"/>
      <c r="Q1106"/>
      <c r="R1106"/>
      <c r="S1106" t="s">
        <v>269</v>
      </c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</row>
    <row r="1107">
      <c r="A1107" t="s">
        <v>261</v>
      </c>
      <c r="B1107" t="s">
        <v>247</v>
      </c>
      <c r="C1107" t="s">
        <v>231</v>
      </c>
      <c r="D1107" t="s">
        <v>213</v>
      </c>
      <c r="E1107" t="s">
        <v>326</v>
      </c>
      <c r="F1107"/>
      <c r="G1107"/>
      <c r="H1107"/>
      <c r="I1107"/>
      <c r="J1107"/>
      <c r="K1107"/>
      <c r="L1107"/>
      <c r="M1107"/>
      <c r="N1107" t="s">
        <v>2218</v>
      </c>
      <c r="O1107"/>
      <c r="P1107"/>
      <c r="Q1107"/>
      <c r="R1107"/>
      <c r="S1107" t="s">
        <v>2219</v>
      </c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</row>
    <row r="1108">
      <c r="A1108" t="s">
        <v>261</v>
      </c>
      <c r="B1108" t="s">
        <v>247</v>
      </c>
      <c r="C1108" t="s">
        <v>231</v>
      </c>
      <c r="D1108" t="s">
        <v>213</v>
      </c>
      <c r="E1108" t="s">
        <v>329</v>
      </c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</row>
    <row r="1109">
      <c r="A1109" t="s">
        <v>261</v>
      </c>
      <c r="B1109" t="s">
        <v>247</v>
      </c>
      <c r="C1109" t="s">
        <v>231</v>
      </c>
      <c r="D1109" t="s">
        <v>213</v>
      </c>
      <c r="E1109" t="s">
        <v>330</v>
      </c>
      <c r="F1109"/>
      <c r="G1109"/>
      <c r="H1109"/>
      <c r="I1109"/>
      <c r="J1109"/>
      <c r="K1109"/>
      <c r="L1109"/>
      <c r="M1109"/>
      <c r="N1109" t="s">
        <v>2220</v>
      </c>
      <c r="O1109"/>
      <c r="P1109"/>
      <c r="Q1109"/>
      <c r="R1109"/>
      <c r="S1109" t="s">
        <v>2221</v>
      </c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</row>
    <row r="1110">
      <c r="A1110" t="s">
        <v>261</v>
      </c>
      <c r="B1110" t="s">
        <v>247</v>
      </c>
      <c r="C1110" t="s">
        <v>231</v>
      </c>
      <c r="D1110" t="s">
        <v>213</v>
      </c>
      <c r="E1110" t="s">
        <v>331</v>
      </c>
      <c r="F1110"/>
      <c r="G1110"/>
      <c r="H1110"/>
      <c r="I1110"/>
      <c r="J1110"/>
      <c r="K1110"/>
      <c r="L1110"/>
      <c r="M1110"/>
      <c r="N1110" t="s">
        <v>276</v>
      </c>
      <c r="O1110"/>
      <c r="P1110"/>
      <c r="Q1110"/>
      <c r="R1110"/>
      <c r="S1110" t="s">
        <v>283</v>
      </c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</row>
    <row r="1111">
      <c r="A1111" t="s">
        <v>261</v>
      </c>
      <c r="B1111" t="s">
        <v>247</v>
      </c>
      <c r="C1111" t="s">
        <v>231</v>
      </c>
      <c r="D1111" t="s">
        <v>213</v>
      </c>
      <c r="E1111" t="s">
        <v>332</v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</row>
    <row r="1112">
      <c r="A1112" t="s">
        <v>261</v>
      </c>
      <c r="B1112" t="s">
        <v>247</v>
      </c>
      <c r="C1112" t="s">
        <v>231</v>
      </c>
      <c r="D1112" t="s">
        <v>213</v>
      </c>
      <c r="E1112" t="s">
        <v>333</v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</row>
    <row r="1113">
      <c r="A1113" t="s">
        <v>261</v>
      </c>
      <c r="B1113" t="s">
        <v>247</v>
      </c>
      <c r="C1113" t="s">
        <v>231</v>
      </c>
      <c r="D1113" t="s">
        <v>213</v>
      </c>
      <c r="E1113" t="s">
        <v>334</v>
      </c>
      <c r="F1113"/>
      <c r="G1113"/>
      <c r="H1113"/>
      <c r="I1113"/>
      <c r="J1113"/>
      <c r="K1113"/>
      <c r="L1113" t="s">
        <v>416</v>
      </c>
      <c r="M1113" t="s">
        <v>416</v>
      </c>
      <c r="N1113" t="s">
        <v>416</v>
      </c>
      <c r="O1113" t="s">
        <v>416</v>
      </c>
      <c r="P1113" t="s">
        <v>416</v>
      </c>
      <c r="Q1113" t="s">
        <v>416</v>
      </c>
      <c r="R1113" t="s">
        <v>416</v>
      </c>
      <c r="S1113" t="s">
        <v>416</v>
      </c>
      <c r="T1113" t="s">
        <v>416</v>
      </c>
      <c r="U1113" t="s">
        <v>416</v>
      </c>
      <c r="V1113" t="s">
        <v>416</v>
      </c>
      <c r="W1113" t="s">
        <v>416</v>
      </c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</row>
    <row r="1114">
      <c r="A1114" t="s">
        <v>261</v>
      </c>
      <c r="B1114" t="s">
        <v>247</v>
      </c>
      <c r="C1114" t="s">
        <v>231</v>
      </c>
      <c r="D1114" t="s">
        <v>213</v>
      </c>
      <c r="E1114" t="s">
        <v>336</v>
      </c>
      <c r="F1114"/>
      <c r="G1114"/>
      <c r="H1114"/>
      <c r="I1114"/>
      <c r="J1114"/>
      <c r="K1114"/>
      <c r="L1114" t="s">
        <v>1093</v>
      </c>
      <c r="M1114" t="s">
        <v>1093</v>
      </c>
      <c r="N1114" t="s">
        <v>1093</v>
      </c>
      <c r="O1114" t="s">
        <v>1093</v>
      </c>
      <c r="P1114" t="s">
        <v>1093</v>
      </c>
      <c r="Q1114" t="s">
        <v>1093</v>
      </c>
      <c r="R1114" t="s">
        <v>1093</v>
      </c>
      <c r="S1114" t="s">
        <v>1093</v>
      </c>
      <c r="T1114" t="s">
        <v>1093</v>
      </c>
      <c r="U1114" t="s">
        <v>1093</v>
      </c>
      <c r="V1114" t="s">
        <v>1093</v>
      </c>
      <c r="W1114" t="s">
        <v>1093</v>
      </c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</row>
    <row r="1115">
      <c r="A1115" t="s">
        <v>261</v>
      </c>
      <c r="B1115" t="s">
        <v>247</v>
      </c>
      <c r="C1115" t="s">
        <v>231</v>
      </c>
      <c r="D1115" t="s">
        <v>213</v>
      </c>
      <c r="E1115" t="s">
        <v>338</v>
      </c>
      <c r="F1115"/>
      <c r="G1115"/>
      <c r="H1115"/>
      <c r="I1115"/>
      <c r="J1115"/>
      <c r="K1115"/>
      <c r="L1115" t="s">
        <v>1889</v>
      </c>
      <c r="M1115" t="s">
        <v>1889</v>
      </c>
      <c r="N1115" t="s">
        <v>1889</v>
      </c>
      <c r="O1115" t="s">
        <v>1889</v>
      </c>
      <c r="P1115" t="s">
        <v>1889</v>
      </c>
      <c r="Q1115" t="s">
        <v>1889</v>
      </c>
      <c r="R1115" t="s">
        <v>1889</v>
      </c>
      <c r="S1115" t="s">
        <v>1889</v>
      </c>
      <c r="T1115" t="s">
        <v>1889</v>
      </c>
      <c r="U1115" t="s">
        <v>1889</v>
      </c>
      <c r="V1115" t="s">
        <v>1889</v>
      </c>
      <c r="W1115" t="s">
        <v>1889</v>
      </c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</row>
    <row r="1116">
      <c r="A1116" t="s">
        <v>261</v>
      </c>
      <c r="B1116" t="s">
        <v>247</v>
      </c>
      <c r="C1116" t="s">
        <v>231</v>
      </c>
      <c r="D1116" t="s">
        <v>213</v>
      </c>
      <c r="E1116" t="s">
        <v>339</v>
      </c>
      <c r="F1116"/>
      <c r="G1116"/>
      <c r="H1116"/>
      <c r="I1116"/>
      <c r="J1116"/>
      <c r="K1116"/>
      <c r="L1116" t="s">
        <v>2222</v>
      </c>
      <c r="M1116" t="s">
        <v>2223</v>
      </c>
      <c r="N1116" t="s">
        <v>2224</v>
      </c>
      <c r="O1116" t="s">
        <v>2225</v>
      </c>
      <c r="P1116" t="s">
        <v>2226</v>
      </c>
      <c r="Q1116" t="s">
        <v>2227</v>
      </c>
      <c r="R1116" t="s">
        <v>2228</v>
      </c>
      <c r="S1116" t="s">
        <v>2229</v>
      </c>
      <c r="T1116" t="s">
        <v>2230</v>
      </c>
      <c r="U1116" t="s">
        <v>360</v>
      </c>
      <c r="V1116" t="s">
        <v>360</v>
      </c>
      <c r="W1116" t="s">
        <v>360</v>
      </c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</row>
    <row r="1117">
      <c r="A1117" t="s">
        <v>261</v>
      </c>
      <c r="B1117" t="s">
        <v>247</v>
      </c>
      <c r="C1117" t="s">
        <v>231</v>
      </c>
      <c r="D1117" t="s">
        <v>213</v>
      </c>
      <c r="E1117" t="s">
        <v>358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</row>
    <row r="1118">
      <c r="A1118" t="s">
        <v>210</v>
      </c>
      <c r="B1118" t="s">
        <v>247</v>
      </c>
      <c r="C1118" t="s">
        <v>231</v>
      </c>
      <c r="D1118" t="s">
        <v>213</v>
      </c>
      <c r="E1118" t="s">
        <v>297</v>
      </c>
      <c r="F1118"/>
      <c r="G1118"/>
      <c r="H1118"/>
      <c r="I1118"/>
      <c r="J1118"/>
      <c r="K1118"/>
      <c r="L1118" t="s">
        <v>2231</v>
      </c>
      <c r="M1118" t="s">
        <v>2232</v>
      </c>
      <c r="N1118" t="s">
        <v>2233</v>
      </c>
      <c r="O1118" t="s">
        <v>2234</v>
      </c>
      <c r="P1118" t="s">
        <v>2235</v>
      </c>
      <c r="Q1118" t="s">
        <v>360</v>
      </c>
      <c r="R1118" t="s">
        <v>360</v>
      </c>
      <c r="S1118" t="s">
        <v>360</v>
      </c>
      <c r="T1118" t="s">
        <v>360</v>
      </c>
      <c r="U1118" t="s">
        <v>360</v>
      </c>
      <c r="V1118" t="s">
        <v>360</v>
      </c>
      <c r="W1118" t="s">
        <v>360</v>
      </c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</row>
    <row r="1119">
      <c r="A1119" t="s">
        <v>210</v>
      </c>
      <c r="B1119" t="s">
        <v>247</v>
      </c>
      <c r="C1119" t="s">
        <v>231</v>
      </c>
      <c r="D1119" t="s">
        <v>213</v>
      </c>
      <c r="E1119" t="s">
        <v>316</v>
      </c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</row>
    <row r="1120">
      <c r="A1120" t="s">
        <v>210</v>
      </c>
      <c r="B1120" t="s">
        <v>247</v>
      </c>
      <c r="C1120" t="s">
        <v>231</v>
      </c>
      <c r="D1120" t="s">
        <v>213</v>
      </c>
      <c r="E1120" t="s">
        <v>317</v>
      </c>
      <c r="F1120"/>
      <c r="G1120"/>
      <c r="H1120"/>
      <c r="I1120"/>
      <c r="J1120"/>
      <c r="K1120"/>
      <c r="L1120" t="s">
        <v>2236</v>
      </c>
      <c r="M1120" t="s">
        <v>2236</v>
      </c>
      <c r="N1120" t="s">
        <v>2236</v>
      </c>
      <c r="O1120" t="s">
        <v>2236</v>
      </c>
      <c r="P1120" t="s">
        <v>2236</v>
      </c>
      <c r="Q1120" t="s">
        <v>2236</v>
      </c>
      <c r="R1120" t="s">
        <v>2236</v>
      </c>
      <c r="S1120" t="s">
        <v>2236</v>
      </c>
      <c r="T1120" t="s">
        <v>2236</v>
      </c>
      <c r="U1120" t="s">
        <v>2236</v>
      </c>
      <c r="V1120" t="s">
        <v>2236</v>
      </c>
      <c r="W1120" t="s">
        <v>2236</v>
      </c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</row>
    <row r="1121">
      <c r="A1121" t="s">
        <v>210</v>
      </c>
      <c r="B1121" t="s">
        <v>247</v>
      </c>
      <c r="C1121" t="s">
        <v>231</v>
      </c>
      <c r="D1121" t="s">
        <v>213</v>
      </c>
      <c r="E1121" t="s">
        <v>320</v>
      </c>
      <c r="F1121"/>
      <c r="G1121"/>
      <c r="H1121"/>
      <c r="I1121"/>
      <c r="J1121"/>
      <c r="K1121"/>
      <c r="L1121" t="s">
        <v>2232</v>
      </c>
      <c r="M1121" t="s">
        <v>2233</v>
      </c>
      <c r="N1121" t="s">
        <v>2234</v>
      </c>
      <c r="O1121" t="s">
        <v>2235</v>
      </c>
      <c r="P1121" t="s">
        <v>360</v>
      </c>
      <c r="Q1121" t="s">
        <v>360</v>
      </c>
      <c r="R1121" t="s">
        <v>360</v>
      </c>
      <c r="S1121" t="s">
        <v>360</v>
      </c>
      <c r="T1121" t="s">
        <v>360</v>
      </c>
      <c r="U1121" t="s">
        <v>360</v>
      </c>
      <c r="V1121" t="s">
        <v>360</v>
      </c>
      <c r="W1121" t="s">
        <v>360</v>
      </c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</row>
    <row r="1122">
      <c r="A1122" t="s">
        <v>210</v>
      </c>
      <c r="B1122" t="s">
        <v>247</v>
      </c>
      <c r="C1122" t="s">
        <v>231</v>
      </c>
      <c r="D1122" t="s">
        <v>213</v>
      </c>
      <c r="E1122" t="s">
        <v>323</v>
      </c>
      <c r="F1122"/>
      <c r="G1122"/>
      <c r="H1122"/>
      <c r="I1122"/>
      <c r="J1122"/>
      <c r="K1122"/>
      <c r="L1122"/>
      <c r="M1122" t="s">
        <v>236</v>
      </c>
      <c r="N1122"/>
      <c r="O1122" t="s">
        <v>236</v>
      </c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</row>
    <row r="1123">
      <c r="A1123" t="s">
        <v>210</v>
      </c>
      <c r="B1123" t="s">
        <v>247</v>
      </c>
      <c r="C1123" t="s">
        <v>231</v>
      </c>
      <c r="D1123" t="s">
        <v>213</v>
      </c>
      <c r="E1123" t="s">
        <v>324</v>
      </c>
      <c r="F1123"/>
      <c r="G1123"/>
      <c r="H1123"/>
      <c r="I1123"/>
      <c r="J1123"/>
      <c r="K1123"/>
      <c r="L1123"/>
      <c r="M1123" t="s">
        <v>236</v>
      </c>
      <c r="N1123"/>
      <c r="O1123" t="s">
        <v>236</v>
      </c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</row>
    <row r="1124">
      <c r="A1124" t="s">
        <v>210</v>
      </c>
      <c r="B1124" t="s">
        <v>247</v>
      </c>
      <c r="C1124" t="s">
        <v>231</v>
      </c>
      <c r="D1124" t="s">
        <v>213</v>
      </c>
      <c r="E1124" t="s">
        <v>325</v>
      </c>
      <c r="F1124"/>
      <c r="G1124"/>
      <c r="H1124"/>
      <c r="I1124"/>
      <c r="J1124"/>
      <c r="K1124"/>
      <c r="L1124"/>
      <c r="M1124" t="s">
        <v>254</v>
      </c>
      <c r="N1124"/>
      <c r="O1124" t="s">
        <v>271</v>
      </c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</row>
    <row r="1125">
      <c r="A1125" t="s">
        <v>210</v>
      </c>
      <c r="B1125" t="s">
        <v>247</v>
      </c>
      <c r="C1125" t="s">
        <v>231</v>
      </c>
      <c r="D1125" t="s">
        <v>213</v>
      </c>
      <c r="E1125" t="s">
        <v>326</v>
      </c>
      <c r="F1125"/>
      <c r="G1125"/>
      <c r="H1125"/>
      <c r="I1125"/>
      <c r="J1125"/>
      <c r="K1125"/>
      <c r="L1125"/>
      <c r="M1125" t="s">
        <v>2237</v>
      </c>
      <c r="N1125"/>
      <c r="O1125" t="s">
        <v>2238</v>
      </c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</row>
    <row r="1126">
      <c r="A1126" t="s">
        <v>210</v>
      </c>
      <c r="B1126" t="s">
        <v>247</v>
      </c>
      <c r="C1126" t="s">
        <v>231</v>
      </c>
      <c r="D1126" t="s">
        <v>213</v>
      </c>
      <c r="E1126" t="s">
        <v>329</v>
      </c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</row>
    <row r="1127">
      <c r="A1127" t="s">
        <v>210</v>
      </c>
      <c r="B1127" t="s">
        <v>247</v>
      </c>
      <c r="C1127" t="s">
        <v>231</v>
      </c>
      <c r="D1127" t="s">
        <v>213</v>
      </c>
      <c r="E1127" t="s">
        <v>330</v>
      </c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</row>
    <row r="1128">
      <c r="A1128" t="s">
        <v>210</v>
      </c>
      <c r="B1128" t="s">
        <v>247</v>
      </c>
      <c r="C1128" t="s">
        <v>231</v>
      </c>
      <c r="D1128" t="s">
        <v>213</v>
      </c>
      <c r="E1128" t="s">
        <v>331</v>
      </c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</row>
    <row r="1129">
      <c r="A1129" t="s">
        <v>210</v>
      </c>
      <c r="B1129" t="s">
        <v>247</v>
      </c>
      <c r="C1129" t="s">
        <v>231</v>
      </c>
      <c r="D1129" t="s">
        <v>213</v>
      </c>
      <c r="E1129" t="s">
        <v>332</v>
      </c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</row>
    <row r="1130">
      <c r="A1130" t="s">
        <v>210</v>
      </c>
      <c r="B1130" t="s">
        <v>247</v>
      </c>
      <c r="C1130" t="s">
        <v>231</v>
      </c>
      <c r="D1130" t="s">
        <v>213</v>
      </c>
      <c r="E1130" t="s">
        <v>333</v>
      </c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</row>
    <row r="1131">
      <c r="A1131" t="s">
        <v>210</v>
      </c>
      <c r="B1131" t="s">
        <v>247</v>
      </c>
      <c r="C1131" t="s">
        <v>231</v>
      </c>
      <c r="D1131" t="s">
        <v>213</v>
      </c>
      <c r="E1131" t="s">
        <v>334</v>
      </c>
      <c r="F1131"/>
      <c r="G1131"/>
      <c r="H1131"/>
      <c r="I1131"/>
      <c r="J1131"/>
      <c r="K1131"/>
      <c r="L1131" t="s">
        <v>335</v>
      </c>
      <c r="M1131" t="s">
        <v>335</v>
      </c>
      <c r="N1131" t="s">
        <v>335</v>
      </c>
      <c r="O1131" t="s">
        <v>335</v>
      </c>
      <c r="P1131" t="s">
        <v>335</v>
      </c>
      <c r="Q1131" t="s">
        <v>335</v>
      </c>
      <c r="R1131" t="s">
        <v>335</v>
      </c>
      <c r="S1131" t="s">
        <v>335</v>
      </c>
      <c r="T1131" t="s">
        <v>335</v>
      </c>
      <c r="U1131" t="s">
        <v>335</v>
      </c>
      <c r="V1131" t="s">
        <v>335</v>
      </c>
      <c r="W1131" t="s">
        <v>335</v>
      </c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</row>
    <row r="1132">
      <c r="A1132" t="s">
        <v>210</v>
      </c>
      <c r="B1132" t="s">
        <v>247</v>
      </c>
      <c r="C1132" t="s">
        <v>231</v>
      </c>
      <c r="D1132" t="s">
        <v>213</v>
      </c>
      <c r="E1132" t="s">
        <v>336</v>
      </c>
      <c r="F1132"/>
      <c r="G1132"/>
      <c r="H1132"/>
      <c r="I1132"/>
      <c r="J1132"/>
      <c r="K1132"/>
      <c r="L1132" t="s">
        <v>337</v>
      </c>
      <c r="M1132" t="s">
        <v>337</v>
      </c>
      <c r="N1132" t="s">
        <v>337</v>
      </c>
      <c r="O1132" t="s">
        <v>337</v>
      </c>
      <c r="P1132" t="s">
        <v>337</v>
      </c>
      <c r="Q1132" t="s">
        <v>337</v>
      </c>
      <c r="R1132" t="s">
        <v>337</v>
      </c>
      <c r="S1132" t="s">
        <v>337</v>
      </c>
      <c r="T1132" t="s">
        <v>337</v>
      </c>
      <c r="U1132" t="s">
        <v>337</v>
      </c>
      <c r="V1132" t="s">
        <v>337</v>
      </c>
      <c r="W1132" t="s">
        <v>337</v>
      </c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</row>
    <row r="1133">
      <c r="A1133" t="s">
        <v>210</v>
      </c>
      <c r="B1133" t="s">
        <v>247</v>
      </c>
      <c r="C1133" t="s">
        <v>231</v>
      </c>
      <c r="D1133" t="s">
        <v>213</v>
      </c>
      <c r="E1133" t="s">
        <v>338</v>
      </c>
      <c r="F1133"/>
      <c r="G1133"/>
      <c r="H1133"/>
      <c r="I1133"/>
      <c r="J1133"/>
      <c r="K1133"/>
      <c r="L1133" t="s">
        <v>337</v>
      </c>
      <c r="M1133" t="s">
        <v>337</v>
      </c>
      <c r="N1133" t="s">
        <v>337</v>
      </c>
      <c r="O1133" t="s">
        <v>337</v>
      </c>
      <c r="P1133" t="s">
        <v>337</v>
      </c>
      <c r="Q1133" t="s">
        <v>337</v>
      </c>
      <c r="R1133" t="s">
        <v>337</v>
      </c>
      <c r="S1133" t="s">
        <v>337</v>
      </c>
      <c r="T1133" t="s">
        <v>337</v>
      </c>
      <c r="U1133" t="s">
        <v>337</v>
      </c>
      <c r="V1133" t="s">
        <v>337</v>
      </c>
      <c r="W1133" t="s">
        <v>337</v>
      </c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</row>
    <row r="1134">
      <c r="A1134" t="s">
        <v>210</v>
      </c>
      <c r="B1134" t="s">
        <v>247</v>
      </c>
      <c r="C1134" t="s">
        <v>231</v>
      </c>
      <c r="D1134" t="s">
        <v>213</v>
      </c>
      <c r="E1134" t="s">
        <v>339</v>
      </c>
      <c r="F1134"/>
      <c r="G1134"/>
      <c r="H1134"/>
      <c r="I1134"/>
      <c r="J1134"/>
      <c r="K1134"/>
      <c r="L1134" t="s">
        <v>2239</v>
      </c>
      <c r="M1134" t="s">
        <v>2240</v>
      </c>
      <c r="N1134" t="s">
        <v>2241</v>
      </c>
      <c r="O1134" t="s">
        <v>2242</v>
      </c>
      <c r="P1134" t="s">
        <v>360</v>
      </c>
      <c r="Q1134" t="s">
        <v>360</v>
      </c>
      <c r="R1134" t="s">
        <v>360</v>
      </c>
      <c r="S1134" t="s">
        <v>360</v>
      </c>
      <c r="T1134" t="s">
        <v>360</v>
      </c>
      <c r="U1134" t="s">
        <v>360</v>
      </c>
      <c r="V1134" t="s">
        <v>360</v>
      </c>
      <c r="W1134" t="s">
        <v>360</v>
      </c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</row>
    <row r="1135">
      <c r="A1135" t="s">
        <v>210</v>
      </c>
      <c r="B1135" t="s">
        <v>247</v>
      </c>
      <c r="C1135" t="s">
        <v>231</v>
      </c>
      <c r="D1135" t="s">
        <v>213</v>
      </c>
      <c r="E1135" t="s">
        <v>358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</row>
    <row r="1136">
      <c r="A1136" t="s">
        <v>261</v>
      </c>
      <c r="B1136" t="s">
        <v>248</v>
      </c>
      <c r="C1136" t="s">
        <v>231</v>
      </c>
      <c r="D1136" t="s">
        <v>213</v>
      </c>
      <c r="E1136" t="s">
        <v>297</v>
      </c>
      <c r="F1136"/>
      <c r="G1136"/>
      <c r="H1136"/>
      <c r="I1136"/>
      <c r="J1136"/>
      <c r="K1136"/>
      <c r="L1136" t="s">
        <v>2243</v>
      </c>
      <c r="M1136" t="s">
        <v>2244</v>
      </c>
      <c r="N1136" t="s">
        <v>2245</v>
      </c>
      <c r="O1136" t="s">
        <v>2246</v>
      </c>
      <c r="P1136" t="s">
        <v>2247</v>
      </c>
      <c r="Q1136" t="s">
        <v>2248</v>
      </c>
      <c r="R1136" t="s">
        <v>2249</v>
      </c>
      <c r="S1136" t="s">
        <v>2250</v>
      </c>
      <c r="T1136" t="s">
        <v>2251</v>
      </c>
      <c r="U1136" t="s">
        <v>2252</v>
      </c>
      <c r="V1136" t="s">
        <v>2253</v>
      </c>
      <c r="W1136" t="s">
        <v>2254</v>
      </c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</row>
    <row r="1137">
      <c r="A1137" t="s">
        <v>261</v>
      </c>
      <c r="B1137" t="s">
        <v>248</v>
      </c>
      <c r="C1137" t="s">
        <v>231</v>
      </c>
      <c r="D1137" t="s">
        <v>213</v>
      </c>
      <c r="E1137" t="s">
        <v>316</v>
      </c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</row>
    <row r="1138">
      <c r="A1138" t="s">
        <v>261</v>
      </c>
      <c r="B1138" t="s">
        <v>248</v>
      </c>
      <c r="C1138" t="s">
        <v>231</v>
      </c>
      <c r="D1138" t="s">
        <v>213</v>
      </c>
      <c r="E1138" t="s">
        <v>317</v>
      </c>
      <c r="F1138"/>
      <c r="G1138"/>
      <c r="H1138"/>
      <c r="I1138"/>
      <c r="J1138"/>
      <c r="K1138"/>
      <c r="L1138" t="s">
        <v>2255</v>
      </c>
      <c r="M1138" t="s">
        <v>2255</v>
      </c>
      <c r="N1138" t="s">
        <v>2255</v>
      </c>
      <c r="O1138" t="s">
        <v>2255</v>
      </c>
      <c r="P1138" t="s">
        <v>2255</v>
      </c>
      <c r="Q1138" t="s">
        <v>2255</v>
      </c>
      <c r="R1138" t="s">
        <v>2255</v>
      </c>
      <c r="S1138" t="s">
        <v>2255</v>
      </c>
      <c r="T1138" t="s">
        <v>2255</v>
      </c>
      <c r="U1138" t="s">
        <v>2255</v>
      </c>
      <c r="V1138" t="s">
        <v>2255</v>
      </c>
      <c r="W1138" t="s">
        <v>2255</v>
      </c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</row>
    <row r="1139">
      <c r="A1139" t="s">
        <v>261</v>
      </c>
      <c r="B1139" t="s">
        <v>248</v>
      </c>
      <c r="C1139" t="s">
        <v>231</v>
      </c>
      <c r="D1139" t="s">
        <v>213</v>
      </c>
      <c r="E1139" t="s">
        <v>320</v>
      </c>
      <c r="F1139"/>
      <c r="G1139"/>
      <c r="H1139"/>
      <c r="I1139"/>
      <c r="J1139"/>
      <c r="K1139"/>
      <c r="L1139" t="s">
        <v>2244</v>
      </c>
      <c r="M1139" t="s">
        <v>2245</v>
      </c>
      <c r="N1139" t="s">
        <v>2246</v>
      </c>
      <c r="O1139" t="s">
        <v>2247</v>
      </c>
      <c r="P1139" t="s">
        <v>2248</v>
      </c>
      <c r="Q1139" t="s">
        <v>2249</v>
      </c>
      <c r="R1139" t="s">
        <v>2250</v>
      </c>
      <c r="S1139" t="s">
        <v>2251</v>
      </c>
      <c r="T1139" t="s">
        <v>2252</v>
      </c>
      <c r="U1139" t="s">
        <v>2253</v>
      </c>
      <c r="V1139" t="s">
        <v>2254</v>
      </c>
      <c r="W1139" t="s">
        <v>2256</v>
      </c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</row>
    <row r="1140">
      <c r="A1140" t="s">
        <v>261</v>
      </c>
      <c r="B1140" t="s">
        <v>248</v>
      </c>
      <c r="C1140" t="s">
        <v>231</v>
      </c>
      <c r="D1140" t="s">
        <v>213</v>
      </c>
      <c r="E1140" t="s">
        <v>323</v>
      </c>
      <c r="F1140"/>
      <c r="G1140"/>
      <c r="H1140"/>
      <c r="I1140"/>
      <c r="J1140"/>
      <c r="K1140"/>
      <c r="L1140"/>
      <c r="M1140" t="s">
        <v>272</v>
      </c>
      <c r="N1140"/>
      <c r="O1140"/>
      <c r="P1140"/>
      <c r="Q1140"/>
      <c r="R1140" t="s">
        <v>272</v>
      </c>
      <c r="S1140"/>
      <c r="T1140"/>
      <c r="U1140"/>
      <c r="V1140"/>
      <c r="W1140" t="s">
        <v>272</v>
      </c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</row>
    <row r="1141">
      <c r="A1141" t="s">
        <v>261</v>
      </c>
      <c r="B1141" t="s">
        <v>248</v>
      </c>
      <c r="C1141" t="s">
        <v>231</v>
      </c>
      <c r="D1141" t="s">
        <v>213</v>
      </c>
      <c r="E1141" t="s">
        <v>324</v>
      </c>
      <c r="F1141"/>
      <c r="G1141"/>
      <c r="H1141"/>
      <c r="I1141"/>
      <c r="J1141"/>
      <c r="K1141"/>
      <c r="L1141"/>
      <c r="M1141" t="s">
        <v>272</v>
      </c>
      <c r="N1141"/>
      <c r="O1141"/>
      <c r="P1141"/>
      <c r="Q1141"/>
      <c r="R1141" t="s">
        <v>272</v>
      </c>
      <c r="S1141"/>
      <c r="T1141"/>
      <c r="U1141"/>
      <c r="V1141"/>
      <c r="W1141" t="s">
        <v>272</v>
      </c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</row>
    <row r="1142">
      <c r="A1142" t="s">
        <v>261</v>
      </c>
      <c r="B1142" t="s">
        <v>248</v>
      </c>
      <c r="C1142" t="s">
        <v>231</v>
      </c>
      <c r="D1142" t="s">
        <v>213</v>
      </c>
      <c r="E1142" t="s">
        <v>325</v>
      </c>
      <c r="F1142"/>
      <c r="G1142"/>
      <c r="H1142"/>
      <c r="I1142"/>
      <c r="J1142"/>
      <c r="K1142"/>
      <c r="L1142"/>
      <c r="M1142" t="s">
        <v>269</v>
      </c>
      <c r="N1142"/>
      <c r="O1142"/>
      <c r="P1142"/>
      <c r="Q1142"/>
      <c r="R1142" t="s">
        <v>269</v>
      </c>
      <c r="S1142"/>
      <c r="T1142"/>
      <c r="U1142"/>
      <c r="V1142"/>
      <c r="W1142" t="s">
        <v>269</v>
      </c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</row>
    <row r="1143">
      <c r="A1143" t="s">
        <v>261</v>
      </c>
      <c r="B1143" t="s">
        <v>248</v>
      </c>
      <c r="C1143" t="s">
        <v>231</v>
      </c>
      <c r="D1143" t="s">
        <v>213</v>
      </c>
      <c r="E1143" t="s">
        <v>326</v>
      </c>
      <c r="F1143"/>
      <c r="G1143"/>
      <c r="H1143"/>
      <c r="I1143"/>
      <c r="J1143"/>
      <c r="K1143"/>
      <c r="L1143"/>
      <c r="M1143" t="s">
        <v>2257</v>
      </c>
      <c r="N1143"/>
      <c r="O1143"/>
      <c r="P1143"/>
      <c r="Q1143"/>
      <c r="R1143" t="s">
        <v>2258</v>
      </c>
      <c r="S1143"/>
      <c r="T1143"/>
      <c r="U1143"/>
      <c r="V1143"/>
      <c r="W1143" t="s">
        <v>2259</v>
      </c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</row>
    <row r="1144">
      <c r="A1144" t="s">
        <v>261</v>
      </c>
      <c r="B1144" t="s">
        <v>248</v>
      </c>
      <c r="C1144" t="s">
        <v>231</v>
      </c>
      <c r="D1144" t="s">
        <v>213</v>
      </c>
      <c r="E1144" t="s">
        <v>329</v>
      </c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</row>
    <row r="1145">
      <c r="A1145" t="s">
        <v>261</v>
      </c>
      <c r="B1145" t="s">
        <v>248</v>
      </c>
      <c r="C1145" t="s">
        <v>231</v>
      </c>
      <c r="D1145" t="s">
        <v>213</v>
      </c>
      <c r="E1145" t="s">
        <v>330</v>
      </c>
      <c r="F1145"/>
      <c r="G1145"/>
      <c r="H1145"/>
      <c r="I1145"/>
      <c r="J1145"/>
      <c r="K1145"/>
      <c r="L1145"/>
      <c r="M1145" t="s">
        <v>2260</v>
      </c>
      <c r="N1145"/>
      <c r="O1145"/>
      <c r="P1145"/>
      <c r="Q1145"/>
      <c r="R1145" t="s">
        <v>2261</v>
      </c>
      <c r="S1145"/>
      <c r="T1145"/>
      <c r="U1145"/>
      <c r="V1145"/>
      <c r="W1145" t="s">
        <v>2262</v>
      </c>
      <c r="X1145"/>
      <c r="Y1145"/>
      <c r="Z1145"/>
      <c r="AA1145"/>
      <c r="AB1145"/>
      <c r="AC1145"/>
      <c r="AD1145"/>
      <c r="AE1145"/>
      <c r="AF1145" t="n">
        <v>1061595</v>
      </c>
      <c r="AG1145" t="n">
        <v>931595</v>
      </c>
      <c r="AH1145"/>
      <c r="AI1145"/>
      <c r="AJ1145"/>
      <c r="AK1145"/>
      <c r="AL1145"/>
    </row>
    <row r="1146">
      <c r="A1146" t="s">
        <v>261</v>
      </c>
      <c r="B1146" t="s">
        <v>248</v>
      </c>
      <c r="C1146" t="s">
        <v>231</v>
      </c>
      <c r="D1146" t="s">
        <v>213</v>
      </c>
      <c r="E1146" t="s">
        <v>331</v>
      </c>
      <c r="F1146"/>
      <c r="G1146"/>
      <c r="H1146"/>
      <c r="I1146"/>
      <c r="J1146"/>
      <c r="K1146"/>
      <c r="L1146"/>
      <c r="M1146" t="s">
        <v>270</v>
      </c>
      <c r="N1146"/>
      <c r="O1146"/>
      <c r="P1146"/>
      <c r="Q1146"/>
      <c r="R1146" t="s">
        <v>282</v>
      </c>
      <c r="S1146"/>
      <c r="T1146"/>
      <c r="U1146"/>
      <c r="V1146"/>
      <c r="W1146" t="s">
        <v>286</v>
      </c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</row>
    <row r="1147">
      <c r="A1147" t="s">
        <v>261</v>
      </c>
      <c r="B1147" t="s">
        <v>248</v>
      </c>
      <c r="C1147" t="s">
        <v>231</v>
      </c>
      <c r="D1147" t="s">
        <v>213</v>
      </c>
      <c r="E1147" t="s">
        <v>332</v>
      </c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 t="n">
        <v>130000</v>
      </c>
      <c r="AG1147" t="n">
        <v>130000</v>
      </c>
      <c r="AH1147"/>
      <c r="AI1147"/>
      <c r="AJ1147"/>
      <c r="AK1147"/>
      <c r="AL1147"/>
    </row>
    <row r="1148">
      <c r="A1148" t="s">
        <v>261</v>
      </c>
      <c r="B1148" t="s">
        <v>248</v>
      </c>
      <c r="C1148" t="s">
        <v>231</v>
      </c>
      <c r="D1148" t="s">
        <v>213</v>
      </c>
      <c r="E1148" t="s">
        <v>333</v>
      </c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 t="n">
        <v>931595</v>
      </c>
      <c r="AG1148" t="n">
        <v>801595</v>
      </c>
      <c r="AH1148"/>
      <c r="AI1148"/>
      <c r="AJ1148"/>
      <c r="AK1148"/>
      <c r="AL1148"/>
    </row>
    <row r="1149">
      <c r="A1149" t="s">
        <v>261</v>
      </c>
      <c r="B1149" t="s">
        <v>248</v>
      </c>
      <c r="C1149" t="s">
        <v>231</v>
      </c>
      <c r="D1149" t="s">
        <v>213</v>
      </c>
      <c r="E1149" t="s">
        <v>334</v>
      </c>
      <c r="F1149"/>
      <c r="G1149"/>
      <c r="H1149"/>
      <c r="I1149"/>
      <c r="J1149"/>
      <c r="K1149"/>
      <c r="L1149" t="s">
        <v>416</v>
      </c>
      <c r="M1149" t="s">
        <v>416</v>
      </c>
      <c r="N1149" t="s">
        <v>416</v>
      </c>
      <c r="O1149" t="s">
        <v>416</v>
      </c>
      <c r="P1149" t="s">
        <v>416</v>
      </c>
      <c r="Q1149" t="s">
        <v>416</v>
      </c>
      <c r="R1149" t="s">
        <v>416</v>
      </c>
      <c r="S1149" t="s">
        <v>416</v>
      </c>
      <c r="T1149" t="s">
        <v>416</v>
      </c>
      <c r="U1149" t="s">
        <v>416</v>
      </c>
      <c r="V1149" t="s">
        <v>416</v>
      </c>
      <c r="W1149" t="s">
        <v>416</v>
      </c>
      <c r="X1149"/>
      <c r="Y1149"/>
      <c r="Z1149"/>
      <c r="AA1149"/>
      <c r="AB1149"/>
      <c r="AC1149"/>
      <c r="AD1149"/>
      <c r="AE1149"/>
      <c r="AF1149" t="n">
        <v>3</v>
      </c>
      <c r="AG1149" t="n">
        <v>3</v>
      </c>
      <c r="AH1149"/>
      <c r="AI1149"/>
      <c r="AJ1149"/>
      <c r="AK1149"/>
      <c r="AL1149"/>
    </row>
    <row r="1150">
      <c r="A1150" t="s">
        <v>261</v>
      </c>
      <c r="B1150" t="s">
        <v>248</v>
      </c>
      <c r="C1150" t="s">
        <v>231</v>
      </c>
      <c r="D1150" t="s">
        <v>213</v>
      </c>
      <c r="E1150" t="s">
        <v>336</v>
      </c>
      <c r="F1150"/>
      <c r="G1150"/>
      <c r="H1150"/>
      <c r="I1150"/>
      <c r="J1150"/>
      <c r="K1150"/>
      <c r="L1150" t="s">
        <v>1093</v>
      </c>
      <c r="M1150" t="s">
        <v>1093</v>
      </c>
      <c r="N1150" t="s">
        <v>1093</v>
      </c>
      <c r="O1150" t="s">
        <v>1093</v>
      </c>
      <c r="P1150" t="s">
        <v>1093</v>
      </c>
      <c r="Q1150" t="s">
        <v>1093</v>
      </c>
      <c r="R1150" t="s">
        <v>1093</v>
      </c>
      <c r="S1150" t="s">
        <v>1093</v>
      </c>
      <c r="T1150" t="s">
        <v>1093</v>
      </c>
      <c r="U1150" t="s">
        <v>1093</v>
      </c>
      <c r="V1150" t="s">
        <v>1093</v>
      </c>
      <c r="W1150" t="s">
        <v>1093</v>
      </c>
      <c r="X1150"/>
      <c r="Y1150"/>
      <c r="Z1150"/>
      <c r="AA1150"/>
      <c r="AB1150"/>
      <c r="AC1150"/>
      <c r="AD1150"/>
      <c r="AE1150"/>
      <c r="AF1150" t="n">
        <v>6</v>
      </c>
      <c r="AG1150" t="n">
        <v>6</v>
      </c>
      <c r="AH1150"/>
      <c r="AI1150"/>
      <c r="AJ1150"/>
      <c r="AK1150"/>
      <c r="AL1150"/>
    </row>
    <row r="1151">
      <c r="A1151" t="s">
        <v>261</v>
      </c>
      <c r="B1151" t="s">
        <v>248</v>
      </c>
      <c r="C1151" t="s">
        <v>231</v>
      </c>
      <c r="D1151" t="s">
        <v>213</v>
      </c>
      <c r="E1151" t="s">
        <v>338</v>
      </c>
      <c r="F1151"/>
      <c r="G1151"/>
      <c r="H1151"/>
      <c r="I1151"/>
      <c r="J1151"/>
      <c r="K1151"/>
      <c r="L1151" t="s">
        <v>1889</v>
      </c>
      <c r="M1151" t="s">
        <v>1889</v>
      </c>
      <c r="N1151" t="s">
        <v>1889</v>
      </c>
      <c r="O1151" t="s">
        <v>1889</v>
      </c>
      <c r="P1151" t="s">
        <v>1889</v>
      </c>
      <c r="Q1151" t="s">
        <v>1889</v>
      </c>
      <c r="R1151" t="s">
        <v>1889</v>
      </c>
      <c r="S1151" t="s">
        <v>1889</v>
      </c>
      <c r="T1151" t="s">
        <v>1889</v>
      </c>
      <c r="U1151" t="s">
        <v>1889</v>
      </c>
      <c r="V1151" t="s">
        <v>1889</v>
      </c>
      <c r="W1151" t="s">
        <v>1889</v>
      </c>
      <c r="X1151"/>
      <c r="Y1151"/>
      <c r="Z1151"/>
      <c r="AA1151"/>
      <c r="AB1151"/>
      <c r="AC1151"/>
      <c r="AD1151"/>
      <c r="AE1151"/>
      <c r="AF1151" t="n">
        <v>6</v>
      </c>
      <c r="AG1151" t="n">
        <v>6</v>
      </c>
      <c r="AH1151"/>
      <c r="AI1151"/>
      <c r="AJ1151"/>
      <c r="AK1151"/>
      <c r="AL1151"/>
    </row>
    <row r="1152">
      <c r="A1152" t="s">
        <v>261</v>
      </c>
      <c r="B1152" t="s">
        <v>248</v>
      </c>
      <c r="C1152" t="s">
        <v>231</v>
      </c>
      <c r="D1152" t="s">
        <v>213</v>
      </c>
      <c r="E1152" t="s">
        <v>339</v>
      </c>
      <c r="F1152"/>
      <c r="G1152"/>
      <c r="H1152"/>
      <c r="I1152"/>
      <c r="J1152"/>
      <c r="K1152"/>
      <c r="L1152" t="s">
        <v>2263</v>
      </c>
      <c r="M1152" t="s">
        <v>2264</v>
      </c>
      <c r="N1152" t="s">
        <v>2265</v>
      </c>
      <c r="O1152" t="s">
        <v>2266</v>
      </c>
      <c r="P1152" t="s">
        <v>2267</v>
      </c>
      <c r="Q1152" t="s">
        <v>2268</v>
      </c>
      <c r="R1152" t="s">
        <v>2269</v>
      </c>
      <c r="S1152" t="s">
        <v>2270</v>
      </c>
      <c r="T1152" t="s">
        <v>2271</v>
      </c>
      <c r="U1152" t="s">
        <v>2272</v>
      </c>
      <c r="V1152" t="s">
        <v>2273</v>
      </c>
      <c r="W1152" t="s">
        <v>2274</v>
      </c>
      <c r="X1152"/>
      <c r="Y1152"/>
      <c r="Z1152"/>
      <c r="AA1152"/>
      <c r="AB1152"/>
      <c r="AC1152"/>
      <c r="AD1152"/>
      <c r="AE1152"/>
      <c r="AF1152" t="n">
        <v>7.16611538461538</v>
      </c>
      <c r="AG1152" t="n">
        <v>6.16611538461538</v>
      </c>
      <c r="AH1152"/>
      <c r="AI1152"/>
      <c r="AJ1152"/>
      <c r="AK1152"/>
      <c r="AL1152"/>
    </row>
    <row r="1153">
      <c r="A1153" t="s">
        <v>261</v>
      </c>
      <c r="B1153" t="s">
        <v>248</v>
      </c>
      <c r="C1153" t="s">
        <v>231</v>
      </c>
      <c r="D1153" t="s">
        <v>213</v>
      </c>
      <c r="E1153" t="s">
        <v>358</v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</row>
    <row r="1154">
      <c r="A1154" t="s">
        <v>210</v>
      </c>
      <c r="B1154" t="s">
        <v>248</v>
      </c>
      <c r="C1154"/>
      <c r="D1154" t="s">
        <v>213</v>
      </c>
      <c r="E1154" t="s">
        <v>297</v>
      </c>
      <c r="F1154"/>
      <c r="G1154"/>
      <c r="H1154"/>
      <c r="I1154"/>
      <c r="J1154"/>
      <c r="K1154"/>
      <c r="L1154" t="s">
        <v>2275</v>
      </c>
      <c r="M1154" t="s">
        <v>2276</v>
      </c>
      <c r="N1154" t="s">
        <v>2277</v>
      </c>
      <c r="O1154" t="s">
        <v>2278</v>
      </c>
      <c r="P1154" t="s">
        <v>2279</v>
      </c>
      <c r="Q1154" t="s">
        <v>2280</v>
      </c>
      <c r="R1154" t="s">
        <v>360</v>
      </c>
      <c r="S1154" t="s">
        <v>360</v>
      </c>
      <c r="T1154" t="s">
        <v>360</v>
      </c>
      <c r="U1154" t="s">
        <v>360</v>
      </c>
      <c r="V1154" t="s">
        <v>360</v>
      </c>
      <c r="W1154" t="s">
        <v>360</v>
      </c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</row>
    <row r="1155">
      <c r="A1155" t="s">
        <v>210</v>
      </c>
      <c r="B1155" t="s">
        <v>248</v>
      </c>
      <c r="C1155"/>
      <c r="D1155" t="s">
        <v>213</v>
      </c>
      <c r="E1155" t="s">
        <v>316</v>
      </c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</row>
    <row r="1156">
      <c r="A1156" t="s">
        <v>210</v>
      </c>
      <c r="B1156" t="s">
        <v>248</v>
      </c>
      <c r="C1156"/>
      <c r="D1156" t="s">
        <v>213</v>
      </c>
      <c r="E1156" t="s">
        <v>317</v>
      </c>
      <c r="F1156"/>
      <c r="G1156"/>
      <c r="H1156"/>
      <c r="I1156"/>
      <c r="J1156"/>
      <c r="K1156"/>
      <c r="L1156" t="s">
        <v>2281</v>
      </c>
      <c r="M1156" t="s">
        <v>2281</v>
      </c>
      <c r="N1156" t="s">
        <v>2281</v>
      </c>
      <c r="O1156" t="s">
        <v>2281</v>
      </c>
      <c r="P1156" t="s">
        <v>2281</v>
      </c>
      <c r="Q1156" t="s">
        <v>2281</v>
      </c>
      <c r="R1156" t="s">
        <v>2281</v>
      </c>
      <c r="S1156" t="s">
        <v>2281</v>
      </c>
      <c r="T1156" t="s">
        <v>2281</v>
      </c>
      <c r="U1156" t="s">
        <v>2281</v>
      </c>
      <c r="V1156" t="s">
        <v>2281</v>
      </c>
      <c r="W1156" t="s">
        <v>2281</v>
      </c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</row>
    <row r="1157">
      <c r="A1157" t="s">
        <v>210</v>
      </c>
      <c r="B1157" t="s">
        <v>248</v>
      </c>
      <c r="C1157"/>
      <c r="D1157" t="s">
        <v>213</v>
      </c>
      <c r="E1157" t="s">
        <v>320</v>
      </c>
      <c r="F1157"/>
      <c r="G1157"/>
      <c r="H1157"/>
      <c r="I1157"/>
      <c r="J1157"/>
      <c r="K1157"/>
      <c r="L1157" t="s">
        <v>2276</v>
      </c>
      <c r="M1157" t="s">
        <v>2277</v>
      </c>
      <c r="N1157" t="s">
        <v>2278</v>
      </c>
      <c r="O1157" t="s">
        <v>2279</v>
      </c>
      <c r="P1157" t="s">
        <v>2280</v>
      </c>
      <c r="Q1157" t="s">
        <v>360</v>
      </c>
      <c r="R1157" t="s">
        <v>360</v>
      </c>
      <c r="S1157" t="s">
        <v>360</v>
      </c>
      <c r="T1157" t="s">
        <v>360</v>
      </c>
      <c r="U1157" t="s">
        <v>360</v>
      </c>
      <c r="V1157" t="s">
        <v>360</v>
      </c>
      <c r="W1157" t="s">
        <v>360</v>
      </c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</row>
    <row r="1158">
      <c r="A1158" t="s">
        <v>210</v>
      </c>
      <c r="B1158" t="s">
        <v>248</v>
      </c>
      <c r="C1158"/>
      <c r="D1158" t="s">
        <v>213</v>
      </c>
      <c r="E1158" t="s">
        <v>323</v>
      </c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</row>
    <row r="1159">
      <c r="A1159" t="s">
        <v>210</v>
      </c>
      <c r="B1159" t="s">
        <v>248</v>
      </c>
      <c r="C1159"/>
      <c r="D1159" t="s">
        <v>213</v>
      </c>
      <c r="E1159" t="s">
        <v>324</v>
      </c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</row>
    <row r="1160">
      <c r="A1160" t="s">
        <v>210</v>
      </c>
      <c r="B1160" t="s">
        <v>248</v>
      </c>
      <c r="C1160"/>
      <c r="D1160" t="s">
        <v>213</v>
      </c>
      <c r="E1160" t="s">
        <v>325</v>
      </c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</row>
    <row r="1161">
      <c r="A1161" t="s">
        <v>210</v>
      </c>
      <c r="B1161" t="s">
        <v>248</v>
      </c>
      <c r="C1161"/>
      <c r="D1161" t="s">
        <v>213</v>
      </c>
      <c r="E1161" t="s">
        <v>326</v>
      </c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</row>
    <row r="1162">
      <c r="A1162" t="s">
        <v>210</v>
      </c>
      <c r="B1162" t="s">
        <v>248</v>
      </c>
      <c r="C1162"/>
      <c r="D1162" t="s">
        <v>213</v>
      </c>
      <c r="E1162" t="s">
        <v>329</v>
      </c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</row>
    <row r="1163">
      <c r="A1163" t="s">
        <v>210</v>
      </c>
      <c r="B1163" t="s">
        <v>248</v>
      </c>
      <c r="C1163"/>
      <c r="D1163" t="s">
        <v>213</v>
      </c>
      <c r="E1163" t="s">
        <v>330</v>
      </c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</row>
    <row r="1164">
      <c r="A1164" t="s">
        <v>210</v>
      </c>
      <c r="B1164" t="s">
        <v>248</v>
      </c>
      <c r="C1164"/>
      <c r="D1164" t="s">
        <v>213</v>
      </c>
      <c r="E1164" t="s">
        <v>331</v>
      </c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</row>
    <row r="1165">
      <c r="A1165" t="s">
        <v>210</v>
      </c>
      <c r="B1165" t="s">
        <v>248</v>
      </c>
      <c r="C1165"/>
      <c r="D1165" t="s">
        <v>213</v>
      </c>
      <c r="E1165" t="s">
        <v>332</v>
      </c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</row>
    <row r="1166">
      <c r="A1166" t="s">
        <v>210</v>
      </c>
      <c r="B1166" t="s">
        <v>248</v>
      </c>
      <c r="C1166"/>
      <c r="D1166" t="s">
        <v>213</v>
      </c>
      <c r="E1166" t="s">
        <v>333</v>
      </c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</row>
    <row r="1167">
      <c r="A1167" t="s">
        <v>210</v>
      </c>
      <c r="B1167" t="s">
        <v>248</v>
      </c>
      <c r="C1167"/>
      <c r="D1167" t="s">
        <v>213</v>
      </c>
      <c r="E1167" t="s">
        <v>334</v>
      </c>
      <c r="F1167"/>
      <c r="G1167"/>
      <c r="H1167"/>
      <c r="I1167"/>
      <c r="J1167"/>
      <c r="K1167"/>
      <c r="L1167" t="s">
        <v>335</v>
      </c>
      <c r="M1167" t="s">
        <v>335</v>
      </c>
      <c r="N1167" t="s">
        <v>335</v>
      </c>
      <c r="O1167" t="s">
        <v>335</v>
      </c>
      <c r="P1167" t="s">
        <v>335</v>
      </c>
      <c r="Q1167" t="s">
        <v>335</v>
      </c>
      <c r="R1167" t="s">
        <v>335</v>
      </c>
      <c r="S1167" t="s">
        <v>335</v>
      </c>
      <c r="T1167" t="s">
        <v>335</v>
      </c>
      <c r="U1167" t="s">
        <v>335</v>
      </c>
      <c r="V1167" t="s">
        <v>335</v>
      </c>
      <c r="W1167" t="s">
        <v>335</v>
      </c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</row>
    <row r="1168">
      <c r="A1168" t="s">
        <v>210</v>
      </c>
      <c r="B1168" t="s">
        <v>248</v>
      </c>
      <c r="C1168"/>
      <c r="D1168" t="s">
        <v>213</v>
      </c>
      <c r="E1168" t="s">
        <v>336</v>
      </c>
      <c r="F1168"/>
      <c r="G1168"/>
      <c r="H1168"/>
      <c r="I1168"/>
      <c r="J1168"/>
      <c r="K1168"/>
      <c r="L1168" t="s">
        <v>337</v>
      </c>
      <c r="M1168" t="s">
        <v>337</v>
      </c>
      <c r="N1168" t="s">
        <v>337</v>
      </c>
      <c r="O1168" t="s">
        <v>337</v>
      </c>
      <c r="P1168" t="s">
        <v>337</v>
      </c>
      <c r="Q1168" t="s">
        <v>337</v>
      </c>
      <c r="R1168" t="s">
        <v>337</v>
      </c>
      <c r="S1168" t="s">
        <v>337</v>
      </c>
      <c r="T1168" t="s">
        <v>337</v>
      </c>
      <c r="U1168" t="s">
        <v>337</v>
      </c>
      <c r="V1168" t="s">
        <v>337</v>
      </c>
      <c r="W1168" t="s">
        <v>337</v>
      </c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</row>
    <row r="1169">
      <c r="A1169" t="s">
        <v>210</v>
      </c>
      <c r="B1169" t="s">
        <v>248</v>
      </c>
      <c r="C1169"/>
      <c r="D1169" t="s">
        <v>213</v>
      </c>
      <c r="E1169" t="s">
        <v>338</v>
      </c>
      <c r="F1169"/>
      <c r="G1169"/>
      <c r="H1169"/>
      <c r="I1169"/>
      <c r="J1169"/>
      <c r="K1169"/>
      <c r="L1169" t="s">
        <v>337</v>
      </c>
      <c r="M1169" t="s">
        <v>337</v>
      </c>
      <c r="N1169" t="s">
        <v>337</v>
      </c>
      <c r="O1169" t="s">
        <v>337</v>
      </c>
      <c r="P1169" t="s">
        <v>337</v>
      </c>
      <c r="Q1169" t="s">
        <v>337</v>
      </c>
      <c r="R1169" t="s">
        <v>337</v>
      </c>
      <c r="S1169" t="s">
        <v>337</v>
      </c>
      <c r="T1169" t="s">
        <v>337</v>
      </c>
      <c r="U1169" t="s">
        <v>337</v>
      </c>
      <c r="V1169" t="s">
        <v>337</v>
      </c>
      <c r="W1169" t="s">
        <v>337</v>
      </c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</row>
    <row r="1170">
      <c r="A1170" t="s">
        <v>210</v>
      </c>
      <c r="B1170" t="s">
        <v>248</v>
      </c>
      <c r="C1170"/>
      <c r="D1170" t="s">
        <v>213</v>
      </c>
      <c r="E1170" t="s">
        <v>339</v>
      </c>
      <c r="F1170"/>
      <c r="G1170"/>
      <c r="H1170"/>
      <c r="I1170"/>
      <c r="J1170"/>
      <c r="K1170"/>
      <c r="L1170" t="s">
        <v>2282</v>
      </c>
      <c r="M1170" t="s">
        <v>2283</v>
      </c>
      <c r="N1170" t="s">
        <v>2284</v>
      </c>
      <c r="O1170" t="s">
        <v>2285</v>
      </c>
      <c r="P1170" t="s">
        <v>2286</v>
      </c>
      <c r="Q1170" t="s">
        <v>360</v>
      </c>
      <c r="R1170" t="s">
        <v>360</v>
      </c>
      <c r="S1170" t="s">
        <v>360</v>
      </c>
      <c r="T1170" t="s">
        <v>360</v>
      </c>
      <c r="U1170" t="s">
        <v>360</v>
      </c>
      <c r="V1170" t="s">
        <v>360</v>
      </c>
      <c r="W1170" t="s">
        <v>360</v>
      </c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</row>
    <row r="1171">
      <c r="A1171" t="s">
        <v>210</v>
      </c>
      <c r="B1171" t="s">
        <v>248</v>
      </c>
      <c r="C1171"/>
      <c r="D1171" t="s">
        <v>213</v>
      </c>
      <c r="E1171" t="s">
        <v>358</v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</row>
    <row r="1172">
      <c r="A1172" t="s">
        <v>261</v>
      </c>
      <c r="B1172" t="s">
        <v>232</v>
      </c>
      <c r="C1172" t="s">
        <v>265</v>
      </c>
      <c r="D1172" t="s">
        <v>213</v>
      </c>
      <c r="E1172" t="s">
        <v>297</v>
      </c>
      <c r="F1172"/>
      <c r="G1172"/>
      <c r="H1172"/>
      <c r="I1172"/>
      <c r="J1172"/>
      <c r="K1172"/>
      <c r="L1172" t="s">
        <v>2287</v>
      </c>
      <c r="M1172" t="s">
        <v>2288</v>
      </c>
      <c r="N1172" t="s">
        <v>2289</v>
      </c>
      <c r="O1172" t="s">
        <v>2290</v>
      </c>
      <c r="P1172" t="s">
        <v>2291</v>
      </c>
      <c r="Q1172" t="s">
        <v>2292</v>
      </c>
      <c r="R1172" t="s">
        <v>2293</v>
      </c>
      <c r="S1172" t="s">
        <v>2294</v>
      </c>
      <c r="T1172" t="s">
        <v>2295</v>
      </c>
      <c r="U1172" t="s">
        <v>2296</v>
      </c>
      <c r="V1172" t="s">
        <v>2297</v>
      </c>
      <c r="W1172" t="s">
        <v>2298</v>
      </c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</row>
    <row r="1173">
      <c r="A1173" t="s">
        <v>261</v>
      </c>
      <c r="B1173" t="s">
        <v>232</v>
      </c>
      <c r="C1173" t="s">
        <v>265</v>
      </c>
      <c r="D1173" t="s">
        <v>213</v>
      </c>
      <c r="E1173" t="s">
        <v>316</v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</row>
    <row r="1174">
      <c r="A1174" t="s">
        <v>261</v>
      </c>
      <c r="B1174" t="s">
        <v>232</v>
      </c>
      <c r="C1174" t="s">
        <v>265</v>
      </c>
      <c r="D1174" t="s">
        <v>213</v>
      </c>
      <c r="E1174" t="s">
        <v>317</v>
      </c>
      <c r="F1174"/>
      <c r="G1174"/>
      <c r="H1174"/>
      <c r="I1174"/>
      <c r="J1174"/>
      <c r="K1174"/>
      <c r="L1174" t="s">
        <v>2299</v>
      </c>
      <c r="M1174" t="s">
        <v>2299</v>
      </c>
      <c r="N1174" t="s">
        <v>2299</v>
      </c>
      <c r="O1174" t="s">
        <v>2299</v>
      </c>
      <c r="P1174" t="s">
        <v>2299</v>
      </c>
      <c r="Q1174" t="s">
        <v>2299</v>
      </c>
      <c r="R1174" t="s">
        <v>2299</v>
      </c>
      <c r="S1174" t="s">
        <v>2299</v>
      </c>
      <c r="T1174" t="s">
        <v>2299</v>
      </c>
      <c r="U1174" t="s">
        <v>2299</v>
      </c>
      <c r="V1174" t="s">
        <v>2299</v>
      </c>
      <c r="W1174" t="s">
        <v>2299</v>
      </c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</row>
    <row r="1175">
      <c r="A1175" t="s">
        <v>261</v>
      </c>
      <c r="B1175" t="s">
        <v>232</v>
      </c>
      <c r="C1175" t="s">
        <v>265</v>
      </c>
      <c r="D1175" t="s">
        <v>213</v>
      </c>
      <c r="E1175" t="s">
        <v>320</v>
      </c>
      <c r="F1175"/>
      <c r="G1175"/>
      <c r="H1175"/>
      <c r="I1175"/>
      <c r="J1175"/>
      <c r="K1175"/>
      <c r="L1175" t="s">
        <v>2288</v>
      </c>
      <c r="M1175" t="s">
        <v>2289</v>
      </c>
      <c r="N1175" t="s">
        <v>2290</v>
      </c>
      <c r="O1175" t="s">
        <v>2291</v>
      </c>
      <c r="P1175" t="s">
        <v>2292</v>
      </c>
      <c r="Q1175" t="s">
        <v>2293</v>
      </c>
      <c r="R1175" t="s">
        <v>2294</v>
      </c>
      <c r="S1175" t="s">
        <v>2295</v>
      </c>
      <c r="T1175" t="s">
        <v>2296</v>
      </c>
      <c r="U1175" t="s">
        <v>2297</v>
      </c>
      <c r="V1175" t="s">
        <v>2298</v>
      </c>
      <c r="W1175" t="s">
        <v>2300</v>
      </c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</row>
    <row r="1176">
      <c r="A1176" t="s">
        <v>261</v>
      </c>
      <c r="B1176" t="s">
        <v>232</v>
      </c>
      <c r="C1176" t="s">
        <v>265</v>
      </c>
      <c r="D1176" t="s">
        <v>213</v>
      </c>
      <c r="E1176" t="s">
        <v>323</v>
      </c>
      <c r="F1176"/>
      <c r="G1176"/>
      <c r="H1176"/>
      <c r="I1176"/>
      <c r="J1176"/>
      <c r="K1176"/>
      <c r="L1176"/>
      <c r="M1176" t="s">
        <v>273</v>
      </c>
      <c r="N1176" t="s">
        <v>236</v>
      </c>
      <c r="O1176"/>
      <c r="P1176"/>
      <c r="Q1176"/>
      <c r="R1176" t="s">
        <v>272</v>
      </c>
      <c r="S1176"/>
      <c r="T1176"/>
      <c r="U1176"/>
      <c r="V1176"/>
      <c r="W1176" t="s">
        <v>272</v>
      </c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</row>
    <row r="1177">
      <c r="A1177" t="s">
        <v>261</v>
      </c>
      <c r="B1177" t="s">
        <v>232</v>
      </c>
      <c r="C1177" t="s">
        <v>265</v>
      </c>
      <c r="D1177" t="s">
        <v>213</v>
      </c>
      <c r="E1177" t="s">
        <v>324</v>
      </c>
      <c r="F1177"/>
      <c r="G1177"/>
      <c r="H1177"/>
      <c r="I1177"/>
      <c r="J1177"/>
      <c r="K1177"/>
      <c r="L1177"/>
      <c r="M1177" t="s">
        <v>243</v>
      </c>
      <c r="N1177" t="s">
        <v>274</v>
      </c>
      <c r="O1177"/>
      <c r="P1177"/>
      <c r="Q1177"/>
      <c r="R1177" t="s">
        <v>272</v>
      </c>
      <c r="S1177"/>
      <c r="T1177"/>
      <c r="U1177"/>
      <c r="V1177"/>
      <c r="W1177" t="s">
        <v>272</v>
      </c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</row>
    <row r="1178">
      <c r="A1178" t="s">
        <v>261</v>
      </c>
      <c r="B1178" t="s">
        <v>232</v>
      </c>
      <c r="C1178" t="s">
        <v>265</v>
      </c>
      <c r="D1178" t="s">
        <v>213</v>
      </c>
      <c r="E1178" t="s">
        <v>325</v>
      </c>
      <c r="F1178"/>
      <c r="G1178"/>
      <c r="H1178"/>
      <c r="I1178"/>
      <c r="J1178"/>
      <c r="K1178"/>
      <c r="L1178"/>
      <c r="M1178" t="s">
        <v>269</v>
      </c>
      <c r="N1178" t="s">
        <v>259</v>
      </c>
      <c r="O1178"/>
      <c r="P1178"/>
      <c r="Q1178"/>
      <c r="R1178" t="s">
        <v>269</v>
      </c>
      <c r="S1178"/>
      <c r="T1178"/>
      <c r="U1178"/>
      <c r="V1178"/>
      <c r="W1178" t="s">
        <v>269</v>
      </c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</row>
    <row r="1179">
      <c r="A1179" t="s">
        <v>261</v>
      </c>
      <c r="B1179" t="s">
        <v>232</v>
      </c>
      <c r="C1179" t="s">
        <v>265</v>
      </c>
      <c r="D1179" t="s">
        <v>213</v>
      </c>
      <c r="E1179" t="s">
        <v>326</v>
      </c>
      <c r="F1179"/>
      <c r="G1179"/>
      <c r="H1179"/>
      <c r="I1179"/>
      <c r="J1179"/>
      <c r="K1179"/>
      <c r="L1179"/>
      <c r="M1179" t="s">
        <v>2301</v>
      </c>
      <c r="N1179" t="s">
        <v>2302</v>
      </c>
      <c r="O1179"/>
      <c r="P1179"/>
      <c r="Q1179"/>
      <c r="R1179" t="s">
        <v>2303</v>
      </c>
      <c r="S1179"/>
      <c r="T1179"/>
      <c r="U1179"/>
      <c r="V1179"/>
      <c r="W1179" t="s">
        <v>2304</v>
      </c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</row>
    <row r="1180">
      <c r="A1180" t="s">
        <v>261</v>
      </c>
      <c r="B1180" t="s">
        <v>232</v>
      </c>
      <c r="C1180" t="s">
        <v>265</v>
      </c>
      <c r="D1180" t="s">
        <v>213</v>
      </c>
      <c r="E1180" t="s">
        <v>329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</row>
    <row r="1181">
      <c r="A1181" t="s">
        <v>261</v>
      </c>
      <c r="B1181" t="s">
        <v>232</v>
      </c>
      <c r="C1181" t="s">
        <v>265</v>
      </c>
      <c r="D1181" t="s">
        <v>213</v>
      </c>
      <c r="E1181" t="s">
        <v>330</v>
      </c>
      <c r="F1181"/>
      <c r="G1181"/>
      <c r="H1181"/>
      <c r="I1181"/>
      <c r="J1181"/>
      <c r="K1181"/>
      <c r="L1181"/>
      <c r="M1181" t="s">
        <v>2305</v>
      </c>
      <c r="N1181" t="s">
        <v>2306</v>
      </c>
      <c r="O1181"/>
      <c r="P1181"/>
      <c r="Q1181"/>
      <c r="R1181" t="s">
        <v>2307</v>
      </c>
      <c r="S1181"/>
      <c r="T1181"/>
      <c r="U1181"/>
      <c r="V1181"/>
      <c r="W1181" t="s">
        <v>2308</v>
      </c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</row>
    <row r="1182">
      <c r="A1182" t="s">
        <v>261</v>
      </c>
      <c r="B1182" t="s">
        <v>232</v>
      </c>
      <c r="C1182" t="s">
        <v>265</v>
      </c>
      <c r="D1182" t="s">
        <v>213</v>
      </c>
      <c r="E1182" t="s">
        <v>331</v>
      </c>
      <c r="F1182"/>
      <c r="G1182"/>
      <c r="H1182"/>
      <c r="I1182"/>
      <c r="J1182"/>
      <c r="K1182"/>
      <c r="L1182"/>
      <c r="M1182" t="s">
        <v>270</v>
      </c>
      <c r="N1182" t="s">
        <v>276</v>
      </c>
      <c r="O1182"/>
      <c r="P1182"/>
      <c r="Q1182"/>
      <c r="R1182" t="s">
        <v>282</v>
      </c>
      <c r="S1182"/>
      <c r="T1182"/>
      <c r="U1182"/>
      <c r="V1182"/>
      <c r="W1182" t="s">
        <v>286</v>
      </c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</row>
    <row r="1183">
      <c r="A1183" t="s">
        <v>261</v>
      </c>
      <c r="B1183" t="s">
        <v>232</v>
      </c>
      <c r="C1183" t="s">
        <v>265</v>
      </c>
      <c r="D1183" t="s">
        <v>213</v>
      </c>
      <c r="E1183" t="s">
        <v>332</v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</row>
    <row r="1184">
      <c r="A1184" t="s">
        <v>261</v>
      </c>
      <c r="B1184" t="s">
        <v>232</v>
      </c>
      <c r="C1184" t="s">
        <v>265</v>
      </c>
      <c r="D1184" t="s">
        <v>213</v>
      </c>
      <c r="E1184" t="s">
        <v>333</v>
      </c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</row>
    <row r="1185">
      <c r="A1185" t="s">
        <v>261</v>
      </c>
      <c r="B1185" t="s">
        <v>232</v>
      </c>
      <c r="C1185" t="s">
        <v>265</v>
      </c>
      <c r="D1185" t="s">
        <v>213</v>
      </c>
      <c r="E1185" t="s">
        <v>334</v>
      </c>
      <c r="F1185"/>
      <c r="G1185"/>
      <c r="H1185"/>
      <c r="I1185"/>
      <c r="J1185"/>
      <c r="K1185"/>
      <c r="L1185" t="s">
        <v>416</v>
      </c>
      <c r="M1185" t="s">
        <v>416</v>
      </c>
      <c r="N1185" t="s">
        <v>416</v>
      </c>
      <c r="O1185" t="s">
        <v>416</v>
      </c>
      <c r="P1185" t="s">
        <v>416</v>
      </c>
      <c r="Q1185" t="s">
        <v>416</v>
      </c>
      <c r="R1185" t="s">
        <v>416</v>
      </c>
      <c r="S1185" t="s">
        <v>416</v>
      </c>
      <c r="T1185" t="s">
        <v>416</v>
      </c>
      <c r="U1185" t="s">
        <v>416</v>
      </c>
      <c r="V1185" t="s">
        <v>416</v>
      </c>
      <c r="W1185" t="s">
        <v>416</v>
      </c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</row>
    <row r="1186">
      <c r="A1186" t="s">
        <v>261</v>
      </c>
      <c r="B1186" t="s">
        <v>232</v>
      </c>
      <c r="C1186" t="s">
        <v>265</v>
      </c>
      <c r="D1186" t="s">
        <v>213</v>
      </c>
      <c r="E1186" t="s">
        <v>336</v>
      </c>
      <c r="F1186"/>
      <c r="G1186"/>
      <c r="H1186"/>
      <c r="I1186"/>
      <c r="J1186"/>
      <c r="K1186"/>
      <c r="L1186" t="s">
        <v>1093</v>
      </c>
      <c r="M1186" t="s">
        <v>1093</v>
      </c>
      <c r="N1186" t="s">
        <v>1093</v>
      </c>
      <c r="O1186" t="s">
        <v>1093</v>
      </c>
      <c r="P1186" t="s">
        <v>1093</v>
      </c>
      <c r="Q1186" t="s">
        <v>1093</v>
      </c>
      <c r="R1186" t="s">
        <v>1093</v>
      </c>
      <c r="S1186" t="s">
        <v>1093</v>
      </c>
      <c r="T1186" t="s">
        <v>1093</v>
      </c>
      <c r="U1186" t="s">
        <v>1093</v>
      </c>
      <c r="V1186" t="s">
        <v>1093</v>
      </c>
      <c r="W1186" t="s">
        <v>1093</v>
      </c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</row>
    <row r="1187">
      <c r="A1187" t="s">
        <v>261</v>
      </c>
      <c r="B1187" t="s">
        <v>232</v>
      </c>
      <c r="C1187" t="s">
        <v>265</v>
      </c>
      <c r="D1187" t="s">
        <v>213</v>
      </c>
      <c r="E1187" t="s">
        <v>338</v>
      </c>
      <c r="F1187"/>
      <c r="G1187"/>
      <c r="H1187"/>
      <c r="I1187"/>
      <c r="J1187"/>
      <c r="K1187"/>
      <c r="L1187" t="s">
        <v>1889</v>
      </c>
      <c r="M1187" t="s">
        <v>1889</v>
      </c>
      <c r="N1187" t="s">
        <v>1889</v>
      </c>
      <c r="O1187" t="s">
        <v>1889</v>
      </c>
      <c r="P1187" t="s">
        <v>1889</v>
      </c>
      <c r="Q1187" t="s">
        <v>1889</v>
      </c>
      <c r="R1187" t="s">
        <v>1889</v>
      </c>
      <c r="S1187" t="s">
        <v>1889</v>
      </c>
      <c r="T1187" t="s">
        <v>1889</v>
      </c>
      <c r="U1187" t="s">
        <v>1889</v>
      </c>
      <c r="V1187" t="s">
        <v>1889</v>
      </c>
      <c r="W1187" t="s">
        <v>1889</v>
      </c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</row>
    <row r="1188">
      <c r="A1188" t="s">
        <v>261</v>
      </c>
      <c r="B1188" t="s">
        <v>232</v>
      </c>
      <c r="C1188" t="s">
        <v>265</v>
      </c>
      <c r="D1188" t="s">
        <v>213</v>
      </c>
      <c r="E1188" t="s">
        <v>339</v>
      </c>
      <c r="F1188"/>
      <c r="G1188"/>
      <c r="H1188"/>
      <c r="I1188"/>
      <c r="J1188"/>
      <c r="K1188"/>
      <c r="L1188" t="s">
        <v>2309</v>
      </c>
      <c r="M1188" t="s">
        <v>2310</v>
      </c>
      <c r="N1188" t="s">
        <v>2311</v>
      </c>
      <c r="O1188" t="s">
        <v>2312</v>
      </c>
      <c r="P1188" t="s">
        <v>2313</v>
      </c>
      <c r="Q1188" t="s">
        <v>2314</v>
      </c>
      <c r="R1188" t="s">
        <v>2315</v>
      </c>
      <c r="S1188" t="s">
        <v>2316</v>
      </c>
      <c r="T1188" t="s">
        <v>2317</v>
      </c>
      <c r="U1188" t="s">
        <v>2318</v>
      </c>
      <c r="V1188" t="s">
        <v>2319</v>
      </c>
      <c r="W1188" t="s">
        <v>2320</v>
      </c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</row>
    <row r="1189">
      <c r="A1189" t="s">
        <v>261</v>
      </c>
      <c r="B1189" t="s">
        <v>232</v>
      </c>
      <c r="C1189" t="s">
        <v>265</v>
      </c>
      <c r="D1189" t="s">
        <v>213</v>
      </c>
      <c r="E1189" t="s">
        <v>358</v>
      </c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</row>
    <row r="1190">
      <c r="A1190" t="s">
        <v>210</v>
      </c>
      <c r="B1190" t="s">
        <v>232</v>
      </c>
      <c r="C1190"/>
      <c r="D1190" t="s">
        <v>213</v>
      </c>
      <c r="E1190" t="s">
        <v>297</v>
      </c>
      <c r="F1190"/>
      <c r="G1190"/>
      <c r="H1190"/>
      <c r="I1190"/>
      <c r="J1190"/>
      <c r="K1190"/>
      <c r="L1190" t="s">
        <v>2321</v>
      </c>
      <c r="M1190" t="s">
        <v>2322</v>
      </c>
      <c r="N1190" t="s">
        <v>360</v>
      </c>
      <c r="O1190" t="s">
        <v>2323</v>
      </c>
      <c r="P1190" t="s">
        <v>2324</v>
      </c>
      <c r="Q1190" t="s">
        <v>2325</v>
      </c>
      <c r="R1190" t="s">
        <v>2326</v>
      </c>
      <c r="S1190" t="s">
        <v>2327</v>
      </c>
      <c r="T1190" t="s">
        <v>2328</v>
      </c>
      <c r="U1190" t="s">
        <v>2329</v>
      </c>
      <c r="V1190" t="s">
        <v>2330</v>
      </c>
      <c r="W1190" t="s">
        <v>2331</v>
      </c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</row>
    <row r="1191">
      <c r="A1191" t="s">
        <v>210</v>
      </c>
      <c r="B1191" t="s">
        <v>232</v>
      </c>
      <c r="C1191"/>
      <c r="D1191" t="s">
        <v>213</v>
      </c>
      <c r="E1191" t="s">
        <v>316</v>
      </c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</row>
    <row r="1192">
      <c r="A1192" t="s">
        <v>210</v>
      </c>
      <c r="B1192" t="s">
        <v>232</v>
      </c>
      <c r="C1192"/>
      <c r="D1192" t="s">
        <v>213</v>
      </c>
      <c r="E1192" t="s">
        <v>317</v>
      </c>
      <c r="F1192"/>
      <c r="G1192"/>
      <c r="H1192"/>
      <c r="I1192"/>
      <c r="J1192"/>
      <c r="K1192"/>
      <c r="L1192" t="s">
        <v>2332</v>
      </c>
      <c r="M1192" t="s">
        <v>2332</v>
      </c>
      <c r="N1192" t="s">
        <v>2332</v>
      </c>
      <c r="O1192" t="s">
        <v>2332</v>
      </c>
      <c r="P1192" t="s">
        <v>2332</v>
      </c>
      <c r="Q1192" t="s">
        <v>2332</v>
      </c>
      <c r="R1192" t="s">
        <v>2332</v>
      </c>
      <c r="S1192" t="s">
        <v>2332</v>
      </c>
      <c r="T1192" t="s">
        <v>2332</v>
      </c>
      <c r="U1192" t="s">
        <v>2332</v>
      </c>
      <c r="V1192" t="s">
        <v>2332</v>
      </c>
      <c r="W1192" t="s">
        <v>2332</v>
      </c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</row>
    <row r="1193">
      <c r="A1193" t="s">
        <v>210</v>
      </c>
      <c r="B1193" t="s">
        <v>232</v>
      </c>
      <c r="C1193"/>
      <c r="D1193" t="s">
        <v>213</v>
      </c>
      <c r="E1193" t="s">
        <v>320</v>
      </c>
      <c r="F1193"/>
      <c r="G1193"/>
      <c r="H1193"/>
      <c r="I1193"/>
      <c r="J1193"/>
      <c r="K1193"/>
      <c r="L1193" t="s">
        <v>2322</v>
      </c>
      <c r="M1193" t="s">
        <v>360</v>
      </c>
      <c r="N1193" t="s">
        <v>2323</v>
      </c>
      <c r="O1193" t="s">
        <v>2324</v>
      </c>
      <c r="P1193" t="s">
        <v>2325</v>
      </c>
      <c r="Q1193" t="s">
        <v>2326</v>
      </c>
      <c r="R1193" t="s">
        <v>2327</v>
      </c>
      <c r="S1193" t="s">
        <v>2328</v>
      </c>
      <c r="T1193" t="s">
        <v>2329</v>
      </c>
      <c r="U1193" t="s">
        <v>2330</v>
      </c>
      <c r="V1193" t="s">
        <v>2331</v>
      </c>
      <c r="W1193" t="s">
        <v>2333</v>
      </c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</row>
    <row r="1194">
      <c r="A1194" t="s">
        <v>210</v>
      </c>
      <c r="B1194" t="s">
        <v>232</v>
      </c>
      <c r="C1194"/>
      <c r="D1194" t="s">
        <v>213</v>
      </c>
      <c r="E1194" t="s">
        <v>323</v>
      </c>
      <c r="F1194"/>
      <c r="G1194"/>
      <c r="H1194"/>
      <c r="I1194"/>
      <c r="J1194"/>
      <c r="K1194"/>
      <c r="L1194"/>
      <c r="M1194"/>
      <c r="N1194" t="s">
        <v>236</v>
      </c>
      <c r="O1194"/>
      <c r="P1194" t="s">
        <v>266</v>
      </c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</row>
    <row r="1195">
      <c r="A1195" t="s">
        <v>210</v>
      </c>
      <c r="B1195" t="s">
        <v>232</v>
      </c>
      <c r="C1195"/>
      <c r="D1195" t="s">
        <v>213</v>
      </c>
      <c r="E1195" t="s">
        <v>324</v>
      </c>
      <c r="F1195"/>
      <c r="G1195"/>
      <c r="H1195"/>
      <c r="I1195"/>
      <c r="J1195"/>
      <c r="K1195"/>
      <c r="L1195"/>
      <c r="M1195"/>
      <c r="N1195" t="s">
        <v>274</v>
      </c>
      <c r="O1195"/>
      <c r="P1195" t="s">
        <v>266</v>
      </c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</row>
    <row r="1196">
      <c r="A1196" t="s">
        <v>210</v>
      </c>
      <c r="B1196" t="s">
        <v>232</v>
      </c>
      <c r="C1196"/>
      <c r="D1196" t="s">
        <v>213</v>
      </c>
      <c r="E1196" t="s">
        <v>325</v>
      </c>
      <c r="F1196"/>
      <c r="G1196"/>
      <c r="H1196"/>
      <c r="I1196"/>
      <c r="J1196"/>
      <c r="K1196"/>
      <c r="L1196"/>
      <c r="M1196"/>
      <c r="N1196" t="s">
        <v>254</v>
      </c>
      <c r="O1196"/>
      <c r="P1196" t="s">
        <v>259</v>
      </c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</row>
    <row r="1197">
      <c r="A1197" t="s">
        <v>210</v>
      </c>
      <c r="B1197" t="s">
        <v>232</v>
      </c>
      <c r="C1197"/>
      <c r="D1197" t="s">
        <v>213</v>
      </c>
      <c r="E1197" t="s">
        <v>326</v>
      </c>
      <c r="F1197"/>
      <c r="G1197"/>
      <c r="H1197"/>
      <c r="I1197"/>
      <c r="J1197"/>
      <c r="K1197"/>
      <c r="L1197"/>
      <c r="M1197"/>
      <c r="N1197" t="s">
        <v>2334</v>
      </c>
      <c r="O1197"/>
      <c r="P1197" t="s">
        <v>2335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</row>
    <row r="1198">
      <c r="A1198" t="s">
        <v>210</v>
      </c>
      <c r="B1198" t="s">
        <v>232</v>
      </c>
      <c r="C1198"/>
      <c r="D1198" t="s">
        <v>213</v>
      </c>
      <c r="E1198" t="s">
        <v>329</v>
      </c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</row>
    <row r="1199">
      <c r="A1199" t="s">
        <v>210</v>
      </c>
      <c r="B1199" t="s">
        <v>232</v>
      </c>
      <c r="C1199"/>
      <c r="D1199" t="s">
        <v>213</v>
      </c>
      <c r="E1199" t="s">
        <v>330</v>
      </c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</row>
    <row r="1200">
      <c r="A1200" t="s">
        <v>210</v>
      </c>
      <c r="B1200" t="s">
        <v>232</v>
      </c>
      <c r="C1200"/>
      <c r="D1200" t="s">
        <v>213</v>
      </c>
      <c r="E1200" t="s">
        <v>331</v>
      </c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</row>
    <row r="1201">
      <c r="A1201" t="s">
        <v>210</v>
      </c>
      <c r="B1201" t="s">
        <v>232</v>
      </c>
      <c r="C1201"/>
      <c r="D1201" t="s">
        <v>213</v>
      </c>
      <c r="E1201" t="s">
        <v>332</v>
      </c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</row>
    <row r="1202">
      <c r="A1202" t="s">
        <v>210</v>
      </c>
      <c r="B1202" t="s">
        <v>232</v>
      </c>
      <c r="C1202"/>
      <c r="D1202" t="s">
        <v>213</v>
      </c>
      <c r="E1202" t="s">
        <v>333</v>
      </c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</row>
    <row r="1203">
      <c r="A1203" t="s">
        <v>210</v>
      </c>
      <c r="B1203" t="s">
        <v>232</v>
      </c>
      <c r="C1203"/>
      <c r="D1203" t="s">
        <v>213</v>
      </c>
      <c r="E1203" t="s">
        <v>334</v>
      </c>
      <c r="F1203"/>
      <c r="G1203"/>
      <c r="H1203"/>
      <c r="I1203"/>
      <c r="J1203"/>
      <c r="K1203"/>
      <c r="L1203" t="s">
        <v>335</v>
      </c>
      <c r="M1203" t="s">
        <v>335</v>
      </c>
      <c r="N1203" t="s">
        <v>335</v>
      </c>
      <c r="O1203" t="s">
        <v>335</v>
      </c>
      <c r="P1203" t="s">
        <v>335</v>
      </c>
      <c r="Q1203" t="s">
        <v>335</v>
      </c>
      <c r="R1203" t="s">
        <v>335</v>
      </c>
      <c r="S1203" t="s">
        <v>335</v>
      </c>
      <c r="T1203" t="s">
        <v>335</v>
      </c>
      <c r="U1203" t="s">
        <v>335</v>
      </c>
      <c r="V1203" t="s">
        <v>335</v>
      </c>
      <c r="W1203" t="s">
        <v>335</v>
      </c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</row>
    <row r="1204">
      <c r="A1204" t="s">
        <v>210</v>
      </c>
      <c r="B1204" t="s">
        <v>232</v>
      </c>
      <c r="C1204"/>
      <c r="D1204" t="s">
        <v>213</v>
      </c>
      <c r="E1204" t="s">
        <v>336</v>
      </c>
      <c r="F1204"/>
      <c r="G1204"/>
      <c r="H1204"/>
      <c r="I1204"/>
      <c r="J1204"/>
      <c r="K1204"/>
      <c r="L1204" t="s">
        <v>337</v>
      </c>
      <c r="M1204" t="s">
        <v>337</v>
      </c>
      <c r="N1204" t="s">
        <v>337</v>
      </c>
      <c r="O1204" t="s">
        <v>337</v>
      </c>
      <c r="P1204" t="s">
        <v>337</v>
      </c>
      <c r="Q1204" t="s">
        <v>337</v>
      </c>
      <c r="R1204" t="s">
        <v>337</v>
      </c>
      <c r="S1204" t="s">
        <v>337</v>
      </c>
      <c r="T1204" t="s">
        <v>337</v>
      </c>
      <c r="U1204" t="s">
        <v>337</v>
      </c>
      <c r="V1204" t="s">
        <v>337</v>
      </c>
      <c r="W1204" t="s">
        <v>337</v>
      </c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</row>
    <row r="1205">
      <c r="A1205" t="s">
        <v>210</v>
      </c>
      <c r="B1205" t="s">
        <v>232</v>
      </c>
      <c r="C1205"/>
      <c r="D1205" t="s">
        <v>213</v>
      </c>
      <c r="E1205" t="s">
        <v>338</v>
      </c>
      <c r="F1205"/>
      <c r="G1205"/>
      <c r="H1205"/>
      <c r="I1205"/>
      <c r="J1205"/>
      <c r="K1205"/>
      <c r="L1205" t="s">
        <v>337</v>
      </c>
      <c r="M1205" t="s">
        <v>337</v>
      </c>
      <c r="N1205" t="s">
        <v>337</v>
      </c>
      <c r="O1205" t="s">
        <v>337</v>
      </c>
      <c r="P1205" t="s">
        <v>337</v>
      </c>
      <c r="Q1205" t="s">
        <v>337</v>
      </c>
      <c r="R1205" t="s">
        <v>337</v>
      </c>
      <c r="S1205" t="s">
        <v>337</v>
      </c>
      <c r="T1205" t="s">
        <v>337</v>
      </c>
      <c r="U1205" t="s">
        <v>337</v>
      </c>
      <c r="V1205" t="s">
        <v>337</v>
      </c>
      <c r="W1205" t="s">
        <v>337</v>
      </c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</row>
    <row r="1206">
      <c r="A1206" t="s">
        <v>210</v>
      </c>
      <c r="B1206" t="s">
        <v>232</v>
      </c>
      <c r="C1206"/>
      <c r="D1206" t="s">
        <v>213</v>
      </c>
      <c r="E1206" t="s">
        <v>339</v>
      </c>
      <c r="F1206"/>
      <c r="G1206"/>
      <c r="H1206"/>
      <c r="I1206"/>
      <c r="J1206"/>
      <c r="K1206"/>
      <c r="L1206" t="s">
        <v>2336</v>
      </c>
      <c r="M1206" t="s">
        <v>360</v>
      </c>
      <c r="N1206" t="s">
        <v>2337</v>
      </c>
      <c r="O1206" t="s">
        <v>2338</v>
      </c>
      <c r="P1206" t="s">
        <v>2339</v>
      </c>
      <c r="Q1206" t="s">
        <v>2340</v>
      </c>
      <c r="R1206" t="s">
        <v>2341</v>
      </c>
      <c r="S1206" t="s">
        <v>2342</v>
      </c>
      <c r="T1206" t="s">
        <v>2343</v>
      </c>
      <c r="U1206" t="s">
        <v>2344</v>
      </c>
      <c r="V1206" t="s">
        <v>2345</v>
      </c>
      <c r="W1206" t="s">
        <v>2346</v>
      </c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</row>
    <row r="1207">
      <c r="A1207" t="s">
        <v>210</v>
      </c>
      <c r="B1207" t="s">
        <v>232</v>
      </c>
      <c r="C1207"/>
      <c r="D1207" t="s">
        <v>213</v>
      </c>
      <c r="E1207" t="s">
        <v>358</v>
      </c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</row>
    <row r="1208">
      <c r="A1208" t="s">
        <v>261</v>
      </c>
      <c r="B1208" t="s">
        <v>234</v>
      </c>
      <c r="C1208"/>
      <c r="D1208" t="s">
        <v>213</v>
      </c>
      <c r="E1208" t="s">
        <v>297</v>
      </c>
      <c r="F1208"/>
      <c r="G1208"/>
      <c r="H1208"/>
      <c r="I1208"/>
      <c r="J1208"/>
      <c r="K1208"/>
      <c r="L1208" t="s">
        <v>2347</v>
      </c>
      <c r="M1208" t="s">
        <v>2348</v>
      </c>
      <c r="N1208" t="s">
        <v>2349</v>
      </c>
      <c r="O1208" t="s">
        <v>2350</v>
      </c>
      <c r="P1208" t="s">
        <v>2351</v>
      </c>
      <c r="Q1208" t="s">
        <v>2352</v>
      </c>
      <c r="R1208" t="s">
        <v>2353</v>
      </c>
      <c r="S1208" t="s">
        <v>2354</v>
      </c>
      <c r="T1208" t="s">
        <v>2355</v>
      </c>
      <c r="U1208" t="s">
        <v>2356</v>
      </c>
      <c r="V1208" t="s">
        <v>2357</v>
      </c>
      <c r="W1208" t="s">
        <v>2358</v>
      </c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</row>
    <row r="1209">
      <c r="A1209" t="s">
        <v>261</v>
      </c>
      <c r="B1209" t="s">
        <v>234</v>
      </c>
      <c r="C1209"/>
      <c r="D1209" t="s">
        <v>213</v>
      </c>
      <c r="E1209" t="s">
        <v>316</v>
      </c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</row>
    <row r="1210">
      <c r="A1210" t="s">
        <v>261</v>
      </c>
      <c r="B1210" t="s">
        <v>234</v>
      </c>
      <c r="C1210"/>
      <c r="D1210" t="s">
        <v>213</v>
      </c>
      <c r="E1210" t="s">
        <v>317</v>
      </c>
      <c r="F1210"/>
      <c r="G1210"/>
      <c r="H1210"/>
      <c r="I1210"/>
      <c r="J1210"/>
      <c r="K1210"/>
      <c r="L1210" t="s">
        <v>2359</v>
      </c>
      <c r="M1210" t="s">
        <v>2359</v>
      </c>
      <c r="N1210" t="s">
        <v>2359</v>
      </c>
      <c r="O1210" t="s">
        <v>2359</v>
      </c>
      <c r="P1210" t="s">
        <v>2359</v>
      </c>
      <c r="Q1210" t="s">
        <v>2359</v>
      </c>
      <c r="R1210" t="s">
        <v>2359</v>
      </c>
      <c r="S1210" t="s">
        <v>2359</v>
      </c>
      <c r="T1210" t="s">
        <v>2359</v>
      </c>
      <c r="U1210" t="s">
        <v>2359</v>
      </c>
      <c r="V1210" t="s">
        <v>2359</v>
      </c>
      <c r="W1210" t="s">
        <v>2359</v>
      </c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</row>
    <row r="1211">
      <c r="A1211" t="s">
        <v>261</v>
      </c>
      <c r="B1211" t="s">
        <v>234</v>
      </c>
      <c r="C1211"/>
      <c r="D1211" t="s">
        <v>213</v>
      </c>
      <c r="E1211" t="s">
        <v>320</v>
      </c>
      <c r="F1211"/>
      <c r="G1211"/>
      <c r="H1211"/>
      <c r="I1211"/>
      <c r="J1211"/>
      <c r="K1211"/>
      <c r="L1211" t="s">
        <v>2348</v>
      </c>
      <c r="M1211" t="s">
        <v>2349</v>
      </c>
      <c r="N1211" t="s">
        <v>2350</v>
      </c>
      <c r="O1211" t="s">
        <v>2351</v>
      </c>
      <c r="P1211" t="s">
        <v>2352</v>
      </c>
      <c r="Q1211" t="s">
        <v>2353</v>
      </c>
      <c r="R1211" t="s">
        <v>2354</v>
      </c>
      <c r="S1211" t="s">
        <v>2355</v>
      </c>
      <c r="T1211" t="s">
        <v>2356</v>
      </c>
      <c r="U1211" t="s">
        <v>2357</v>
      </c>
      <c r="V1211" t="s">
        <v>2358</v>
      </c>
      <c r="W1211" t="s">
        <v>2360</v>
      </c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</row>
    <row r="1212">
      <c r="A1212" t="s">
        <v>261</v>
      </c>
      <c r="B1212" t="s">
        <v>234</v>
      </c>
      <c r="C1212"/>
      <c r="D1212" t="s">
        <v>213</v>
      </c>
      <c r="E1212" t="s">
        <v>323</v>
      </c>
      <c r="F1212"/>
      <c r="G1212"/>
      <c r="H1212"/>
      <c r="I1212"/>
      <c r="J1212"/>
      <c r="K1212"/>
      <c r="L1212"/>
      <c r="M1212" t="s">
        <v>236</v>
      </c>
      <c r="N1212"/>
      <c r="O1212"/>
      <c r="P1212"/>
      <c r="Q1212"/>
      <c r="R1212" t="s">
        <v>272</v>
      </c>
      <c r="S1212"/>
      <c r="T1212"/>
      <c r="U1212"/>
      <c r="V1212"/>
      <c r="W1212" t="s">
        <v>272</v>
      </c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</row>
    <row r="1213">
      <c r="A1213" t="s">
        <v>261</v>
      </c>
      <c r="B1213" t="s">
        <v>234</v>
      </c>
      <c r="C1213"/>
      <c r="D1213" t="s">
        <v>213</v>
      </c>
      <c r="E1213" t="s">
        <v>324</v>
      </c>
      <c r="F1213"/>
      <c r="G1213"/>
      <c r="H1213"/>
      <c r="I1213"/>
      <c r="J1213"/>
      <c r="K1213"/>
      <c r="L1213"/>
      <c r="M1213" t="s">
        <v>236</v>
      </c>
      <c r="N1213"/>
      <c r="O1213"/>
      <c r="P1213"/>
      <c r="Q1213"/>
      <c r="R1213" t="s">
        <v>272</v>
      </c>
      <c r="S1213"/>
      <c r="T1213"/>
      <c r="U1213"/>
      <c r="V1213"/>
      <c r="W1213" t="s">
        <v>272</v>
      </c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</row>
    <row r="1214">
      <c r="A1214" t="s">
        <v>261</v>
      </c>
      <c r="B1214" t="s">
        <v>234</v>
      </c>
      <c r="C1214"/>
      <c r="D1214" t="s">
        <v>213</v>
      </c>
      <c r="E1214" t="s">
        <v>325</v>
      </c>
      <c r="F1214"/>
      <c r="G1214"/>
      <c r="H1214"/>
      <c r="I1214"/>
      <c r="J1214"/>
      <c r="K1214"/>
      <c r="L1214"/>
      <c r="M1214" t="s">
        <v>269</v>
      </c>
      <c r="N1214"/>
      <c r="O1214"/>
      <c r="P1214"/>
      <c r="Q1214"/>
      <c r="R1214" t="s">
        <v>269</v>
      </c>
      <c r="S1214"/>
      <c r="T1214"/>
      <c r="U1214"/>
      <c r="V1214"/>
      <c r="W1214" t="s">
        <v>269</v>
      </c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</row>
    <row r="1215">
      <c r="A1215" t="s">
        <v>261</v>
      </c>
      <c r="B1215" t="s">
        <v>234</v>
      </c>
      <c r="C1215"/>
      <c r="D1215" t="s">
        <v>213</v>
      </c>
      <c r="E1215" t="s">
        <v>326</v>
      </c>
      <c r="F1215"/>
      <c r="G1215"/>
      <c r="H1215"/>
      <c r="I1215"/>
      <c r="J1215"/>
      <c r="K1215"/>
      <c r="L1215"/>
      <c r="M1215" t="s">
        <v>1883</v>
      </c>
      <c r="N1215"/>
      <c r="O1215"/>
      <c r="P1215"/>
      <c r="Q1215"/>
      <c r="R1215" t="s">
        <v>1884</v>
      </c>
      <c r="S1215"/>
      <c r="T1215"/>
      <c r="U1215"/>
      <c r="V1215"/>
      <c r="W1215" t="s">
        <v>1885</v>
      </c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</row>
    <row r="1216">
      <c r="A1216" t="s">
        <v>261</v>
      </c>
      <c r="B1216" t="s">
        <v>234</v>
      </c>
      <c r="C1216"/>
      <c r="D1216" t="s">
        <v>213</v>
      </c>
      <c r="E1216" t="s">
        <v>329</v>
      </c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</row>
    <row r="1217">
      <c r="A1217" t="s">
        <v>261</v>
      </c>
      <c r="B1217" t="s">
        <v>234</v>
      </c>
      <c r="C1217"/>
      <c r="D1217" t="s">
        <v>213</v>
      </c>
      <c r="E1217" t="s">
        <v>330</v>
      </c>
      <c r="F1217"/>
      <c r="G1217"/>
      <c r="H1217"/>
      <c r="I1217"/>
      <c r="J1217"/>
      <c r="K1217"/>
      <c r="L1217"/>
      <c r="M1217" t="s">
        <v>1886</v>
      </c>
      <c r="N1217"/>
      <c r="O1217"/>
      <c r="P1217"/>
      <c r="Q1217"/>
      <c r="R1217" t="s">
        <v>1887</v>
      </c>
      <c r="S1217"/>
      <c r="T1217"/>
      <c r="U1217"/>
      <c r="V1217"/>
      <c r="W1217" t="s">
        <v>1888</v>
      </c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</row>
    <row r="1218">
      <c r="A1218" t="s">
        <v>261</v>
      </c>
      <c r="B1218" t="s">
        <v>234</v>
      </c>
      <c r="C1218"/>
      <c r="D1218" t="s">
        <v>213</v>
      </c>
      <c r="E1218" t="s">
        <v>331</v>
      </c>
      <c r="F1218"/>
      <c r="G1218"/>
      <c r="H1218"/>
      <c r="I1218"/>
      <c r="J1218"/>
      <c r="K1218"/>
      <c r="L1218"/>
      <c r="M1218" t="s">
        <v>270</v>
      </c>
      <c r="N1218"/>
      <c r="O1218"/>
      <c r="P1218"/>
      <c r="Q1218"/>
      <c r="R1218" t="s">
        <v>282</v>
      </c>
      <c r="S1218"/>
      <c r="T1218"/>
      <c r="U1218"/>
      <c r="V1218"/>
      <c r="W1218" t="s">
        <v>286</v>
      </c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</row>
    <row r="1219">
      <c r="A1219" t="s">
        <v>261</v>
      </c>
      <c r="B1219" t="s">
        <v>234</v>
      </c>
      <c r="C1219"/>
      <c r="D1219" t="s">
        <v>213</v>
      </c>
      <c r="E1219" t="s">
        <v>332</v>
      </c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</row>
    <row r="1220">
      <c r="A1220" t="s">
        <v>261</v>
      </c>
      <c r="B1220" t="s">
        <v>234</v>
      </c>
      <c r="C1220"/>
      <c r="D1220" t="s">
        <v>213</v>
      </c>
      <c r="E1220" t="s">
        <v>333</v>
      </c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</row>
    <row r="1221">
      <c r="A1221" t="s">
        <v>261</v>
      </c>
      <c r="B1221" t="s">
        <v>234</v>
      </c>
      <c r="C1221"/>
      <c r="D1221" t="s">
        <v>213</v>
      </c>
      <c r="E1221" t="s">
        <v>334</v>
      </c>
      <c r="F1221"/>
      <c r="G1221"/>
      <c r="H1221"/>
      <c r="I1221"/>
      <c r="J1221"/>
      <c r="K1221"/>
      <c r="L1221" t="s">
        <v>416</v>
      </c>
      <c r="M1221" t="s">
        <v>416</v>
      </c>
      <c r="N1221" t="s">
        <v>416</v>
      </c>
      <c r="O1221" t="s">
        <v>416</v>
      </c>
      <c r="P1221" t="s">
        <v>416</v>
      </c>
      <c r="Q1221" t="s">
        <v>416</v>
      </c>
      <c r="R1221" t="s">
        <v>416</v>
      </c>
      <c r="S1221" t="s">
        <v>416</v>
      </c>
      <c r="T1221" t="s">
        <v>416</v>
      </c>
      <c r="U1221" t="s">
        <v>416</v>
      </c>
      <c r="V1221" t="s">
        <v>416</v>
      </c>
      <c r="W1221" t="s">
        <v>416</v>
      </c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</row>
    <row r="1222">
      <c r="A1222" t="s">
        <v>261</v>
      </c>
      <c r="B1222" t="s">
        <v>234</v>
      </c>
      <c r="C1222"/>
      <c r="D1222" t="s">
        <v>213</v>
      </c>
      <c r="E1222" t="s">
        <v>336</v>
      </c>
      <c r="F1222"/>
      <c r="G1222"/>
      <c r="H1222"/>
      <c r="I1222"/>
      <c r="J1222"/>
      <c r="K1222"/>
      <c r="L1222" t="s">
        <v>1093</v>
      </c>
      <c r="M1222" t="s">
        <v>1093</v>
      </c>
      <c r="N1222" t="s">
        <v>1093</v>
      </c>
      <c r="O1222" t="s">
        <v>1093</v>
      </c>
      <c r="P1222" t="s">
        <v>1093</v>
      </c>
      <c r="Q1222" t="s">
        <v>1093</v>
      </c>
      <c r="R1222" t="s">
        <v>1093</v>
      </c>
      <c r="S1222" t="s">
        <v>1093</v>
      </c>
      <c r="T1222" t="s">
        <v>1093</v>
      </c>
      <c r="U1222" t="s">
        <v>1093</v>
      </c>
      <c r="V1222" t="s">
        <v>1093</v>
      </c>
      <c r="W1222" t="s">
        <v>1093</v>
      </c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</row>
    <row r="1223">
      <c r="A1223" t="s">
        <v>261</v>
      </c>
      <c r="B1223" t="s">
        <v>234</v>
      </c>
      <c r="C1223"/>
      <c r="D1223" t="s">
        <v>213</v>
      </c>
      <c r="E1223" t="s">
        <v>338</v>
      </c>
      <c r="F1223"/>
      <c r="G1223"/>
      <c r="H1223"/>
      <c r="I1223"/>
      <c r="J1223"/>
      <c r="K1223"/>
      <c r="L1223" t="s">
        <v>1889</v>
      </c>
      <c r="M1223" t="s">
        <v>1889</v>
      </c>
      <c r="N1223" t="s">
        <v>1889</v>
      </c>
      <c r="O1223" t="s">
        <v>1889</v>
      </c>
      <c r="P1223" t="s">
        <v>1889</v>
      </c>
      <c r="Q1223" t="s">
        <v>1889</v>
      </c>
      <c r="R1223" t="s">
        <v>1889</v>
      </c>
      <c r="S1223" t="s">
        <v>1889</v>
      </c>
      <c r="T1223" t="s">
        <v>1889</v>
      </c>
      <c r="U1223" t="s">
        <v>1889</v>
      </c>
      <c r="V1223" t="s">
        <v>1889</v>
      </c>
      <c r="W1223" t="s">
        <v>1889</v>
      </c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</row>
    <row r="1224">
      <c r="A1224" t="s">
        <v>261</v>
      </c>
      <c r="B1224" t="s">
        <v>234</v>
      </c>
      <c r="C1224"/>
      <c r="D1224" t="s">
        <v>213</v>
      </c>
      <c r="E1224" t="s">
        <v>339</v>
      </c>
      <c r="F1224"/>
      <c r="G1224"/>
      <c r="H1224"/>
      <c r="I1224"/>
      <c r="J1224"/>
      <c r="K1224"/>
      <c r="L1224" t="s">
        <v>2361</v>
      </c>
      <c r="M1224" t="s">
        <v>2362</v>
      </c>
      <c r="N1224" t="s">
        <v>2363</v>
      </c>
      <c r="O1224" t="s">
        <v>2364</v>
      </c>
      <c r="P1224" t="s">
        <v>2365</v>
      </c>
      <c r="Q1224" t="s">
        <v>2366</v>
      </c>
      <c r="R1224" t="s">
        <v>2367</v>
      </c>
      <c r="S1224" t="s">
        <v>2368</v>
      </c>
      <c r="T1224" t="s">
        <v>2369</v>
      </c>
      <c r="U1224" t="s">
        <v>2370</v>
      </c>
      <c r="V1224" t="s">
        <v>2371</v>
      </c>
      <c r="W1224" t="s">
        <v>2372</v>
      </c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</row>
    <row r="1225">
      <c r="A1225" t="s">
        <v>261</v>
      </c>
      <c r="B1225" t="s">
        <v>234</v>
      </c>
      <c r="C1225"/>
      <c r="D1225" t="s">
        <v>213</v>
      </c>
      <c r="E1225" t="s">
        <v>358</v>
      </c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</row>
    <row r="1226">
      <c r="A1226" t="s">
        <v>210</v>
      </c>
      <c r="B1226" t="s">
        <v>268</v>
      </c>
      <c r="C1226" t="s">
        <v>212</v>
      </c>
      <c r="D1226" t="s">
        <v>213</v>
      </c>
      <c r="E1226" t="s">
        <v>297</v>
      </c>
      <c r="F1226"/>
      <c r="G1226"/>
      <c r="H1226"/>
      <c r="I1226"/>
      <c r="J1226"/>
      <c r="K1226"/>
      <c r="L1226" t="s">
        <v>2373</v>
      </c>
      <c r="M1226" t="s">
        <v>2374</v>
      </c>
      <c r="N1226" t="s">
        <v>2375</v>
      </c>
      <c r="O1226" t="s">
        <v>2376</v>
      </c>
      <c r="P1226" t="s">
        <v>2377</v>
      </c>
      <c r="Q1226" t="s">
        <v>2378</v>
      </c>
      <c r="R1226" t="s">
        <v>2379</v>
      </c>
      <c r="S1226" t="s">
        <v>2380</v>
      </c>
      <c r="T1226" t="s">
        <v>2381</v>
      </c>
      <c r="U1226" t="s">
        <v>2382</v>
      </c>
      <c r="V1226" t="s">
        <v>2383</v>
      </c>
      <c r="W1226" t="s">
        <v>2384</v>
      </c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</row>
    <row r="1227">
      <c r="A1227" t="s">
        <v>210</v>
      </c>
      <c r="B1227" t="s">
        <v>268</v>
      </c>
      <c r="C1227" t="s">
        <v>212</v>
      </c>
      <c r="D1227" t="s">
        <v>213</v>
      </c>
      <c r="E1227" t="s">
        <v>316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</row>
    <row r="1228">
      <c r="A1228" t="s">
        <v>210</v>
      </c>
      <c r="B1228" t="s">
        <v>268</v>
      </c>
      <c r="C1228" t="s">
        <v>212</v>
      </c>
      <c r="D1228" t="s">
        <v>213</v>
      </c>
      <c r="E1228" t="s">
        <v>317</v>
      </c>
      <c r="F1228"/>
      <c r="G1228"/>
      <c r="H1228"/>
      <c r="I1228"/>
      <c r="J1228"/>
      <c r="K1228"/>
      <c r="L1228" t="s">
        <v>2385</v>
      </c>
      <c r="M1228" t="s">
        <v>2385</v>
      </c>
      <c r="N1228" t="s">
        <v>2385</v>
      </c>
      <c r="O1228" t="s">
        <v>2385</v>
      </c>
      <c r="P1228" t="s">
        <v>2385</v>
      </c>
      <c r="Q1228" t="s">
        <v>2385</v>
      </c>
      <c r="R1228" t="s">
        <v>2385</v>
      </c>
      <c r="S1228" t="s">
        <v>2385</v>
      </c>
      <c r="T1228" t="s">
        <v>2385</v>
      </c>
      <c r="U1228" t="s">
        <v>2385</v>
      </c>
      <c r="V1228" t="s">
        <v>2385</v>
      </c>
      <c r="W1228" t="s">
        <v>2385</v>
      </c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</row>
    <row r="1229">
      <c r="A1229" t="s">
        <v>210</v>
      </c>
      <c r="B1229" t="s">
        <v>268</v>
      </c>
      <c r="C1229" t="s">
        <v>212</v>
      </c>
      <c r="D1229" t="s">
        <v>213</v>
      </c>
      <c r="E1229" t="s">
        <v>320</v>
      </c>
      <c r="F1229"/>
      <c r="G1229"/>
      <c r="H1229"/>
      <c r="I1229"/>
      <c r="J1229"/>
      <c r="K1229"/>
      <c r="L1229" t="s">
        <v>2374</v>
      </c>
      <c r="M1229" t="s">
        <v>2375</v>
      </c>
      <c r="N1229" t="s">
        <v>2376</v>
      </c>
      <c r="O1229" t="s">
        <v>2377</v>
      </c>
      <c r="P1229" t="s">
        <v>2378</v>
      </c>
      <c r="Q1229" t="s">
        <v>2379</v>
      </c>
      <c r="R1229" t="s">
        <v>2380</v>
      </c>
      <c r="S1229" t="s">
        <v>2381</v>
      </c>
      <c r="T1229" t="s">
        <v>2382</v>
      </c>
      <c r="U1229" t="s">
        <v>2383</v>
      </c>
      <c r="V1229" t="s">
        <v>2384</v>
      </c>
      <c r="W1229" t="s">
        <v>2386</v>
      </c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</row>
    <row r="1230">
      <c r="A1230" t="s">
        <v>210</v>
      </c>
      <c r="B1230" t="s">
        <v>268</v>
      </c>
      <c r="C1230" t="s">
        <v>212</v>
      </c>
      <c r="D1230" t="s">
        <v>213</v>
      </c>
      <c r="E1230" t="s">
        <v>323</v>
      </c>
      <c r="F1230"/>
      <c r="G1230"/>
      <c r="H1230"/>
      <c r="I1230"/>
      <c r="J1230"/>
      <c r="K1230"/>
      <c r="L1230"/>
      <c r="M1230" t="s">
        <v>236</v>
      </c>
      <c r="N1230"/>
      <c r="O1230"/>
      <c r="P1230"/>
      <c r="Q1230"/>
      <c r="R1230" t="s">
        <v>266</v>
      </c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</row>
    <row r="1231">
      <c r="A1231" t="s">
        <v>210</v>
      </c>
      <c r="B1231" t="s">
        <v>268</v>
      </c>
      <c r="C1231" t="s">
        <v>212</v>
      </c>
      <c r="D1231" t="s">
        <v>213</v>
      </c>
      <c r="E1231" t="s">
        <v>324</v>
      </c>
      <c r="F1231"/>
      <c r="G1231"/>
      <c r="H1231"/>
      <c r="I1231"/>
      <c r="J1231"/>
      <c r="K1231"/>
      <c r="L1231"/>
      <c r="M1231" t="s">
        <v>236</v>
      </c>
      <c r="N1231"/>
      <c r="O1231"/>
      <c r="P1231"/>
      <c r="Q1231"/>
      <c r="R1231" t="s">
        <v>266</v>
      </c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</row>
    <row r="1232">
      <c r="A1232" t="s">
        <v>210</v>
      </c>
      <c r="B1232" t="s">
        <v>268</v>
      </c>
      <c r="C1232" t="s">
        <v>212</v>
      </c>
      <c r="D1232" t="s">
        <v>213</v>
      </c>
      <c r="E1232" t="s">
        <v>325</v>
      </c>
      <c r="F1232"/>
      <c r="G1232"/>
      <c r="H1232"/>
      <c r="I1232"/>
      <c r="J1232"/>
      <c r="K1232"/>
      <c r="L1232"/>
      <c r="M1232" t="s">
        <v>254</v>
      </c>
      <c r="N1232"/>
      <c r="O1232"/>
      <c r="P1232"/>
      <c r="Q1232"/>
      <c r="R1232" t="s">
        <v>259</v>
      </c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</row>
    <row r="1233">
      <c r="A1233" t="s">
        <v>210</v>
      </c>
      <c r="B1233" t="s">
        <v>268</v>
      </c>
      <c r="C1233" t="s">
        <v>212</v>
      </c>
      <c r="D1233" t="s">
        <v>213</v>
      </c>
      <c r="E1233" t="s">
        <v>326</v>
      </c>
      <c r="F1233"/>
      <c r="G1233"/>
      <c r="H1233"/>
      <c r="I1233"/>
      <c r="J1233"/>
      <c r="K1233"/>
      <c r="L1233"/>
      <c r="M1233" t="s">
        <v>2387</v>
      </c>
      <c r="N1233"/>
      <c r="O1233"/>
      <c r="P1233"/>
      <c r="Q1233"/>
      <c r="R1233" t="s">
        <v>2388</v>
      </c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</row>
    <row r="1234">
      <c r="A1234" t="s">
        <v>210</v>
      </c>
      <c r="B1234" t="s">
        <v>268</v>
      </c>
      <c r="C1234" t="s">
        <v>212</v>
      </c>
      <c r="D1234" t="s">
        <v>213</v>
      </c>
      <c r="E1234" t="s">
        <v>329</v>
      </c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</row>
    <row r="1235">
      <c r="A1235" t="s">
        <v>210</v>
      </c>
      <c r="B1235" t="s">
        <v>268</v>
      </c>
      <c r="C1235" t="s">
        <v>212</v>
      </c>
      <c r="D1235" t="s">
        <v>213</v>
      </c>
      <c r="E1235" t="s">
        <v>330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 t="n">
        <v>219174</v>
      </c>
      <c r="AE1235" t="n">
        <v>208174</v>
      </c>
      <c r="AF1235" t="n">
        <v>197174</v>
      </c>
      <c r="AG1235" t="n">
        <v>186174</v>
      </c>
      <c r="AH1235" t="n">
        <v>175174</v>
      </c>
      <c r="AI1235"/>
      <c r="AJ1235"/>
      <c r="AK1235"/>
      <c r="AL1235"/>
    </row>
    <row r="1236">
      <c r="A1236" t="s">
        <v>210</v>
      </c>
      <c r="B1236" t="s">
        <v>268</v>
      </c>
      <c r="C1236" t="s">
        <v>212</v>
      </c>
      <c r="D1236" t="s">
        <v>213</v>
      </c>
      <c r="E1236" t="s">
        <v>331</v>
      </c>
      <c r="F1236"/>
      <c r="G1236"/>
      <c r="H1236"/>
      <c r="I1236"/>
      <c r="J1236"/>
      <c r="K1236"/>
      <c r="L1236"/>
      <c r="M1236" t="s">
        <v>275</v>
      </c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</row>
    <row r="1237">
      <c r="A1237" t="s">
        <v>210</v>
      </c>
      <c r="B1237" t="s">
        <v>268</v>
      </c>
      <c r="C1237" t="s">
        <v>212</v>
      </c>
      <c r="D1237" t="s">
        <v>213</v>
      </c>
      <c r="E1237" t="s">
        <v>332</v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 t="n">
        <v>11000</v>
      </c>
      <c r="AE1237" t="n">
        <v>11000</v>
      </c>
      <c r="AF1237" t="n">
        <v>11000</v>
      </c>
      <c r="AG1237" t="n">
        <v>11000</v>
      </c>
      <c r="AH1237" t="n">
        <v>11000</v>
      </c>
      <c r="AI1237"/>
      <c r="AJ1237"/>
      <c r="AK1237"/>
      <c r="AL1237"/>
    </row>
    <row r="1238">
      <c r="A1238" t="s">
        <v>210</v>
      </c>
      <c r="B1238" t="s">
        <v>268</v>
      </c>
      <c r="C1238" t="s">
        <v>212</v>
      </c>
      <c r="D1238" t="s">
        <v>213</v>
      </c>
      <c r="E1238" t="s">
        <v>333</v>
      </c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208174</v>
      </c>
      <c r="AE1238" t="n">
        <v>197174</v>
      </c>
      <c r="AF1238" t="n">
        <v>186174</v>
      </c>
      <c r="AG1238" t="n">
        <v>175174</v>
      </c>
      <c r="AH1238" t="n">
        <v>164174</v>
      </c>
      <c r="AI1238"/>
      <c r="AJ1238"/>
      <c r="AK1238"/>
      <c r="AL1238"/>
    </row>
    <row r="1239">
      <c r="A1239" t="s">
        <v>210</v>
      </c>
      <c r="B1239" t="s">
        <v>268</v>
      </c>
      <c r="C1239" t="s">
        <v>212</v>
      </c>
      <c r="D1239" t="s">
        <v>213</v>
      </c>
      <c r="E1239" t="s">
        <v>334</v>
      </c>
      <c r="F1239"/>
      <c r="G1239"/>
      <c r="H1239"/>
      <c r="I1239"/>
      <c r="J1239"/>
      <c r="K1239"/>
      <c r="L1239" t="s">
        <v>335</v>
      </c>
      <c r="M1239" t="s">
        <v>335</v>
      </c>
      <c r="N1239" t="s">
        <v>335</v>
      </c>
      <c r="O1239" t="s">
        <v>335</v>
      </c>
      <c r="P1239" t="s">
        <v>335</v>
      </c>
      <c r="Q1239" t="s">
        <v>335</v>
      </c>
      <c r="R1239" t="s">
        <v>335</v>
      </c>
      <c r="S1239" t="s">
        <v>335</v>
      </c>
      <c r="T1239" t="s">
        <v>335</v>
      </c>
      <c r="U1239" t="s">
        <v>335</v>
      </c>
      <c r="V1239" t="s">
        <v>335</v>
      </c>
      <c r="W1239" t="s">
        <v>335</v>
      </c>
      <c r="X1239"/>
      <c r="Y1239"/>
      <c r="Z1239"/>
      <c r="AA1239"/>
      <c r="AB1239"/>
      <c r="AC1239"/>
      <c r="AD1239" t="n">
        <v>3</v>
      </c>
      <c r="AE1239" t="n">
        <v>3</v>
      </c>
      <c r="AF1239" t="n">
        <v>3</v>
      </c>
      <c r="AG1239" t="n">
        <v>3</v>
      </c>
      <c r="AH1239" t="n">
        <v>3</v>
      </c>
      <c r="AI1239"/>
      <c r="AJ1239"/>
      <c r="AK1239"/>
      <c r="AL1239"/>
    </row>
    <row r="1240">
      <c r="A1240" t="s">
        <v>210</v>
      </c>
      <c r="B1240" t="s">
        <v>268</v>
      </c>
      <c r="C1240" t="s">
        <v>212</v>
      </c>
      <c r="D1240" t="s">
        <v>213</v>
      </c>
      <c r="E1240" t="s">
        <v>336</v>
      </c>
      <c r="F1240"/>
      <c r="G1240"/>
      <c r="H1240"/>
      <c r="I1240"/>
      <c r="J1240"/>
      <c r="K1240"/>
      <c r="L1240" t="s">
        <v>337</v>
      </c>
      <c r="M1240" t="s">
        <v>337</v>
      </c>
      <c r="N1240" t="s">
        <v>337</v>
      </c>
      <c r="O1240" t="s">
        <v>337</v>
      </c>
      <c r="P1240" t="s">
        <v>337</v>
      </c>
      <c r="Q1240" t="s">
        <v>337</v>
      </c>
      <c r="R1240" t="s">
        <v>337</v>
      </c>
      <c r="S1240" t="s">
        <v>337</v>
      </c>
      <c r="T1240" t="s">
        <v>337</v>
      </c>
      <c r="U1240" t="s">
        <v>337</v>
      </c>
      <c r="V1240" t="s">
        <v>337</v>
      </c>
      <c r="W1240" t="s">
        <v>337</v>
      </c>
      <c r="X1240"/>
      <c r="Y1240"/>
      <c r="Z1240"/>
      <c r="AA1240"/>
      <c r="AB1240"/>
      <c r="AC1240"/>
      <c r="AD1240" t="n">
        <v>6</v>
      </c>
      <c r="AE1240" t="n">
        <v>6</v>
      </c>
      <c r="AF1240" t="n">
        <v>6</v>
      </c>
      <c r="AG1240" t="n">
        <v>6</v>
      </c>
      <c r="AH1240" t="n">
        <v>6</v>
      </c>
      <c r="AI1240"/>
      <c r="AJ1240"/>
      <c r="AK1240"/>
      <c r="AL1240"/>
    </row>
    <row r="1241">
      <c r="A1241" t="s">
        <v>210</v>
      </c>
      <c r="B1241" t="s">
        <v>268</v>
      </c>
      <c r="C1241" t="s">
        <v>212</v>
      </c>
      <c r="D1241" t="s">
        <v>213</v>
      </c>
      <c r="E1241" t="s">
        <v>338</v>
      </c>
      <c r="F1241"/>
      <c r="G1241"/>
      <c r="H1241"/>
      <c r="I1241"/>
      <c r="J1241"/>
      <c r="K1241"/>
      <c r="L1241" t="s">
        <v>337</v>
      </c>
      <c r="M1241" t="s">
        <v>337</v>
      </c>
      <c r="N1241" t="s">
        <v>337</v>
      </c>
      <c r="O1241" t="s">
        <v>337</v>
      </c>
      <c r="P1241" t="s">
        <v>337</v>
      </c>
      <c r="Q1241" t="s">
        <v>337</v>
      </c>
      <c r="R1241" t="s">
        <v>337</v>
      </c>
      <c r="S1241" t="s">
        <v>337</v>
      </c>
      <c r="T1241" t="s">
        <v>337</v>
      </c>
      <c r="U1241" t="s">
        <v>337</v>
      </c>
      <c r="V1241" t="s">
        <v>337</v>
      </c>
      <c r="W1241" t="s">
        <v>337</v>
      </c>
      <c r="X1241"/>
      <c r="Y1241"/>
      <c r="Z1241"/>
      <c r="AA1241"/>
      <c r="AB1241"/>
      <c r="AC1241"/>
      <c r="AD1241" t="n">
        <v>6</v>
      </c>
      <c r="AE1241" t="n">
        <v>6</v>
      </c>
      <c r="AF1241" t="n">
        <v>6</v>
      </c>
      <c r="AG1241" t="n">
        <v>6</v>
      </c>
      <c r="AH1241" t="n">
        <v>6</v>
      </c>
      <c r="AI1241"/>
      <c r="AJ1241"/>
      <c r="AK1241"/>
      <c r="AL1241"/>
    </row>
    <row r="1242">
      <c r="A1242" t="s">
        <v>210</v>
      </c>
      <c r="B1242" t="s">
        <v>268</v>
      </c>
      <c r="C1242" t="s">
        <v>212</v>
      </c>
      <c r="D1242" t="s">
        <v>213</v>
      </c>
      <c r="E1242" t="s">
        <v>339</v>
      </c>
      <c r="F1242"/>
      <c r="G1242"/>
      <c r="H1242"/>
      <c r="I1242"/>
      <c r="J1242"/>
      <c r="K1242"/>
      <c r="L1242" t="s">
        <v>2389</v>
      </c>
      <c r="M1242" t="s">
        <v>2390</v>
      </c>
      <c r="N1242" t="s">
        <v>2391</v>
      </c>
      <c r="O1242" t="s">
        <v>2392</v>
      </c>
      <c r="P1242" t="s">
        <v>2393</v>
      </c>
      <c r="Q1242" t="s">
        <v>2394</v>
      </c>
      <c r="R1242" t="s">
        <v>2395</v>
      </c>
      <c r="S1242" t="s">
        <v>2396</v>
      </c>
      <c r="T1242" t="s">
        <v>2397</v>
      </c>
      <c r="U1242" t="s">
        <v>2398</v>
      </c>
      <c r="V1242" t="s">
        <v>2399</v>
      </c>
      <c r="W1242" t="s">
        <v>2400</v>
      </c>
      <c r="X1242"/>
      <c r="Y1242"/>
      <c r="Z1242"/>
      <c r="AA1242"/>
      <c r="AB1242"/>
      <c r="AC1242"/>
      <c r="AD1242" t="n">
        <v>18.9249090909091</v>
      </c>
      <c r="AE1242" t="n">
        <v>17.9249090909091</v>
      </c>
      <c r="AF1242" t="n">
        <v>16.9249090909091</v>
      </c>
      <c r="AG1242" t="n">
        <v>15.9249090909091</v>
      </c>
      <c r="AH1242" t="n">
        <v>14.9249090909091</v>
      </c>
      <c r="AI1242"/>
      <c r="AJ1242"/>
      <c r="AK1242"/>
      <c r="AL1242"/>
    </row>
    <row r="1243">
      <c r="A1243" t="s">
        <v>210</v>
      </c>
      <c r="B1243" t="s">
        <v>268</v>
      </c>
      <c r="C1243" t="s">
        <v>212</v>
      </c>
      <c r="D1243" t="s">
        <v>213</v>
      </c>
      <c r="E1243" t="s">
        <v>358</v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</row>
    <row r="1244">
      <c r="A1244" t="s">
        <v>233</v>
      </c>
      <c r="B1244" t="s">
        <v>211</v>
      </c>
      <c r="C1244" t="s">
        <v>212</v>
      </c>
      <c r="D1244" t="s">
        <v>213</v>
      </c>
      <c r="E1244" t="s">
        <v>297</v>
      </c>
      <c r="F1244"/>
      <c r="G1244"/>
      <c r="H1244"/>
      <c r="I1244"/>
      <c r="J1244"/>
      <c r="K1244"/>
      <c r="L1244"/>
      <c r="M1244" t="s">
        <v>2401</v>
      </c>
      <c r="N1244" t="s">
        <v>2402</v>
      </c>
      <c r="O1244" t="s">
        <v>2403</v>
      </c>
      <c r="P1244" t="s">
        <v>2404</v>
      </c>
      <c r="Q1244" t="s">
        <v>2405</v>
      </c>
      <c r="R1244" t="s">
        <v>360</v>
      </c>
      <c r="S1244" t="s">
        <v>2406</v>
      </c>
      <c r="T1244" t="s">
        <v>2407</v>
      </c>
      <c r="U1244" t="s">
        <v>2408</v>
      </c>
      <c r="V1244" t="s">
        <v>2409</v>
      </c>
      <c r="W1244" t="s">
        <v>2410</v>
      </c>
      <c r="X1244" t="s">
        <v>2411</v>
      </c>
      <c r="Y1244" t="s">
        <v>2412</v>
      </c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</row>
    <row r="1245">
      <c r="A1245" t="s">
        <v>233</v>
      </c>
      <c r="B1245" t="s">
        <v>211</v>
      </c>
      <c r="C1245" t="s">
        <v>212</v>
      </c>
      <c r="D1245" t="s">
        <v>213</v>
      </c>
      <c r="E1245" t="s">
        <v>316</v>
      </c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</row>
    <row r="1246">
      <c r="A1246" t="s">
        <v>233</v>
      </c>
      <c r="B1246" t="s">
        <v>211</v>
      </c>
      <c r="C1246" t="s">
        <v>212</v>
      </c>
      <c r="D1246" t="s">
        <v>213</v>
      </c>
      <c r="E1246" t="s">
        <v>317</v>
      </c>
      <c r="F1246"/>
      <c r="G1246"/>
      <c r="H1246"/>
      <c r="I1246"/>
      <c r="J1246"/>
      <c r="K1246"/>
      <c r="L1246"/>
      <c r="M1246" t="s">
        <v>2413</v>
      </c>
      <c r="N1246" t="s">
        <v>2413</v>
      </c>
      <c r="O1246" t="s">
        <v>2413</v>
      </c>
      <c r="P1246" t="s">
        <v>2413</v>
      </c>
      <c r="Q1246" t="s">
        <v>2413</v>
      </c>
      <c r="R1246" t="s">
        <v>2413</v>
      </c>
      <c r="S1246" t="s">
        <v>2413</v>
      </c>
      <c r="T1246" t="s">
        <v>2413</v>
      </c>
      <c r="U1246" t="s">
        <v>2413</v>
      </c>
      <c r="V1246" t="s">
        <v>2413</v>
      </c>
      <c r="W1246" t="s">
        <v>2413</v>
      </c>
      <c r="X1246" t="s">
        <v>2413</v>
      </c>
      <c r="Y1246" t="s">
        <v>2413</v>
      </c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</row>
    <row r="1247">
      <c r="A1247" t="s">
        <v>233</v>
      </c>
      <c r="B1247" t="s">
        <v>211</v>
      </c>
      <c r="C1247" t="s">
        <v>212</v>
      </c>
      <c r="D1247" t="s">
        <v>213</v>
      </c>
      <c r="E1247" t="s">
        <v>320</v>
      </c>
      <c r="F1247"/>
      <c r="G1247"/>
      <c r="H1247"/>
      <c r="I1247"/>
      <c r="J1247"/>
      <c r="K1247"/>
      <c r="L1247"/>
      <c r="M1247" t="s">
        <v>2402</v>
      </c>
      <c r="N1247" t="s">
        <v>2403</v>
      </c>
      <c r="O1247" t="s">
        <v>2404</v>
      </c>
      <c r="P1247" t="s">
        <v>2405</v>
      </c>
      <c r="Q1247" t="s">
        <v>360</v>
      </c>
      <c r="R1247" t="s">
        <v>2406</v>
      </c>
      <c r="S1247" t="s">
        <v>2407</v>
      </c>
      <c r="T1247" t="s">
        <v>2408</v>
      </c>
      <c r="U1247" t="s">
        <v>2409</v>
      </c>
      <c r="V1247" t="s">
        <v>2410</v>
      </c>
      <c r="W1247" t="s">
        <v>2411</v>
      </c>
      <c r="X1247" t="s">
        <v>2412</v>
      </c>
      <c r="Y1247" t="s">
        <v>2414</v>
      </c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</row>
    <row r="1248">
      <c r="A1248" t="s">
        <v>233</v>
      </c>
      <c r="B1248" t="s">
        <v>211</v>
      </c>
      <c r="C1248" t="s">
        <v>212</v>
      </c>
      <c r="D1248" t="s">
        <v>213</v>
      </c>
      <c r="E1248" t="s">
        <v>323</v>
      </c>
      <c r="F1248"/>
      <c r="G1248"/>
      <c r="H1248"/>
      <c r="I1248"/>
      <c r="J1248"/>
      <c r="K1248"/>
      <c r="L1248"/>
      <c r="M1248" t="s">
        <v>236</v>
      </c>
      <c r="N1248" t="s">
        <v>236</v>
      </c>
      <c r="O1248" t="s">
        <v>236</v>
      </c>
      <c r="P1248"/>
      <c r="Q1248"/>
      <c r="R1248" t="s">
        <v>272</v>
      </c>
      <c r="S1248"/>
      <c r="T1248"/>
      <c r="U1248" t="s">
        <v>272</v>
      </c>
      <c r="V1248"/>
      <c r="W1248"/>
      <c r="X1248" t="s">
        <v>272</v>
      </c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</row>
    <row r="1249">
      <c r="A1249" t="s">
        <v>233</v>
      </c>
      <c r="B1249" t="s">
        <v>211</v>
      </c>
      <c r="C1249" t="s">
        <v>212</v>
      </c>
      <c r="D1249" t="s">
        <v>213</v>
      </c>
      <c r="E1249" t="s">
        <v>324</v>
      </c>
      <c r="F1249"/>
      <c r="G1249"/>
      <c r="H1249"/>
      <c r="I1249"/>
      <c r="J1249"/>
      <c r="K1249"/>
      <c r="L1249"/>
      <c r="M1249" t="s">
        <v>236</v>
      </c>
      <c r="N1249" t="s">
        <v>236</v>
      </c>
      <c r="O1249" t="s">
        <v>236</v>
      </c>
      <c r="P1249"/>
      <c r="Q1249"/>
      <c r="R1249" t="s">
        <v>272</v>
      </c>
      <c r="S1249"/>
      <c r="T1249"/>
      <c r="U1249" t="s">
        <v>272</v>
      </c>
      <c r="V1249"/>
      <c r="W1249"/>
      <c r="X1249" t="s">
        <v>272</v>
      </c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</row>
    <row r="1250">
      <c r="A1250" t="s">
        <v>233</v>
      </c>
      <c r="B1250" t="s">
        <v>211</v>
      </c>
      <c r="C1250" t="s">
        <v>212</v>
      </c>
      <c r="D1250" t="s">
        <v>213</v>
      </c>
      <c r="E1250" t="s">
        <v>325</v>
      </c>
      <c r="F1250"/>
      <c r="G1250"/>
      <c r="H1250"/>
      <c r="I1250"/>
      <c r="J1250"/>
      <c r="K1250"/>
      <c r="L1250"/>
      <c r="M1250" t="s">
        <v>254</v>
      </c>
      <c r="N1250" t="s">
        <v>254</v>
      </c>
      <c r="O1250" t="s">
        <v>254</v>
      </c>
      <c r="P1250"/>
      <c r="Q1250"/>
      <c r="R1250" t="s">
        <v>269</v>
      </c>
      <c r="S1250"/>
      <c r="T1250"/>
      <c r="U1250" t="s">
        <v>269</v>
      </c>
      <c r="V1250"/>
      <c r="W1250"/>
      <c r="X1250" t="s">
        <v>269</v>
      </c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</row>
    <row r="1251">
      <c r="A1251" t="s">
        <v>233</v>
      </c>
      <c r="B1251" t="s">
        <v>211</v>
      </c>
      <c r="C1251" t="s">
        <v>212</v>
      </c>
      <c r="D1251" t="s">
        <v>213</v>
      </c>
      <c r="E1251" t="s">
        <v>326</v>
      </c>
      <c r="F1251"/>
      <c r="G1251"/>
      <c r="H1251"/>
      <c r="I1251"/>
      <c r="J1251"/>
      <c r="K1251"/>
      <c r="L1251"/>
      <c r="M1251" t="s">
        <v>2415</v>
      </c>
      <c r="N1251" t="s">
        <v>2416</v>
      </c>
      <c r="O1251" t="s">
        <v>2417</v>
      </c>
      <c r="P1251"/>
      <c r="Q1251"/>
      <c r="R1251" t="s">
        <v>2418</v>
      </c>
      <c r="S1251"/>
      <c r="T1251"/>
      <c r="U1251" t="s">
        <v>2419</v>
      </c>
      <c r="V1251"/>
      <c r="W1251"/>
      <c r="X1251" t="s">
        <v>2420</v>
      </c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</row>
    <row r="1252">
      <c r="A1252" t="s">
        <v>233</v>
      </c>
      <c r="B1252" t="s">
        <v>211</v>
      </c>
      <c r="C1252" t="s">
        <v>212</v>
      </c>
      <c r="D1252" t="s">
        <v>213</v>
      </c>
      <c r="E1252" t="s">
        <v>329</v>
      </c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</row>
    <row r="1253">
      <c r="A1253" t="s">
        <v>233</v>
      </c>
      <c r="B1253" t="s">
        <v>211</v>
      </c>
      <c r="C1253" t="s">
        <v>212</v>
      </c>
      <c r="D1253" t="s">
        <v>213</v>
      </c>
      <c r="E1253" t="s">
        <v>330</v>
      </c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</row>
    <row r="1254">
      <c r="A1254" t="s">
        <v>233</v>
      </c>
      <c r="B1254" t="s">
        <v>211</v>
      </c>
      <c r="C1254" t="s">
        <v>212</v>
      </c>
      <c r="D1254" t="s">
        <v>213</v>
      </c>
      <c r="E1254" t="s">
        <v>331</v>
      </c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</row>
    <row r="1255">
      <c r="A1255" t="s">
        <v>233</v>
      </c>
      <c r="B1255" t="s">
        <v>211</v>
      </c>
      <c r="C1255" t="s">
        <v>212</v>
      </c>
      <c r="D1255" t="s">
        <v>213</v>
      </c>
      <c r="E1255" t="s">
        <v>332</v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</row>
    <row r="1256">
      <c r="A1256" t="s">
        <v>233</v>
      </c>
      <c r="B1256" t="s">
        <v>211</v>
      </c>
      <c r="C1256" t="s">
        <v>212</v>
      </c>
      <c r="D1256" t="s">
        <v>213</v>
      </c>
      <c r="E1256" t="s">
        <v>333</v>
      </c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</row>
    <row r="1257">
      <c r="A1257" t="s">
        <v>233</v>
      </c>
      <c r="B1257" t="s">
        <v>211</v>
      </c>
      <c r="C1257" t="s">
        <v>212</v>
      </c>
      <c r="D1257" t="s">
        <v>213</v>
      </c>
      <c r="E1257" t="s">
        <v>334</v>
      </c>
      <c r="F1257"/>
      <c r="G1257"/>
      <c r="H1257"/>
      <c r="I1257"/>
      <c r="J1257"/>
      <c r="K1257"/>
      <c r="L1257"/>
      <c r="M1257" t="s">
        <v>392</v>
      </c>
      <c r="N1257" t="s">
        <v>392</v>
      </c>
      <c r="O1257" t="s">
        <v>392</v>
      </c>
      <c r="P1257" t="s">
        <v>392</v>
      </c>
      <c r="Q1257" t="s">
        <v>392</v>
      </c>
      <c r="R1257" t="s">
        <v>392</v>
      </c>
      <c r="S1257" t="s">
        <v>392</v>
      </c>
      <c r="T1257" t="s">
        <v>392</v>
      </c>
      <c r="U1257" t="s">
        <v>392</v>
      </c>
      <c r="V1257" t="s">
        <v>392</v>
      </c>
      <c r="W1257" t="s">
        <v>392</v>
      </c>
      <c r="X1257" t="s">
        <v>392</v>
      </c>
      <c r="Y1257" t="s">
        <v>392</v>
      </c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</row>
    <row r="1258">
      <c r="A1258" t="s">
        <v>233</v>
      </c>
      <c r="B1258" t="s">
        <v>211</v>
      </c>
      <c r="C1258" t="s">
        <v>212</v>
      </c>
      <c r="D1258" t="s">
        <v>213</v>
      </c>
      <c r="E1258" t="s">
        <v>336</v>
      </c>
      <c r="F1258"/>
      <c r="G1258"/>
      <c r="H1258"/>
      <c r="I1258"/>
      <c r="J1258"/>
      <c r="K1258"/>
      <c r="L1258"/>
      <c r="M1258" t="s">
        <v>335</v>
      </c>
      <c r="N1258" t="s">
        <v>335</v>
      </c>
      <c r="O1258" t="s">
        <v>335</v>
      </c>
      <c r="P1258" t="s">
        <v>335</v>
      </c>
      <c r="Q1258" t="s">
        <v>335</v>
      </c>
      <c r="R1258" t="s">
        <v>335</v>
      </c>
      <c r="S1258" t="s">
        <v>335</v>
      </c>
      <c r="T1258" t="s">
        <v>335</v>
      </c>
      <c r="U1258" t="s">
        <v>335</v>
      </c>
      <c r="V1258" t="s">
        <v>335</v>
      </c>
      <c r="W1258" t="s">
        <v>335</v>
      </c>
      <c r="X1258" t="s">
        <v>335</v>
      </c>
      <c r="Y1258" t="s">
        <v>335</v>
      </c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</row>
    <row r="1259">
      <c r="A1259" t="s">
        <v>233</v>
      </c>
      <c r="B1259" t="s">
        <v>211</v>
      </c>
      <c r="C1259" t="s">
        <v>212</v>
      </c>
      <c r="D1259" t="s">
        <v>213</v>
      </c>
      <c r="E1259" t="s">
        <v>338</v>
      </c>
      <c r="F1259"/>
      <c r="G1259"/>
      <c r="H1259"/>
      <c r="I1259"/>
      <c r="J1259"/>
      <c r="K1259"/>
      <c r="L1259"/>
      <c r="M1259" t="s">
        <v>335</v>
      </c>
      <c r="N1259" t="s">
        <v>335</v>
      </c>
      <c r="O1259" t="s">
        <v>335</v>
      </c>
      <c r="P1259" t="s">
        <v>335</v>
      </c>
      <c r="Q1259" t="s">
        <v>335</v>
      </c>
      <c r="R1259" t="s">
        <v>335</v>
      </c>
      <c r="S1259" t="s">
        <v>335</v>
      </c>
      <c r="T1259" t="s">
        <v>335</v>
      </c>
      <c r="U1259" t="s">
        <v>335</v>
      </c>
      <c r="V1259" t="s">
        <v>335</v>
      </c>
      <c r="W1259" t="s">
        <v>335</v>
      </c>
      <c r="X1259" t="s">
        <v>335</v>
      </c>
      <c r="Y1259" t="s">
        <v>335</v>
      </c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</row>
    <row r="1260">
      <c r="A1260" t="s">
        <v>233</v>
      </c>
      <c r="B1260" t="s">
        <v>211</v>
      </c>
      <c r="C1260" t="s">
        <v>212</v>
      </c>
      <c r="D1260" t="s">
        <v>213</v>
      </c>
      <c r="E1260" t="s">
        <v>339</v>
      </c>
      <c r="F1260"/>
      <c r="G1260"/>
      <c r="H1260"/>
      <c r="I1260"/>
      <c r="J1260"/>
      <c r="K1260"/>
      <c r="L1260"/>
      <c r="M1260" t="s">
        <v>2421</v>
      </c>
      <c r="N1260" t="s">
        <v>2422</v>
      </c>
      <c r="O1260" t="s">
        <v>2423</v>
      </c>
      <c r="P1260" t="s">
        <v>2424</v>
      </c>
      <c r="Q1260" t="s">
        <v>360</v>
      </c>
      <c r="R1260" t="s">
        <v>2425</v>
      </c>
      <c r="S1260" t="s">
        <v>2426</v>
      </c>
      <c r="T1260" t="s">
        <v>2427</v>
      </c>
      <c r="U1260" t="s">
        <v>2428</v>
      </c>
      <c r="V1260" t="s">
        <v>2429</v>
      </c>
      <c r="W1260" t="s">
        <v>2430</v>
      </c>
      <c r="X1260" t="s">
        <v>2431</v>
      </c>
      <c r="Y1260" t="s">
        <v>2432</v>
      </c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</row>
    <row r="1261">
      <c r="A1261" t="s">
        <v>233</v>
      </c>
      <c r="B1261" t="s">
        <v>211</v>
      </c>
      <c r="C1261" t="s">
        <v>212</v>
      </c>
      <c r="D1261" t="s">
        <v>213</v>
      </c>
      <c r="E1261" t="s">
        <v>358</v>
      </c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</row>
    <row r="1262">
      <c r="A1262" t="s">
        <v>233</v>
      </c>
      <c r="B1262" t="s">
        <v>240</v>
      </c>
      <c r="C1262" t="s">
        <v>241</v>
      </c>
      <c r="D1262" t="s">
        <v>213</v>
      </c>
      <c r="E1262" t="s">
        <v>297</v>
      </c>
      <c r="F1262"/>
      <c r="G1262"/>
      <c r="H1262"/>
      <c r="I1262"/>
      <c r="J1262"/>
      <c r="K1262"/>
      <c r="L1262"/>
      <c r="M1262" t="s">
        <v>2433</v>
      </c>
      <c r="N1262" t="s">
        <v>2434</v>
      </c>
      <c r="O1262" t="s">
        <v>2435</v>
      </c>
      <c r="P1262" t="s">
        <v>2436</v>
      </c>
      <c r="Q1262" t="s">
        <v>2437</v>
      </c>
      <c r="R1262" t="s">
        <v>2438</v>
      </c>
      <c r="S1262" t="s">
        <v>2439</v>
      </c>
      <c r="T1262" t="s">
        <v>2440</v>
      </c>
      <c r="U1262" t="s">
        <v>2441</v>
      </c>
      <c r="V1262" t="s">
        <v>2442</v>
      </c>
      <c r="W1262" t="s">
        <v>2443</v>
      </c>
      <c r="X1262" t="s">
        <v>2444</v>
      </c>
      <c r="Y1262" t="s">
        <v>2445</v>
      </c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</row>
    <row r="1263">
      <c r="A1263" t="s">
        <v>233</v>
      </c>
      <c r="B1263" t="s">
        <v>240</v>
      </c>
      <c r="C1263" t="s">
        <v>241</v>
      </c>
      <c r="D1263" t="s">
        <v>213</v>
      </c>
      <c r="E1263" t="s">
        <v>316</v>
      </c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</row>
    <row r="1264">
      <c r="A1264" t="s">
        <v>233</v>
      </c>
      <c r="B1264" t="s">
        <v>240</v>
      </c>
      <c r="C1264" t="s">
        <v>241</v>
      </c>
      <c r="D1264" t="s">
        <v>213</v>
      </c>
      <c r="E1264" t="s">
        <v>317</v>
      </c>
      <c r="F1264"/>
      <c r="G1264"/>
      <c r="H1264"/>
      <c r="I1264"/>
      <c r="J1264"/>
      <c r="K1264"/>
      <c r="L1264"/>
      <c r="M1264" t="s">
        <v>2446</v>
      </c>
      <c r="N1264" t="s">
        <v>2446</v>
      </c>
      <c r="O1264" t="s">
        <v>2446</v>
      </c>
      <c r="P1264" t="s">
        <v>2446</v>
      </c>
      <c r="Q1264" t="s">
        <v>2446</v>
      </c>
      <c r="R1264" t="s">
        <v>2446</v>
      </c>
      <c r="S1264" t="s">
        <v>2446</v>
      </c>
      <c r="T1264" t="s">
        <v>2446</v>
      </c>
      <c r="U1264" t="s">
        <v>2446</v>
      </c>
      <c r="V1264" t="s">
        <v>2446</v>
      </c>
      <c r="W1264" t="s">
        <v>2446</v>
      </c>
      <c r="X1264" t="s">
        <v>2446</v>
      </c>
      <c r="Y1264" t="s">
        <v>2446</v>
      </c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</row>
    <row r="1265">
      <c r="A1265" t="s">
        <v>233</v>
      </c>
      <c r="B1265" t="s">
        <v>240</v>
      </c>
      <c r="C1265" t="s">
        <v>241</v>
      </c>
      <c r="D1265" t="s">
        <v>213</v>
      </c>
      <c r="E1265" t="s">
        <v>320</v>
      </c>
      <c r="F1265"/>
      <c r="G1265"/>
      <c r="H1265"/>
      <c r="I1265"/>
      <c r="J1265"/>
      <c r="K1265"/>
      <c r="L1265"/>
      <c r="M1265" t="s">
        <v>2434</v>
      </c>
      <c r="N1265" t="s">
        <v>2435</v>
      </c>
      <c r="O1265" t="s">
        <v>2436</v>
      </c>
      <c r="P1265" t="s">
        <v>2437</v>
      </c>
      <c r="Q1265" t="s">
        <v>2438</v>
      </c>
      <c r="R1265" t="s">
        <v>2439</v>
      </c>
      <c r="S1265" t="s">
        <v>2440</v>
      </c>
      <c r="T1265" t="s">
        <v>2441</v>
      </c>
      <c r="U1265" t="s">
        <v>2442</v>
      </c>
      <c r="V1265" t="s">
        <v>2443</v>
      </c>
      <c r="W1265" t="s">
        <v>2444</v>
      </c>
      <c r="X1265" t="s">
        <v>2445</v>
      </c>
      <c r="Y1265" t="s">
        <v>2447</v>
      </c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</row>
    <row r="1266">
      <c r="A1266" t="s">
        <v>233</v>
      </c>
      <c r="B1266" t="s">
        <v>240</v>
      </c>
      <c r="C1266" t="s">
        <v>241</v>
      </c>
      <c r="D1266" t="s">
        <v>213</v>
      </c>
      <c r="E1266" t="s">
        <v>323</v>
      </c>
      <c r="F1266"/>
      <c r="G1266"/>
      <c r="H1266"/>
      <c r="I1266"/>
      <c r="J1266"/>
      <c r="K1266"/>
      <c r="L1266"/>
      <c r="M1266" t="s">
        <v>236</v>
      </c>
      <c r="N1266"/>
      <c r="O1266"/>
      <c r="P1266"/>
      <c r="Q1266"/>
      <c r="R1266"/>
      <c r="S1266"/>
      <c r="T1266"/>
      <c r="U1266" t="s">
        <v>272</v>
      </c>
      <c r="V1266" t="s">
        <v>272</v>
      </c>
      <c r="W1266"/>
      <c r="X1266"/>
      <c r="Y1266" t="s">
        <v>272</v>
      </c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</row>
    <row r="1267">
      <c r="A1267" t="s">
        <v>233</v>
      </c>
      <c r="B1267" t="s">
        <v>240</v>
      </c>
      <c r="C1267" t="s">
        <v>241</v>
      </c>
      <c r="D1267" t="s">
        <v>213</v>
      </c>
      <c r="E1267" t="s">
        <v>324</v>
      </c>
      <c r="F1267"/>
      <c r="G1267"/>
      <c r="H1267"/>
      <c r="I1267"/>
      <c r="J1267"/>
      <c r="K1267"/>
      <c r="L1267"/>
      <c r="M1267" t="s">
        <v>236</v>
      </c>
      <c r="N1267"/>
      <c r="O1267"/>
      <c r="P1267"/>
      <c r="Q1267"/>
      <c r="R1267"/>
      <c r="S1267"/>
      <c r="T1267"/>
      <c r="U1267" t="s">
        <v>272</v>
      </c>
      <c r="V1267" t="s">
        <v>272</v>
      </c>
      <c r="W1267"/>
      <c r="X1267"/>
      <c r="Y1267" t="s">
        <v>272</v>
      </c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</row>
    <row r="1268">
      <c r="A1268" t="s">
        <v>233</v>
      </c>
      <c r="B1268" t="s">
        <v>240</v>
      </c>
      <c r="C1268" t="s">
        <v>241</v>
      </c>
      <c r="D1268" t="s">
        <v>213</v>
      </c>
      <c r="E1268" t="s">
        <v>325</v>
      </c>
      <c r="F1268"/>
      <c r="G1268"/>
      <c r="H1268"/>
      <c r="I1268"/>
      <c r="J1268"/>
      <c r="K1268"/>
      <c r="L1268"/>
      <c r="M1268" t="s">
        <v>254</v>
      </c>
      <c r="N1268"/>
      <c r="O1268"/>
      <c r="P1268"/>
      <c r="Q1268"/>
      <c r="R1268"/>
      <c r="S1268"/>
      <c r="T1268"/>
      <c r="U1268" t="s">
        <v>269</v>
      </c>
      <c r="V1268" t="s">
        <v>269</v>
      </c>
      <c r="W1268"/>
      <c r="X1268"/>
      <c r="Y1268" t="s">
        <v>269</v>
      </c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</row>
    <row r="1269">
      <c r="A1269" t="s">
        <v>233</v>
      </c>
      <c r="B1269" t="s">
        <v>240</v>
      </c>
      <c r="C1269" t="s">
        <v>241</v>
      </c>
      <c r="D1269" t="s">
        <v>213</v>
      </c>
      <c r="E1269" t="s">
        <v>326</v>
      </c>
      <c r="F1269"/>
      <c r="G1269"/>
      <c r="H1269"/>
      <c r="I1269"/>
      <c r="J1269"/>
      <c r="K1269"/>
      <c r="L1269"/>
      <c r="M1269" t="s">
        <v>2448</v>
      </c>
      <c r="N1269"/>
      <c r="O1269"/>
      <c r="P1269"/>
      <c r="Q1269"/>
      <c r="R1269"/>
      <c r="S1269"/>
      <c r="T1269"/>
      <c r="U1269" t="s">
        <v>2449</v>
      </c>
      <c r="V1269" t="s">
        <v>2450</v>
      </c>
      <c r="W1269"/>
      <c r="X1269"/>
      <c r="Y1269" t="s">
        <v>2451</v>
      </c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</row>
    <row r="1270">
      <c r="A1270" t="s">
        <v>233</v>
      </c>
      <c r="B1270" t="s">
        <v>240</v>
      </c>
      <c r="C1270" t="s">
        <v>241</v>
      </c>
      <c r="D1270" t="s">
        <v>213</v>
      </c>
      <c r="E1270" t="s">
        <v>329</v>
      </c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</row>
    <row r="1271">
      <c r="A1271" t="s">
        <v>233</v>
      </c>
      <c r="B1271" t="s">
        <v>240</v>
      </c>
      <c r="C1271" t="s">
        <v>241</v>
      </c>
      <c r="D1271" t="s">
        <v>213</v>
      </c>
      <c r="E1271" t="s">
        <v>330</v>
      </c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</row>
    <row r="1272">
      <c r="A1272" t="s">
        <v>233</v>
      </c>
      <c r="B1272" t="s">
        <v>240</v>
      </c>
      <c r="C1272" t="s">
        <v>241</v>
      </c>
      <c r="D1272" t="s">
        <v>213</v>
      </c>
      <c r="E1272" t="s">
        <v>331</v>
      </c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</row>
    <row r="1273">
      <c r="A1273" t="s">
        <v>233</v>
      </c>
      <c r="B1273" t="s">
        <v>240</v>
      </c>
      <c r="C1273" t="s">
        <v>241</v>
      </c>
      <c r="D1273" t="s">
        <v>213</v>
      </c>
      <c r="E1273" t="s">
        <v>332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</row>
    <row r="1274">
      <c r="A1274" t="s">
        <v>233</v>
      </c>
      <c r="B1274" t="s">
        <v>240</v>
      </c>
      <c r="C1274" t="s">
        <v>241</v>
      </c>
      <c r="D1274" t="s">
        <v>213</v>
      </c>
      <c r="E1274" t="s">
        <v>333</v>
      </c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</row>
    <row r="1275">
      <c r="A1275" t="s">
        <v>233</v>
      </c>
      <c r="B1275" t="s">
        <v>240</v>
      </c>
      <c r="C1275" t="s">
        <v>241</v>
      </c>
      <c r="D1275" t="s">
        <v>213</v>
      </c>
      <c r="E1275" t="s">
        <v>334</v>
      </c>
      <c r="F1275"/>
      <c r="G1275"/>
      <c r="H1275"/>
      <c r="I1275"/>
      <c r="J1275"/>
      <c r="K1275"/>
      <c r="L1275"/>
      <c r="M1275" t="s">
        <v>392</v>
      </c>
      <c r="N1275" t="s">
        <v>392</v>
      </c>
      <c r="O1275" t="s">
        <v>392</v>
      </c>
      <c r="P1275" t="s">
        <v>392</v>
      </c>
      <c r="Q1275" t="s">
        <v>392</v>
      </c>
      <c r="R1275" t="s">
        <v>392</v>
      </c>
      <c r="S1275" t="s">
        <v>392</v>
      </c>
      <c r="T1275" t="s">
        <v>392</v>
      </c>
      <c r="U1275" t="s">
        <v>392</v>
      </c>
      <c r="V1275" t="s">
        <v>392</v>
      </c>
      <c r="W1275" t="s">
        <v>392</v>
      </c>
      <c r="X1275" t="s">
        <v>392</v>
      </c>
      <c r="Y1275" t="s">
        <v>392</v>
      </c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</row>
    <row r="1276">
      <c r="A1276" t="s">
        <v>233</v>
      </c>
      <c r="B1276" t="s">
        <v>240</v>
      </c>
      <c r="C1276" t="s">
        <v>241</v>
      </c>
      <c r="D1276" t="s">
        <v>213</v>
      </c>
      <c r="E1276" t="s">
        <v>336</v>
      </c>
      <c r="F1276"/>
      <c r="G1276"/>
      <c r="H1276"/>
      <c r="I1276"/>
      <c r="J1276"/>
      <c r="K1276"/>
      <c r="L1276"/>
      <c r="M1276" t="s">
        <v>335</v>
      </c>
      <c r="N1276" t="s">
        <v>335</v>
      </c>
      <c r="O1276" t="s">
        <v>335</v>
      </c>
      <c r="P1276" t="s">
        <v>335</v>
      </c>
      <c r="Q1276" t="s">
        <v>335</v>
      </c>
      <c r="R1276" t="s">
        <v>335</v>
      </c>
      <c r="S1276" t="s">
        <v>335</v>
      </c>
      <c r="T1276" t="s">
        <v>335</v>
      </c>
      <c r="U1276" t="s">
        <v>335</v>
      </c>
      <c r="V1276" t="s">
        <v>335</v>
      </c>
      <c r="W1276" t="s">
        <v>335</v>
      </c>
      <c r="X1276" t="s">
        <v>335</v>
      </c>
      <c r="Y1276" t="s">
        <v>335</v>
      </c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</row>
    <row r="1277">
      <c r="A1277" t="s">
        <v>233</v>
      </c>
      <c r="B1277" t="s">
        <v>240</v>
      </c>
      <c r="C1277" t="s">
        <v>241</v>
      </c>
      <c r="D1277" t="s">
        <v>213</v>
      </c>
      <c r="E1277" t="s">
        <v>338</v>
      </c>
      <c r="F1277"/>
      <c r="G1277"/>
      <c r="H1277"/>
      <c r="I1277"/>
      <c r="J1277"/>
      <c r="K1277"/>
      <c r="L1277"/>
      <c r="M1277" t="s">
        <v>335</v>
      </c>
      <c r="N1277" t="s">
        <v>335</v>
      </c>
      <c r="O1277" t="s">
        <v>335</v>
      </c>
      <c r="P1277" t="s">
        <v>335</v>
      </c>
      <c r="Q1277" t="s">
        <v>335</v>
      </c>
      <c r="R1277" t="s">
        <v>335</v>
      </c>
      <c r="S1277" t="s">
        <v>335</v>
      </c>
      <c r="T1277" t="s">
        <v>335</v>
      </c>
      <c r="U1277" t="s">
        <v>335</v>
      </c>
      <c r="V1277" t="s">
        <v>335</v>
      </c>
      <c r="W1277" t="s">
        <v>335</v>
      </c>
      <c r="X1277" t="s">
        <v>335</v>
      </c>
      <c r="Y1277" t="s">
        <v>335</v>
      </c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</row>
    <row r="1278">
      <c r="A1278" t="s">
        <v>233</v>
      </c>
      <c r="B1278" t="s">
        <v>240</v>
      </c>
      <c r="C1278" t="s">
        <v>241</v>
      </c>
      <c r="D1278" t="s">
        <v>213</v>
      </c>
      <c r="E1278" t="s">
        <v>339</v>
      </c>
      <c r="F1278"/>
      <c r="G1278"/>
      <c r="H1278"/>
      <c r="I1278"/>
      <c r="J1278"/>
      <c r="K1278"/>
      <c r="L1278"/>
      <c r="M1278" t="s">
        <v>2452</v>
      </c>
      <c r="N1278" t="s">
        <v>2453</v>
      </c>
      <c r="O1278" t="s">
        <v>2454</v>
      </c>
      <c r="P1278" t="s">
        <v>2455</v>
      </c>
      <c r="Q1278" t="s">
        <v>2456</v>
      </c>
      <c r="R1278" t="s">
        <v>2457</v>
      </c>
      <c r="S1278" t="s">
        <v>2458</v>
      </c>
      <c r="T1278" t="s">
        <v>2459</v>
      </c>
      <c r="U1278" t="s">
        <v>2460</v>
      </c>
      <c r="V1278" t="s">
        <v>2461</v>
      </c>
      <c r="W1278" t="s">
        <v>2462</v>
      </c>
      <c r="X1278" t="s">
        <v>2463</v>
      </c>
      <c r="Y1278" t="s">
        <v>2464</v>
      </c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</row>
    <row r="1279">
      <c r="A1279" t="s">
        <v>233</v>
      </c>
      <c r="B1279" t="s">
        <v>240</v>
      </c>
      <c r="C1279" t="s">
        <v>241</v>
      </c>
      <c r="D1279" t="s">
        <v>213</v>
      </c>
      <c r="E1279" t="s">
        <v>358</v>
      </c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</row>
    <row r="1280">
      <c r="A1280" t="s">
        <v>233</v>
      </c>
      <c r="B1280" t="s">
        <v>245</v>
      </c>
      <c r="C1280" t="s">
        <v>246</v>
      </c>
      <c r="D1280" t="s">
        <v>213</v>
      </c>
      <c r="E1280" t="s">
        <v>297</v>
      </c>
      <c r="F1280"/>
      <c r="G1280"/>
      <c r="H1280"/>
      <c r="I1280"/>
      <c r="J1280"/>
      <c r="K1280"/>
      <c r="L1280"/>
      <c r="M1280" t="s">
        <v>2465</v>
      </c>
      <c r="N1280" t="s">
        <v>2466</v>
      </c>
      <c r="O1280" t="s">
        <v>2467</v>
      </c>
      <c r="P1280" t="s">
        <v>2468</v>
      </c>
      <c r="Q1280" t="s">
        <v>2469</v>
      </c>
      <c r="R1280" t="s">
        <v>2470</v>
      </c>
      <c r="S1280" t="s">
        <v>2471</v>
      </c>
      <c r="T1280" t="s">
        <v>2472</v>
      </c>
      <c r="U1280" t="s">
        <v>2473</v>
      </c>
      <c r="V1280" t="s">
        <v>2474</v>
      </c>
      <c r="W1280" t="s">
        <v>2475</v>
      </c>
      <c r="X1280" t="s">
        <v>2476</v>
      </c>
      <c r="Y1280" t="s">
        <v>2477</v>
      </c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</row>
    <row r="1281">
      <c r="A1281" t="s">
        <v>233</v>
      </c>
      <c r="B1281" t="s">
        <v>245</v>
      </c>
      <c r="C1281" t="s">
        <v>246</v>
      </c>
      <c r="D1281" t="s">
        <v>213</v>
      </c>
      <c r="E1281" t="s">
        <v>316</v>
      </c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</row>
    <row r="1282">
      <c r="A1282" t="s">
        <v>233</v>
      </c>
      <c r="B1282" t="s">
        <v>245</v>
      </c>
      <c r="C1282" t="s">
        <v>246</v>
      </c>
      <c r="D1282" t="s">
        <v>213</v>
      </c>
      <c r="E1282" t="s">
        <v>317</v>
      </c>
      <c r="F1282"/>
      <c r="G1282"/>
      <c r="H1282"/>
      <c r="I1282"/>
      <c r="J1282"/>
      <c r="K1282"/>
      <c r="L1282"/>
      <c r="M1282" t="s">
        <v>2478</v>
      </c>
      <c r="N1282" t="s">
        <v>2478</v>
      </c>
      <c r="O1282" t="s">
        <v>2478</v>
      </c>
      <c r="P1282" t="s">
        <v>2478</v>
      </c>
      <c r="Q1282" t="s">
        <v>2478</v>
      </c>
      <c r="R1282" t="s">
        <v>2478</v>
      </c>
      <c r="S1282" t="s">
        <v>2478</v>
      </c>
      <c r="T1282" t="s">
        <v>2478</v>
      </c>
      <c r="U1282" t="s">
        <v>2478</v>
      </c>
      <c r="V1282" t="s">
        <v>2478</v>
      </c>
      <c r="W1282" t="s">
        <v>2478</v>
      </c>
      <c r="X1282" t="s">
        <v>2478</v>
      </c>
      <c r="Y1282" t="s">
        <v>2478</v>
      </c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</row>
    <row r="1283">
      <c r="A1283" t="s">
        <v>233</v>
      </c>
      <c r="B1283" t="s">
        <v>245</v>
      </c>
      <c r="C1283" t="s">
        <v>246</v>
      </c>
      <c r="D1283" t="s">
        <v>213</v>
      </c>
      <c r="E1283" t="s">
        <v>320</v>
      </c>
      <c r="F1283"/>
      <c r="G1283"/>
      <c r="H1283"/>
      <c r="I1283"/>
      <c r="J1283"/>
      <c r="K1283"/>
      <c r="L1283"/>
      <c r="M1283" t="s">
        <v>2466</v>
      </c>
      <c r="N1283" t="s">
        <v>2467</v>
      </c>
      <c r="O1283" t="s">
        <v>2468</v>
      </c>
      <c r="P1283" t="s">
        <v>2469</v>
      </c>
      <c r="Q1283" t="s">
        <v>2470</v>
      </c>
      <c r="R1283" t="s">
        <v>2471</v>
      </c>
      <c r="S1283" t="s">
        <v>2472</v>
      </c>
      <c r="T1283" t="s">
        <v>2473</v>
      </c>
      <c r="U1283" t="s">
        <v>2474</v>
      </c>
      <c r="V1283" t="s">
        <v>2475</v>
      </c>
      <c r="W1283" t="s">
        <v>2476</v>
      </c>
      <c r="X1283" t="s">
        <v>2477</v>
      </c>
      <c r="Y1283" t="s">
        <v>2479</v>
      </c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</row>
    <row r="1284">
      <c r="A1284" t="s">
        <v>233</v>
      </c>
      <c r="B1284" t="s">
        <v>245</v>
      </c>
      <c r="C1284" t="s">
        <v>246</v>
      </c>
      <c r="D1284" t="s">
        <v>213</v>
      </c>
      <c r="E1284" t="s">
        <v>323</v>
      </c>
      <c r="F1284"/>
      <c r="G1284"/>
      <c r="H1284"/>
      <c r="I1284"/>
      <c r="J1284"/>
      <c r="K1284"/>
      <c r="L1284"/>
      <c r="M1284" t="s">
        <v>236</v>
      </c>
      <c r="N1284" t="s">
        <v>236</v>
      </c>
      <c r="O1284"/>
      <c r="P1284"/>
      <c r="Q1284"/>
      <c r="R1284"/>
      <c r="S1284"/>
      <c r="T1284"/>
      <c r="U1284"/>
      <c r="V1284" t="s">
        <v>272</v>
      </c>
      <c r="W1284"/>
      <c r="X1284" t="s">
        <v>272</v>
      </c>
      <c r="Y1284" t="s">
        <v>272</v>
      </c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</row>
    <row r="1285">
      <c r="A1285" t="s">
        <v>233</v>
      </c>
      <c r="B1285" t="s">
        <v>245</v>
      </c>
      <c r="C1285" t="s">
        <v>246</v>
      </c>
      <c r="D1285" t="s">
        <v>213</v>
      </c>
      <c r="E1285" t="s">
        <v>324</v>
      </c>
      <c r="F1285"/>
      <c r="G1285"/>
      <c r="H1285"/>
      <c r="I1285"/>
      <c r="J1285"/>
      <c r="K1285"/>
      <c r="L1285"/>
      <c r="M1285" t="s">
        <v>236</v>
      </c>
      <c r="N1285" t="s">
        <v>236</v>
      </c>
      <c r="O1285"/>
      <c r="P1285"/>
      <c r="Q1285"/>
      <c r="R1285"/>
      <c r="S1285"/>
      <c r="T1285"/>
      <c r="U1285"/>
      <c r="V1285" t="s">
        <v>272</v>
      </c>
      <c r="W1285"/>
      <c r="X1285" t="s">
        <v>272</v>
      </c>
      <c r="Y1285" t="s">
        <v>272</v>
      </c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</row>
    <row r="1286">
      <c r="A1286" t="s">
        <v>233</v>
      </c>
      <c r="B1286" t="s">
        <v>245</v>
      </c>
      <c r="C1286" t="s">
        <v>246</v>
      </c>
      <c r="D1286" t="s">
        <v>213</v>
      </c>
      <c r="E1286" t="s">
        <v>325</v>
      </c>
      <c r="F1286"/>
      <c r="G1286"/>
      <c r="H1286"/>
      <c r="I1286"/>
      <c r="J1286"/>
      <c r="K1286"/>
      <c r="L1286"/>
      <c r="M1286" t="s">
        <v>254</v>
      </c>
      <c r="N1286" t="s">
        <v>259</v>
      </c>
      <c r="O1286"/>
      <c r="P1286"/>
      <c r="Q1286"/>
      <c r="R1286"/>
      <c r="S1286"/>
      <c r="T1286"/>
      <c r="U1286"/>
      <c r="V1286" t="s">
        <v>269</v>
      </c>
      <c r="W1286"/>
      <c r="X1286" t="s">
        <v>269</v>
      </c>
      <c r="Y1286" t="s">
        <v>269</v>
      </c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</row>
    <row r="1287">
      <c r="A1287" t="s">
        <v>233</v>
      </c>
      <c r="B1287" t="s">
        <v>245</v>
      </c>
      <c r="C1287" t="s">
        <v>246</v>
      </c>
      <c r="D1287" t="s">
        <v>213</v>
      </c>
      <c r="E1287" t="s">
        <v>326</v>
      </c>
      <c r="F1287"/>
      <c r="G1287"/>
      <c r="H1287"/>
      <c r="I1287"/>
      <c r="J1287"/>
      <c r="K1287"/>
      <c r="L1287"/>
      <c r="M1287" t="s">
        <v>2480</v>
      </c>
      <c r="N1287" t="s">
        <v>2481</v>
      </c>
      <c r="O1287"/>
      <c r="P1287"/>
      <c r="Q1287"/>
      <c r="R1287"/>
      <c r="S1287"/>
      <c r="T1287"/>
      <c r="U1287"/>
      <c r="V1287" t="s">
        <v>2482</v>
      </c>
      <c r="W1287"/>
      <c r="X1287" t="s">
        <v>2483</v>
      </c>
      <c r="Y1287" t="s">
        <v>2484</v>
      </c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</row>
    <row r="1288">
      <c r="A1288" t="s">
        <v>233</v>
      </c>
      <c r="B1288" t="s">
        <v>245</v>
      </c>
      <c r="C1288" t="s">
        <v>246</v>
      </c>
      <c r="D1288" t="s">
        <v>213</v>
      </c>
      <c r="E1288" t="s">
        <v>329</v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</row>
    <row r="1289">
      <c r="A1289" t="s">
        <v>233</v>
      </c>
      <c r="B1289" t="s">
        <v>245</v>
      </c>
      <c r="C1289" t="s">
        <v>246</v>
      </c>
      <c r="D1289" t="s">
        <v>213</v>
      </c>
      <c r="E1289" t="s">
        <v>330</v>
      </c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</row>
    <row r="1290">
      <c r="A1290" t="s">
        <v>233</v>
      </c>
      <c r="B1290" t="s">
        <v>245</v>
      </c>
      <c r="C1290" t="s">
        <v>246</v>
      </c>
      <c r="D1290" t="s">
        <v>213</v>
      </c>
      <c r="E1290" t="s">
        <v>331</v>
      </c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</row>
    <row r="1291">
      <c r="A1291" t="s">
        <v>233</v>
      </c>
      <c r="B1291" t="s">
        <v>245</v>
      </c>
      <c r="C1291" t="s">
        <v>246</v>
      </c>
      <c r="D1291" t="s">
        <v>213</v>
      </c>
      <c r="E1291" t="s">
        <v>332</v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</row>
    <row r="1292">
      <c r="A1292" t="s">
        <v>233</v>
      </c>
      <c r="B1292" t="s">
        <v>245</v>
      </c>
      <c r="C1292" t="s">
        <v>246</v>
      </c>
      <c r="D1292" t="s">
        <v>213</v>
      </c>
      <c r="E1292" t="s">
        <v>333</v>
      </c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</row>
    <row r="1293">
      <c r="A1293" t="s">
        <v>233</v>
      </c>
      <c r="B1293" t="s">
        <v>245</v>
      </c>
      <c r="C1293" t="s">
        <v>246</v>
      </c>
      <c r="D1293" t="s">
        <v>213</v>
      </c>
      <c r="E1293" t="s">
        <v>334</v>
      </c>
      <c r="F1293"/>
      <c r="G1293"/>
      <c r="H1293"/>
      <c r="I1293"/>
      <c r="J1293"/>
      <c r="K1293"/>
      <c r="L1293"/>
      <c r="M1293" t="s">
        <v>392</v>
      </c>
      <c r="N1293" t="s">
        <v>392</v>
      </c>
      <c r="O1293" t="s">
        <v>392</v>
      </c>
      <c r="P1293" t="s">
        <v>392</v>
      </c>
      <c r="Q1293" t="s">
        <v>392</v>
      </c>
      <c r="R1293" t="s">
        <v>392</v>
      </c>
      <c r="S1293" t="s">
        <v>392</v>
      </c>
      <c r="T1293" t="s">
        <v>392</v>
      </c>
      <c r="U1293" t="s">
        <v>392</v>
      </c>
      <c r="V1293" t="s">
        <v>392</v>
      </c>
      <c r="W1293" t="s">
        <v>392</v>
      </c>
      <c r="X1293" t="s">
        <v>392</v>
      </c>
      <c r="Y1293" t="s">
        <v>392</v>
      </c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</row>
    <row r="1294">
      <c r="A1294" t="s">
        <v>233</v>
      </c>
      <c r="B1294" t="s">
        <v>245</v>
      </c>
      <c r="C1294" t="s">
        <v>246</v>
      </c>
      <c r="D1294" t="s">
        <v>213</v>
      </c>
      <c r="E1294" t="s">
        <v>336</v>
      </c>
      <c r="F1294"/>
      <c r="G1294"/>
      <c r="H1294"/>
      <c r="I1294"/>
      <c r="J1294"/>
      <c r="K1294"/>
      <c r="L1294"/>
      <c r="M1294" t="s">
        <v>335</v>
      </c>
      <c r="N1294" t="s">
        <v>335</v>
      </c>
      <c r="O1294" t="s">
        <v>335</v>
      </c>
      <c r="P1294" t="s">
        <v>335</v>
      </c>
      <c r="Q1294" t="s">
        <v>335</v>
      </c>
      <c r="R1294" t="s">
        <v>335</v>
      </c>
      <c r="S1294" t="s">
        <v>335</v>
      </c>
      <c r="T1294" t="s">
        <v>335</v>
      </c>
      <c r="U1294" t="s">
        <v>335</v>
      </c>
      <c r="V1294" t="s">
        <v>335</v>
      </c>
      <c r="W1294" t="s">
        <v>335</v>
      </c>
      <c r="X1294" t="s">
        <v>335</v>
      </c>
      <c r="Y1294" t="s">
        <v>335</v>
      </c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</row>
    <row r="1295">
      <c r="A1295" t="s">
        <v>233</v>
      </c>
      <c r="B1295" t="s">
        <v>245</v>
      </c>
      <c r="C1295" t="s">
        <v>246</v>
      </c>
      <c r="D1295" t="s">
        <v>213</v>
      </c>
      <c r="E1295" t="s">
        <v>338</v>
      </c>
      <c r="F1295"/>
      <c r="G1295"/>
      <c r="H1295"/>
      <c r="I1295"/>
      <c r="J1295"/>
      <c r="K1295"/>
      <c r="L1295"/>
      <c r="M1295" t="s">
        <v>335</v>
      </c>
      <c r="N1295" t="s">
        <v>335</v>
      </c>
      <c r="O1295" t="s">
        <v>335</v>
      </c>
      <c r="P1295" t="s">
        <v>335</v>
      </c>
      <c r="Q1295" t="s">
        <v>335</v>
      </c>
      <c r="R1295" t="s">
        <v>335</v>
      </c>
      <c r="S1295" t="s">
        <v>335</v>
      </c>
      <c r="T1295" t="s">
        <v>335</v>
      </c>
      <c r="U1295" t="s">
        <v>335</v>
      </c>
      <c r="V1295" t="s">
        <v>335</v>
      </c>
      <c r="W1295" t="s">
        <v>335</v>
      </c>
      <c r="X1295" t="s">
        <v>335</v>
      </c>
      <c r="Y1295" t="s">
        <v>335</v>
      </c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</row>
    <row r="1296">
      <c r="A1296" t="s">
        <v>233</v>
      </c>
      <c r="B1296" t="s">
        <v>245</v>
      </c>
      <c r="C1296" t="s">
        <v>246</v>
      </c>
      <c r="D1296" t="s">
        <v>213</v>
      </c>
      <c r="E1296" t="s">
        <v>339</v>
      </c>
      <c r="F1296"/>
      <c r="G1296"/>
      <c r="H1296"/>
      <c r="I1296"/>
      <c r="J1296"/>
      <c r="K1296"/>
      <c r="L1296"/>
      <c r="M1296" t="s">
        <v>2485</v>
      </c>
      <c r="N1296" t="s">
        <v>2486</v>
      </c>
      <c r="O1296" t="s">
        <v>2487</v>
      </c>
      <c r="P1296" t="s">
        <v>2488</v>
      </c>
      <c r="Q1296" t="s">
        <v>2489</v>
      </c>
      <c r="R1296" t="s">
        <v>2490</v>
      </c>
      <c r="S1296" t="s">
        <v>2491</v>
      </c>
      <c r="T1296" t="s">
        <v>2492</v>
      </c>
      <c r="U1296" t="s">
        <v>2493</v>
      </c>
      <c r="V1296" t="s">
        <v>2494</v>
      </c>
      <c r="W1296" t="s">
        <v>2495</v>
      </c>
      <c r="X1296" t="s">
        <v>2496</v>
      </c>
      <c r="Y1296" t="s">
        <v>2497</v>
      </c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</row>
    <row r="1297">
      <c r="A1297" t="s">
        <v>233</v>
      </c>
      <c r="B1297" t="s">
        <v>245</v>
      </c>
      <c r="C1297" t="s">
        <v>246</v>
      </c>
      <c r="D1297" t="s">
        <v>213</v>
      </c>
      <c r="E1297" t="s">
        <v>358</v>
      </c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</row>
    <row r="1298">
      <c r="A1298" t="s">
        <v>233</v>
      </c>
      <c r="B1298" t="s">
        <v>224</v>
      </c>
      <c r="C1298" t="s">
        <v>225</v>
      </c>
      <c r="D1298" t="s">
        <v>213</v>
      </c>
      <c r="E1298" t="s">
        <v>297</v>
      </c>
      <c r="F1298"/>
      <c r="G1298"/>
      <c r="H1298"/>
      <c r="I1298"/>
      <c r="J1298"/>
      <c r="K1298"/>
      <c r="L1298"/>
      <c r="M1298" t="s">
        <v>2498</v>
      </c>
      <c r="N1298" t="s">
        <v>2499</v>
      </c>
      <c r="O1298" t="s">
        <v>2500</v>
      </c>
      <c r="P1298" t="s">
        <v>2501</v>
      </c>
      <c r="Q1298" t="s">
        <v>2502</v>
      </c>
      <c r="R1298" t="s">
        <v>2503</v>
      </c>
      <c r="S1298" t="s">
        <v>2504</v>
      </c>
      <c r="T1298" t="s">
        <v>2505</v>
      </c>
      <c r="U1298" t="s">
        <v>360</v>
      </c>
      <c r="V1298" t="s">
        <v>360</v>
      </c>
      <c r="W1298" t="s">
        <v>2506</v>
      </c>
      <c r="X1298" t="s">
        <v>2507</v>
      </c>
      <c r="Y1298" t="s">
        <v>2508</v>
      </c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</row>
    <row r="1299">
      <c r="A1299" t="s">
        <v>233</v>
      </c>
      <c r="B1299" t="s">
        <v>224</v>
      </c>
      <c r="C1299" t="s">
        <v>225</v>
      </c>
      <c r="D1299" t="s">
        <v>213</v>
      </c>
      <c r="E1299" t="s">
        <v>316</v>
      </c>
      <c r="F1299"/>
      <c r="G1299"/>
      <c r="H1299"/>
      <c r="I1299"/>
      <c r="J1299"/>
      <c r="K1299"/>
      <c r="L1299"/>
      <c r="M1299" t="s">
        <v>2509</v>
      </c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</row>
    <row r="1300">
      <c r="A1300" t="s">
        <v>233</v>
      </c>
      <c r="B1300" t="s">
        <v>224</v>
      </c>
      <c r="C1300" t="s">
        <v>225</v>
      </c>
      <c r="D1300" t="s">
        <v>213</v>
      </c>
      <c r="E1300" t="s">
        <v>317</v>
      </c>
      <c r="F1300"/>
      <c r="G1300"/>
      <c r="H1300"/>
      <c r="I1300"/>
      <c r="J1300"/>
      <c r="K1300"/>
      <c r="L1300"/>
      <c r="M1300" t="s">
        <v>2510</v>
      </c>
      <c r="N1300" t="s">
        <v>2510</v>
      </c>
      <c r="O1300" t="s">
        <v>2510</v>
      </c>
      <c r="P1300" t="s">
        <v>2510</v>
      </c>
      <c r="Q1300" t="s">
        <v>2510</v>
      </c>
      <c r="R1300" t="s">
        <v>2510</v>
      </c>
      <c r="S1300" t="s">
        <v>2510</v>
      </c>
      <c r="T1300" t="s">
        <v>2510</v>
      </c>
      <c r="U1300" t="s">
        <v>2510</v>
      </c>
      <c r="V1300" t="s">
        <v>2510</v>
      </c>
      <c r="W1300" t="s">
        <v>2510</v>
      </c>
      <c r="X1300" t="s">
        <v>2510</v>
      </c>
      <c r="Y1300" t="s">
        <v>2510</v>
      </c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</row>
    <row r="1301">
      <c r="A1301" t="s">
        <v>233</v>
      </c>
      <c r="B1301" t="s">
        <v>224</v>
      </c>
      <c r="C1301" t="s">
        <v>225</v>
      </c>
      <c r="D1301" t="s">
        <v>213</v>
      </c>
      <c r="E1301" t="s">
        <v>320</v>
      </c>
      <c r="F1301"/>
      <c r="G1301"/>
      <c r="H1301"/>
      <c r="I1301"/>
      <c r="J1301"/>
      <c r="K1301"/>
      <c r="L1301"/>
      <c r="M1301" t="s">
        <v>2499</v>
      </c>
      <c r="N1301" t="s">
        <v>2500</v>
      </c>
      <c r="O1301" t="s">
        <v>2501</v>
      </c>
      <c r="P1301" t="s">
        <v>2502</v>
      </c>
      <c r="Q1301" t="s">
        <v>2503</v>
      </c>
      <c r="R1301" t="s">
        <v>2504</v>
      </c>
      <c r="S1301" t="s">
        <v>2505</v>
      </c>
      <c r="T1301" t="s">
        <v>360</v>
      </c>
      <c r="U1301" t="s">
        <v>360</v>
      </c>
      <c r="V1301" t="s">
        <v>2506</v>
      </c>
      <c r="W1301" t="s">
        <v>2507</v>
      </c>
      <c r="X1301" t="s">
        <v>2508</v>
      </c>
      <c r="Y1301" t="s">
        <v>360</v>
      </c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</row>
    <row r="1302">
      <c r="A1302" t="s">
        <v>233</v>
      </c>
      <c r="B1302" t="s">
        <v>224</v>
      </c>
      <c r="C1302" t="s">
        <v>225</v>
      </c>
      <c r="D1302" t="s">
        <v>213</v>
      </c>
      <c r="E1302" t="s">
        <v>323</v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 t="s">
        <v>272</v>
      </c>
      <c r="W1302" t="s">
        <v>272</v>
      </c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</row>
    <row r="1303">
      <c r="A1303" t="s">
        <v>233</v>
      </c>
      <c r="B1303" t="s">
        <v>224</v>
      </c>
      <c r="C1303" t="s">
        <v>225</v>
      </c>
      <c r="D1303" t="s">
        <v>213</v>
      </c>
      <c r="E1303" t="s">
        <v>324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 t="s">
        <v>272</v>
      </c>
      <c r="W1303" t="s">
        <v>272</v>
      </c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</row>
    <row r="1304">
      <c r="A1304" t="s">
        <v>233</v>
      </c>
      <c r="B1304" t="s">
        <v>224</v>
      </c>
      <c r="C1304" t="s">
        <v>225</v>
      </c>
      <c r="D1304" t="s">
        <v>213</v>
      </c>
      <c r="E1304" t="s">
        <v>325</v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 t="s">
        <v>269</v>
      </c>
      <c r="W1304" t="s">
        <v>269</v>
      </c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</row>
    <row r="1305">
      <c r="A1305" t="s">
        <v>233</v>
      </c>
      <c r="B1305" t="s">
        <v>224</v>
      </c>
      <c r="C1305" t="s">
        <v>225</v>
      </c>
      <c r="D1305" t="s">
        <v>213</v>
      </c>
      <c r="E1305" t="s">
        <v>326</v>
      </c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 t="s">
        <v>2511</v>
      </c>
      <c r="W1305" t="s">
        <v>2512</v>
      </c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</row>
    <row r="1306">
      <c r="A1306" t="s">
        <v>233</v>
      </c>
      <c r="B1306" t="s">
        <v>224</v>
      </c>
      <c r="C1306" t="s">
        <v>225</v>
      </c>
      <c r="D1306" t="s">
        <v>213</v>
      </c>
      <c r="E1306" t="s">
        <v>329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</row>
    <row r="1307">
      <c r="A1307" t="s">
        <v>233</v>
      </c>
      <c r="B1307" t="s">
        <v>224</v>
      </c>
      <c r="C1307" t="s">
        <v>225</v>
      </c>
      <c r="D1307" t="s">
        <v>213</v>
      </c>
      <c r="E1307" t="s">
        <v>330</v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</row>
    <row r="1308">
      <c r="A1308" t="s">
        <v>233</v>
      </c>
      <c r="B1308" t="s">
        <v>224</v>
      </c>
      <c r="C1308" t="s">
        <v>225</v>
      </c>
      <c r="D1308" t="s">
        <v>213</v>
      </c>
      <c r="E1308" t="s">
        <v>331</v>
      </c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</row>
    <row r="1309">
      <c r="A1309" t="s">
        <v>233</v>
      </c>
      <c r="B1309" t="s">
        <v>224</v>
      </c>
      <c r="C1309" t="s">
        <v>225</v>
      </c>
      <c r="D1309" t="s">
        <v>213</v>
      </c>
      <c r="E1309" t="s">
        <v>332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</row>
    <row r="1310">
      <c r="A1310" t="s">
        <v>233</v>
      </c>
      <c r="B1310" t="s">
        <v>224</v>
      </c>
      <c r="C1310" t="s">
        <v>225</v>
      </c>
      <c r="D1310" t="s">
        <v>213</v>
      </c>
      <c r="E1310" t="s">
        <v>333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</row>
    <row r="1311">
      <c r="A1311" t="s">
        <v>233</v>
      </c>
      <c r="B1311" t="s">
        <v>224</v>
      </c>
      <c r="C1311" t="s">
        <v>225</v>
      </c>
      <c r="D1311" t="s">
        <v>213</v>
      </c>
      <c r="E1311" t="s">
        <v>334</v>
      </c>
      <c r="F1311"/>
      <c r="G1311"/>
      <c r="H1311"/>
      <c r="I1311"/>
      <c r="J1311"/>
      <c r="K1311"/>
      <c r="L1311"/>
      <c r="M1311" t="s">
        <v>392</v>
      </c>
      <c r="N1311" t="s">
        <v>392</v>
      </c>
      <c r="O1311" t="s">
        <v>392</v>
      </c>
      <c r="P1311" t="s">
        <v>392</v>
      </c>
      <c r="Q1311" t="s">
        <v>392</v>
      </c>
      <c r="R1311" t="s">
        <v>392</v>
      </c>
      <c r="S1311" t="s">
        <v>392</v>
      </c>
      <c r="T1311" t="s">
        <v>392</v>
      </c>
      <c r="U1311" t="s">
        <v>392</v>
      </c>
      <c r="V1311" t="s">
        <v>392</v>
      </c>
      <c r="W1311" t="s">
        <v>392</v>
      </c>
      <c r="X1311" t="s">
        <v>392</v>
      </c>
      <c r="Y1311" t="s">
        <v>392</v>
      </c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</row>
    <row r="1312">
      <c r="A1312" t="s">
        <v>233</v>
      </c>
      <c r="B1312" t="s">
        <v>224</v>
      </c>
      <c r="C1312" t="s">
        <v>225</v>
      </c>
      <c r="D1312" t="s">
        <v>213</v>
      </c>
      <c r="E1312" t="s">
        <v>336</v>
      </c>
      <c r="F1312"/>
      <c r="G1312"/>
      <c r="H1312"/>
      <c r="I1312"/>
      <c r="J1312"/>
      <c r="K1312"/>
      <c r="L1312"/>
      <c r="M1312" t="s">
        <v>335</v>
      </c>
      <c r="N1312" t="s">
        <v>335</v>
      </c>
      <c r="O1312" t="s">
        <v>335</v>
      </c>
      <c r="P1312" t="s">
        <v>335</v>
      </c>
      <c r="Q1312" t="s">
        <v>335</v>
      </c>
      <c r="R1312" t="s">
        <v>335</v>
      </c>
      <c r="S1312" t="s">
        <v>335</v>
      </c>
      <c r="T1312" t="s">
        <v>335</v>
      </c>
      <c r="U1312" t="s">
        <v>335</v>
      </c>
      <c r="V1312" t="s">
        <v>335</v>
      </c>
      <c r="W1312" t="s">
        <v>335</v>
      </c>
      <c r="X1312" t="s">
        <v>335</v>
      </c>
      <c r="Y1312" t="s">
        <v>335</v>
      </c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</row>
    <row r="1313">
      <c r="A1313" t="s">
        <v>233</v>
      </c>
      <c r="B1313" t="s">
        <v>224</v>
      </c>
      <c r="C1313" t="s">
        <v>225</v>
      </c>
      <c r="D1313" t="s">
        <v>213</v>
      </c>
      <c r="E1313" t="s">
        <v>338</v>
      </c>
      <c r="F1313"/>
      <c r="G1313"/>
      <c r="H1313"/>
      <c r="I1313"/>
      <c r="J1313"/>
      <c r="K1313"/>
      <c r="L1313"/>
      <c r="M1313" t="s">
        <v>335</v>
      </c>
      <c r="N1313" t="s">
        <v>335</v>
      </c>
      <c r="O1313" t="s">
        <v>335</v>
      </c>
      <c r="P1313" t="s">
        <v>335</v>
      </c>
      <c r="Q1313" t="s">
        <v>335</v>
      </c>
      <c r="R1313" t="s">
        <v>335</v>
      </c>
      <c r="S1313" t="s">
        <v>335</v>
      </c>
      <c r="T1313" t="s">
        <v>335</v>
      </c>
      <c r="U1313" t="s">
        <v>335</v>
      </c>
      <c r="V1313" t="s">
        <v>335</v>
      </c>
      <c r="W1313" t="s">
        <v>335</v>
      </c>
      <c r="X1313" t="s">
        <v>335</v>
      </c>
      <c r="Y1313" t="s">
        <v>335</v>
      </c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</row>
    <row r="1314">
      <c r="A1314" t="s">
        <v>233</v>
      </c>
      <c r="B1314" t="s">
        <v>224</v>
      </c>
      <c r="C1314" t="s">
        <v>225</v>
      </c>
      <c r="D1314" t="s">
        <v>213</v>
      </c>
      <c r="E1314" t="s">
        <v>339</v>
      </c>
      <c r="F1314"/>
      <c r="G1314"/>
      <c r="H1314"/>
      <c r="I1314"/>
      <c r="J1314"/>
      <c r="K1314"/>
      <c r="L1314"/>
      <c r="M1314" t="s">
        <v>2513</v>
      </c>
      <c r="N1314" t="s">
        <v>2514</v>
      </c>
      <c r="O1314" t="s">
        <v>2515</v>
      </c>
      <c r="P1314" t="s">
        <v>2516</v>
      </c>
      <c r="Q1314" t="s">
        <v>2517</v>
      </c>
      <c r="R1314" t="s">
        <v>2518</v>
      </c>
      <c r="S1314" t="s">
        <v>2519</v>
      </c>
      <c r="T1314" t="s">
        <v>360</v>
      </c>
      <c r="U1314" t="s">
        <v>360</v>
      </c>
      <c r="V1314" t="s">
        <v>2520</v>
      </c>
      <c r="W1314" t="s">
        <v>2521</v>
      </c>
      <c r="X1314" t="s">
        <v>2522</v>
      </c>
      <c r="Y1314" t="s">
        <v>360</v>
      </c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</row>
    <row r="1315">
      <c r="A1315" t="s">
        <v>233</v>
      </c>
      <c r="B1315" t="s">
        <v>224</v>
      </c>
      <c r="C1315" t="s">
        <v>225</v>
      </c>
      <c r="D1315" t="s">
        <v>213</v>
      </c>
      <c r="E1315" t="s">
        <v>358</v>
      </c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</row>
    <row r="1316">
      <c r="A1316" t="s">
        <v>233</v>
      </c>
      <c r="B1316" t="s">
        <v>247</v>
      </c>
      <c r="C1316" t="s">
        <v>231</v>
      </c>
      <c r="D1316" t="s">
        <v>213</v>
      </c>
      <c r="E1316" t="s">
        <v>297</v>
      </c>
      <c r="F1316"/>
      <c r="G1316"/>
      <c r="H1316"/>
      <c r="I1316"/>
      <c r="J1316"/>
      <c r="K1316"/>
      <c r="L1316"/>
      <c r="M1316" t="s">
        <v>2523</v>
      </c>
      <c r="N1316" t="s">
        <v>2524</v>
      </c>
      <c r="O1316" t="s">
        <v>2525</v>
      </c>
      <c r="P1316" t="s">
        <v>2526</v>
      </c>
      <c r="Q1316" t="s">
        <v>2527</v>
      </c>
      <c r="R1316" t="s">
        <v>2528</v>
      </c>
      <c r="S1316" t="s">
        <v>2529</v>
      </c>
      <c r="T1316" t="s">
        <v>2530</v>
      </c>
      <c r="U1316" t="s">
        <v>2531</v>
      </c>
      <c r="V1316" t="s">
        <v>2532</v>
      </c>
      <c r="W1316" t="s">
        <v>2533</v>
      </c>
      <c r="X1316" t="s">
        <v>2534</v>
      </c>
      <c r="Y1316" t="s">
        <v>2535</v>
      </c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</row>
    <row r="1317">
      <c r="A1317" t="s">
        <v>233</v>
      </c>
      <c r="B1317" t="s">
        <v>247</v>
      </c>
      <c r="C1317" t="s">
        <v>231</v>
      </c>
      <c r="D1317" t="s">
        <v>213</v>
      </c>
      <c r="E1317" t="s">
        <v>316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</row>
    <row r="1318">
      <c r="A1318" t="s">
        <v>233</v>
      </c>
      <c r="B1318" t="s">
        <v>247</v>
      </c>
      <c r="C1318" t="s">
        <v>231</v>
      </c>
      <c r="D1318" t="s">
        <v>213</v>
      </c>
      <c r="E1318" t="s">
        <v>317</v>
      </c>
      <c r="F1318"/>
      <c r="G1318"/>
      <c r="H1318"/>
      <c r="I1318"/>
      <c r="J1318"/>
      <c r="K1318"/>
      <c r="L1318"/>
      <c r="M1318" t="s">
        <v>382</v>
      </c>
      <c r="N1318" t="s">
        <v>382</v>
      </c>
      <c r="O1318" t="s">
        <v>382</v>
      </c>
      <c r="P1318" t="s">
        <v>382</v>
      </c>
      <c r="Q1318" t="s">
        <v>382</v>
      </c>
      <c r="R1318" t="s">
        <v>2536</v>
      </c>
      <c r="S1318" t="s">
        <v>2537</v>
      </c>
      <c r="T1318" t="s">
        <v>2538</v>
      </c>
      <c r="U1318" t="s">
        <v>2538</v>
      </c>
      <c r="V1318" t="s">
        <v>2538</v>
      </c>
      <c r="W1318" t="s">
        <v>2538</v>
      </c>
      <c r="X1318" t="s">
        <v>2538</v>
      </c>
      <c r="Y1318" t="s">
        <v>2538</v>
      </c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</row>
    <row r="1319">
      <c r="A1319" t="s">
        <v>233</v>
      </c>
      <c r="B1319" t="s">
        <v>247</v>
      </c>
      <c r="C1319" t="s">
        <v>231</v>
      </c>
      <c r="D1319" t="s">
        <v>213</v>
      </c>
      <c r="E1319" t="s">
        <v>320</v>
      </c>
      <c r="F1319"/>
      <c r="G1319"/>
      <c r="H1319"/>
      <c r="I1319"/>
      <c r="J1319"/>
      <c r="K1319"/>
      <c r="L1319"/>
      <c r="M1319" t="s">
        <v>2524</v>
      </c>
      <c r="N1319" t="s">
        <v>2525</v>
      </c>
      <c r="O1319" t="s">
        <v>2526</v>
      </c>
      <c r="P1319" t="s">
        <v>2527</v>
      </c>
      <c r="Q1319" t="s">
        <v>2528</v>
      </c>
      <c r="R1319" t="s">
        <v>2529</v>
      </c>
      <c r="S1319" t="s">
        <v>2530</v>
      </c>
      <c r="T1319" t="s">
        <v>2531</v>
      </c>
      <c r="U1319" t="s">
        <v>2532</v>
      </c>
      <c r="V1319" t="s">
        <v>2533</v>
      </c>
      <c r="W1319" t="s">
        <v>2534</v>
      </c>
      <c r="X1319" t="s">
        <v>2535</v>
      </c>
      <c r="Y1319" t="s">
        <v>2539</v>
      </c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</row>
    <row r="1320">
      <c r="A1320" t="s">
        <v>233</v>
      </c>
      <c r="B1320" t="s">
        <v>247</v>
      </c>
      <c r="C1320" t="s">
        <v>231</v>
      </c>
      <c r="D1320" t="s">
        <v>213</v>
      </c>
      <c r="E1320" t="s">
        <v>323</v>
      </c>
      <c r="F1320"/>
      <c r="G1320"/>
      <c r="H1320"/>
      <c r="I1320"/>
      <c r="J1320"/>
      <c r="K1320"/>
      <c r="L1320"/>
      <c r="M1320" t="s">
        <v>236</v>
      </c>
      <c r="N1320"/>
      <c r="O1320" t="s">
        <v>236</v>
      </c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</row>
    <row r="1321">
      <c r="A1321" t="s">
        <v>233</v>
      </c>
      <c r="B1321" t="s">
        <v>247</v>
      </c>
      <c r="C1321" t="s">
        <v>231</v>
      </c>
      <c r="D1321" t="s">
        <v>213</v>
      </c>
      <c r="E1321" t="s">
        <v>324</v>
      </c>
      <c r="F1321"/>
      <c r="G1321"/>
      <c r="H1321"/>
      <c r="I1321"/>
      <c r="J1321"/>
      <c r="K1321"/>
      <c r="L1321"/>
      <c r="M1321" t="s">
        <v>236</v>
      </c>
      <c r="N1321"/>
      <c r="O1321" t="s">
        <v>236</v>
      </c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</row>
    <row r="1322">
      <c r="A1322" t="s">
        <v>233</v>
      </c>
      <c r="B1322" t="s">
        <v>247</v>
      </c>
      <c r="C1322" t="s">
        <v>231</v>
      </c>
      <c r="D1322" t="s">
        <v>213</v>
      </c>
      <c r="E1322" t="s">
        <v>325</v>
      </c>
      <c r="F1322"/>
      <c r="G1322"/>
      <c r="H1322"/>
      <c r="I1322"/>
      <c r="J1322"/>
      <c r="K1322"/>
      <c r="L1322"/>
      <c r="M1322" t="s">
        <v>259</v>
      </c>
      <c r="N1322"/>
      <c r="O1322" t="s">
        <v>259</v>
      </c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</row>
    <row r="1323">
      <c r="A1323" t="s">
        <v>233</v>
      </c>
      <c r="B1323" t="s">
        <v>247</v>
      </c>
      <c r="C1323" t="s">
        <v>231</v>
      </c>
      <c r="D1323" t="s">
        <v>213</v>
      </c>
      <c r="E1323" t="s">
        <v>326</v>
      </c>
      <c r="F1323"/>
      <c r="G1323"/>
      <c r="H1323"/>
      <c r="I1323"/>
      <c r="J1323"/>
      <c r="K1323"/>
      <c r="L1323"/>
      <c r="M1323" t="s">
        <v>2540</v>
      </c>
      <c r="N1323"/>
      <c r="O1323" t="s">
        <v>2541</v>
      </c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</row>
    <row r="1324">
      <c r="A1324" t="s">
        <v>233</v>
      </c>
      <c r="B1324" t="s">
        <v>247</v>
      </c>
      <c r="C1324" t="s">
        <v>231</v>
      </c>
      <c r="D1324" t="s">
        <v>213</v>
      </c>
      <c r="E1324" t="s">
        <v>329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</row>
    <row r="1325">
      <c r="A1325" t="s">
        <v>233</v>
      </c>
      <c r="B1325" t="s">
        <v>247</v>
      </c>
      <c r="C1325" t="s">
        <v>231</v>
      </c>
      <c r="D1325" t="s">
        <v>213</v>
      </c>
      <c r="E1325" t="s">
        <v>330</v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</row>
    <row r="1326">
      <c r="A1326" t="s">
        <v>233</v>
      </c>
      <c r="B1326" t="s">
        <v>247</v>
      </c>
      <c r="C1326" t="s">
        <v>231</v>
      </c>
      <c r="D1326" t="s">
        <v>213</v>
      </c>
      <c r="E1326" t="s">
        <v>331</v>
      </c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</row>
    <row r="1327">
      <c r="A1327" t="s">
        <v>233</v>
      </c>
      <c r="B1327" t="s">
        <v>247</v>
      </c>
      <c r="C1327" t="s">
        <v>231</v>
      </c>
      <c r="D1327" t="s">
        <v>213</v>
      </c>
      <c r="E1327" t="s">
        <v>332</v>
      </c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</row>
    <row r="1328">
      <c r="A1328" t="s">
        <v>233</v>
      </c>
      <c r="B1328" t="s">
        <v>247</v>
      </c>
      <c r="C1328" t="s">
        <v>231</v>
      </c>
      <c r="D1328" t="s">
        <v>213</v>
      </c>
      <c r="E1328" t="s">
        <v>333</v>
      </c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</row>
    <row r="1329">
      <c r="A1329" t="s">
        <v>233</v>
      </c>
      <c r="B1329" t="s">
        <v>247</v>
      </c>
      <c r="C1329" t="s">
        <v>231</v>
      </c>
      <c r="D1329" t="s">
        <v>213</v>
      </c>
      <c r="E1329" t="s">
        <v>334</v>
      </c>
      <c r="F1329"/>
      <c r="G1329"/>
      <c r="H1329"/>
      <c r="I1329"/>
      <c r="J1329"/>
      <c r="K1329"/>
      <c r="L1329"/>
      <c r="M1329" t="s">
        <v>392</v>
      </c>
      <c r="N1329" t="s">
        <v>392</v>
      </c>
      <c r="O1329" t="s">
        <v>392</v>
      </c>
      <c r="P1329" t="s">
        <v>392</v>
      </c>
      <c r="Q1329" t="s">
        <v>392</v>
      </c>
      <c r="R1329" t="s">
        <v>392</v>
      </c>
      <c r="S1329" t="s">
        <v>392</v>
      </c>
      <c r="T1329" t="s">
        <v>392</v>
      </c>
      <c r="U1329" t="s">
        <v>392</v>
      </c>
      <c r="V1329" t="s">
        <v>392</v>
      </c>
      <c r="W1329" t="s">
        <v>392</v>
      </c>
      <c r="X1329" t="s">
        <v>392</v>
      </c>
      <c r="Y1329" t="s">
        <v>392</v>
      </c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</row>
    <row r="1330">
      <c r="A1330" t="s">
        <v>233</v>
      </c>
      <c r="B1330" t="s">
        <v>247</v>
      </c>
      <c r="C1330" t="s">
        <v>231</v>
      </c>
      <c r="D1330" t="s">
        <v>213</v>
      </c>
      <c r="E1330" t="s">
        <v>336</v>
      </c>
      <c r="F1330"/>
      <c r="G1330"/>
      <c r="H1330"/>
      <c r="I1330"/>
      <c r="J1330"/>
      <c r="K1330"/>
      <c r="L1330"/>
      <c r="M1330" t="s">
        <v>335</v>
      </c>
      <c r="N1330" t="s">
        <v>335</v>
      </c>
      <c r="O1330" t="s">
        <v>335</v>
      </c>
      <c r="P1330" t="s">
        <v>335</v>
      </c>
      <c r="Q1330" t="s">
        <v>335</v>
      </c>
      <c r="R1330" t="s">
        <v>335</v>
      </c>
      <c r="S1330" t="s">
        <v>335</v>
      </c>
      <c r="T1330" t="s">
        <v>335</v>
      </c>
      <c r="U1330" t="s">
        <v>335</v>
      </c>
      <c r="V1330" t="s">
        <v>335</v>
      </c>
      <c r="W1330" t="s">
        <v>335</v>
      </c>
      <c r="X1330" t="s">
        <v>335</v>
      </c>
      <c r="Y1330" t="s">
        <v>335</v>
      </c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</row>
    <row r="1331">
      <c r="A1331" t="s">
        <v>233</v>
      </c>
      <c r="B1331" t="s">
        <v>247</v>
      </c>
      <c r="C1331" t="s">
        <v>231</v>
      </c>
      <c r="D1331" t="s">
        <v>213</v>
      </c>
      <c r="E1331" t="s">
        <v>338</v>
      </c>
      <c r="F1331"/>
      <c r="G1331"/>
      <c r="H1331"/>
      <c r="I1331"/>
      <c r="J1331"/>
      <c r="K1331"/>
      <c r="L1331"/>
      <c r="M1331" t="s">
        <v>335</v>
      </c>
      <c r="N1331" t="s">
        <v>335</v>
      </c>
      <c r="O1331" t="s">
        <v>335</v>
      </c>
      <c r="P1331" t="s">
        <v>335</v>
      </c>
      <c r="Q1331" t="s">
        <v>335</v>
      </c>
      <c r="R1331" t="s">
        <v>335</v>
      </c>
      <c r="S1331" t="s">
        <v>335</v>
      </c>
      <c r="T1331" t="s">
        <v>335</v>
      </c>
      <c r="U1331" t="s">
        <v>335</v>
      </c>
      <c r="V1331" t="s">
        <v>335</v>
      </c>
      <c r="W1331" t="s">
        <v>335</v>
      </c>
      <c r="X1331" t="s">
        <v>335</v>
      </c>
      <c r="Y1331" t="s">
        <v>335</v>
      </c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</row>
    <row r="1332">
      <c r="A1332" t="s">
        <v>233</v>
      </c>
      <c r="B1332" t="s">
        <v>247</v>
      </c>
      <c r="C1332" t="s">
        <v>231</v>
      </c>
      <c r="D1332" t="s">
        <v>213</v>
      </c>
      <c r="E1332" t="s">
        <v>339</v>
      </c>
      <c r="F1332"/>
      <c r="G1332"/>
      <c r="H1332"/>
      <c r="I1332"/>
      <c r="J1332"/>
      <c r="K1332"/>
      <c r="L1332"/>
      <c r="M1332" t="s">
        <v>2542</v>
      </c>
      <c r="N1332" t="s">
        <v>2543</v>
      </c>
      <c r="O1332" t="s">
        <v>2544</v>
      </c>
      <c r="P1332" t="s">
        <v>2545</v>
      </c>
      <c r="Q1332" t="s">
        <v>2546</v>
      </c>
      <c r="R1332" t="s">
        <v>2547</v>
      </c>
      <c r="S1332" t="s">
        <v>2548</v>
      </c>
      <c r="T1332" t="s">
        <v>2549</v>
      </c>
      <c r="U1332" t="s">
        <v>2550</v>
      </c>
      <c r="V1332" t="s">
        <v>2551</v>
      </c>
      <c r="W1332" t="s">
        <v>2552</v>
      </c>
      <c r="X1332" t="s">
        <v>2553</v>
      </c>
      <c r="Y1332" t="s">
        <v>2554</v>
      </c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</row>
    <row r="1333">
      <c r="A1333" t="s">
        <v>233</v>
      </c>
      <c r="B1333" t="s">
        <v>247</v>
      </c>
      <c r="C1333" t="s">
        <v>231</v>
      </c>
      <c r="D1333" t="s">
        <v>213</v>
      </c>
      <c r="E1333" t="s">
        <v>358</v>
      </c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</row>
    <row r="1334">
      <c r="A1334" t="s">
        <v>233</v>
      </c>
      <c r="B1334" t="s">
        <v>248</v>
      </c>
      <c r="C1334"/>
      <c r="D1334" t="s">
        <v>213</v>
      </c>
      <c r="E1334" t="s">
        <v>297</v>
      </c>
      <c r="F1334"/>
      <c r="G1334"/>
      <c r="H1334"/>
      <c r="I1334"/>
      <c r="J1334"/>
      <c r="K1334"/>
      <c r="L1334"/>
      <c r="M1334" t="s">
        <v>2555</v>
      </c>
      <c r="N1334" t="s">
        <v>2556</v>
      </c>
      <c r="O1334" t="s">
        <v>2557</v>
      </c>
      <c r="P1334" t="s">
        <v>2558</v>
      </c>
      <c r="Q1334" t="s">
        <v>2559</v>
      </c>
      <c r="R1334" t="s">
        <v>2560</v>
      </c>
      <c r="S1334" t="s">
        <v>2561</v>
      </c>
      <c r="T1334" t="s">
        <v>2562</v>
      </c>
      <c r="U1334" t="s">
        <v>2563</v>
      </c>
      <c r="V1334" t="s">
        <v>2564</v>
      </c>
      <c r="W1334" t="s">
        <v>2565</v>
      </c>
      <c r="X1334" t="s">
        <v>360</v>
      </c>
      <c r="Y1334" t="s">
        <v>360</v>
      </c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</row>
    <row r="1335">
      <c r="A1335" t="s">
        <v>233</v>
      </c>
      <c r="B1335" t="s">
        <v>248</v>
      </c>
      <c r="C1335"/>
      <c r="D1335" t="s">
        <v>213</v>
      </c>
      <c r="E1335" t="s">
        <v>316</v>
      </c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</row>
    <row r="1336">
      <c r="A1336" t="s">
        <v>233</v>
      </c>
      <c r="B1336" t="s">
        <v>248</v>
      </c>
      <c r="C1336"/>
      <c r="D1336" t="s">
        <v>213</v>
      </c>
      <c r="E1336" t="s">
        <v>317</v>
      </c>
      <c r="F1336"/>
      <c r="G1336"/>
      <c r="H1336"/>
      <c r="I1336"/>
      <c r="J1336"/>
      <c r="K1336"/>
      <c r="L1336"/>
      <c r="M1336" t="s">
        <v>2566</v>
      </c>
      <c r="N1336" t="s">
        <v>2566</v>
      </c>
      <c r="O1336" t="s">
        <v>2566</v>
      </c>
      <c r="P1336" t="s">
        <v>2566</v>
      </c>
      <c r="Q1336" t="s">
        <v>2566</v>
      </c>
      <c r="R1336" t="s">
        <v>2566</v>
      </c>
      <c r="S1336" t="s">
        <v>2566</v>
      </c>
      <c r="T1336" t="s">
        <v>2566</v>
      </c>
      <c r="U1336" t="s">
        <v>2566</v>
      </c>
      <c r="V1336" t="s">
        <v>2566</v>
      </c>
      <c r="W1336" t="s">
        <v>2566</v>
      </c>
      <c r="X1336" t="s">
        <v>2566</v>
      </c>
      <c r="Y1336" t="s">
        <v>2566</v>
      </c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</row>
    <row r="1337">
      <c r="A1337" t="s">
        <v>233</v>
      </c>
      <c r="B1337" t="s">
        <v>248</v>
      </c>
      <c r="C1337"/>
      <c r="D1337" t="s">
        <v>213</v>
      </c>
      <c r="E1337" t="s">
        <v>320</v>
      </c>
      <c r="F1337"/>
      <c r="G1337"/>
      <c r="H1337"/>
      <c r="I1337"/>
      <c r="J1337"/>
      <c r="K1337"/>
      <c r="L1337"/>
      <c r="M1337" t="s">
        <v>2556</v>
      </c>
      <c r="N1337" t="s">
        <v>2557</v>
      </c>
      <c r="O1337" t="s">
        <v>2558</v>
      </c>
      <c r="P1337" t="s">
        <v>2559</v>
      </c>
      <c r="Q1337" t="s">
        <v>2560</v>
      </c>
      <c r="R1337" t="s">
        <v>2561</v>
      </c>
      <c r="S1337" t="s">
        <v>2562</v>
      </c>
      <c r="T1337" t="s">
        <v>2563</v>
      </c>
      <c r="U1337" t="s">
        <v>2564</v>
      </c>
      <c r="V1337" t="s">
        <v>2565</v>
      </c>
      <c r="W1337" t="s">
        <v>360</v>
      </c>
      <c r="X1337" t="s">
        <v>360</v>
      </c>
      <c r="Y1337" t="s">
        <v>360</v>
      </c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</row>
    <row r="1338">
      <c r="A1338" t="s">
        <v>233</v>
      </c>
      <c r="B1338" t="s">
        <v>248</v>
      </c>
      <c r="C1338"/>
      <c r="D1338" t="s">
        <v>213</v>
      </c>
      <c r="E1338" t="s">
        <v>323</v>
      </c>
      <c r="F1338"/>
      <c r="G1338"/>
      <c r="H1338"/>
      <c r="I1338"/>
      <c r="J1338"/>
      <c r="K1338"/>
      <c r="L1338"/>
      <c r="M1338"/>
      <c r="N1338"/>
      <c r="O1338"/>
      <c r="P1338"/>
      <c r="Q1338" t="s">
        <v>272</v>
      </c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</row>
    <row r="1339">
      <c r="A1339" t="s">
        <v>233</v>
      </c>
      <c r="B1339" t="s">
        <v>248</v>
      </c>
      <c r="C1339"/>
      <c r="D1339" t="s">
        <v>213</v>
      </c>
      <c r="E1339" t="s">
        <v>324</v>
      </c>
      <c r="F1339"/>
      <c r="G1339"/>
      <c r="H1339"/>
      <c r="I1339"/>
      <c r="J1339"/>
      <c r="K1339"/>
      <c r="L1339"/>
      <c r="M1339"/>
      <c r="N1339"/>
      <c r="O1339"/>
      <c r="P1339"/>
      <c r="Q1339" t="s">
        <v>272</v>
      </c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</row>
    <row r="1340">
      <c r="A1340" t="s">
        <v>233</v>
      </c>
      <c r="B1340" t="s">
        <v>248</v>
      </c>
      <c r="C1340"/>
      <c r="D1340" t="s">
        <v>213</v>
      </c>
      <c r="E1340" t="s">
        <v>325</v>
      </c>
      <c r="F1340"/>
      <c r="G1340"/>
      <c r="H1340"/>
      <c r="I1340"/>
      <c r="J1340"/>
      <c r="K1340"/>
      <c r="L1340"/>
      <c r="M1340"/>
      <c r="N1340"/>
      <c r="O1340"/>
      <c r="P1340"/>
      <c r="Q1340" t="s">
        <v>269</v>
      </c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</row>
    <row r="1341">
      <c r="A1341" t="s">
        <v>233</v>
      </c>
      <c r="B1341" t="s">
        <v>248</v>
      </c>
      <c r="C1341"/>
      <c r="D1341" t="s">
        <v>213</v>
      </c>
      <c r="E1341" t="s">
        <v>326</v>
      </c>
      <c r="F1341"/>
      <c r="G1341"/>
      <c r="H1341"/>
      <c r="I1341"/>
      <c r="J1341"/>
      <c r="K1341"/>
      <c r="L1341"/>
      <c r="M1341"/>
      <c r="N1341"/>
      <c r="O1341"/>
      <c r="P1341"/>
      <c r="Q1341" t="s">
        <v>2567</v>
      </c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</row>
    <row r="1342">
      <c r="A1342" t="s">
        <v>233</v>
      </c>
      <c r="B1342" t="s">
        <v>248</v>
      </c>
      <c r="C1342"/>
      <c r="D1342" t="s">
        <v>213</v>
      </c>
      <c r="E1342" t="s">
        <v>329</v>
      </c>
      <c r="F1342"/>
      <c r="G1342"/>
      <c r="H1342"/>
      <c r="I1342"/>
      <c r="J1342"/>
      <c r="K1342"/>
      <c r="L1342"/>
      <c r="M1342"/>
      <c r="N1342"/>
      <c r="O1342"/>
      <c r="P1342"/>
      <c r="Q1342" t="s">
        <v>281</v>
      </c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</row>
    <row r="1343">
      <c r="A1343" t="s">
        <v>233</v>
      </c>
      <c r="B1343" t="s">
        <v>248</v>
      </c>
      <c r="C1343"/>
      <c r="D1343" t="s">
        <v>213</v>
      </c>
      <c r="E1343" t="s">
        <v>330</v>
      </c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</row>
    <row r="1344">
      <c r="A1344" t="s">
        <v>233</v>
      </c>
      <c r="B1344" t="s">
        <v>248</v>
      </c>
      <c r="C1344"/>
      <c r="D1344" t="s">
        <v>213</v>
      </c>
      <c r="E1344" t="s">
        <v>331</v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</row>
    <row r="1345">
      <c r="A1345" t="s">
        <v>233</v>
      </c>
      <c r="B1345" t="s">
        <v>248</v>
      </c>
      <c r="C1345"/>
      <c r="D1345" t="s">
        <v>213</v>
      </c>
      <c r="E1345" t="s">
        <v>332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</row>
    <row r="1346">
      <c r="A1346" t="s">
        <v>233</v>
      </c>
      <c r="B1346" t="s">
        <v>248</v>
      </c>
      <c r="C1346"/>
      <c r="D1346" t="s">
        <v>213</v>
      </c>
      <c r="E1346" t="s">
        <v>333</v>
      </c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</row>
    <row r="1347">
      <c r="A1347" t="s">
        <v>233</v>
      </c>
      <c r="B1347" t="s">
        <v>248</v>
      </c>
      <c r="C1347"/>
      <c r="D1347" t="s">
        <v>213</v>
      </c>
      <c r="E1347" t="s">
        <v>334</v>
      </c>
      <c r="F1347"/>
      <c r="G1347"/>
      <c r="H1347"/>
      <c r="I1347"/>
      <c r="J1347"/>
      <c r="K1347"/>
      <c r="L1347"/>
      <c r="M1347" t="s">
        <v>392</v>
      </c>
      <c r="N1347" t="s">
        <v>392</v>
      </c>
      <c r="O1347" t="s">
        <v>392</v>
      </c>
      <c r="P1347" t="s">
        <v>392</v>
      </c>
      <c r="Q1347" t="s">
        <v>392</v>
      </c>
      <c r="R1347" t="s">
        <v>392</v>
      </c>
      <c r="S1347" t="s">
        <v>392</v>
      </c>
      <c r="T1347" t="s">
        <v>392</v>
      </c>
      <c r="U1347" t="s">
        <v>392</v>
      </c>
      <c r="V1347" t="s">
        <v>392</v>
      </c>
      <c r="W1347" t="s">
        <v>392</v>
      </c>
      <c r="X1347" t="s">
        <v>392</v>
      </c>
      <c r="Y1347" t="s">
        <v>392</v>
      </c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</row>
    <row r="1348">
      <c r="A1348" t="s">
        <v>233</v>
      </c>
      <c r="B1348" t="s">
        <v>248</v>
      </c>
      <c r="C1348"/>
      <c r="D1348" t="s">
        <v>213</v>
      </c>
      <c r="E1348" t="s">
        <v>336</v>
      </c>
      <c r="F1348"/>
      <c r="G1348"/>
      <c r="H1348"/>
      <c r="I1348"/>
      <c r="J1348"/>
      <c r="K1348"/>
      <c r="L1348"/>
      <c r="M1348" t="s">
        <v>335</v>
      </c>
      <c r="N1348" t="s">
        <v>335</v>
      </c>
      <c r="O1348" t="s">
        <v>335</v>
      </c>
      <c r="P1348" t="s">
        <v>335</v>
      </c>
      <c r="Q1348" t="s">
        <v>335</v>
      </c>
      <c r="R1348" t="s">
        <v>335</v>
      </c>
      <c r="S1348" t="s">
        <v>335</v>
      </c>
      <c r="T1348" t="s">
        <v>335</v>
      </c>
      <c r="U1348" t="s">
        <v>335</v>
      </c>
      <c r="V1348" t="s">
        <v>335</v>
      </c>
      <c r="W1348" t="s">
        <v>335</v>
      </c>
      <c r="X1348" t="s">
        <v>335</v>
      </c>
      <c r="Y1348" t="s">
        <v>335</v>
      </c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</row>
    <row r="1349">
      <c r="A1349" t="s">
        <v>233</v>
      </c>
      <c r="B1349" t="s">
        <v>248</v>
      </c>
      <c r="C1349"/>
      <c r="D1349" t="s">
        <v>213</v>
      </c>
      <c r="E1349" t="s">
        <v>338</v>
      </c>
      <c r="F1349"/>
      <c r="G1349"/>
      <c r="H1349"/>
      <c r="I1349"/>
      <c r="J1349"/>
      <c r="K1349"/>
      <c r="L1349"/>
      <c r="M1349" t="s">
        <v>335</v>
      </c>
      <c r="N1349" t="s">
        <v>335</v>
      </c>
      <c r="O1349" t="s">
        <v>335</v>
      </c>
      <c r="P1349" t="s">
        <v>335</v>
      </c>
      <c r="Q1349" t="s">
        <v>335</v>
      </c>
      <c r="R1349" t="s">
        <v>335</v>
      </c>
      <c r="S1349" t="s">
        <v>335</v>
      </c>
      <c r="T1349" t="s">
        <v>335</v>
      </c>
      <c r="U1349" t="s">
        <v>335</v>
      </c>
      <c r="V1349" t="s">
        <v>335</v>
      </c>
      <c r="W1349" t="s">
        <v>335</v>
      </c>
      <c r="X1349" t="s">
        <v>335</v>
      </c>
      <c r="Y1349" t="s">
        <v>335</v>
      </c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</row>
    <row r="1350">
      <c r="A1350" t="s">
        <v>233</v>
      </c>
      <c r="B1350" t="s">
        <v>248</v>
      </c>
      <c r="C1350"/>
      <c r="D1350" t="s">
        <v>213</v>
      </c>
      <c r="E1350" t="s">
        <v>339</v>
      </c>
      <c r="F1350"/>
      <c r="G1350"/>
      <c r="H1350"/>
      <c r="I1350"/>
      <c r="J1350"/>
      <c r="K1350"/>
      <c r="L1350"/>
      <c r="M1350" t="s">
        <v>2568</v>
      </c>
      <c r="N1350" t="s">
        <v>2569</v>
      </c>
      <c r="O1350" t="s">
        <v>2570</v>
      </c>
      <c r="P1350" t="s">
        <v>2571</v>
      </c>
      <c r="Q1350" t="s">
        <v>2572</v>
      </c>
      <c r="R1350" t="s">
        <v>2573</v>
      </c>
      <c r="S1350" t="s">
        <v>2574</v>
      </c>
      <c r="T1350" t="s">
        <v>2575</v>
      </c>
      <c r="U1350" t="s">
        <v>2576</v>
      </c>
      <c r="V1350" t="s">
        <v>2577</v>
      </c>
      <c r="W1350" t="s">
        <v>360</v>
      </c>
      <c r="X1350" t="s">
        <v>360</v>
      </c>
      <c r="Y1350" t="s">
        <v>360</v>
      </c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</row>
    <row r="1351">
      <c r="A1351" t="s">
        <v>233</v>
      </c>
      <c r="B1351" t="s">
        <v>248</v>
      </c>
      <c r="C1351"/>
      <c r="D1351" t="s">
        <v>213</v>
      </c>
      <c r="E1351" t="s">
        <v>358</v>
      </c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</row>
    <row r="1352">
      <c r="A1352" t="s">
        <v>233</v>
      </c>
      <c r="B1352" t="s">
        <v>245</v>
      </c>
      <c r="C1352" t="s">
        <v>246</v>
      </c>
      <c r="D1352" t="s">
        <v>213</v>
      </c>
      <c r="E1352"/>
      <c r="F1352"/>
      <c r="G1352"/>
      <c r="H1352"/>
      <c r="I1352"/>
      <c r="J1352"/>
      <c r="K1352"/>
      <c r="L1352"/>
      <c r="M1352"/>
      <c r="N1352" t="s">
        <v>214</v>
      </c>
      <c r="O1352"/>
      <c r="P1352"/>
      <c r="Q1352"/>
      <c r="R1352"/>
      <c r="S1352"/>
      <c r="T1352"/>
      <c r="U1352"/>
      <c r="V1352"/>
      <c r="W1352"/>
      <c r="X1352" t="n">
        <v>3706400</v>
      </c>
      <c r="Y1352" t="n">
        <v>3496400</v>
      </c>
      <c r="Z1352" t="n">
        <v>3286400</v>
      </c>
      <c r="AA1352" t="n">
        <v>3076400</v>
      </c>
      <c r="AB1352" t="n">
        <v>2866400</v>
      </c>
      <c r="AC1352" t="n">
        <v>2656400</v>
      </c>
      <c r="AD1352" t="n">
        <v>2446400</v>
      </c>
      <c r="AE1352"/>
      <c r="AF1352" t="n">
        <v>2811000</v>
      </c>
      <c r="AG1352"/>
      <c r="AH1352"/>
      <c r="AI1352"/>
      <c r="AJ1352"/>
      <c r="AK1352"/>
      <c r="AL1352"/>
    </row>
    <row r="1353">
      <c r="A1353" t="s">
        <v>233</v>
      </c>
      <c r="B1353" t="s">
        <v>245</v>
      </c>
      <c r="C1353" t="s">
        <v>246</v>
      </c>
      <c r="D1353" t="s">
        <v>213</v>
      </c>
      <c r="E1353"/>
      <c r="F1353"/>
      <c r="G1353"/>
      <c r="H1353"/>
      <c r="I1353"/>
      <c r="J1353"/>
      <c r="K1353"/>
      <c r="L1353"/>
      <c r="M1353"/>
      <c r="N1353" t="s">
        <v>215</v>
      </c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</row>
    <row r="1354">
      <c r="A1354" t="s">
        <v>233</v>
      </c>
      <c r="B1354" t="s">
        <v>245</v>
      </c>
      <c r="C1354" t="s">
        <v>246</v>
      </c>
      <c r="D1354" t="s">
        <v>213</v>
      </c>
      <c r="E1354"/>
      <c r="F1354"/>
      <c r="G1354"/>
      <c r="H1354"/>
      <c r="I1354"/>
      <c r="J1354"/>
      <c r="K1354"/>
      <c r="L1354"/>
      <c r="M1354"/>
      <c r="N1354" t="s">
        <v>216</v>
      </c>
      <c r="O1354"/>
      <c r="P1354"/>
      <c r="Q1354"/>
      <c r="R1354"/>
      <c r="S1354"/>
      <c r="T1354"/>
      <c r="U1354"/>
      <c r="V1354"/>
      <c r="W1354"/>
      <c r="X1354" t="n">
        <v>210000</v>
      </c>
      <c r="Y1354" t="n">
        <v>210000</v>
      </c>
      <c r="Z1354" t="n">
        <v>210000</v>
      </c>
      <c r="AA1354" t="n">
        <v>210000</v>
      </c>
      <c r="AB1354" t="n">
        <v>210000</v>
      </c>
      <c r="AC1354" t="n">
        <v>210000</v>
      </c>
      <c r="AD1354" t="n">
        <v>210000</v>
      </c>
      <c r="AE1354"/>
      <c r="AF1354" t="n">
        <v>210000</v>
      </c>
      <c r="AG1354"/>
      <c r="AH1354"/>
      <c r="AI1354"/>
      <c r="AJ1354"/>
      <c r="AK1354"/>
      <c r="AL1354"/>
    </row>
    <row r="1355">
      <c r="A1355" t="s">
        <v>233</v>
      </c>
      <c r="B1355" t="s">
        <v>245</v>
      </c>
      <c r="C1355" t="s">
        <v>246</v>
      </c>
      <c r="D1355" t="s">
        <v>213</v>
      </c>
      <c r="E1355"/>
      <c r="F1355"/>
      <c r="G1355"/>
      <c r="H1355"/>
      <c r="I1355"/>
      <c r="J1355"/>
      <c r="K1355"/>
      <c r="L1355"/>
      <c r="M1355"/>
      <c r="N1355" t="s">
        <v>217</v>
      </c>
      <c r="O1355"/>
      <c r="P1355"/>
      <c r="Q1355"/>
      <c r="R1355"/>
      <c r="S1355"/>
      <c r="T1355"/>
      <c r="U1355"/>
      <c r="V1355"/>
      <c r="W1355"/>
      <c r="X1355" t="n">
        <v>3496400</v>
      </c>
      <c r="Y1355" t="n">
        <v>3286400</v>
      </c>
      <c r="Z1355" t="n">
        <v>3076400</v>
      </c>
      <c r="AA1355" t="n">
        <v>2866400</v>
      </c>
      <c r="AB1355" t="n">
        <v>2656400</v>
      </c>
      <c r="AC1355" t="n">
        <v>2446400</v>
      </c>
      <c r="AD1355" t="n">
        <v>2236400</v>
      </c>
      <c r="AE1355"/>
      <c r="AF1355" t="n">
        <v>2601000</v>
      </c>
      <c r="AG1355"/>
      <c r="AH1355"/>
      <c r="AI1355"/>
      <c r="AJ1355"/>
      <c r="AK1355"/>
      <c r="AL1355"/>
    </row>
    <row r="1356">
      <c r="A1356" t="s">
        <v>233</v>
      </c>
      <c r="B1356" t="s">
        <v>245</v>
      </c>
      <c r="C1356" t="s">
        <v>246</v>
      </c>
      <c r="D1356" t="s">
        <v>213</v>
      </c>
      <c r="E1356"/>
      <c r="F1356"/>
      <c r="G1356"/>
      <c r="H1356"/>
      <c r="I1356"/>
      <c r="J1356"/>
      <c r="K1356"/>
      <c r="L1356"/>
      <c r="M1356"/>
      <c r="N1356" t="s">
        <v>218</v>
      </c>
      <c r="O1356"/>
      <c r="P1356"/>
      <c r="Q1356"/>
      <c r="R1356"/>
      <c r="S1356"/>
      <c r="T1356"/>
      <c r="U1356"/>
      <c r="V1356"/>
      <c r="W1356"/>
      <c r="X1356" t="n">
        <v>3</v>
      </c>
      <c r="Y1356" t="n">
        <v>3</v>
      </c>
      <c r="Z1356" t="n">
        <v>3</v>
      </c>
      <c r="AA1356" t="n">
        <v>3</v>
      </c>
      <c r="AB1356" t="n">
        <v>3</v>
      </c>
      <c r="AC1356" t="n">
        <v>3</v>
      </c>
      <c r="AD1356" t="n">
        <v>3</v>
      </c>
      <c r="AE1356"/>
      <c r="AF1356" t="n">
        <v>3</v>
      </c>
      <c r="AG1356"/>
      <c r="AH1356"/>
      <c r="AI1356"/>
      <c r="AJ1356"/>
      <c r="AK1356"/>
      <c r="AL1356"/>
    </row>
    <row r="1357">
      <c r="A1357" t="s">
        <v>233</v>
      </c>
      <c r="B1357" t="s">
        <v>245</v>
      </c>
      <c r="C1357" t="s">
        <v>246</v>
      </c>
      <c r="D1357" t="s">
        <v>213</v>
      </c>
      <c r="E1357"/>
      <c r="F1357"/>
      <c r="G1357"/>
      <c r="H1357"/>
      <c r="I1357"/>
      <c r="J1357"/>
      <c r="K1357"/>
      <c r="L1357"/>
      <c r="M1357"/>
      <c r="N1357" t="s">
        <v>219</v>
      </c>
      <c r="O1357"/>
      <c r="P1357"/>
      <c r="Q1357"/>
      <c r="R1357"/>
      <c r="S1357"/>
      <c r="T1357"/>
      <c r="U1357"/>
      <c r="V1357"/>
      <c r="W1357"/>
      <c r="X1357" t="n">
        <v>6</v>
      </c>
      <c r="Y1357" t="n">
        <v>6</v>
      </c>
      <c r="Z1357" t="n">
        <v>6</v>
      </c>
      <c r="AA1357" t="n">
        <v>6</v>
      </c>
      <c r="AB1357" t="n">
        <v>6</v>
      </c>
      <c r="AC1357" t="n">
        <v>6</v>
      </c>
      <c r="AD1357" t="n">
        <v>6</v>
      </c>
      <c r="AE1357"/>
      <c r="AF1357" t="n">
        <v>6</v>
      </c>
      <c r="AG1357"/>
      <c r="AH1357"/>
      <c r="AI1357"/>
      <c r="AJ1357"/>
      <c r="AK1357"/>
      <c r="AL1357"/>
    </row>
    <row r="1358">
      <c r="A1358" t="s">
        <v>233</v>
      </c>
      <c r="B1358" t="s">
        <v>245</v>
      </c>
      <c r="C1358" t="s">
        <v>246</v>
      </c>
      <c r="D1358" t="s">
        <v>213</v>
      </c>
      <c r="E1358"/>
      <c r="F1358"/>
      <c r="G1358"/>
      <c r="H1358"/>
      <c r="I1358"/>
      <c r="J1358"/>
      <c r="K1358"/>
      <c r="L1358"/>
      <c r="M1358"/>
      <c r="N1358" t="s">
        <v>220</v>
      </c>
      <c r="O1358"/>
      <c r="P1358"/>
      <c r="Q1358"/>
      <c r="R1358"/>
      <c r="S1358"/>
      <c r="T1358"/>
      <c r="U1358"/>
      <c r="V1358"/>
      <c r="W1358"/>
      <c r="X1358" t="n">
        <v>6</v>
      </c>
      <c r="Y1358" t="n">
        <v>6</v>
      </c>
      <c r="Z1358" t="n">
        <v>6</v>
      </c>
      <c r="AA1358" t="n">
        <v>6</v>
      </c>
      <c r="AB1358" t="n">
        <v>6</v>
      </c>
      <c r="AC1358" t="n">
        <v>6</v>
      </c>
      <c r="AD1358" t="n">
        <v>6</v>
      </c>
      <c r="AE1358"/>
      <c r="AF1358" t="n">
        <v>6</v>
      </c>
      <c r="AG1358"/>
      <c r="AH1358"/>
      <c r="AI1358"/>
      <c r="AJ1358"/>
      <c r="AK1358"/>
      <c r="AL1358"/>
    </row>
    <row r="1359">
      <c r="A1359" t="s">
        <v>233</v>
      </c>
      <c r="B1359" t="s">
        <v>245</v>
      </c>
      <c r="C1359" t="s">
        <v>246</v>
      </c>
      <c r="D1359" t="s">
        <v>213</v>
      </c>
      <c r="E1359"/>
      <c r="F1359"/>
      <c r="G1359"/>
      <c r="H1359"/>
      <c r="I1359"/>
      <c r="J1359"/>
      <c r="K1359"/>
      <c r="L1359"/>
      <c r="M1359"/>
      <c r="N1359" t="s">
        <v>221</v>
      </c>
      <c r="O1359"/>
      <c r="P1359"/>
      <c r="Q1359"/>
      <c r="R1359"/>
      <c r="S1359"/>
      <c r="T1359"/>
      <c r="U1359"/>
      <c r="V1359"/>
      <c r="W1359"/>
      <c r="X1359" t="n">
        <v>16.6495238095238</v>
      </c>
      <c r="Y1359" t="n">
        <v>15.6495238095238</v>
      </c>
      <c r="Z1359" t="n">
        <v>14.6495238095238</v>
      </c>
      <c r="AA1359" t="n">
        <v>13.6495238095238</v>
      </c>
      <c r="AB1359" t="n">
        <v>12.6495238095238</v>
      </c>
      <c r="AC1359" t="n">
        <v>11.6495238095238</v>
      </c>
      <c r="AD1359" t="n">
        <v>10.6495238095238</v>
      </c>
      <c r="AE1359"/>
      <c r="AF1359" t="n">
        <v>12.3857142857143</v>
      </c>
      <c r="AG1359"/>
      <c r="AH1359"/>
      <c r="AI1359"/>
      <c r="AJ1359"/>
      <c r="AK1359"/>
      <c r="AL1359"/>
    </row>
    <row r="1360">
      <c r="A1360" t="s">
        <v>233</v>
      </c>
      <c r="B1360" t="s">
        <v>245</v>
      </c>
      <c r="C1360" t="s">
        <v>246</v>
      </c>
      <c r="D1360" t="s">
        <v>213</v>
      </c>
      <c r="E1360"/>
      <c r="F1360"/>
      <c r="G1360"/>
      <c r="H1360"/>
      <c r="I1360"/>
      <c r="J1360"/>
      <c r="K1360"/>
      <c r="L1360"/>
      <c r="M1360"/>
      <c r="N1360" t="s">
        <v>222</v>
      </c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</row>
    <row r="1361">
      <c r="A1361" t="s">
        <v>235</v>
      </c>
      <c r="B1361" t="s">
        <v>227</v>
      </c>
      <c r="C1361" t="s">
        <v>228</v>
      </c>
      <c r="D1361" t="s">
        <v>213</v>
      </c>
      <c r="E1361" t="s">
        <v>236</v>
      </c>
      <c r="F1361" t="s">
        <v>236</v>
      </c>
      <c r="G1361" t="s">
        <v>259</v>
      </c>
      <c r="H1361" t="n">
        <v>22000</v>
      </c>
      <c r="I1361"/>
      <c r="J1361" t="n">
        <v>12320</v>
      </c>
      <c r="K1361" t="s">
        <v>278</v>
      </c>
      <c r="L1361"/>
      <c r="M1361"/>
      <c r="N1361" t="s">
        <v>214</v>
      </c>
      <c r="O1361"/>
      <c r="P1361"/>
      <c r="Q1361"/>
      <c r="R1361"/>
      <c r="S1361"/>
      <c r="T1361"/>
      <c r="U1361"/>
      <c r="V1361"/>
      <c r="W1361"/>
      <c r="X1361" t="n">
        <v>0</v>
      </c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</row>
    <row r="1362">
      <c r="A1362" t="s">
        <v>235</v>
      </c>
      <c r="B1362" t="s">
        <v>227</v>
      </c>
      <c r="C1362" t="s">
        <v>228</v>
      </c>
      <c r="D1362" t="s">
        <v>213</v>
      </c>
      <c r="E1362" t="s">
        <v>236</v>
      </c>
      <c r="F1362" t="s">
        <v>236</v>
      </c>
      <c r="G1362" t="s">
        <v>259</v>
      </c>
      <c r="H1362" t="n">
        <v>22000</v>
      </c>
      <c r="I1362"/>
      <c r="J1362" t="n">
        <v>12320</v>
      </c>
      <c r="K1362" t="s">
        <v>278</v>
      </c>
      <c r="L1362"/>
      <c r="M1362"/>
      <c r="N1362" t="s">
        <v>215</v>
      </c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</row>
    <row r="1363">
      <c r="A1363" t="s">
        <v>235</v>
      </c>
      <c r="B1363" t="s">
        <v>227</v>
      </c>
      <c r="C1363" t="s">
        <v>228</v>
      </c>
      <c r="D1363" t="s">
        <v>213</v>
      </c>
      <c r="E1363" t="s">
        <v>236</v>
      </c>
      <c r="F1363" t="s">
        <v>236</v>
      </c>
      <c r="G1363" t="s">
        <v>259</v>
      </c>
      <c r="H1363" t="n">
        <v>22000</v>
      </c>
      <c r="I1363"/>
      <c r="J1363" t="n">
        <v>12320</v>
      </c>
      <c r="K1363" t="s">
        <v>278</v>
      </c>
      <c r="L1363"/>
      <c r="M1363"/>
      <c r="N1363" t="s">
        <v>216</v>
      </c>
      <c r="O1363"/>
      <c r="P1363"/>
      <c r="Q1363"/>
      <c r="R1363"/>
      <c r="S1363"/>
      <c r="T1363"/>
      <c r="U1363"/>
      <c r="V1363"/>
      <c r="W1363"/>
      <c r="X1363" t="n">
        <v>7816</v>
      </c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</row>
    <row r="1364">
      <c r="A1364" t="s">
        <v>235</v>
      </c>
      <c r="B1364" t="s">
        <v>227</v>
      </c>
      <c r="C1364" t="s">
        <v>228</v>
      </c>
      <c r="D1364" t="s">
        <v>213</v>
      </c>
      <c r="E1364" t="s">
        <v>236</v>
      </c>
      <c r="F1364" t="s">
        <v>236</v>
      </c>
      <c r="G1364" t="s">
        <v>259</v>
      </c>
      <c r="H1364" t="n">
        <v>22000</v>
      </c>
      <c r="I1364"/>
      <c r="J1364" t="n">
        <v>12320</v>
      </c>
      <c r="K1364" t="s">
        <v>278</v>
      </c>
      <c r="L1364"/>
      <c r="M1364"/>
      <c r="N1364" t="s">
        <v>217</v>
      </c>
      <c r="O1364"/>
      <c r="P1364"/>
      <c r="Q1364"/>
      <c r="R1364"/>
      <c r="S1364"/>
      <c r="T1364"/>
      <c r="U1364"/>
      <c r="V1364"/>
      <c r="W1364"/>
      <c r="X1364" t="n">
        <v>14184</v>
      </c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</row>
    <row r="1365">
      <c r="A1365" t="s">
        <v>235</v>
      </c>
      <c r="B1365" t="s">
        <v>227</v>
      </c>
      <c r="C1365" t="s">
        <v>228</v>
      </c>
      <c r="D1365" t="s">
        <v>213</v>
      </c>
      <c r="E1365" t="s">
        <v>236</v>
      </c>
      <c r="F1365" t="s">
        <v>236</v>
      </c>
      <c r="G1365" t="s">
        <v>259</v>
      </c>
      <c r="H1365" t="n">
        <v>22000</v>
      </c>
      <c r="I1365"/>
      <c r="J1365" t="n">
        <v>12320</v>
      </c>
      <c r="K1365" t="s">
        <v>278</v>
      </c>
      <c r="L1365"/>
      <c r="M1365"/>
      <c r="N1365" t="s">
        <v>218</v>
      </c>
      <c r="O1365"/>
      <c r="P1365"/>
      <c r="Q1365"/>
      <c r="R1365"/>
      <c r="S1365"/>
      <c r="T1365"/>
      <c r="U1365"/>
      <c r="V1365"/>
      <c r="W1365"/>
      <c r="X1365" t="n">
        <v>6</v>
      </c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</row>
    <row r="1366">
      <c r="A1366" t="s">
        <v>235</v>
      </c>
      <c r="B1366" t="s">
        <v>227</v>
      </c>
      <c r="C1366" t="s">
        <v>228</v>
      </c>
      <c r="D1366" t="s">
        <v>213</v>
      </c>
      <c r="E1366" t="s">
        <v>236</v>
      </c>
      <c r="F1366" t="s">
        <v>236</v>
      </c>
      <c r="G1366" t="s">
        <v>259</v>
      </c>
      <c r="H1366" t="n">
        <v>22000</v>
      </c>
      <c r="I1366"/>
      <c r="J1366" t="n">
        <v>12320</v>
      </c>
      <c r="K1366" t="s">
        <v>278</v>
      </c>
      <c r="L1366"/>
      <c r="M1366"/>
      <c r="N1366" t="s">
        <v>219</v>
      </c>
      <c r="O1366"/>
      <c r="P1366"/>
      <c r="Q1366"/>
      <c r="R1366"/>
      <c r="S1366"/>
      <c r="T1366"/>
      <c r="U1366"/>
      <c r="V1366"/>
      <c r="W1366"/>
      <c r="X1366" t="n">
        <v>12</v>
      </c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</row>
    <row r="1367">
      <c r="A1367" t="s">
        <v>235</v>
      </c>
      <c r="B1367" t="s">
        <v>227</v>
      </c>
      <c r="C1367" t="s">
        <v>228</v>
      </c>
      <c r="D1367" t="s">
        <v>213</v>
      </c>
      <c r="E1367" t="s">
        <v>236</v>
      </c>
      <c r="F1367" t="s">
        <v>236</v>
      </c>
      <c r="G1367" t="s">
        <v>259</v>
      </c>
      <c r="H1367" t="n">
        <v>22000</v>
      </c>
      <c r="I1367"/>
      <c r="J1367" t="n">
        <v>12320</v>
      </c>
      <c r="K1367" t="s">
        <v>278</v>
      </c>
      <c r="L1367"/>
      <c r="M1367"/>
      <c r="N1367" t="s">
        <v>220</v>
      </c>
      <c r="O1367"/>
      <c r="P1367"/>
      <c r="Q1367"/>
      <c r="R1367"/>
      <c r="S1367"/>
      <c r="T1367"/>
      <c r="U1367"/>
      <c r="V1367"/>
      <c r="W1367"/>
      <c r="X1367" t="n">
        <v>12</v>
      </c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</row>
    <row r="1368">
      <c r="A1368" t="s">
        <v>235</v>
      </c>
      <c r="B1368" t="s">
        <v>227</v>
      </c>
      <c r="C1368" t="s">
        <v>228</v>
      </c>
      <c r="D1368" t="s">
        <v>213</v>
      </c>
      <c r="E1368" t="s">
        <v>236</v>
      </c>
      <c r="F1368" t="s">
        <v>236</v>
      </c>
      <c r="G1368" t="s">
        <v>259</v>
      </c>
      <c r="H1368" t="n">
        <v>22000</v>
      </c>
      <c r="I1368"/>
      <c r="J1368" t="n">
        <v>12320</v>
      </c>
      <c r="K1368" t="s">
        <v>278</v>
      </c>
      <c r="L1368"/>
      <c r="M1368"/>
      <c r="N1368" t="s">
        <v>221</v>
      </c>
      <c r="O1368"/>
      <c r="P1368"/>
      <c r="Q1368"/>
      <c r="R1368"/>
      <c r="S1368"/>
      <c r="T1368"/>
      <c r="U1368"/>
      <c r="V1368"/>
      <c r="W1368"/>
      <c r="X1368" t="n">
        <v>1.81473899692938</v>
      </c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</row>
    <row r="1369">
      <c r="A1369" t="s">
        <v>235</v>
      </c>
      <c r="B1369" t="s">
        <v>227</v>
      </c>
      <c r="C1369" t="s">
        <v>228</v>
      </c>
      <c r="D1369" t="s">
        <v>213</v>
      </c>
      <c r="E1369" t="s">
        <v>236</v>
      </c>
      <c r="F1369" t="s">
        <v>236</v>
      </c>
      <c r="G1369" t="s">
        <v>259</v>
      </c>
      <c r="H1369" t="n">
        <v>22000</v>
      </c>
      <c r="I1369"/>
      <c r="J1369" t="n">
        <v>12320</v>
      </c>
      <c r="K1369" t="s">
        <v>278</v>
      </c>
      <c r="L1369"/>
      <c r="M1369"/>
      <c r="N1369" t="s">
        <v>222</v>
      </c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</row>
    <row r="1370">
      <c r="A1370" t="s">
        <v>210</v>
      </c>
      <c r="B1370" t="s">
        <v>247</v>
      </c>
      <c r="C1370" t="s">
        <v>231</v>
      </c>
      <c r="D1370" t="s">
        <v>213</v>
      </c>
      <c r="E1370" t="s">
        <v>236</v>
      </c>
      <c r="F1370" t="s">
        <v>236</v>
      </c>
      <c r="G1370" t="s">
        <v>271</v>
      </c>
      <c r="H1370" t="n">
        <v>193824</v>
      </c>
      <c r="I1370"/>
      <c r="J1370"/>
      <c r="K1370"/>
      <c r="L1370"/>
      <c r="M1370"/>
      <c r="N1370" t="s">
        <v>214</v>
      </c>
      <c r="O1370"/>
      <c r="P1370"/>
      <c r="Q1370"/>
      <c r="R1370"/>
      <c r="S1370"/>
      <c r="T1370"/>
      <c r="U1370"/>
      <c r="V1370"/>
      <c r="W1370"/>
      <c r="X1370" t="n">
        <v>59459</v>
      </c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</row>
    <row r="1371">
      <c r="A1371" t="s">
        <v>210</v>
      </c>
      <c r="B1371" t="s">
        <v>247</v>
      </c>
      <c r="C1371" t="s">
        <v>231</v>
      </c>
      <c r="D1371" t="s">
        <v>213</v>
      </c>
      <c r="E1371" t="s">
        <v>236</v>
      </c>
      <c r="F1371" t="s">
        <v>236</v>
      </c>
      <c r="G1371" t="s">
        <v>271</v>
      </c>
      <c r="H1371" t="n">
        <v>193824</v>
      </c>
      <c r="I1371"/>
      <c r="J1371"/>
      <c r="K1371"/>
      <c r="L1371"/>
      <c r="M1371"/>
      <c r="N1371" t="s">
        <v>215</v>
      </c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</row>
    <row r="1372">
      <c r="A1372" t="s">
        <v>210</v>
      </c>
      <c r="B1372" t="s">
        <v>247</v>
      </c>
      <c r="C1372" t="s">
        <v>231</v>
      </c>
      <c r="D1372" t="s">
        <v>213</v>
      </c>
      <c r="E1372" t="s">
        <v>236</v>
      </c>
      <c r="F1372" t="s">
        <v>236</v>
      </c>
      <c r="G1372" t="s">
        <v>271</v>
      </c>
      <c r="H1372" t="n">
        <v>193824</v>
      </c>
      <c r="I1372"/>
      <c r="J1372"/>
      <c r="K1372"/>
      <c r="L1372"/>
      <c r="M1372"/>
      <c r="N1372" t="s">
        <v>216</v>
      </c>
      <c r="O1372"/>
      <c r="P1372"/>
      <c r="Q1372"/>
      <c r="R1372"/>
      <c r="S1372"/>
      <c r="T1372"/>
      <c r="U1372"/>
      <c r="V1372"/>
      <c r="W1372"/>
      <c r="X1372" t="n">
        <v>180673</v>
      </c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</row>
    <row r="1373">
      <c r="A1373" t="s">
        <v>210</v>
      </c>
      <c r="B1373" t="s">
        <v>247</v>
      </c>
      <c r="C1373" t="s">
        <v>231</v>
      </c>
      <c r="D1373" t="s">
        <v>213</v>
      </c>
      <c r="E1373" t="s">
        <v>236</v>
      </c>
      <c r="F1373" t="s">
        <v>236</v>
      </c>
      <c r="G1373" t="s">
        <v>271</v>
      </c>
      <c r="H1373" t="n">
        <v>193824</v>
      </c>
      <c r="I1373"/>
      <c r="J1373"/>
      <c r="K1373"/>
      <c r="L1373"/>
      <c r="M1373"/>
      <c r="N1373" t="s">
        <v>217</v>
      </c>
      <c r="O1373"/>
      <c r="P1373"/>
      <c r="Q1373"/>
      <c r="R1373"/>
      <c r="S1373"/>
      <c r="T1373"/>
      <c r="U1373"/>
      <c r="V1373"/>
      <c r="W1373"/>
      <c r="X1373" t="n">
        <v>72610</v>
      </c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</row>
    <row r="1374">
      <c r="A1374" t="s">
        <v>210</v>
      </c>
      <c r="B1374" t="s">
        <v>247</v>
      </c>
      <c r="C1374" t="s">
        <v>231</v>
      </c>
      <c r="D1374" t="s">
        <v>213</v>
      </c>
      <c r="E1374" t="s">
        <v>236</v>
      </c>
      <c r="F1374" t="s">
        <v>236</v>
      </c>
      <c r="G1374" t="s">
        <v>271</v>
      </c>
      <c r="H1374" t="n">
        <v>193824</v>
      </c>
      <c r="I1374"/>
      <c r="J1374"/>
      <c r="K1374"/>
      <c r="L1374"/>
      <c r="M1374"/>
      <c r="N1374" t="s">
        <v>218</v>
      </c>
      <c r="O1374"/>
      <c r="P1374"/>
      <c r="Q1374"/>
      <c r="R1374"/>
      <c r="S1374"/>
      <c r="T1374"/>
      <c r="U1374"/>
      <c r="V1374"/>
      <c r="W1374"/>
      <c r="X1374" t="n">
        <v>6</v>
      </c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</row>
    <row r="1375">
      <c r="A1375" t="s">
        <v>210</v>
      </c>
      <c r="B1375" t="s">
        <v>247</v>
      </c>
      <c r="C1375" t="s">
        <v>231</v>
      </c>
      <c r="D1375" t="s">
        <v>213</v>
      </c>
      <c r="E1375" t="s">
        <v>236</v>
      </c>
      <c r="F1375" t="s">
        <v>236</v>
      </c>
      <c r="G1375" t="s">
        <v>271</v>
      </c>
      <c r="H1375" t="n">
        <v>193824</v>
      </c>
      <c r="I1375"/>
      <c r="J1375"/>
      <c r="K1375"/>
      <c r="L1375"/>
      <c r="M1375"/>
      <c r="N1375" t="s">
        <v>219</v>
      </c>
      <c r="O1375"/>
      <c r="P1375"/>
      <c r="Q1375"/>
      <c r="R1375"/>
      <c r="S1375"/>
      <c r="T1375"/>
      <c r="U1375"/>
      <c r="V1375"/>
      <c r="W1375"/>
      <c r="X1375" t="n">
        <v>12</v>
      </c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</row>
    <row r="1376">
      <c r="A1376" t="s">
        <v>210</v>
      </c>
      <c r="B1376" t="s">
        <v>247</v>
      </c>
      <c r="C1376" t="s">
        <v>231</v>
      </c>
      <c r="D1376" t="s">
        <v>213</v>
      </c>
      <c r="E1376" t="s">
        <v>236</v>
      </c>
      <c r="F1376" t="s">
        <v>236</v>
      </c>
      <c r="G1376" t="s">
        <v>271</v>
      </c>
      <c r="H1376" t="n">
        <v>193824</v>
      </c>
      <c r="I1376"/>
      <c r="J1376"/>
      <c r="K1376"/>
      <c r="L1376"/>
      <c r="M1376"/>
      <c r="N1376" t="s">
        <v>220</v>
      </c>
      <c r="O1376"/>
      <c r="P1376"/>
      <c r="Q1376"/>
      <c r="R1376"/>
      <c r="S1376"/>
      <c r="T1376"/>
      <c r="U1376"/>
      <c r="V1376"/>
      <c r="W1376"/>
      <c r="X1376" t="n">
        <v>12</v>
      </c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</row>
    <row r="1377">
      <c r="A1377" t="s">
        <v>210</v>
      </c>
      <c r="B1377" t="s">
        <v>247</v>
      </c>
      <c r="C1377" t="s">
        <v>231</v>
      </c>
      <c r="D1377" t="s">
        <v>213</v>
      </c>
      <c r="E1377" t="s">
        <v>236</v>
      </c>
      <c r="F1377" t="s">
        <v>236</v>
      </c>
      <c r="G1377" t="s">
        <v>271</v>
      </c>
      <c r="H1377" t="n">
        <v>193824</v>
      </c>
      <c r="I1377"/>
      <c r="J1377"/>
      <c r="K1377"/>
      <c r="L1377"/>
      <c r="M1377"/>
      <c r="N1377" t="s">
        <v>221</v>
      </c>
      <c r="O1377"/>
      <c r="P1377"/>
      <c r="Q1377"/>
      <c r="R1377"/>
      <c r="S1377"/>
      <c r="T1377"/>
      <c r="U1377"/>
      <c r="V1377"/>
      <c r="W1377"/>
      <c r="X1377" t="n">
        <v>0.401886280739236</v>
      </c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</row>
    <row r="1378">
      <c r="A1378" t="s">
        <v>210</v>
      </c>
      <c r="B1378" t="s">
        <v>247</v>
      </c>
      <c r="C1378" t="s">
        <v>231</v>
      </c>
      <c r="D1378" t="s">
        <v>213</v>
      </c>
      <c r="E1378" t="s">
        <v>236</v>
      </c>
      <c r="F1378" t="s">
        <v>236</v>
      </c>
      <c r="G1378" t="s">
        <v>271</v>
      </c>
      <c r="H1378" t="n">
        <v>193824</v>
      </c>
      <c r="I1378"/>
      <c r="J1378"/>
      <c r="K1378"/>
      <c r="L1378"/>
      <c r="M1378"/>
      <c r="N1378" t="s">
        <v>222</v>
      </c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</row>
    <row r="1379">
      <c r="A1379" t="s">
        <v>233</v>
      </c>
      <c r="B1379" t="s">
        <v>247</v>
      </c>
      <c r="C1379" t="s">
        <v>231</v>
      </c>
      <c r="D1379" t="s">
        <v>213</v>
      </c>
      <c r="E1379" t="s">
        <v>236</v>
      </c>
      <c r="F1379" t="s">
        <v>236</v>
      </c>
      <c r="G1379" t="s">
        <v>259</v>
      </c>
      <c r="H1379" t="n">
        <v>32832</v>
      </c>
      <c r="I1379"/>
      <c r="J1379"/>
      <c r="K1379"/>
      <c r="L1379"/>
      <c r="M1379"/>
      <c r="N1379" t="s">
        <v>214</v>
      </c>
      <c r="O1379"/>
      <c r="P1379"/>
      <c r="Q1379"/>
      <c r="R1379"/>
      <c r="S1379"/>
      <c r="T1379"/>
      <c r="U1379"/>
      <c r="V1379"/>
      <c r="W1379"/>
      <c r="X1379" t="n">
        <v>277332</v>
      </c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</row>
    <row r="1380">
      <c r="A1380" t="s">
        <v>233</v>
      </c>
      <c r="B1380" t="s">
        <v>247</v>
      </c>
      <c r="C1380" t="s">
        <v>231</v>
      </c>
      <c r="D1380" t="s">
        <v>213</v>
      </c>
      <c r="E1380" t="s">
        <v>236</v>
      </c>
      <c r="F1380" t="s">
        <v>236</v>
      </c>
      <c r="G1380" t="s">
        <v>259</v>
      </c>
      <c r="H1380" t="n">
        <v>32832</v>
      </c>
      <c r="I1380"/>
      <c r="J1380"/>
      <c r="K1380"/>
      <c r="L1380"/>
      <c r="M1380"/>
      <c r="N1380" t="s">
        <v>215</v>
      </c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</row>
    <row r="1381">
      <c r="A1381" t="s">
        <v>233</v>
      </c>
      <c r="B1381" t="s">
        <v>247</v>
      </c>
      <c r="C1381" t="s">
        <v>231</v>
      </c>
      <c r="D1381" t="s">
        <v>213</v>
      </c>
      <c r="E1381" t="s">
        <v>236</v>
      </c>
      <c r="F1381" t="s">
        <v>236</v>
      </c>
      <c r="G1381" t="s">
        <v>259</v>
      </c>
      <c r="H1381" t="n">
        <v>32832</v>
      </c>
      <c r="I1381"/>
      <c r="J1381"/>
      <c r="K1381"/>
      <c r="L1381"/>
      <c r="M1381"/>
      <c r="N1381" t="s">
        <v>216</v>
      </c>
      <c r="O1381"/>
      <c r="P1381"/>
      <c r="Q1381"/>
      <c r="R1381"/>
      <c r="S1381"/>
      <c r="T1381"/>
      <c r="U1381"/>
      <c r="V1381"/>
      <c r="W1381"/>
      <c r="X1381" t="n">
        <v>10000</v>
      </c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</row>
    <row r="1382">
      <c r="A1382" t="s">
        <v>233</v>
      </c>
      <c r="B1382" t="s">
        <v>247</v>
      </c>
      <c r="C1382" t="s">
        <v>231</v>
      </c>
      <c r="D1382" t="s">
        <v>213</v>
      </c>
      <c r="E1382" t="s">
        <v>236</v>
      </c>
      <c r="F1382" t="s">
        <v>236</v>
      </c>
      <c r="G1382" t="s">
        <v>259</v>
      </c>
      <c r="H1382" t="n">
        <v>32832</v>
      </c>
      <c r="I1382"/>
      <c r="J1382"/>
      <c r="K1382"/>
      <c r="L1382"/>
      <c r="M1382"/>
      <c r="N1382" t="s">
        <v>217</v>
      </c>
      <c r="O1382"/>
      <c r="P1382"/>
      <c r="Q1382"/>
      <c r="R1382"/>
      <c r="S1382"/>
      <c r="T1382"/>
      <c r="U1382"/>
      <c r="V1382"/>
      <c r="W1382"/>
      <c r="X1382" t="n">
        <v>300164</v>
      </c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</row>
    <row r="1383">
      <c r="A1383" t="s">
        <v>233</v>
      </c>
      <c r="B1383" t="s">
        <v>247</v>
      </c>
      <c r="C1383" t="s">
        <v>231</v>
      </c>
      <c r="D1383" t="s">
        <v>213</v>
      </c>
      <c r="E1383" t="s">
        <v>236</v>
      </c>
      <c r="F1383" t="s">
        <v>236</v>
      </c>
      <c r="G1383" t="s">
        <v>259</v>
      </c>
      <c r="H1383" t="n">
        <v>32832</v>
      </c>
      <c r="I1383"/>
      <c r="J1383"/>
      <c r="K1383"/>
      <c r="L1383"/>
      <c r="M1383"/>
      <c r="N1383" t="s">
        <v>218</v>
      </c>
      <c r="O1383"/>
      <c r="P1383"/>
      <c r="Q1383"/>
      <c r="R1383"/>
      <c r="S1383"/>
      <c r="T1383"/>
      <c r="U1383"/>
      <c r="V1383"/>
      <c r="W1383"/>
      <c r="X1383" t="n">
        <v>3</v>
      </c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</row>
    <row r="1384">
      <c r="A1384" t="s">
        <v>233</v>
      </c>
      <c r="B1384" t="s">
        <v>247</v>
      </c>
      <c r="C1384" t="s">
        <v>231</v>
      </c>
      <c r="D1384" t="s">
        <v>213</v>
      </c>
      <c r="E1384" t="s">
        <v>236</v>
      </c>
      <c r="F1384" t="s">
        <v>236</v>
      </c>
      <c r="G1384" t="s">
        <v>259</v>
      </c>
      <c r="H1384" t="n">
        <v>32832</v>
      </c>
      <c r="I1384"/>
      <c r="J1384"/>
      <c r="K1384"/>
      <c r="L1384"/>
      <c r="M1384"/>
      <c r="N1384" t="s">
        <v>219</v>
      </c>
      <c r="O1384"/>
      <c r="P1384"/>
      <c r="Q1384"/>
      <c r="R1384"/>
      <c r="S1384"/>
      <c r="T1384"/>
      <c r="U1384"/>
      <c r="V1384"/>
      <c r="W1384"/>
      <c r="X1384" t="n">
        <v>6</v>
      </c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</row>
    <row r="1385">
      <c r="A1385" t="s">
        <v>233</v>
      </c>
      <c r="B1385" t="s">
        <v>247</v>
      </c>
      <c r="C1385" t="s">
        <v>231</v>
      </c>
      <c r="D1385" t="s">
        <v>213</v>
      </c>
      <c r="E1385" t="s">
        <v>236</v>
      </c>
      <c r="F1385" t="s">
        <v>236</v>
      </c>
      <c r="G1385" t="s">
        <v>259</v>
      </c>
      <c r="H1385" t="n">
        <v>32832</v>
      </c>
      <c r="I1385"/>
      <c r="J1385"/>
      <c r="K1385"/>
      <c r="L1385"/>
      <c r="M1385"/>
      <c r="N1385" t="s">
        <v>220</v>
      </c>
      <c r="O1385"/>
      <c r="P1385"/>
      <c r="Q1385"/>
      <c r="R1385"/>
      <c r="S1385"/>
      <c r="T1385"/>
      <c r="U1385"/>
      <c r="V1385"/>
      <c r="W1385"/>
      <c r="X1385" t="n">
        <v>6</v>
      </c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</row>
    <row r="1386">
      <c r="A1386" t="s">
        <v>233</v>
      </c>
      <c r="B1386" t="s">
        <v>247</v>
      </c>
      <c r="C1386" t="s">
        <v>231</v>
      </c>
      <c r="D1386" t="s">
        <v>213</v>
      </c>
      <c r="E1386" t="s">
        <v>236</v>
      </c>
      <c r="F1386" t="s">
        <v>236</v>
      </c>
      <c r="G1386" t="s">
        <v>259</v>
      </c>
      <c r="H1386" t="n">
        <v>32832</v>
      </c>
      <c r="I1386"/>
      <c r="J1386"/>
      <c r="K1386"/>
      <c r="L1386"/>
      <c r="M1386"/>
      <c r="N1386" t="s">
        <v>221</v>
      </c>
      <c r="O1386"/>
      <c r="P1386"/>
      <c r="Q1386"/>
      <c r="R1386"/>
      <c r="S1386"/>
      <c r="T1386"/>
      <c r="U1386"/>
      <c r="V1386"/>
      <c r="W1386"/>
      <c r="X1386" t="n">
        <v>30.0164</v>
      </c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</row>
    <row r="1387">
      <c r="A1387" t="s">
        <v>233</v>
      </c>
      <c r="B1387" t="s">
        <v>247</v>
      </c>
      <c r="C1387" t="s">
        <v>231</v>
      </c>
      <c r="D1387" t="s">
        <v>213</v>
      </c>
      <c r="E1387" t="s">
        <v>236</v>
      </c>
      <c r="F1387" t="s">
        <v>236</v>
      </c>
      <c r="G1387" t="s">
        <v>259</v>
      </c>
      <c r="H1387" t="n">
        <v>32832</v>
      </c>
      <c r="I1387"/>
      <c r="J1387"/>
      <c r="K1387"/>
      <c r="L1387"/>
      <c r="M1387"/>
      <c r="N1387" t="s">
        <v>222</v>
      </c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</row>
    <row r="1388">
      <c r="A1388" t="s">
        <v>235</v>
      </c>
      <c r="B1388" t="s">
        <v>248</v>
      </c>
      <c r="C1388"/>
      <c r="D1388" t="s">
        <v>213</v>
      </c>
      <c r="E1388" t="s">
        <v>279</v>
      </c>
      <c r="F1388" t="s">
        <v>236</v>
      </c>
      <c r="G1388" t="s">
        <v>259</v>
      </c>
      <c r="H1388" t="n">
        <v>10000</v>
      </c>
      <c r="I1388"/>
      <c r="J1388" t="n">
        <v>95200</v>
      </c>
      <c r="K1388" t="s">
        <v>278</v>
      </c>
      <c r="L1388"/>
      <c r="M1388"/>
      <c r="N1388" t="s">
        <v>214</v>
      </c>
      <c r="O1388"/>
      <c r="P1388"/>
      <c r="Q1388"/>
      <c r="R1388"/>
      <c r="S1388"/>
      <c r="T1388"/>
      <c r="U1388"/>
      <c r="V1388"/>
      <c r="W1388"/>
      <c r="X1388" t="n">
        <v>91552</v>
      </c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</row>
    <row r="1389">
      <c r="A1389" t="s">
        <v>235</v>
      </c>
      <c r="B1389" t="s">
        <v>248</v>
      </c>
      <c r="C1389"/>
      <c r="D1389" t="s">
        <v>213</v>
      </c>
      <c r="E1389" t="s">
        <v>279</v>
      </c>
      <c r="F1389" t="s">
        <v>236</v>
      </c>
      <c r="G1389" t="s">
        <v>259</v>
      </c>
      <c r="H1389" t="n">
        <v>10000</v>
      </c>
      <c r="I1389"/>
      <c r="J1389" t="n">
        <v>95200</v>
      </c>
      <c r="K1389" t="s">
        <v>278</v>
      </c>
      <c r="L1389"/>
      <c r="M1389"/>
      <c r="N1389" t="s">
        <v>215</v>
      </c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</row>
    <row r="1390">
      <c r="A1390" t="s">
        <v>235</v>
      </c>
      <c r="B1390" t="s">
        <v>248</v>
      </c>
      <c r="C1390"/>
      <c r="D1390" t="s">
        <v>213</v>
      </c>
      <c r="E1390" t="s">
        <v>279</v>
      </c>
      <c r="F1390" t="s">
        <v>236</v>
      </c>
      <c r="G1390" t="s">
        <v>259</v>
      </c>
      <c r="H1390" t="n">
        <v>10000</v>
      </c>
      <c r="I1390"/>
      <c r="J1390" t="n">
        <v>95200</v>
      </c>
      <c r="K1390" t="s">
        <v>278</v>
      </c>
      <c r="L1390"/>
      <c r="M1390"/>
      <c r="N1390" t="s">
        <v>216</v>
      </c>
      <c r="O1390"/>
      <c r="P1390"/>
      <c r="Q1390"/>
      <c r="R1390"/>
      <c r="S1390"/>
      <c r="T1390"/>
      <c r="U1390"/>
      <c r="V1390"/>
      <c r="W1390"/>
      <c r="X1390" t="n">
        <v>14621</v>
      </c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</row>
    <row r="1391">
      <c r="A1391" t="s">
        <v>235</v>
      </c>
      <c r="B1391" t="s">
        <v>248</v>
      </c>
      <c r="C1391"/>
      <c r="D1391" t="s">
        <v>213</v>
      </c>
      <c r="E1391" t="s">
        <v>279</v>
      </c>
      <c r="F1391" t="s">
        <v>236</v>
      </c>
      <c r="G1391" t="s">
        <v>259</v>
      </c>
      <c r="H1391" t="n">
        <v>10000</v>
      </c>
      <c r="I1391"/>
      <c r="J1391" t="n">
        <v>95200</v>
      </c>
      <c r="K1391" t="s">
        <v>278</v>
      </c>
      <c r="L1391"/>
      <c r="M1391"/>
      <c r="N1391" t="s">
        <v>217</v>
      </c>
      <c r="O1391"/>
      <c r="P1391"/>
      <c r="Q1391"/>
      <c r="R1391"/>
      <c r="S1391"/>
      <c r="T1391"/>
      <c r="U1391"/>
      <c r="V1391"/>
      <c r="W1391"/>
      <c r="X1391" t="n">
        <v>86931</v>
      </c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</row>
    <row r="1392">
      <c r="A1392" t="s">
        <v>235</v>
      </c>
      <c r="B1392" t="s">
        <v>248</v>
      </c>
      <c r="C1392"/>
      <c r="D1392" t="s">
        <v>213</v>
      </c>
      <c r="E1392" t="s">
        <v>279</v>
      </c>
      <c r="F1392" t="s">
        <v>236</v>
      </c>
      <c r="G1392" t="s">
        <v>259</v>
      </c>
      <c r="H1392" t="n">
        <v>10000</v>
      </c>
      <c r="I1392"/>
      <c r="J1392" t="n">
        <v>95200</v>
      </c>
      <c r="K1392" t="s">
        <v>278</v>
      </c>
      <c r="L1392"/>
      <c r="M1392"/>
      <c r="N1392" t="s">
        <v>218</v>
      </c>
      <c r="O1392"/>
      <c r="P1392"/>
      <c r="Q1392"/>
      <c r="R1392"/>
      <c r="S1392"/>
      <c r="T1392"/>
      <c r="U1392"/>
      <c r="V1392"/>
      <c r="W1392"/>
      <c r="X1392" t="n">
        <v>6</v>
      </c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</row>
    <row r="1393">
      <c r="A1393" t="s">
        <v>235</v>
      </c>
      <c r="B1393" t="s">
        <v>248</v>
      </c>
      <c r="C1393"/>
      <c r="D1393" t="s">
        <v>213</v>
      </c>
      <c r="E1393" t="s">
        <v>279</v>
      </c>
      <c r="F1393" t="s">
        <v>236</v>
      </c>
      <c r="G1393" t="s">
        <v>259</v>
      </c>
      <c r="H1393" t="n">
        <v>10000</v>
      </c>
      <c r="I1393"/>
      <c r="J1393" t="n">
        <v>95200</v>
      </c>
      <c r="K1393" t="s">
        <v>278</v>
      </c>
      <c r="L1393"/>
      <c r="M1393"/>
      <c r="N1393" t="s">
        <v>219</v>
      </c>
      <c r="O1393"/>
      <c r="P1393"/>
      <c r="Q1393"/>
      <c r="R1393"/>
      <c r="S1393"/>
      <c r="T1393"/>
      <c r="U1393"/>
      <c r="V1393"/>
      <c r="W1393"/>
      <c r="X1393" t="n">
        <v>12</v>
      </c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</row>
    <row r="1394">
      <c r="A1394" t="s">
        <v>235</v>
      </c>
      <c r="B1394" t="s">
        <v>248</v>
      </c>
      <c r="C1394"/>
      <c r="D1394" t="s">
        <v>213</v>
      </c>
      <c r="E1394" t="s">
        <v>279</v>
      </c>
      <c r="F1394" t="s">
        <v>236</v>
      </c>
      <c r="G1394" t="s">
        <v>259</v>
      </c>
      <c r="H1394" t="n">
        <v>10000</v>
      </c>
      <c r="I1394"/>
      <c r="J1394" t="n">
        <v>95200</v>
      </c>
      <c r="K1394" t="s">
        <v>278</v>
      </c>
      <c r="L1394"/>
      <c r="M1394"/>
      <c r="N1394" t="s">
        <v>220</v>
      </c>
      <c r="O1394"/>
      <c r="P1394"/>
      <c r="Q1394"/>
      <c r="R1394"/>
      <c r="S1394"/>
      <c r="T1394"/>
      <c r="U1394"/>
      <c r="V1394"/>
      <c r="W1394"/>
      <c r="X1394" t="n">
        <v>12</v>
      </c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</row>
    <row r="1395">
      <c r="A1395" t="s">
        <v>235</v>
      </c>
      <c r="B1395" t="s">
        <v>248</v>
      </c>
      <c r="C1395"/>
      <c r="D1395" t="s">
        <v>213</v>
      </c>
      <c r="E1395" t="s">
        <v>279</v>
      </c>
      <c r="F1395" t="s">
        <v>236</v>
      </c>
      <c r="G1395" t="s">
        <v>259</v>
      </c>
      <c r="H1395" t="n">
        <v>10000</v>
      </c>
      <c r="I1395"/>
      <c r="J1395" t="n">
        <v>95200</v>
      </c>
      <c r="K1395" t="s">
        <v>278</v>
      </c>
      <c r="L1395"/>
      <c r="M1395"/>
      <c r="N1395" t="s">
        <v>221</v>
      </c>
      <c r="O1395"/>
      <c r="P1395"/>
      <c r="Q1395"/>
      <c r="R1395"/>
      <c r="S1395"/>
      <c r="T1395"/>
      <c r="U1395"/>
      <c r="V1395"/>
      <c r="W1395"/>
      <c r="X1395" t="n">
        <v>5.94562615416182</v>
      </c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</row>
    <row r="1396">
      <c r="A1396" t="s">
        <v>235</v>
      </c>
      <c r="B1396" t="s">
        <v>248</v>
      </c>
      <c r="C1396"/>
      <c r="D1396" t="s">
        <v>213</v>
      </c>
      <c r="E1396" t="s">
        <v>279</v>
      </c>
      <c r="F1396" t="s">
        <v>236</v>
      </c>
      <c r="G1396" t="s">
        <v>259</v>
      </c>
      <c r="H1396" t="n">
        <v>10000</v>
      </c>
      <c r="I1396"/>
      <c r="J1396" t="n">
        <v>95200</v>
      </c>
      <c r="K1396" t="s">
        <v>278</v>
      </c>
      <c r="L1396"/>
      <c r="M1396"/>
      <c r="N1396" t="s">
        <v>222</v>
      </c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</row>
    <row r="1397">
      <c r="A1397" t="s">
        <v>250</v>
      </c>
      <c r="B1397" t="s">
        <v>232</v>
      </c>
      <c r="C1397"/>
      <c r="D1397" t="s">
        <v>213</v>
      </c>
      <c r="E1397"/>
      <c r="F1397"/>
      <c r="G1397" t="s">
        <v>269</v>
      </c>
      <c r="H1397" t="n">
        <v>36018</v>
      </c>
      <c r="I1397"/>
      <c r="J1397"/>
      <c r="K1397"/>
      <c r="L1397"/>
      <c r="M1397"/>
      <c r="N1397" t="s">
        <v>214</v>
      </c>
      <c r="O1397"/>
      <c r="P1397"/>
      <c r="Q1397"/>
      <c r="R1397"/>
      <c r="S1397"/>
      <c r="T1397"/>
      <c r="U1397"/>
      <c r="V1397"/>
      <c r="W1397"/>
      <c r="X1397" t="n">
        <v>22884</v>
      </c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</row>
    <row r="1398">
      <c r="A1398" t="s">
        <v>250</v>
      </c>
      <c r="B1398" t="s">
        <v>232</v>
      </c>
      <c r="C1398"/>
      <c r="D1398" t="s">
        <v>213</v>
      </c>
      <c r="E1398"/>
      <c r="F1398"/>
      <c r="G1398" t="s">
        <v>269</v>
      </c>
      <c r="H1398" t="n">
        <v>36018</v>
      </c>
      <c r="I1398"/>
      <c r="J1398"/>
      <c r="K1398"/>
      <c r="L1398"/>
      <c r="M1398"/>
      <c r="N1398" t="s">
        <v>215</v>
      </c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</row>
    <row r="1399">
      <c r="A1399" t="s">
        <v>250</v>
      </c>
      <c r="B1399" t="s">
        <v>232</v>
      </c>
      <c r="C1399"/>
      <c r="D1399" t="s">
        <v>213</v>
      </c>
      <c r="E1399"/>
      <c r="F1399"/>
      <c r="G1399" t="s">
        <v>269</v>
      </c>
      <c r="H1399" t="n">
        <v>36018</v>
      </c>
      <c r="I1399"/>
      <c r="J1399"/>
      <c r="K1399"/>
      <c r="L1399"/>
      <c r="M1399"/>
      <c r="N1399" t="s">
        <v>216</v>
      </c>
      <c r="O1399"/>
      <c r="P1399"/>
      <c r="Q1399"/>
      <c r="R1399"/>
      <c r="S1399"/>
      <c r="T1399"/>
      <c r="U1399"/>
      <c r="V1399"/>
      <c r="W1399"/>
      <c r="X1399" t="n">
        <v>3684</v>
      </c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</row>
    <row r="1400">
      <c r="A1400" t="s">
        <v>250</v>
      </c>
      <c r="B1400" t="s">
        <v>232</v>
      </c>
      <c r="C1400"/>
      <c r="D1400" t="s">
        <v>213</v>
      </c>
      <c r="E1400"/>
      <c r="F1400"/>
      <c r="G1400" t="s">
        <v>269</v>
      </c>
      <c r="H1400" t="n">
        <v>36018</v>
      </c>
      <c r="I1400"/>
      <c r="J1400"/>
      <c r="K1400"/>
      <c r="L1400"/>
      <c r="M1400"/>
      <c r="N1400" t="s">
        <v>217</v>
      </c>
      <c r="O1400"/>
      <c r="P1400"/>
      <c r="Q1400"/>
      <c r="R1400"/>
      <c r="S1400"/>
      <c r="T1400"/>
      <c r="U1400"/>
      <c r="V1400"/>
      <c r="W1400"/>
      <c r="X1400" t="n">
        <v>55218</v>
      </c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</row>
    <row r="1401">
      <c r="A1401" t="s">
        <v>250</v>
      </c>
      <c r="B1401" t="s">
        <v>232</v>
      </c>
      <c r="C1401"/>
      <c r="D1401" t="s">
        <v>213</v>
      </c>
      <c r="E1401"/>
      <c r="F1401"/>
      <c r="G1401" t="s">
        <v>269</v>
      </c>
      <c r="H1401" t="n">
        <v>36018</v>
      </c>
      <c r="I1401"/>
      <c r="J1401"/>
      <c r="K1401"/>
      <c r="L1401"/>
      <c r="M1401"/>
      <c r="N1401" t="s">
        <v>218</v>
      </c>
      <c r="O1401"/>
      <c r="P1401"/>
      <c r="Q1401"/>
      <c r="R1401"/>
      <c r="S1401"/>
      <c r="T1401"/>
      <c r="U1401"/>
      <c r="V1401"/>
      <c r="W1401"/>
      <c r="X1401" t="n">
        <v>7</v>
      </c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</row>
    <row r="1402">
      <c r="A1402" t="s">
        <v>250</v>
      </c>
      <c r="B1402" t="s">
        <v>232</v>
      </c>
      <c r="C1402"/>
      <c r="D1402" t="s">
        <v>213</v>
      </c>
      <c r="E1402"/>
      <c r="F1402"/>
      <c r="G1402" t="s">
        <v>269</v>
      </c>
      <c r="H1402" t="n">
        <v>36018</v>
      </c>
      <c r="I1402"/>
      <c r="J1402"/>
      <c r="K1402"/>
      <c r="L1402"/>
      <c r="M1402"/>
      <c r="N1402" t="s">
        <v>219</v>
      </c>
      <c r="O1402"/>
      <c r="P1402"/>
      <c r="Q1402"/>
      <c r="R1402"/>
      <c r="S1402"/>
      <c r="T1402"/>
      <c r="U1402"/>
      <c r="V1402"/>
      <c r="W1402"/>
      <c r="X1402" t="n">
        <v>15</v>
      </c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</row>
    <row r="1403">
      <c r="A1403" t="s">
        <v>250</v>
      </c>
      <c r="B1403" t="s">
        <v>232</v>
      </c>
      <c r="C1403"/>
      <c r="D1403" t="s">
        <v>213</v>
      </c>
      <c r="E1403"/>
      <c r="F1403"/>
      <c r="G1403" t="s">
        <v>269</v>
      </c>
      <c r="H1403" t="n">
        <v>36018</v>
      </c>
      <c r="I1403"/>
      <c r="J1403"/>
      <c r="K1403"/>
      <c r="L1403"/>
      <c r="M1403"/>
      <c r="N1403" t="s">
        <v>220</v>
      </c>
      <c r="O1403"/>
      <c r="P1403"/>
      <c r="Q1403"/>
      <c r="R1403"/>
      <c r="S1403"/>
      <c r="T1403"/>
      <c r="U1403"/>
      <c r="V1403"/>
      <c r="W1403"/>
      <c r="X1403" t="n">
        <v>15</v>
      </c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</row>
    <row r="1404">
      <c r="A1404" t="s">
        <v>250</v>
      </c>
      <c r="B1404" t="s">
        <v>232</v>
      </c>
      <c r="C1404"/>
      <c r="D1404" t="s">
        <v>213</v>
      </c>
      <c r="E1404"/>
      <c r="F1404"/>
      <c r="G1404" t="s">
        <v>269</v>
      </c>
      <c r="H1404" t="n">
        <v>36018</v>
      </c>
      <c r="I1404"/>
      <c r="J1404"/>
      <c r="K1404"/>
      <c r="L1404"/>
      <c r="M1404"/>
      <c r="N1404" t="s">
        <v>221</v>
      </c>
      <c r="O1404"/>
      <c r="P1404"/>
      <c r="Q1404"/>
      <c r="R1404"/>
      <c r="S1404"/>
      <c r="T1404"/>
      <c r="U1404"/>
      <c r="V1404"/>
      <c r="W1404"/>
      <c r="X1404" t="n">
        <v>14.9885993485342</v>
      </c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</row>
    <row r="1405">
      <c r="A1405" t="s">
        <v>250</v>
      </c>
      <c r="B1405" t="s">
        <v>232</v>
      </c>
      <c r="C1405"/>
      <c r="D1405" t="s">
        <v>213</v>
      </c>
      <c r="E1405"/>
      <c r="F1405"/>
      <c r="G1405" t="s">
        <v>269</v>
      </c>
      <c r="H1405" t="n">
        <v>36018</v>
      </c>
      <c r="I1405"/>
      <c r="J1405"/>
      <c r="K1405"/>
      <c r="L1405"/>
      <c r="M1405"/>
      <c r="N1405" t="s">
        <v>222</v>
      </c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</row>
    <row r="1406">
      <c r="A1406" t="s">
        <v>226</v>
      </c>
      <c r="B1406" t="s">
        <v>232</v>
      </c>
      <c r="C1406"/>
      <c r="D1406" t="s">
        <v>213</v>
      </c>
      <c r="E1406"/>
      <c r="F1406"/>
      <c r="G1406" t="s">
        <v>259</v>
      </c>
      <c r="H1406" t="n">
        <v>33177600</v>
      </c>
      <c r="I1406"/>
      <c r="J1406" t="n">
        <v>995328</v>
      </c>
      <c r="K1406" t="s">
        <v>278</v>
      </c>
      <c r="L1406"/>
      <c r="M1406"/>
      <c r="N1406" t="s">
        <v>214</v>
      </c>
      <c r="O1406"/>
      <c r="P1406"/>
      <c r="Q1406"/>
      <c r="R1406"/>
      <c r="S1406"/>
      <c r="T1406"/>
      <c r="U1406"/>
      <c r="V1406"/>
      <c r="W1406"/>
      <c r="X1406" t="n">
        <v>148581168</v>
      </c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</row>
    <row r="1407">
      <c r="A1407" t="s">
        <v>226</v>
      </c>
      <c r="B1407" t="s">
        <v>232</v>
      </c>
      <c r="C1407"/>
      <c r="D1407" t="s">
        <v>213</v>
      </c>
      <c r="E1407"/>
      <c r="F1407"/>
      <c r="G1407" t="s">
        <v>259</v>
      </c>
      <c r="H1407" t="n">
        <v>33177600</v>
      </c>
      <c r="I1407"/>
      <c r="J1407" t="n">
        <v>995328</v>
      </c>
      <c r="K1407" t="s">
        <v>278</v>
      </c>
      <c r="L1407"/>
      <c r="M1407"/>
      <c r="N1407" t="s">
        <v>215</v>
      </c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</row>
    <row r="1408">
      <c r="A1408" t="s">
        <v>226</v>
      </c>
      <c r="B1408" t="s">
        <v>232</v>
      </c>
      <c r="C1408"/>
      <c r="D1408" t="s">
        <v>213</v>
      </c>
      <c r="E1408"/>
      <c r="F1408"/>
      <c r="G1408" t="s">
        <v>259</v>
      </c>
      <c r="H1408" t="n">
        <v>33177600</v>
      </c>
      <c r="I1408"/>
      <c r="J1408" t="n">
        <v>995328</v>
      </c>
      <c r="K1408" t="s">
        <v>278</v>
      </c>
      <c r="L1408"/>
      <c r="M1408"/>
      <c r="N1408" t="s">
        <v>216</v>
      </c>
      <c r="O1408"/>
      <c r="P1408"/>
      <c r="Q1408"/>
      <c r="R1408"/>
      <c r="S1408"/>
      <c r="T1408"/>
      <c r="U1408"/>
      <c r="V1408"/>
      <c r="W1408"/>
      <c r="X1408" t="n">
        <v>14208920</v>
      </c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</row>
    <row r="1409">
      <c r="A1409" t="s">
        <v>226</v>
      </c>
      <c r="B1409" t="s">
        <v>232</v>
      </c>
      <c r="C1409"/>
      <c r="D1409" t="s">
        <v>213</v>
      </c>
      <c r="E1409"/>
      <c r="F1409"/>
      <c r="G1409" t="s">
        <v>259</v>
      </c>
      <c r="H1409" t="n">
        <v>33177600</v>
      </c>
      <c r="I1409"/>
      <c r="J1409" t="n">
        <v>995328</v>
      </c>
      <c r="K1409" t="s">
        <v>278</v>
      </c>
      <c r="L1409"/>
      <c r="M1409"/>
      <c r="N1409" t="s">
        <v>217</v>
      </c>
      <c r="O1409"/>
      <c r="P1409"/>
      <c r="Q1409"/>
      <c r="R1409"/>
      <c r="S1409"/>
      <c r="T1409"/>
      <c r="U1409"/>
      <c r="V1409"/>
      <c r="W1409"/>
      <c r="X1409" t="n">
        <v>167549848</v>
      </c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</row>
    <row r="1410">
      <c r="A1410" t="s">
        <v>226</v>
      </c>
      <c r="B1410" t="s">
        <v>232</v>
      </c>
      <c r="C1410"/>
      <c r="D1410" t="s">
        <v>213</v>
      </c>
      <c r="E1410"/>
      <c r="F1410"/>
      <c r="G1410" t="s">
        <v>259</v>
      </c>
      <c r="H1410" t="n">
        <v>33177600</v>
      </c>
      <c r="I1410"/>
      <c r="J1410" t="n">
        <v>995328</v>
      </c>
      <c r="K1410" t="s">
        <v>278</v>
      </c>
      <c r="L1410"/>
      <c r="M1410"/>
      <c r="N1410" t="s">
        <v>218</v>
      </c>
      <c r="O1410"/>
      <c r="P1410"/>
      <c r="Q1410"/>
      <c r="R1410"/>
      <c r="S1410"/>
      <c r="T1410"/>
      <c r="U1410"/>
      <c r="V1410"/>
      <c r="W1410"/>
      <c r="X1410" t="n">
        <v>3</v>
      </c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</row>
    <row r="1411">
      <c r="A1411" t="s">
        <v>226</v>
      </c>
      <c r="B1411" t="s">
        <v>232</v>
      </c>
      <c r="C1411"/>
      <c r="D1411" t="s">
        <v>213</v>
      </c>
      <c r="E1411"/>
      <c r="F1411"/>
      <c r="G1411" t="s">
        <v>259</v>
      </c>
      <c r="H1411" t="n">
        <v>33177600</v>
      </c>
      <c r="I1411"/>
      <c r="J1411" t="n">
        <v>995328</v>
      </c>
      <c r="K1411" t="s">
        <v>278</v>
      </c>
      <c r="L1411"/>
      <c r="M1411"/>
      <c r="N1411" t="s">
        <v>219</v>
      </c>
      <c r="O1411"/>
      <c r="P1411"/>
      <c r="Q1411"/>
      <c r="R1411"/>
      <c r="S1411"/>
      <c r="T1411"/>
      <c r="U1411"/>
      <c r="V1411"/>
      <c r="W1411"/>
      <c r="X1411" t="n">
        <v>6</v>
      </c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</row>
    <row r="1412">
      <c r="A1412" t="s">
        <v>226</v>
      </c>
      <c r="B1412" t="s">
        <v>232</v>
      </c>
      <c r="C1412"/>
      <c r="D1412" t="s">
        <v>213</v>
      </c>
      <c r="E1412"/>
      <c r="F1412"/>
      <c r="G1412" t="s">
        <v>259</v>
      </c>
      <c r="H1412" t="n">
        <v>33177600</v>
      </c>
      <c r="I1412"/>
      <c r="J1412" t="n">
        <v>995328</v>
      </c>
      <c r="K1412" t="s">
        <v>278</v>
      </c>
      <c r="L1412"/>
      <c r="M1412"/>
      <c r="N1412" t="s">
        <v>220</v>
      </c>
      <c r="O1412"/>
      <c r="P1412"/>
      <c r="Q1412"/>
      <c r="R1412"/>
      <c r="S1412"/>
      <c r="T1412"/>
      <c r="U1412"/>
      <c r="V1412"/>
      <c r="W1412"/>
      <c r="X1412" t="n">
        <v>6</v>
      </c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</row>
    <row r="1413">
      <c r="A1413" t="s">
        <v>226</v>
      </c>
      <c r="B1413" t="s">
        <v>232</v>
      </c>
      <c r="C1413"/>
      <c r="D1413" t="s">
        <v>213</v>
      </c>
      <c r="E1413"/>
      <c r="F1413"/>
      <c r="G1413" t="s">
        <v>259</v>
      </c>
      <c r="H1413" t="n">
        <v>33177600</v>
      </c>
      <c r="I1413"/>
      <c r="J1413" t="n">
        <v>995328</v>
      </c>
      <c r="K1413" t="s">
        <v>278</v>
      </c>
      <c r="L1413"/>
      <c r="M1413"/>
      <c r="N1413" t="s">
        <v>221</v>
      </c>
      <c r="O1413"/>
      <c r="P1413"/>
      <c r="Q1413"/>
      <c r="R1413"/>
      <c r="S1413"/>
      <c r="T1413"/>
      <c r="U1413"/>
      <c r="V1413"/>
      <c r="W1413"/>
      <c r="X1413" t="n">
        <v>11.7918777781844</v>
      </c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</row>
    <row r="1414">
      <c r="A1414" t="s">
        <v>226</v>
      </c>
      <c r="B1414" t="s">
        <v>232</v>
      </c>
      <c r="C1414"/>
      <c r="D1414" t="s">
        <v>213</v>
      </c>
      <c r="E1414"/>
      <c r="F1414"/>
      <c r="G1414" t="s">
        <v>259</v>
      </c>
      <c r="H1414" t="n">
        <v>33177600</v>
      </c>
      <c r="I1414"/>
      <c r="J1414" t="n">
        <v>995328</v>
      </c>
      <c r="K1414" t="s">
        <v>278</v>
      </c>
      <c r="L1414"/>
      <c r="M1414"/>
      <c r="N1414" t="s">
        <v>222</v>
      </c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</row>
    <row r="1415">
      <c r="A1415" t="s">
        <v>235</v>
      </c>
      <c r="B1415" t="s">
        <v>234</v>
      </c>
      <c r="C1415"/>
      <c r="D1415" t="s">
        <v>213</v>
      </c>
      <c r="E1415" t="s">
        <v>272</v>
      </c>
      <c r="F1415" t="s">
        <v>272</v>
      </c>
      <c r="G1415" t="s">
        <v>269</v>
      </c>
      <c r="H1415" t="n">
        <v>62269</v>
      </c>
      <c r="I1415"/>
      <c r="J1415" t="n">
        <v>20922</v>
      </c>
      <c r="K1415" t="s">
        <v>278</v>
      </c>
      <c r="L1415"/>
      <c r="M1415"/>
      <c r="N1415" t="s">
        <v>214</v>
      </c>
      <c r="O1415"/>
      <c r="P1415"/>
      <c r="Q1415"/>
      <c r="R1415"/>
      <c r="S1415"/>
      <c r="T1415"/>
      <c r="U1415"/>
      <c r="V1415"/>
      <c r="W1415"/>
      <c r="X1415" t="n">
        <v>0</v>
      </c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</row>
    <row r="1416">
      <c r="A1416" t="s">
        <v>235</v>
      </c>
      <c r="B1416" t="s">
        <v>234</v>
      </c>
      <c r="C1416"/>
      <c r="D1416" t="s">
        <v>213</v>
      </c>
      <c r="E1416" t="s">
        <v>272</v>
      </c>
      <c r="F1416" t="s">
        <v>272</v>
      </c>
      <c r="G1416" t="s">
        <v>269</v>
      </c>
      <c r="H1416" t="n">
        <v>62269</v>
      </c>
      <c r="I1416"/>
      <c r="J1416" t="n">
        <v>20922</v>
      </c>
      <c r="K1416" t="s">
        <v>278</v>
      </c>
      <c r="L1416"/>
      <c r="M1416"/>
      <c r="N1416" t="s">
        <v>215</v>
      </c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</row>
    <row r="1417">
      <c r="A1417" t="s">
        <v>235</v>
      </c>
      <c r="B1417" t="s">
        <v>234</v>
      </c>
      <c r="C1417"/>
      <c r="D1417" t="s">
        <v>213</v>
      </c>
      <c r="E1417" t="s">
        <v>272</v>
      </c>
      <c r="F1417" t="s">
        <v>272</v>
      </c>
      <c r="G1417" t="s">
        <v>269</v>
      </c>
      <c r="H1417" t="n">
        <v>62269</v>
      </c>
      <c r="I1417"/>
      <c r="J1417" t="n">
        <v>20922</v>
      </c>
      <c r="K1417" t="s">
        <v>278</v>
      </c>
      <c r="L1417"/>
      <c r="M1417"/>
      <c r="N1417" t="s">
        <v>216</v>
      </c>
      <c r="O1417"/>
      <c r="P1417"/>
      <c r="Q1417"/>
      <c r="R1417"/>
      <c r="S1417"/>
      <c r="T1417"/>
      <c r="U1417"/>
      <c r="V1417"/>
      <c r="W1417"/>
      <c r="X1417" t="n">
        <v>43147</v>
      </c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</row>
    <row r="1418">
      <c r="A1418" t="s">
        <v>235</v>
      </c>
      <c r="B1418" t="s">
        <v>234</v>
      </c>
      <c r="C1418"/>
      <c r="D1418" t="s">
        <v>213</v>
      </c>
      <c r="E1418" t="s">
        <v>272</v>
      </c>
      <c r="F1418" t="s">
        <v>272</v>
      </c>
      <c r="G1418" t="s">
        <v>269</v>
      </c>
      <c r="H1418" t="n">
        <v>62269</v>
      </c>
      <c r="I1418"/>
      <c r="J1418" t="n">
        <v>20922</v>
      </c>
      <c r="K1418" t="s">
        <v>278</v>
      </c>
      <c r="L1418"/>
      <c r="M1418"/>
      <c r="N1418" t="s">
        <v>217</v>
      </c>
      <c r="O1418"/>
      <c r="P1418"/>
      <c r="Q1418"/>
      <c r="R1418"/>
      <c r="S1418"/>
      <c r="T1418"/>
      <c r="U1418"/>
      <c r="V1418"/>
      <c r="W1418"/>
      <c r="X1418" t="n">
        <v>19122</v>
      </c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</row>
    <row r="1419">
      <c r="A1419" t="s">
        <v>235</v>
      </c>
      <c r="B1419" t="s">
        <v>234</v>
      </c>
      <c r="C1419"/>
      <c r="D1419" t="s">
        <v>213</v>
      </c>
      <c r="E1419" t="s">
        <v>272</v>
      </c>
      <c r="F1419" t="s">
        <v>272</v>
      </c>
      <c r="G1419" t="s">
        <v>269</v>
      </c>
      <c r="H1419" t="n">
        <v>62269</v>
      </c>
      <c r="I1419"/>
      <c r="J1419" t="n">
        <v>20922</v>
      </c>
      <c r="K1419" t="s">
        <v>278</v>
      </c>
      <c r="L1419"/>
      <c r="M1419"/>
      <c r="N1419" t="s">
        <v>218</v>
      </c>
      <c r="O1419"/>
      <c r="P1419"/>
      <c r="Q1419"/>
      <c r="R1419"/>
      <c r="S1419"/>
      <c r="T1419"/>
      <c r="U1419"/>
      <c r="V1419"/>
      <c r="W1419"/>
      <c r="X1419" t="n">
        <v>6</v>
      </c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</row>
    <row r="1420">
      <c r="A1420" t="s">
        <v>235</v>
      </c>
      <c r="B1420" t="s">
        <v>234</v>
      </c>
      <c r="C1420"/>
      <c r="D1420" t="s">
        <v>213</v>
      </c>
      <c r="E1420" t="s">
        <v>272</v>
      </c>
      <c r="F1420" t="s">
        <v>272</v>
      </c>
      <c r="G1420" t="s">
        <v>269</v>
      </c>
      <c r="H1420" t="n">
        <v>62269</v>
      </c>
      <c r="I1420"/>
      <c r="J1420" t="n">
        <v>20922</v>
      </c>
      <c r="K1420" t="s">
        <v>278</v>
      </c>
      <c r="L1420"/>
      <c r="M1420"/>
      <c r="N1420" t="s">
        <v>219</v>
      </c>
      <c r="O1420"/>
      <c r="P1420"/>
      <c r="Q1420"/>
      <c r="R1420"/>
      <c r="S1420"/>
      <c r="T1420"/>
      <c r="U1420"/>
      <c r="V1420"/>
      <c r="W1420"/>
      <c r="X1420" t="n">
        <v>12</v>
      </c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</row>
    <row r="1421">
      <c r="A1421" t="s">
        <v>235</v>
      </c>
      <c r="B1421" t="s">
        <v>234</v>
      </c>
      <c r="C1421"/>
      <c r="D1421" t="s">
        <v>213</v>
      </c>
      <c r="E1421" t="s">
        <v>272</v>
      </c>
      <c r="F1421" t="s">
        <v>272</v>
      </c>
      <c r="G1421" t="s">
        <v>269</v>
      </c>
      <c r="H1421" t="n">
        <v>62269</v>
      </c>
      <c r="I1421"/>
      <c r="J1421" t="n">
        <v>20922</v>
      </c>
      <c r="K1421" t="s">
        <v>278</v>
      </c>
      <c r="L1421"/>
      <c r="M1421"/>
      <c r="N1421" t="s">
        <v>220</v>
      </c>
      <c r="O1421"/>
      <c r="P1421"/>
      <c r="Q1421"/>
      <c r="R1421"/>
      <c r="S1421"/>
      <c r="T1421"/>
      <c r="U1421"/>
      <c r="V1421"/>
      <c r="W1421"/>
      <c r="X1421" t="n">
        <v>12</v>
      </c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</row>
    <row r="1422">
      <c r="A1422" t="s">
        <v>235</v>
      </c>
      <c r="B1422" t="s">
        <v>234</v>
      </c>
      <c r="C1422"/>
      <c r="D1422" t="s">
        <v>213</v>
      </c>
      <c r="E1422" t="s">
        <v>272</v>
      </c>
      <c r="F1422" t="s">
        <v>272</v>
      </c>
      <c r="G1422" t="s">
        <v>269</v>
      </c>
      <c r="H1422" t="n">
        <v>62269</v>
      </c>
      <c r="I1422"/>
      <c r="J1422" t="n">
        <v>20922</v>
      </c>
      <c r="K1422" t="s">
        <v>278</v>
      </c>
      <c r="L1422"/>
      <c r="M1422"/>
      <c r="N1422" t="s">
        <v>221</v>
      </c>
      <c r="O1422"/>
      <c r="P1422"/>
      <c r="Q1422"/>
      <c r="R1422"/>
      <c r="S1422"/>
      <c r="T1422"/>
      <c r="U1422"/>
      <c r="V1422"/>
      <c r="W1422"/>
      <c r="X1422" t="n">
        <v>0.443182608292581</v>
      </c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</row>
    <row r="1423">
      <c r="A1423" t="s">
        <v>235</v>
      </c>
      <c r="B1423" t="s">
        <v>234</v>
      </c>
      <c r="C1423"/>
      <c r="D1423" t="s">
        <v>213</v>
      </c>
      <c r="E1423" t="s">
        <v>272</v>
      </c>
      <c r="F1423" t="s">
        <v>272</v>
      </c>
      <c r="G1423" t="s">
        <v>269</v>
      </c>
      <c r="H1423" t="n">
        <v>62269</v>
      </c>
      <c r="I1423"/>
      <c r="J1423" t="n">
        <v>20922</v>
      </c>
      <c r="K1423" t="s">
        <v>278</v>
      </c>
      <c r="L1423"/>
      <c r="M1423"/>
      <c r="N1423" t="s">
        <v>222</v>
      </c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</row>
    <row r="1424">
      <c r="A1424" t="s">
        <v>233</v>
      </c>
      <c r="B1424" t="s">
        <v>211</v>
      </c>
      <c r="C1424" t="s">
        <v>212</v>
      </c>
      <c r="D1424" t="s">
        <v>213</v>
      </c>
      <c r="E1424"/>
      <c r="F1424"/>
      <c r="G1424"/>
      <c r="H1424"/>
      <c r="I1424"/>
      <c r="J1424"/>
      <c r="K1424"/>
      <c r="L1424"/>
      <c r="M1424"/>
      <c r="N1424" t="s">
        <v>214</v>
      </c>
      <c r="O1424"/>
      <c r="P1424"/>
      <c r="Q1424"/>
      <c r="R1424"/>
      <c r="S1424"/>
      <c r="T1424"/>
      <c r="U1424"/>
      <c r="V1424"/>
      <c r="W1424"/>
      <c r="X1424"/>
      <c r="Y1424" t="n">
        <v>121445</v>
      </c>
      <c r="Z1424" t="n">
        <v>43445</v>
      </c>
      <c r="AA1424"/>
      <c r="AB1424" t="n">
        <v>371800</v>
      </c>
      <c r="AC1424" t="n">
        <v>293800</v>
      </c>
      <c r="AD1424"/>
      <c r="AE1424" t="n">
        <v>380417</v>
      </c>
      <c r="AF1424" t="n">
        <v>302417</v>
      </c>
      <c r="AG1424"/>
      <c r="AH1424" t="n">
        <v>399917</v>
      </c>
      <c r="AI1424"/>
      <c r="AJ1424"/>
      <c r="AK1424"/>
      <c r="AL1424"/>
    </row>
    <row r="1425">
      <c r="A1425" t="s">
        <v>233</v>
      </c>
      <c r="B1425" t="s">
        <v>211</v>
      </c>
      <c r="C1425" t="s">
        <v>212</v>
      </c>
      <c r="D1425" t="s">
        <v>213</v>
      </c>
      <c r="E1425"/>
      <c r="F1425"/>
      <c r="G1425"/>
      <c r="H1425"/>
      <c r="I1425"/>
      <c r="J1425"/>
      <c r="K1425"/>
      <c r="L1425"/>
      <c r="M1425"/>
      <c r="N1425" t="s">
        <v>215</v>
      </c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</row>
    <row r="1426">
      <c r="A1426" t="s">
        <v>233</v>
      </c>
      <c r="B1426" t="s">
        <v>211</v>
      </c>
      <c r="C1426" t="s">
        <v>212</v>
      </c>
      <c r="D1426" t="s">
        <v>213</v>
      </c>
      <c r="E1426"/>
      <c r="F1426"/>
      <c r="G1426"/>
      <c r="H1426"/>
      <c r="I1426"/>
      <c r="J1426"/>
      <c r="K1426"/>
      <c r="L1426"/>
      <c r="M1426"/>
      <c r="N1426" t="s">
        <v>216</v>
      </c>
      <c r="O1426"/>
      <c r="P1426"/>
      <c r="Q1426"/>
      <c r="R1426"/>
      <c r="S1426"/>
      <c r="T1426"/>
      <c r="U1426"/>
      <c r="V1426"/>
      <c r="W1426"/>
      <c r="X1426"/>
      <c r="Y1426" t="n">
        <v>78000</v>
      </c>
      <c r="Z1426" t="n">
        <v>78000</v>
      </c>
      <c r="AA1426"/>
      <c r="AB1426" t="n">
        <v>78000</v>
      </c>
      <c r="AC1426" t="n">
        <v>78000</v>
      </c>
      <c r="AD1426"/>
      <c r="AE1426" t="n">
        <v>78000</v>
      </c>
      <c r="AF1426" t="n">
        <v>78000</v>
      </c>
      <c r="AG1426"/>
      <c r="AH1426" t="n">
        <v>78000</v>
      </c>
      <c r="AI1426"/>
      <c r="AJ1426"/>
      <c r="AK1426"/>
      <c r="AL1426"/>
    </row>
    <row r="1427">
      <c r="A1427" t="s">
        <v>233</v>
      </c>
      <c r="B1427" t="s">
        <v>211</v>
      </c>
      <c r="C1427" t="s">
        <v>212</v>
      </c>
      <c r="D1427" t="s">
        <v>213</v>
      </c>
      <c r="E1427"/>
      <c r="F1427"/>
      <c r="G1427"/>
      <c r="H1427"/>
      <c r="I1427"/>
      <c r="J1427"/>
      <c r="K1427"/>
      <c r="L1427"/>
      <c r="M1427"/>
      <c r="N1427" t="s">
        <v>217</v>
      </c>
      <c r="O1427"/>
      <c r="P1427"/>
      <c r="Q1427"/>
      <c r="R1427"/>
      <c r="S1427"/>
      <c r="T1427"/>
      <c r="U1427"/>
      <c r="V1427"/>
      <c r="W1427"/>
      <c r="X1427"/>
      <c r="Y1427" t="n">
        <v>43445</v>
      </c>
      <c r="Z1427" t="n">
        <v>0</v>
      </c>
      <c r="AA1427"/>
      <c r="AB1427" t="n">
        <v>293800</v>
      </c>
      <c r="AC1427" t="n">
        <v>215800</v>
      </c>
      <c r="AD1427"/>
      <c r="AE1427" t="n">
        <v>302417</v>
      </c>
      <c r="AF1427" t="n">
        <v>224417</v>
      </c>
      <c r="AG1427"/>
      <c r="AH1427" t="n">
        <v>321917</v>
      </c>
      <c r="AI1427"/>
      <c r="AJ1427"/>
      <c r="AK1427"/>
      <c r="AL1427"/>
    </row>
    <row r="1428">
      <c r="A1428" t="s">
        <v>233</v>
      </c>
      <c r="B1428" t="s">
        <v>211</v>
      </c>
      <c r="C1428" t="s">
        <v>212</v>
      </c>
      <c r="D1428" t="s">
        <v>213</v>
      </c>
      <c r="E1428"/>
      <c r="F1428"/>
      <c r="G1428"/>
      <c r="H1428"/>
      <c r="I1428"/>
      <c r="J1428"/>
      <c r="K1428"/>
      <c r="L1428"/>
      <c r="M1428"/>
      <c r="N1428" t="s">
        <v>218</v>
      </c>
      <c r="O1428"/>
      <c r="P1428"/>
      <c r="Q1428"/>
      <c r="R1428"/>
      <c r="S1428"/>
      <c r="T1428"/>
      <c r="U1428"/>
      <c r="V1428"/>
      <c r="W1428"/>
      <c r="X1428"/>
      <c r="Y1428" t="n">
        <v>3</v>
      </c>
      <c r="Z1428" t="n">
        <v>3</v>
      </c>
      <c r="AA1428"/>
      <c r="AB1428" t="n">
        <v>3</v>
      </c>
      <c r="AC1428" t="n">
        <v>3</v>
      </c>
      <c r="AD1428"/>
      <c r="AE1428" t="n">
        <v>3</v>
      </c>
      <c r="AF1428" t="n">
        <v>3</v>
      </c>
      <c r="AG1428"/>
      <c r="AH1428" t="n">
        <v>3</v>
      </c>
      <c r="AI1428"/>
      <c r="AJ1428"/>
      <c r="AK1428"/>
      <c r="AL1428"/>
    </row>
    <row r="1429">
      <c r="A1429" t="s">
        <v>233</v>
      </c>
      <c r="B1429" t="s">
        <v>211</v>
      </c>
      <c r="C1429" t="s">
        <v>212</v>
      </c>
      <c r="D1429" t="s">
        <v>213</v>
      </c>
      <c r="E1429"/>
      <c r="F1429"/>
      <c r="G1429"/>
      <c r="H1429"/>
      <c r="I1429"/>
      <c r="J1429"/>
      <c r="K1429"/>
      <c r="L1429"/>
      <c r="M1429"/>
      <c r="N1429" t="s">
        <v>219</v>
      </c>
      <c r="O1429"/>
      <c r="P1429"/>
      <c r="Q1429"/>
      <c r="R1429"/>
      <c r="S1429"/>
      <c r="T1429"/>
      <c r="U1429"/>
      <c r="V1429"/>
      <c r="W1429"/>
      <c r="X1429"/>
      <c r="Y1429" t="n">
        <v>6</v>
      </c>
      <c r="Z1429" t="n">
        <v>6</v>
      </c>
      <c r="AA1429"/>
      <c r="AB1429" t="n">
        <v>6</v>
      </c>
      <c r="AC1429" t="n">
        <v>6</v>
      </c>
      <c r="AD1429"/>
      <c r="AE1429" t="n">
        <v>6</v>
      </c>
      <c r="AF1429" t="n">
        <v>6</v>
      </c>
      <c r="AG1429"/>
      <c r="AH1429" t="n">
        <v>6</v>
      </c>
      <c r="AI1429"/>
      <c r="AJ1429"/>
      <c r="AK1429"/>
      <c r="AL1429"/>
    </row>
    <row r="1430">
      <c r="A1430" t="s">
        <v>233</v>
      </c>
      <c r="B1430" t="s">
        <v>211</v>
      </c>
      <c r="C1430" t="s">
        <v>212</v>
      </c>
      <c r="D1430" t="s">
        <v>213</v>
      </c>
      <c r="E1430"/>
      <c r="F1430"/>
      <c r="G1430"/>
      <c r="H1430"/>
      <c r="I1430"/>
      <c r="J1430"/>
      <c r="K1430"/>
      <c r="L1430"/>
      <c r="M1430"/>
      <c r="N1430" t="s">
        <v>220</v>
      </c>
      <c r="O1430"/>
      <c r="P1430"/>
      <c r="Q1430"/>
      <c r="R1430"/>
      <c r="S1430"/>
      <c r="T1430"/>
      <c r="U1430"/>
      <c r="V1430"/>
      <c r="W1430"/>
      <c r="X1430"/>
      <c r="Y1430" t="n">
        <v>6</v>
      </c>
      <c r="Z1430" t="n">
        <v>6</v>
      </c>
      <c r="AA1430"/>
      <c r="AB1430" t="n">
        <v>6</v>
      </c>
      <c r="AC1430" t="n">
        <v>6</v>
      </c>
      <c r="AD1430"/>
      <c r="AE1430" t="n">
        <v>6</v>
      </c>
      <c r="AF1430" t="n">
        <v>6</v>
      </c>
      <c r="AG1430"/>
      <c r="AH1430" t="n">
        <v>6</v>
      </c>
      <c r="AI1430"/>
      <c r="AJ1430"/>
      <c r="AK1430"/>
      <c r="AL1430"/>
    </row>
    <row r="1431">
      <c r="A1431" t="s">
        <v>233</v>
      </c>
      <c r="B1431" t="s">
        <v>211</v>
      </c>
      <c r="C1431" t="s">
        <v>212</v>
      </c>
      <c r="D1431" t="s">
        <v>213</v>
      </c>
      <c r="E1431"/>
      <c r="F1431"/>
      <c r="G1431"/>
      <c r="H1431"/>
      <c r="I1431"/>
      <c r="J1431"/>
      <c r="K1431"/>
      <c r="L1431"/>
      <c r="M1431"/>
      <c r="N1431" t="s">
        <v>221</v>
      </c>
      <c r="O1431"/>
      <c r="P1431"/>
      <c r="Q1431"/>
      <c r="R1431"/>
      <c r="S1431"/>
      <c r="T1431"/>
      <c r="U1431"/>
      <c r="V1431"/>
      <c r="W1431"/>
      <c r="X1431"/>
      <c r="Y1431" t="n">
        <v>0.556987179487179</v>
      </c>
      <c r="Z1431" t="n">
        <v>0</v>
      </c>
      <c r="AA1431"/>
      <c r="AB1431" t="n">
        <v>3.76666666666667</v>
      </c>
      <c r="AC1431" t="n">
        <v>2.76666666666667</v>
      </c>
      <c r="AD1431"/>
      <c r="AE1431" t="n">
        <v>3.87714102564103</v>
      </c>
      <c r="AF1431" t="n">
        <v>2.87714102564103</v>
      </c>
      <c r="AG1431"/>
      <c r="AH1431" t="n">
        <v>4.12714102564103</v>
      </c>
      <c r="AI1431"/>
      <c r="AJ1431"/>
      <c r="AK1431"/>
      <c r="AL1431"/>
    </row>
    <row r="1432">
      <c r="A1432" t="s">
        <v>233</v>
      </c>
      <c r="B1432" t="s">
        <v>211</v>
      </c>
      <c r="C1432" t="s">
        <v>212</v>
      </c>
      <c r="D1432" t="s">
        <v>213</v>
      </c>
      <c r="E1432"/>
      <c r="F1432"/>
      <c r="G1432"/>
      <c r="H1432"/>
      <c r="I1432"/>
      <c r="J1432"/>
      <c r="K1432"/>
      <c r="L1432"/>
      <c r="M1432"/>
      <c r="N1432" t="s">
        <v>222</v>
      </c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</row>
    <row r="1433">
      <c r="A1433" t="s">
        <v>261</v>
      </c>
      <c r="B1433" t="s">
        <v>238</v>
      </c>
      <c r="C1433" t="s">
        <v>231</v>
      </c>
      <c r="D1433" t="s">
        <v>213</v>
      </c>
      <c r="E1433" t="s">
        <v>272</v>
      </c>
      <c r="F1433" t="s">
        <v>272</v>
      </c>
      <c r="G1433" t="s">
        <v>269</v>
      </c>
      <c r="H1433" t="n">
        <v>4583</v>
      </c>
      <c r="I1433"/>
      <c r="J1433" t="n">
        <v>2310</v>
      </c>
      <c r="K1433"/>
      <c r="L1433"/>
      <c r="M1433"/>
      <c r="N1433" t="s">
        <v>214</v>
      </c>
      <c r="O1433"/>
      <c r="P1433"/>
      <c r="Q1433"/>
      <c r="R1433"/>
      <c r="S1433"/>
      <c r="T1433"/>
      <c r="U1433"/>
      <c r="V1433"/>
      <c r="W1433"/>
      <c r="X1433"/>
      <c r="Y1433" t="n">
        <v>864</v>
      </c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</row>
    <row r="1434">
      <c r="A1434" t="s">
        <v>261</v>
      </c>
      <c r="B1434" t="s">
        <v>238</v>
      </c>
      <c r="C1434" t="s">
        <v>231</v>
      </c>
      <c r="D1434" t="s">
        <v>213</v>
      </c>
      <c r="E1434" t="s">
        <v>272</v>
      </c>
      <c r="F1434" t="s">
        <v>272</v>
      </c>
      <c r="G1434" t="s">
        <v>269</v>
      </c>
      <c r="H1434" t="n">
        <v>4583</v>
      </c>
      <c r="I1434"/>
      <c r="J1434" t="n">
        <v>2310</v>
      </c>
      <c r="K1434"/>
      <c r="L1434"/>
      <c r="M1434"/>
      <c r="N1434" t="s">
        <v>215</v>
      </c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</row>
    <row r="1435">
      <c r="A1435" t="s">
        <v>261</v>
      </c>
      <c r="B1435" t="s">
        <v>238</v>
      </c>
      <c r="C1435" t="s">
        <v>231</v>
      </c>
      <c r="D1435" t="s">
        <v>213</v>
      </c>
      <c r="E1435" t="s">
        <v>272</v>
      </c>
      <c r="F1435" t="s">
        <v>272</v>
      </c>
      <c r="G1435" t="s">
        <v>269</v>
      </c>
      <c r="H1435" t="n">
        <v>4583</v>
      </c>
      <c r="I1435"/>
      <c r="J1435" t="n">
        <v>2310</v>
      </c>
      <c r="K1435"/>
      <c r="L1435"/>
      <c r="M1435"/>
      <c r="N1435" t="s">
        <v>216</v>
      </c>
      <c r="O1435"/>
      <c r="P1435"/>
      <c r="Q1435"/>
      <c r="R1435"/>
      <c r="S1435"/>
      <c r="T1435"/>
      <c r="U1435"/>
      <c r="V1435"/>
      <c r="W1435"/>
      <c r="X1435"/>
      <c r="Y1435" t="n">
        <v>906</v>
      </c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</row>
    <row r="1436">
      <c r="A1436" t="s">
        <v>261</v>
      </c>
      <c r="B1436" t="s">
        <v>238</v>
      </c>
      <c r="C1436" t="s">
        <v>231</v>
      </c>
      <c r="D1436" t="s">
        <v>213</v>
      </c>
      <c r="E1436" t="s">
        <v>272</v>
      </c>
      <c r="F1436" t="s">
        <v>272</v>
      </c>
      <c r="G1436" t="s">
        <v>269</v>
      </c>
      <c r="H1436" t="n">
        <v>4583</v>
      </c>
      <c r="I1436"/>
      <c r="J1436" t="n">
        <v>2310</v>
      </c>
      <c r="K1436"/>
      <c r="L1436"/>
      <c r="M1436"/>
      <c r="N1436" t="s">
        <v>217</v>
      </c>
      <c r="O1436"/>
      <c r="P1436"/>
      <c r="Q1436"/>
      <c r="R1436"/>
      <c r="S1436"/>
      <c r="T1436"/>
      <c r="U1436"/>
      <c r="V1436"/>
      <c r="W1436"/>
      <c r="X1436"/>
      <c r="Y1436" t="n">
        <v>4541</v>
      </c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</row>
    <row r="1437">
      <c r="A1437" t="s">
        <v>261</v>
      </c>
      <c r="B1437" t="s">
        <v>238</v>
      </c>
      <c r="C1437" t="s">
        <v>231</v>
      </c>
      <c r="D1437" t="s">
        <v>213</v>
      </c>
      <c r="E1437" t="s">
        <v>272</v>
      </c>
      <c r="F1437" t="s">
        <v>272</v>
      </c>
      <c r="G1437" t="s">
        <v>269</v>
      </c>
      <c r="H1437" t="n">
        <v>4583</v>
      </c>
      <c r="I1437"/>
      <c r="J1437" t="n">
        <v>2310</v>
      </c>
      <c r="K1437"/>
      <c r="L1437"/>
      <c r="M1437"/>
      <c r="N1437" t="s">
        <v>218</v>
      </c>
      <c r="O1437"/>
      <c r="P1437"/>
      <c r="Q1437"/>
      <c r="R1437"/>
      <c r="S1437"/>
      <c r="T1437"/>
      <c r="U1437"/>
      <c r="V1437"/>
      <c r="W1437"/>
      <c r="X1437"/>
      <c r="Y1437" t="n">
        <v>9</v>
      </c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</row>
    <row r="1438">
      <c r="A1438" t="s">
        <v>261</v>
      </c>
      <c r="B1438" t="s">
        <v>238</v>
      </c>
      <c r="C1438" t="s">
        <v>231</v>
      </c>
      <c r="D1438" t="s">
        <v>213</v>
      </c>
      <c r="E1438" t="s">
        <v>272</v>
      </c>
      <c r="F1438" t="s">
        <v>272</v>
      </c>
      <c r="G1438" t="s">
        <v>269</v>
      </c>
      <c r="H1438" t="n">
        <v>4583</v>
      </c>
      <c r="I1438"/>
      <c r="J1438" t="n">
        <v>2310</v>
      </c>
      <c r="K1438"/>
      <c r="L1438"/>
      <c r="M1438"/>
      <c r="N1438" t="s">
        <v>219</v>
      </c>
      <c r="O1438"/>
      <c r="P1438"/>
      <c r="Q1438"/>
      <c r="R1438"/>
      <c r="S1438"/>
      <c r="T1438"/>
      <c r="U1438"/>
      <c r="V1438"/>
      <c r="W1438"/>
      <c r="X1438"/>
      <c r="Y1438" t="n">
        <v>14</v>
      </c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</row>
    <row r="1439">
      <c r="A1439" t="s">
        <v>261</v>
      </c>
      <c r="B1439" t="s">
        <v>238</v>
      </c>
      <c r="C1439" t="s">
        <v>231</v>
      </c>
      <c r="D1439" t="s">
        <v>213</v>
      </c>
      <c r="E1439" t="s">
        <v>272</v>
      </c>
      <c r="F1439" t="s">
        <v>272</v>
      </c>
      <c r="G1439" t="s">
        <v>269</v>
      </c>
      <c r="H1439" t="n">
        <v>4583</v>
      </c>
      <c r="I1439"/>
      <c r="J1439" t="n">
        <v>2310</v>
      </c>
      <c r="K1439"/>
      <c r="L1439"/>
      <c r="M1439"/>
      <c r="N1439" t="s">
        <v>220</v>
      </c>
      <c r="O1439"/>
      <c r="P1439"/>
      <c r="Q1439"/>
      <c r="R1439"/>
      <c r="S1439"/>
      <c r="T1439"/>
      <c r="U1439"/>
      <c r="V1439"/>
      <c r="W1439"/>
      <c r="X1439"/>
      <c r="Y1439" t="n">
        <v>13</v>
      </c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</row>
    <row r="1440">
      <c r="A1440" t="s">
        <v>261</v>
      </c>
      <c r="B1440" t="s">
        <v>238</v>
      </c>
      <c r="C1440" t="s">
        <v>231</v>
      </c>
      <c r="D1440" t="s">
        <v>213</v>
      </c>
      <c r="E1440" t="s">
        <v>272</v>
      </c>
      <c r="F1440" t="s">
        <v>272</v>
      </c>
      <c r="G1440" t="s">
        <v>269</v>
      </c>
      <c r="H1440" t="n">
        <v>4583</v>
      </c>
      <c r="I1440"/>
      <c r="J1440" t="n">
        <v>2310</v>
      </c>
      <c r="K1440"/>
      <c r="L1440"/>
      <c r="M1440"/>
      <c r="N1440" t="s">
        <v>221</v>
      </c>
      <c r="O1440"/>
      <c r="P1440"/>
      <c r="Q1440"/>
      <c r="R1440"/>
      <c r="S1440"/>
      <c r="T1440"/>
      <c r="U1440"/>
      <c r="V1440"/>
      <c r="W1440"/>
      <c r="X1440"/>
      <c r="Y1440" t="n">
        <v>5.0121412803532</v>
      </c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</row>
    <row r="1441">
      <c r="A1441" t="s">
        <v>261</v>
      </c>
      <c r="B1441" t="s">
        <v>238</v>
      </c>
      <c r="C1441" t="s">
        <v>231</v>
      </c>
      <c r="D1441" t="s">
        <v>213</v>
      </c>
      <c r="E1441" t="s">
        <v>272</v>
      </c>
      <c r="F1441" t="s">
        <v>272</v>
      </c>
      <c r="G1441" t="s">
        <v>269</v>
      </c>
      <c r="H1441" t="n">
        <v>4583</v>
      </c>
      <c r="I1441"/>
      <c r="J1441" t="n">
        <v>2310</v>
      </c>
      <c r="K1441"/>
      <c r="L1441"/>
      <c r="M1441"/>
      <c r="N1441" t="s">
        <v>222</v>
      </c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</row>
    <row r="1442">
      <c r="A1442" t="s">
        <v>210</v>
      </c>
      <c r="B1442" t="s">
        <v>238</v>
      </c>
      <c r="C1442" t="s">
        <v>231</v>
      </c>
      <c r="D1442" t="s">
        <v>213</v>
      </c>
      <c r="E1442" t="s">
        <v>266</v>
      </c>
      <c r="F1442" t="s">
        <v>266</v>
      </c>
      <c r="G1442" t="s">
        <v>259</v>
      </c>
      <c r="H1442" t="n">
        <v>339876</v>
      </c>
      <c r="I1442"/>
      <c r="J1442"/>
      <c r="K1442"/>
      <c r="L1442"/>
      <c r="M1442"/>
      <c r="N1442" t="s">
        <v>214</v>
      </c>
      <c r="O1442"/>
      <c r="P1442"/>
      <c r="Q1442"/>
      <c r="R1442"/>
      <c r="S1442"/>
      <c r="T1442"/>
      <c r="U1442"/>
      <c r="V1442"/>
      <c r="W1442"/>
      <c r="X1442"/>
      <c r="Y1442" t="n">
        <v>0</v>
      </c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</row>
    <row r="1443">
      <c r="A1443" t="s">
        <v>210</v>
      </c>
      <c r="B1443" t="s">
        <v>238</v>
      </c>
      <c r="C1443" t="s">
        <v>231</v>
      </c>
      <c r="D1443" t="s">
        <v>213</v>
      </c>
      <c r="E1443" t="s">
        <v>266</v>
      </c>
      <c r="F1443" t="s">
        <v>266</v>
      </c>
      <c r="G1443" t="s">
        <v>259</v>
      </c>
      <c r="H1443" t="n">
        <v>339876</v>
      </c>
      <c r="I1443"/>
      <c r="J1443"/>
      <c r="K1443"/>
      <c r="L1443"/>
      <c r="M1443"/>
      <c r="N1443" t="s">
        <v>215</v>
      </c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</row>
    <row r="1444">
      <c r="A1444" t="s">
        <v>210</v>
      </c>
      <c r="B1444" t="s">
        <v>238</v>
      </c>
      <c r="C1444" t="s">
        <v>231</v>
      </c>
      <c r="D1444" t="s">
        <v>213</v>
      </c>
      <c r="E1444" t="s">
        <v>266</v>
      </c>
      <c r="F1444" t="s">
        <v>266</v>
      </c>
      <c r="G1444" t="s">
        <v>259</v>
      </c>
      <c r="H1444" t="n">
        <v>339876</v>
      </c>
      <c r="I1444"/>
      <c r="J1444"/>
      <c r="K1444"/>
      <c r="L1444"/>
      <c r="M1444"/>
      <c r="N1444" t="s">
        <v>216</v>
      </c>
      <c r="O1444"/>
      <c r="P1444"/>
      <c r="Q1444"/>
      <c r="R1444"/>
      <c r="S1444"/>
      <c r="T1444"/>
      <c r="U1444"/>
      <c r="V1444"/>
      <c r="W1444"/>
      <c r="X1444"/>
      <c r="Y1444" t="n">
        <v>41941</v>
      </c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</row>
    <row r="1445">
      <c r="A1445" t="s">
        <v>210</v>
      </c>
      <c r="B1445" t="s">
        <v>238</v>
      </c>
      <c r="C1445" t="s">
        <v>231</v>
      </c>
      <c r="D1445" t="s">
        <v>213</v>
      </c>
      <c r="E1445" t="s">
        <v>266</v>
      </c>
      <c r="F1445" t="s">
        <v>266</v>
      </c>
      <c r="G1445" t="s">
        <v>259</v>
      </c>
      <c r="H1445" t="n">
        <v>339876</v>
      </c>
      <c r="I1445"/>
      <c r="J1445"/>
      <c r="K1445"/>
      <c r="L1445"/>
      <c r="M1445"/>
      <c r="N1445" t="s">
        <v>217</v>
      </c>
      <c r="O1445"/>
      <c r="P1445"/>
      <c r="Q1445"/>
      <c r="R1445"/>
      <c r="S1445"/>
      <c r="T1445"/>
      <c r="U1445"/>
      <c r="V1445"/>
      <c r="W1445"/>
      <c r="X1445"/>
      <c r="Y1445" t="n">
        <v>297935</v>
      </c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</row>
    <row r="1446">
      <c r="A1446" t="s">
        <v>210</v>
      </c>
      <c r="B1446" t="s">
        <v>238</v>
      </c>
      <c r="C1446" t="s">
        <v>231</v>
      </c>
      <c r="D1446" t="s">
        <v>213</v>
      </c>
      <c r="E1446" t="s">
        <v>266</v>
      </c>
      <c r="F1446" t="s">
        <v>266</v>
      </c>
      <c r="G1446" t="s">
        <v>259</v>
      </c>
      <c r="H1446" t="n">
        <v>339876</v>
      </c>
      <c r="I1446"/>
      <c r="J1446"/>
      <c r="K1446"/>
      <c r="L1446"/>
      <c r="M1446"/>
      <c r="N1446" t="s">
        <v>218</v>
      </c>
      <c r="O1446"/>
      <c r="P1446"/>
      <c r="Q1446"/>
      <c r="R1446"/>
      <c r="S1446"/>
      <c r="T1446"/>
      <c r="U1446"/>
      <c r="V1446"/>
      <c r="W1446"/>
      <c r="X1446"/>
      <c r="Y1446" t="n">
        <v>6</v>
      </c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</row>
    <row r="1447">
      <c r="A1447" t="s">
        <v>210</v>
      </c>
      <c r="B1447" t="s">
        <v>238</v>
      </c>
      <c r="C1447" t="s">
        <v>231</v>
      </c>
      <c r="D1447" t="s">
        <v>213</v>
      </c>
      <c r="E1447" t="s">
        <v>266</v>
      </c>
      <c r="F1447" t="s">
        <v>266</v>
      </c>
      <c r="G1447" t="s">
        <v>259</v>
      </c>
      <c r="H1447" t="n">
        <v>339876</v>
      </c>
      <c r="I1447"/>
      <c r="J1447"/>
      <c r="K1447"/>
      <c r="L1447"/>
      <c r="M1447"/>
      <c r="N1447" t="s">
        <v>219</v>
      </c>
      <c r="O1447"/>
      <c r="P1447"/>
      <c r="Q1447"/>
      <c r="R1447"/>
      <c r="S1447"/>
      <c r="T1447"/>
      <c r="U1447"/>
      <c r="V1447"/>
      <c r="W1447"/>
      <c r="X1447"/>
      <c r="Y1447" t="n">
        <v>12</v>
      </c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</row>
    <row r="1448">
      <c r="A1448" t="s">
        <v>210</v>
      </c>
      <c r="B1448" t="s">
        <v>238</v>
      </c>
      <c r="C1448" t="s">
        <v>231</v>
      </c>
      <c r="D1448" t="s">
        <v>213</v>
      </c>
      <c r="E1448" t="s">
        <v>266</v>
      </c>
      <c r="F1448" t="s">
        <v>266</v>
      </c>
      <c r="G1448" t="s">
        <v>259</v>
      </c>
      <c r="H1448" t="n">
        <v>339876</v>
      </c>
      <c r="I1448"/>
      <c r="J1448"/>
      <c r="K1448"/>
      <c r="L1448"/>
      <c r="M1448"/>
      <c r="N1448" t="s">
        <v>220</v>
      </c>
      <c r="O1448"/>
      <c r="P1448"/>
      <c r="Q1448"/>
      <c r="R1448"/>
      <c r="S1448"/>
      <c r="T1448"/>
      <c r="U1448"/>
      <c r="V1448"/>
      <c r="W1448"/>
      <c r="X1448"/>
      <c r="Y1448" t="n">
        <v>12</v>
      </c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</row>
    <row r="1449">
      <c r="A1449" t="s">
        <v>210</v>
      </c>
      <c r="B1449" t="s">
        <v>238</v>
      </c>
      <c r="C1449" t="s">
        <v>231</v>
      </c>
      <c r="D1449" t="s">
        <v>213</v>
      </c>
      <c r="E1449" t="s">
        <v>266</v>
      </c>
      <c r="F1449" t="s">
        <v>266</v>
      </c>
      <c r="G1449" t="s">
        <v>259</v>
      </c>
      <c r="H1449" t="n">
        <v>339876</v>
      </c>
      <c r="I1449"/>
      <c r="J1449"/>
      <c r="K1449"/>
      <c r="L1449"/>
      <c r="M1449"/>
      <c r="N1449" t="s">
        <v>221</v>
      </c>
      <c r="O1449"/>
      <c r="P1449"/>
      <c r="Q1449"/>
      <c r="R1449"/>
      <c r="S1449"/>
      <c r="T1449"/>
      <c r="U1449"/>
      <c r="V1449"/>
      <c r="W1449"/>
      <c r="X1449"/>
      <c r="Y1449" t="n">
        <v>7.10366944040438</v>
      </c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</row>
    <row r="1450">
      <c r="A1450" t="s">
        <v>210</v>
      </c>
      <c r="B1450" t="s">
        <v>238</v>
      </c>
      <c r="C1450" t="s">
        <v>231</v>
      </c>
      <c r="D1450" t="s">
        <v>213</v>
      </c>
      <c r="E1450" t="s">
        <v>266</v>
      </c>
      <c r="F1450" t="s">
        <v>266</v>
      </c>
      <c r="G1450" t="s">
        <v>259</v>
      </c>
      <c r="H1450" t="n">
        <v>339876</v>
      </c>
      <c r="I1450"/>
      <c r="J1450"/>
      <c r="K1450"/>
      <c r="L1450"/>
      <c r="M1450"/>
      <c r="N1450" t="s">
        <v>222</v>
      </c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</row>
    <row r="1451">
      <c r="A1451" t="s">
        <v>235</v>
      </c>
      <c r="B1451" t="s">
        <v>240</v>
      </c>
      <c r="C1451" t="s">
        <v>241</v>
      </c>
      <c r="D1451" t="s">
        <v>213</v>
      </c>
      <c r="E1451" t="s">
        <v>236</v>
      </c>
      <c r="F1451" t="s">
        <v>236</v>
      </c>
      <c r="G1451" t="s">
        <v>259</v>
      </c>
      <c r="H1451" t="n">
        <v>24000</v>
      </c>
      <c r="I1451"/>
      <c r="J1451" t="n">
        <v>20697</v>
      </c>
      <c r="K1451" t="s">
        <v>280</v>
      </c>
      <c r="L1451"/>
      <c r="M1451"/>
      <c r="N1451" t="s">
        <v>214</v>
      </c>
      <c r="O1451"/>
      <c r="P1451"/>
      <c r="Q1451"/>
      <c r="R1451"/>
      <c r="S1451"/>
      <c r="T1451"/>
      <c r="U1451"/>
      <c r="V1451"/>
      <c r="W1451"/>
      <c r="X1451"/>
      <c r="Y1451" t="n">
        <v>1262124</v>
      </c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</row>
    <row r="1452">
      <c r="A1452" t="s">
        <v>235</v>
      </c>
      <c r="B1452" t="s">
        <v>240</v>
      </c>
      <c r="C1452" t="s">
        <v>241</v>
      </c>
      <c r="D1452" t="s">
        <v>213</v>
      </c>
      <c r="E1452" t="s">
        <v>236</v>
      </c>
      <c r="F1452" t="s">
        <v>236</v>
      </c>
      <c r="G1452" t="s">
        <v>259</v>
      </c>
      <c r="H1452" t="n">
        <v>24000</v>
      </c>
      <c r="I1452"/>
      <c r="J1452" t="n">
        <v>20697</v>
      </c>
      <c r="K1452" t="s">
        <v>280</v>
      </c>
      <c r="L1452"/>
      <c r="M1452"/>
      <c r="N1452" t="s">
        <v>215</v>
      </c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</row>
    <row r="1453">
      <c r="A1453" t="s">
        <v>235</v>
      </c>
      <c r="B1453" t="s">
        <v>240</v>
      </c>
      <c r="C1453" t="s">
        <v>241</v>
      </c>
      <c r="D1453" t="s">
        <v>213</v>
      </c>
      <c r="E1453" t="s">
        <v>236</v>
      </c>
      <c r="F1453" t="s">
        <v>236</v>
      </c>
      <c r="G1453" t="s">
        <v>259</v>
      </c>
      <c r="H1453" t="n">
        <v>24000</v>
      </c>
      <c r="I1453"/>
      <c r="J1453" t="n">
        <v>20697</v>
      </c>
      <c r="K1453" t="s">
        <v>280</v>
      </c>
      <c r="L1453"/>
      <c r="M1453"/>
      <c r="N1453" t="s">
        <v>216</v>
      </c>
      <c r="O1453"/>
      <c r="P1453"/>
      <c r="Q1453"/>
      <c r="R1453"/>
      <c r="S1453"/>
      <c r="T1453"/>
      <c r="U1453"/>
      <c r="V1453"/>
      <c r="W1453"/>
      <c r="X1453"/>
      <c r="Y1453" t="n">
        <v>110429</v>
      </c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</row>
    <row r="1454">
      <c r="A1454" t="s">
        <v>235</v>
      </c>
      <c r="B1454" t="s">
        <v>240</v>
      </c>
      <c r="C1454" t="s">
        <v>241</v>
      </c>
      <c r="D1454" t="s">
        <v>213</v>
      </c>
      <c r="E1454" t="s">
        <v>236</v>
      </c>
      <c r="F1454" t="s">
        <v>236</v>
      </c>
      <c r="G1454" t="s">
        <v>259</v>
      </c>
      <c r="H1454" t="n">
        <v>24000</v>
      </c>
      <c r="I1454"/>
      <c r="J1454" t="n">
        <v>20697</v>
      </c>
      <c r="K1454" t="s">
        <v>280</v>
      </c>
      <c r="L1454"/>
      <c r="M1454"/>
      <c r="N1454" t="s">
        <v>217</v>
      </c>
      <c r="O1454"/>
      <c r="P1454"/>
      <c r="Q1454"/>
      <c r="R1454"/>
      <c r="S1454"/>
      <c r="T1454"/>
      <c r="U1454"/>
      <c r="V1454"/>
      <c r="W1454"/>
      <c r="X1454"/>
      <c r="Y1454" t="n">
        <v>1175695</v>
      </c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</row>
    <row r="1455">
      <c r="A1455" t="s">
        <v>235</v>
      </c>
      <c r="B1455" t="s">
        <v>240</v>
      </c>
      <c r="C1455" t="s">
        <v>241</v>
      </c>
      <c r="D1455" t="s">
        <v>213</v>
      </c>
      <c r="E1455" t="s">
        <v>236</v>
      </c>
      <c r="F1455" t="s">
        <v>236</v>
      </c>
      <c r="G1455" t="s">
        <v>259</v>
      </c>
      <c r="H1455" t="n">
        <v>24000</v>
      </c>
      <c r="I1455"/>
      <c r="J1455" t="n">
        <v>20697</v>
      </c>
      <c r="K1455" t="s">
        <v>280</v>
      </c>
      <c r="L1455"/>
      <c r="M1455"/>
      <c r="N1455" t="s">
        <v>218</v>
      </c>
      <c r="O1455"/>
      <c r="P1455"/>
      <c r="Q1455"/>
      <c r="R1455"/>
      <c r="S1455"/>
      <c r="T1455"/>
      <c r="U1455"/>
      <c r="V1455"/>
      <c r="W1455"/>
      <c r="X1455"/>
      <c r="Y1455" t="n">
        <v>6</v>
      </c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</row>
    <row r="1456">
      <c r="A1456" t="s">
        <v>235</v>
      </c>
      <c r="B1456" t="s">
        <v>240</v>
      </c>
      <c r="C1456" t="s">
        <v>241</v>
      </c>
      <c r="D1456" t="s">
        <v>213</v>
      </c>
      <c r="E1456" t="s">
        <v>236</v>
      </c>
      <c r="F1456" t="s">
        <v>236</v>
      </c>
      <c r="G1456" t="s">
        <v>259</v>
      </c>
      <c r="H1456" t="n">
        <v>24000</v>
      </c>
      <c r="I1456"/>
      <c r="J1456" t="n">
        <v>20697</v>
      </c>
      <c r="K1456" t="s">
        <v>280</v>
      </c>
      <c r="L1456"/>
      <c r="M1456"/>
      <c r="N1456" t="s">
        <v>219</v>
      </c>
      <c r="O1456"/>
      <c r="P1456"/>
      <c r="Q1456"/>
      <c r="R1456"/>
      <c r="S1456"/>
      <c r="T1456"/>
      <c r="U1456"/>
      <c r="V1456"/>
      <c r="W1456"/>
      <c r="X1456"/>
      <c r="Y1456" t="n">
        <v>12</v>
      </c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</row>
    <row r="1457">
      <c r="A1457" t="s">
        <v>235</v>
      </c>
      <c r="B1457" t="s">
        <v>240</v>
      </c>
      <c r="C1457" t="s">
        <v>241</v>
      </c>
      <c r="D1457" t="s">
        <v>213</v>
      </c>
      <c r="E1457" t="s">
        <v>236</v>
      </c>
      <c r="F1457" t="s">
        <v>236</v>
      </c>
      <c r="G1457" t="s">
        <v>259</v>
      </c>
      <c r="H1457" t="n">
        <v>24000</v>
      </c>
      <c r="I1457"/>
      <c r="J1457" t="n">
        <v>20697</v>
      </c>
      <c r="K1457" t="s">
        <v>280</v>
      </c>
      <c r="L1457"/>
      <c r="M1457"/>
      <c r="N1457" t="s">
        <v>220</v>
      </c>
      <c r="O1457"/>
      <c r="P1457"/>
      <c r="Q1457"/>
      <c r="R1457"/>
      <c r="S1457"/>
      <c r="T1457"/>
      <c r="U1457"/>
      <c r="V1457"/>
      <c r="W1457"/>
      <c r="X1457"/>
      <c r="Y1457" t="n">
        <v>12</v>
      </c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</row>
    <row r="1458">
      <c r="A1458" t="s">
        <v>235</v>
      </c>
      <c r="B1458" t="s">
        <v>240</v>
      </c>
      <c r="C1458" t="s">
        <v>241</v>
      </c>
      <c r="D1458" t="s">
        <v>213</v>
      </c>
      <c r="E1458" t="s">
        <v>236</v>
      </c>
      <c r="F1458" t="s">
        <v>236</v>
      </c>
      <c r="G1458" t="s">
        <v>259</v>
      </c>
      <c r="H1458" t="n">
        <v>24000</v>
      </c>
      <c r="I1458"/>
      <c r="J1458" t="n">
        <v>20697</v>
      </c>
      <c r="K1458" t="s">
        <v>280</v>
      </c>
      <c r="L1458"/>
      <c r="M1458"/>
      <c r="N1458" t="s">
        <v>221</v>
      </c>
      <c r="O1458"/>
      <c r="P1458"/>
      <c r="Q1458"/>
      <c r="R1458"/>
      <c r="S1458"/>
      <c r="T1458"/>
      <c r="U1458"/>
      <c r="V1458"/>
      <c r="W1458"/>
      <c r="X1458"/>
      <c r="Y1458" t="n">
        <v>10.6466145668257</v>
      </c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</row>
    <row r="1459">
      <c r="A1459" t="s">
        <v>235</v>
      </c>
      <c r="B1459" t="s">
        <v>240</v>
      </c>
      <c r="C1459" t="s">
        <v>241</v>
      </c>
      <c r="D1459" t="s">
        <v>213</v>
      </c>
      <c r="E1459" t="s">
        <v>236</v>
      </c>
      <c r="F1459" t="s">
        <v>236</v>
      </c>
      <c r="G1459" t="s">
        <v>259</v>
      </c>
      <c r="H1459" t="n">
        <v>24000</v>
      </c>
      <c r="I1459"/>
      <c r="J1459" t="n">
        <v>20697</v>
      </c>
      <c r="K1459" t="s">
        <v>280</v>
      </c>
      <c r="L1459"/>
      <c r="M1459"/>
      <c r="N1459" t="s">
        <v>222</v>
      </c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</row>
    <row r="1460">
      <c r="A1460" t="s">
        <v>250</v>
      </c>
      <c r="B1460" t="s">
        <v>227</v>
      </c>
      <c r="C1460" t="s">
        <v>228</v>
      </c>
      <c r="D1460" t="s">
        <v>213</v>
      </c>
      <c r="E1460"/>
      <c r="F1460"/>
      <c r="G1460" t="s">
        <v>269</v>
      </c>
      <c r="H1460" t="n">
        <v>414</v>
      </c>
      <c r="I1460"/>
      <c r="J1460"/>
      <c r="K1460"/>
      <c r="L1460"/>
      <c r="M1460"/>
      <c r="N1460" t="s">
        <v>214</v>
      </c>
      <c r="O1460"/>
      <c r="P1460"/>
      <c r="Q1460"/>
      <c r="R1460"/>
      <c r="S1460"/>
      <c r="T1460"/>
      <c r="U1460"/>
      <c r="V1460"/>
      <c r="W1460"/>
      <c r="X1460"/>
      <c r="Y1460" t="n">
        <v>105</v>
      </c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</row>
    <row r="1461">
      <c r="A1461" t="s">
        <v>250</v>
      </c>
      <c r="B1461" t="s">
        <v>227</v>
      </c>
      <c r="C1461" t="s">
        <v>228</v>
      </c>
      <c r="D1461" t="s">
        <v>213</v>
      </c>
      <c r="E1461"/>
      <c r="F1461"/>
      <c r="G1461" t="s">
        <v>269</v>
      </c>
      <c r="H1461" t="n">
        <v>414</v>
      </c>
      <c r="I1461"/>
      <c r="J1461"/>
      <c r="K1461"/>
      <c r="L1461"/>
      <c r="M1461"/>
      <c r="N1461" t="s">
        <v>215</v>
      </c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</row>
    <row r="1462">
      <c r="A1462" t="s">
        <v>250</v>
      </c>
      <c r="B1462" t="s">
        <v>227</v>
      </c>
      <c r="C1462" t="s">
        <v>228</v>
      </c>
      <c r="D1462" t="s">
        <v>213</v>
      </c>
      <c r="E1462"/>
      <c r="F1462"/>
      <c r="G1462" t="s">
        <v>269</v>
      </c>
      <c r="H1462" t="n">
        <v>414</v>
      </c>
      <c r="I1462"/>
      <c r="J1462"/>
      <c r="K1462"/>
      <c r="L1462"/>
      <c r="M1462"/>
      <c r="N1462" t="s">
        <v>216</v>
      </c>
      <c r="O1462"/>
      <c r="P1462"/>
      <c r="Q1462"/>
      <c r="R1462"/>
      <c r="S1462"/>
      <c r="T1462"/>
      <c r="U1462"/>
      <c r="V1462"/>
      <c r="W1462"/>
      <c r="X1462"/>
      <c r="Y1462" t="n">
        <v>32</v>
      </c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</row>
    <row r="1463">
      <c r="A1463" t="s">
        <v>250</v>
      </c>
      <c r="B1463" t="s">
        <v>227</v>
      </c>
      <c r="C1463" t="s">
        <v>228</v>
      </c>
      <c r="D1463" t="s">
        <v>213</v>
      </c>
      <c r="E1463"/>
      <c r="F1463"/>
      <c r="G1463" t="s">
        <v>269</v>
      </c>
      <c r="H1463" t="n">
        <v>414</v>
      </c>
      <c r="I1463"/>
      <c r="J1463"/>
      <c r="K1463"/>
      <c r="L1463"/>
      <c r="M1463"/>
      <c r="N1463" t="s">
        <v>217</v>
      </c>
      <c r="O1463"/>
      <c r="P1463"/>
      <c r="Q1463"/>
      <c r="R1463"/>
      <c r="S1463"/>
      <c r="T1463"/>
      <c r="U1463"/>
      <c r="V1463"/>
      <c r="W1463"/>
      <c r="X1463"/>
      <c r="Y1463" t="n">
        <v>487</v>
      </c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</row>
    <row r="1464">
      <c r="A1464" t="s">
        <v>250</v>
      </c>
      <c r="B1464" t="s">
        <v>227</v>
      </c>
      <c r="C1464" t="s">
        <v>228</v>
      </c>
      <c r="D1464" t="s">
        <v>213</v>
      </c>
      <c r="E1464"/>
      <c r="F1464"/>
      <c r="G1464" t="s">
        <v>269</v>
      </c>
      <c r="H1464" t="n">
        <v>414</v>
      </c>
      <c r="I1464"/>
      <c r="J1464"/>
      <c r="K1464"/>
      <c r="L1464"/>
      <c r="M1464"/>
      <c r="N1464" t="s">
        <v>218</v>
      </c>
      <c r="O1464"/>
      <c r="P1464"/>
      <c r="Q1464"/>
      <c r="R1464"/>
      <c r="S1464"/>
      <c r="T1464"/>
      <c r="U1464"/>
      <c r="V1464"/>
      <c r="W1464"/>
      <c r="X1464"/>
      <c r="Y1464" t="n">
        <v>7</v>
      </c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</row>
    <row r="1465">
      <c r="A1465" t="s">
        <v>250</v>
      </c>
      <c r="B1465" t="s">
        <v>227</v>
      </c>
      <c r="C1465" t="s">
        <v>228</v>
      </c>
      <c r="D1465" t="s">
        <v>213</v>
      </c>
      <c r="E1465"/>
      <c r="F1465"/>
      <c r="G1465" t="s">
        <v>269</v>
      </c>
      <c r="H1465" t="n">
        <v>414</v>
      </c>
      <c r="I1465"/>
      <c r="J1465"/>
      <c r="K1465"/>
      <c r="L1465"/>
      <c r="M1465"/>
      <c r="N1465" t="s">
        <v>219</v>
      </c>
      <c r="O1465"/>
      <c r="P1465"/>
      <c r="Q1465"/>
      <c r="R1465"/>
      <c r="S1465"/>
      <c r="T1465"/>
      <c r="U1465"/>
      <c r="V1465"/>
      <c r="W1465"/>
      <c r="X1465"/>
      <c r="Y1465" t="n">
        <v>15</v>
      </c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</row>
    <row r="1466">
      <c r="A1466" t="s">
        <v>250</v>
      </c>
      <c r="B1466" t="s">
        <v>227</v>
      </c>
      <c r="C1466" t="s">
        <v>228</v>
      </c>
      <c r="D1466" t="s">
        <v>213</v>
      </c>
      <c r="E1466"/>
      <c r="F1466"/>
      <c r="G1466" t="s">
        <v>269</v>
      </c>
      <c r="H1466" t="n">
        <v>414</v>
      </c>
      <c r="I1466"/>
      <c r="J1466"/>
      <c r="K1466"/>
      <c r="L1466"/>
      <c r="M1466"/>
      <c r="N1466" t="s">
        <v>220</v>
      </c>
      <c r="O1466"/>
      <c r="P1466"/>
      <c r="Q1466"/>
      <c r="R1466"/>
      <c r="S1466"/>
      <c r="T1466"/>
      <c r="U1466"/>
      <c r="V1466"/>
      <c r="W1466"/>
      <c r="X1466"/>
      <c r="Y1466" t="n">
        <v>15</v>
      </c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</row>
    <row r="1467">
      <c r="A1467" t="s">
        <v>250</v>
      </c>
      <c r="B1467" t="s">
        <v>227</v>
      </c>
      <c r="C1467" t="s">
        <v>228</v>
      </c>
      <c r="D1467" t="s">
        <v>213</v>
      </c>
      <c r="E1467"/>
      <c r="F1467"/>
      <c r="G1467" t="s">
        <v>269</v>
      </c>
      <c r="H1467" t="n">
        <v>414</v>
      </c>
      <c r="I1467"/>
      <c r="J1467"/>
      <c r="K1467"/>
      <c r="L1467"/>
      <c r="M1467"/>
      <c r="N1467" t="s">
        <v>221</v>
      </c>
      <c r="O1467"/>
      <c r="P1467"/>
      <c r="Q1467"/>
      <c r="R1467"/>
      <c r="S1467"/>
      <c r="T1467"/>
      <c r="U1467"/>
      <c r="V1467"/>
      <c r="W1467"/>
      <c r="X1467"/>
      <c r="Y1467" t="n">
        <v>15.21875</v>
      </c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</row>
    <row r="1468">
      <c r="A1468" t="s">
        <v>250</v>
      </c>
      <c r="B1468" t="s">
        <v>227</v>
      </c>
      <c r="C1468" t="s">
        <v>228</v>
      </c>
      <c r="D1468" t="s">
        <v>213</v>
      </c>
      <c r="E1468"/>
      <c r="F1468"/>
      <c r="G1468" t="s">
        <v>269</v>
      </c>
      <c r="H1468" t="n">
        <v>414</v>
      </c>
      <c r="I1468"/>
      <c r="J1468"/>
      <c r="K1468"/>
      <c r="L1468"/>
      <c r="M1468"/>
      <c r="N1468" t="s">
        <v>222</v>
      </c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</row>
    <row r="1469">
      <c r="A1469" t="s">
        <v>250</v>
      </c>
      <c r="B1469" t="s">
        <v>255</v>
      </c>
      <c r="C1469" t="s">
        <v>256</v>
      </c>
      <c r="D1469" t="s">
        <v>213</v>
      </c>
      <c r="E1469"/>
      <c r="F1469"/>
      <c r="G1469" t="s">
        <v>259</v>
      </c>
      <c r="H1469" t="n">
        <v>9030</v>
      </c>
      <c r="I1469"/>
      <c r="J1469"/>
      <c r="K1469" t="s">
        <v>280</v>
      </c>
      <c r="L1469"/>
      <c r="M1469"/>
      <c r="N1469" t="s">
        <v>214</v>
      </c>
      <c r="O1469"/>
      <c r="P1469"/>
      <c r="Q1469"/>
      <c r="R1469"/>
      <c r="S1469"/>
      <c r="T1469"/>
      <c r="U1469"/>
      <c r="V1469"/>
      <c r="W1469"/>
      <c r="X1469"/>
      <c r="Y1469" t="n">
        <v>12045</v>
      </c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</row>
    <row r="1470">
      <c r="A1470" t="s">
        <v>250</v>
      </c>
      <c r="B1470" t="s">
        <v>255</v>
      </c>
      <c r="C1470" t="s">
        <v>256</v>
      </c>
      <c r="D1470" t="s">
        <v>213</v>
      </c>
      <c r="E1470"/>
      <c r="F1470"/>
      <c r="G1470" t="s">
        <v>259</v>
      </c>
      <c r="H1470" t="n">
        <v>9030</v>
      </c>
      <c r="I1470"/>
      <c r="J1470"/>
      <c r="K1470" t="s">
        <v>280</v>
      </c>
      <c r="L1470"/>
      <c r="M1470"/>
      <c r="N1470" t="s">
        <v>215</v>
      </c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</row>
    <row r="1471">
      <c r="A1471" t="s">
        <v>250</v>
      </c>
      <c r="B1471" t="s">
        <v>255</v>
      </c>
      <c r="C1471" t="s">
        <v>256</v>
      </c>
      <c r="D1471" t="s">
        <v>213</v>
      </c>
      <c r="E1471"/>
      <c r="F1471"/>
      <c r="G1471" t="s">
        <v>259</v>
      </c>
      <c r="H1471" t="n">
        <v>9030</v>
      </c>
      <c r="I1471"/>
      <c r="J1471"/>
      <c r="K1471" t="s">
        <v>280</v>
      </c>
      <c r="L1471"/>
      <c r="M1471"/>
      <c r="N1471" t="s">
        <v>216</v>
      </c>
      <c r="O1471"/>
      <c r="P1471"/>
      <c r="Q1471"/>
      <c r="R1471"/>
      <c r="S1471"/>
      <c r="T1471"/>
      <c r="U1471"/>
      <c r="V1471"/>
      <c r="W1471"/>
      <c r="X1471"/>
      <c r="Y1471" t="n">
        <v>205</v>
      </c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</row>
    <row r="1472">
      <c r="A1472" t="s">
        <v>250</v>
      </c>
      <c r="B1472" t="s">
        <v>255</v>
      </c>
      <c r="C1472" t="s">
        <v>256</v>
      </c>
      <c r="D1472" t="s">
        <v>213</v>
      </c>
      <c r="E1472"/>
      <c r="F1472"/>
      <c r="G1472" t="s">
        <v>259</v>
      </c>
      <c r="H1472" t="n">
        <v>9030</v>
      </c>
      <c r="I1472"/>
      <c r="J1472"/>
      <c r="K1472" t="s">
        <v>280</v>
      </c>
      <c r="L1472"/>
      <c r="M1472"/>
      <c r="N1472" t="s">
        <v>217</v>
      </c>
      <c r="O1472"/>
      <c r="P1472"/>
      <c r="Q1472"/>
      <c r="R1472"/>
      <c r="S1472"/>
      <c r="T1472"/>
      <c r="U1472"/>
      <c r="V1472"/>
      <c r="W1472"/>
      <c r="X1472"/>
      <c r="Y1472" t="n">
        <v>20870</v>
      </c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</row>
    <row r="1473">
      <c r="A1473" t="s">
        <v>250</v>
      </c>
      <c r="B1473" t="s">
        <v>255</v>
      </c>
      <c r="C1473" t="s">
        <v>256</v>
      </c>
      <c r="D1473" t="s">
        <v>213</v>
      </c>
      <c r="E1473"/>
      <c r="F1473"/>
      <c r="G1473" t="s">
        <v>259</v>
      </c>
      <c r="H1473" t="n">
        <v>9030</v>
      </c>
      <c r="I1473"/>
      <c r="J1473"/>
      <c r="K1473" t="s">
        <v>280</v>
      </c>
      <c r="L1473"/>
      <c r="M1473"/>
      <c r="N1473" t="s">
        <v>218</v>
      </c>
      <c r="O1473"/>
      <c r="P1473"/>
      <c r="Q1473"/>
      <c r="R1473"/>
      <c r="S1473"/>
      <c r="T1473"/>
      <c r="U1473"/>
      <c r="V1473"/>
      <c r="W1473"/>
      <c r="X1473"/>
      <c r="Y1473" t="n">
        <v>7</v>
      </c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</row>
    <row r="1474">
      <c r="A1474" t="s">
        <v>250</v>
      </c>
      <c r="B1474" t="s">
        <v>255</v>
      </c>
      <c r="C1474" t="s">
        <v>256</v>
      </c>
      <c r="D1474" t="s">
        <v>213</v>
      </c>
      <c r="E1474"/>
      <c r="F1474"/>
      <c r="G1474" t="s">
        <v>259</v>
      </c>
      <c r="H1474" t="n">
        <v>9030</v>
      </c>
      <c r="I1474"/>
      <c r="J1474"/>
      <c r="K1474" t="s">
        <v>280</v>
      </c>
      <c r="L1474"/>
      <c r="M1474"/>
      <c r="N1474" t="s">
        <v>219</v>
      </c>
      <c r="O1474"/>
      <c r="P1474"/>
      <c r="Q1474"/>
      <c r="R1474"/>
      <c r="S1474"/>
      <c r="T1474"/>
      <c r="U1474"/>
      <c r="V1474"/>
      <c r="W1474"/>
      <c r="X1474"/>
      <c r="Y1474" t="n">
        <v>15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</row>
    <row r="1475">
      <c r="A1475" t="s">
        <v>250</v>
      </c>
      <c r="B1475" t="s">
        <v>255</v>
      </c>
      <c r="C1475" t="s">
        <v>256</v>
      </c>
      <c r="D1475" t="s">
        <v>213</v>
      </c>
      <c r="E1475"/>
      <c r="F1475"/>
      <c r="G1475" t="s">
        <v>259</v>
      </c>
      <c r="H1475" t="n">
        <v>9030</v>
      </c>
      <c r="I1475"/>
      <c r="J1475"/>
      <c r="K1475" t="s">
        <v>280</v>
      </c>
      <c r="L1475"/>
      <c r="M1475"/>
      <c r="N1475" t="s">
        <v>220</v>
      </c>
      <c r="O1475"/>
      <c r="P1475"/>
      <c r="Q1475"/>
      <c r="R1475"/>
      <c r="S1475"/>
      <c r="T1475"/>
      <c r="U1475"/>
      <c r="V1475"/>
      <c r="W1475"/>
      <c r="X1475"/>
      <c r="Y1475" t="n">
        <v>15</v>
      </c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</row>
    <row r="1476">
      <c r="A1476" t="s">
        <v>250</v>
      </c>
      <c r="B1476" t="s">
        <v>255</v>
      </c>
      <c r="C1476" t="s">
        <v>256</v>
      </c>
      <c r="D1476" t="s">
        <v>213</v>
      </c>
      <c r="E1476"/>
      <c r="F1476"/>
      <c r="G1476" t="s">
        <v>259</v>
      </c>
      <c r="H1476" t="n">
        <v>9030</v>
      </c>
      <c r="I1476"/>
      <c r="J1476"/>
      <c r="K1476" t="s">
        <v>280</v>
      </c>
      <c r="L1476"/>
      <c r="M1476"/>
      <c r="N1476" t="s">
        <v>221</v>
      </c>
      <c r="O1476"/>
      <c r="P1476"/>
      <c r="Q1476"/>
      <c r="R1476"/>
      <c r="S1476"/>
      <c r="T1476"/>
      <c r="U1476"/>
      <c r="V1476"/>
      <c r="W1476"/>
      <c r="X1476"/>
      <c r="Y1476" t="n">
        <v>101.80487804878</v>
      </c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</row>
    <row r="1477">
      <c r="A1477" t="s">
        <v>250</v>
      </c>
      <c r="B1477" t="s">
        <v>255</v>
      </c>
      <c r="C1477" t="s">
        <v>256</v>
      </c>
      <c r="D1477" t="s">
        <v>213</v>
      </c>
      <c r="E1477"/>
      <c r="F1477"/>
      <c r="G1477" t="s">
        <v>259</v>
      </c>
      <c r="H1477" t="n">
        <v>9030</v>
      </c>
      <c r="I1477"/>
      <c r="J1477"/>
      <c r="K1477" t="s">
        <v>280</v>
      </c>
      <c r="L1477"/>
      <c r="M1477"/>
      <c r="N1477" t="s">
        <v>222</v>
      </c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</row>
    <row r="1478">
      <c r="A1478" t="s">
        <v>250</v>
      </c>
      <c r="B1478" t="s">
        <v>247</v>
      </c>
      <c r="C1478" t="s">
        <v>231</v>
      </c>
      <c r="D1478" t="s">
        <v>213</v>
      </c>
      <c r="E1478"/>
      <c r="F1478"/>
      <c r="G1478" t="s">
        <v>269</v>
      </c>
      <c r="H1478" t="n">
        <v>157652</v>
      </c>
      <c r="I1478"/>
      <c r="J1478"/>
      <c r="K1478"/>
      <c r="L1478"/>
      <c r="M1478"/>
      <c r="N1478" t="s">
        <v>214</v>
      </c>
      <c r="O1478"/>
      <c r="P1478"/>
      <c r="Q1478"/>
      <c r="R1478"/>
      <c r="S1478"/>
      <c r="T1478"/>
      <c r="U1478"/>
      <c r="V1478"/>
      <c r="W1478"/>
      <c r="X1478"/>
      <c r="Y1478" t="n">
        <v>39703</v>
      </c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</row>
    <row r="1479">
      <c r="A1479" t="s">
        <v>250</v>
      </c>
      <c r="B1479" t="s">
        <v>247</v>
      </c>
      <c r="C1479" t="s">
        <v>231</v>
      </c>
      <c r="D1479" t="s">
        <v>213</v>
      </c>
      <c r="E1479"/>
      <c r="F1479"/>
      <c r="G1479" t="s">
        <v>269</v>
      </c>
      <c r="H1479" t="n">
        <v>157652</v>
      </c>
      <c r="I1479"/>
      <c r="J1479"/>
      <c r="K1479"/>
      <c r="L1479"/>
      <c r="M1479"/>
      <c r="N1479" t="s">
        <v>215</v>
      </c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</row>
    <row r="1480">
      <c r="A1480" t="s">
        <v>250</v>
      </c>
      <c r="B1480" t="s">
        <v>247</v>
      </c>
      <c r="C1480" t="s">
        <v>231</v>
      </c>
      <c r="D1480" t="s">
        <v>213</v>
      </c>
      <c r="E1480"/>
      <c r="F1480"/>
      <c r="G1480" t="s">
        <v>269</v>
      </c>
      <c r="H1480" t="n">
        <v>157652</v>
      </c>
      <c r="I1480"/>
      <c r="J1480"/>
      <c r="K1480"/>
      <c r="L1480"/>
      <c r="M1480"/>
      <c r="N1480" t="s">
        <v>216</v>
      </c>
      <c r="O1480"/>
      <c r="P1480"/>
      <c r="Q1480"/>
      <c r="R1480"/>
      <c r="S1480"/>
      <c r="T1480"/>
      <c r="U1480"/>
      <c r="V1480"/>
      <c r="W1480"/>
      <c r="X1480"/>
      <c r="Y1480" t="n">
        <v>19307</v>
      </c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</row>
    <row r="1481">
      <c r="A1481" t="s">
        <v>250</v>
      </c>
      <c r="B1481" t="s">
        <v>247</v>
      </c>
      <c r="C1481" t="s">
        <v>231</v>
      </c>
      <c r="D1481" t="s">
        <v>213</v>
      </c>
      <c r="E1481"/>
      <c r="F1481"/>
      <c r="G1481" t="s">
        <v>269</v>
      </c>
      <c r="H1481" t="n">
        <v>157652</v>
      </c>
      <c r="I1481"/>
      <c r="J1481"/>
      <c r="K1481"/>
      <c r="L1481"/>
      <c r="M1481"/>
      <c r="N1481" t="s">
        <v>217</v>
      </c>
      <c r="O1481"/>
      <c r="P1481"/>
      <c r="Q1481"/>
      <c r="R1481"/>
      <c r="S1481"/>
      <c r="T1481"/>
      <c r="U1481"/>
      <c r="V1481"/>
      <c r="W1481"/>
      <c r="X1481"/>
      <c r="Y1481" t="n">
        <v>178048</v>
      </c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</row>
    <row r="1482">
      <c r="A1482" t="s">
        <v>250</v>
      </c>
      <c r="B1482" t="s">
        <v>247</v>
      </c>
      <c r="C1482" t="s">
        <v>231</v>
      </c>
      <c r="D1482" t="s">
        <v>213</v>
      </c>
      <c r="E1482"/>
      <c r="F1482"/>
      <c r="G1482" t="s">
        <v>269</v>
      </c>
      <c r="H1482" t="n">
        <v>157652</v>
      </c>
      <c r="I1482"/>
      <c r="J1482"/>
      <c r="K1482"/>
      <c r="L1482"/>
      <c r="M1482"/>
      <c r="N1482" t="s">
        <v>218</v>
      </c>
      <c r="O1482"/>
      <c r="P1482"/>
      <c r="Q1482"/>
      <c r="R1482"/>
      <c r="S1482"/>
      <c r="T1482"/>
      <c r="U1482"/>
      <c r="V1482"/>
      <c r="W1482"/>
      <c r="X1482"/>
      <c r="Y1482" t="n">
        <v>7</v>
      </c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</row>
    <row r="1483">
      <c r="A1483" t="s">
        <v>250</v>
      </c>
      <c r="B1483" t="s">
        <v>247</v>
      </c>
      <c r="C1483" t="s">
        <v>231</v>
      </c>
      <c r="D1483" t="s">
        <v>213</v>
      </c>
      <c r="E1483"/>
      <c r="F1483"/>
      <c r="G1483" t="s">
        <v>269</v>
      </c>
      <c r="H1483" t="n">
        <v>157652</v>
      </c>
      <c r="I1483"/>
      <c r="J1483"/>
      <c r="K1483"/>
      <c r="L1483"/>
      <c r="M1483"/>
      <c r="N1483" t="s">
        <v>219</v>
      </c>
      <c r="O1483"/>
      <c r="P1483"/>
      <c r="Q1483"/>
      <c r="R1483"/>
      <c r="S1483"/>
      <c r="T1483"/>
      <c r="U1483"/>
      <c r="V1483"/>
      <c r="W1483"/>
      <c r="X1483"/>
      <c r="Y1483" t="n">
        <v>15</v>
      </c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</row>
    <row r="1484">
      <c r="A1484" t="s">
        <v>250</v>
      </c>
      <c r="B1484" t="s">
        <v>247</v>
      </c>
      <c r="C1484" t="s">
        <v>231</v>
      </c>
      <c r="D1484" t="s">
        <v>213</v>
      </c>
      <c r="E1484"/>
      <c r="F1484"/>
      <c r="G1484" t="s">
        <v>269</v>
      </c>
      <c r="H1484" t="n">
        <v>157652</v>
      </c>
      <c r="I1484"/>
      <c r="J1484"/>
      <c r="K1484"/>
      <c r="L1484"/>
      <c r="M1484"/>
      <c r="N1484" t="s">
        <v>220</v>
      </c>
      <c r="O1484"/>
      <c r="P1484"/>
      <c r="Q1484"/>
      <c r="R1484"/>
      <c r="S1484"/>
      <c r="T1484"/>
      <c r="U1484"/>
      <c r="V1484"/>
      <c r="W1484"/>
      <c r="X1484"/>
      <c r="Y1484" t="n">
        <v>15</v>
      </c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</row>
    <row r="1485">
      <c r="A1485" t="s">
        <v>250</v>
      </c>
      <c r="B1485" t="s">
        <v>247</v>
      </c>
      <c r="C1485" t="s">
        <v>231</v>
      </c>
      <c r="D1485" t="s">
        <v>213</v>
      </c>
      <c r="E1485"/>
      <c r="F1485"/>
      <c r="G1485" t="s">
        <v>269</v>
      </c>
      <c r="H1485" t="n">
        <v>157652</v>
      </c>
      <c r="I1485"/>
      <c r="J1485"/>
      <c r="K1485"/>
      <c r="L1485"/>
      <c r="M1485"/>
      <c r="N1485" t="s">
        <v>221</v>
      </c>
      <c r="O1485"/>
      <c r="P1485"/>
      <c r="Q1485"/>
      <c r="R1485"/>
      <c r="S1485"/>
      <c r="T1485"/>
      <c r="U1485"/>
      <c r="V1485"/>
      <c r="W1485"/>
      <c r="X1485"/>
      <c r="Y1485" t="n">
        <v>9.22194022893251</v>
      </c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</row>
    <row r="1486">
      <c r="A1486" t="s">
        <v>250</v>
      </c>
      <c r="B1486" t="s">
        <v>247</v>
      </c>
      <c r="C1486" t="s">
        <v>231</v>
      </c>
      <c r="D1486" t="s">
        <v>213</v>
      </c>
      <c r="E1486"/>
      <c r="F1486"/>
      <c r="G1486" t="s">
        <v>269</v>
      </c>
      <c r="H1486" t="n">
        <v>157652</v>
      </c>
      <c r="I1486"/>
      <c r="J1486"/>
      <c r="K1486"/>
      <c r="L1486"/>
      <c r="M1486"/>
      <c r="N1486" t="s">
        <v>222</v>
      </c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</row>
    <row r="1487">
      <c r="A1487" t="s">
        <v>250</v>
      </c>
      <c r="B1487" t="s">
        <v>248</v>
      </c>
      <c r="C1487" t="s">
        <v>231</v>
      </c>
      <c r="D1487" t="s">
        <v>213</v>
      </c>
      <c r="E1487"/>
      <c r="F1487"/>
      <c r="G1487" t="s">
        <v>269</v>
      </c>
      <c r="H1487" t="n">
        <v>309437</v>
      </c>
      <c r="I1487"/>
      <c r="J1487"/>
      <c r="K1487"/>
      <c r="L1487"/>
      <c r="M1487"/>
      <c r="N1487" t="s">
        <v>214</v>
      </c>
      <c r="O1487"/>
      <c r="P1487"/>
      <c r="Q1487"/>
      <c r="R1487"/>
      <c r="S1487"/>
      <c r="T1487"/>
      <c r="U1487"/>
      <c r="V1487"/>
      <c r="W1487"/>
      <c r="X1487"/>
      <c r="Y1487" t="n">
        <v>89607</v>
      </c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</row>
    <row r="1488">
      <c r="A1488" t="s">
        <v>250</v>
      </c>
      <c r="B1488" t="s">
        <v>248</v>
      </c>
      <c r="C1488" t="s">
        <v>231</v>
      </c>
      <c r="D1488" t="s">
        <v>213</v>
      </c>
      <c r="E1488"/>
      <c r="F1488"/>
      <c r="G1488" t="s">
        <v>269</v>
      </c>
      <c r="H1488" t="n">
        <v>309437</v>
      </c>
      <c r="I1488"/>
      <c r="J1488"/>
      <c r="K1488"/>
      <c r="L1488"/>
      <c r="M1488"/>
      <c r="N1488" t="s">
        <v>215</v>
      </c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</row>
    <row r="1489">
      <c r="A1489" t="s">
        <v>250</v>
      </c>
      <c r="B1489" t="s">
        <v>248</v>
      </c>
      <c r="C1489" t="s">
        <v>231</v>
      </c>
      <c r="D1489" t="s">
        <v>213</v>
      </c>
      <c r="E1489"/>
      <c r="F1489"/>
      <c r="G1489" t="s">
        <v>269</v>
      </c>
      <c r="H1489" t="n">
        <v>309437</v>
      </c>
      <c r="I1489"/>
      <c r="J1489"/>
      <c r="K1489"/>
      <c r="L1489"/>
      <c r="M1489"/>
      <c r="N1489" t="s">
        <v>216</v>
      </c>
      <c r="O1489"/>
      <c r="P1489"/>
      <c r="Q1489"/>
      <c r="R1489"/>
      <c r="S1489"/>
      <c r="T1489"/>
      <c r="U1489"/>
      <c r="V1489"/>
      <c r="W1489"/>
      <c r="X1489"/>
      <c r="Y1489" t="n">
        <v>24985</v>
      </c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</row>
    <row r="1490">
      <c r="A1490" t="s">
        <v>250</v>
      </c>
      <c r="B1490" t="s">
        <v>248</v>
      </c>
      <c r="C1490" t="s">
        <v>231</v>
      </c>
      <c r="D1490" t="s">
        <v>213</v>
      </c>
      <c r="E1490"/>
      <c r="F1490"/>
      <c r="G1490" t="s">
        <v>269</v>
      </c>
      <c r="H1490" t="n">
        <v>309437</v>
      </c>
      <c r="I1490"/>
      <c r="J1490"/>
      <c r="K1490"/>
      <c r="L1490"/>
      <c r="M1490"/>
      <c r="N1490" t="s">
        <v>217</v>
      </c>
      <c r="O1490"/>
      <c r="P1490"/>
      <c r="Q1490"/>
      <c r="R1490"/>
      <c r="S1490"/>
      <c r="T1490"/>
      <c r="U1490"/>
      <c r="V1490"/>
      <c r="W1490"/>
      <c r="X1490"/>
      <c r="Y1490" t="n">
        <v>374059</v>
      </c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</row>
    <row r="1491">
      <c r="A1491" t="s">
        <v>250</v>
      </c>
      <c r="B1491" t="s">
        <v>248</v>
      </c>
      <c r="C1491" t="s">
        <v>231</v>
      </c>
      <c r="D1491" t="s">
        <v>213</v>
      </c>
      <c r="E1491"/>
      <c r="F1491"/>
      <c r="G1491" t="s">
        <v>269</v>
      </c>
      <c r="H1491" t="n">
        <v>309437</v>
      </c>
      <c r="I1491"/>
      <c r="J1491"/>
      <c r="K1491"/>
      <c r="L1491"/>
      <c r="M1491"/>
      <c r="N1491" t="s">
        <v>218</v>
      </c>
      <c r="O1491"/>
      <c r="P1491"/>
      <c r="Q1491"/>
      <c r="R1491"/>
      <c r="S1491"/>
      <c r="T1491"/>
      <c r="U1491"/>
      <c r="V1491"/>
      <c r="W1491"/>
      <c r="X1491"/>
      <c r="Y1491" t="n">
        <v>7</v>
      </c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</row>
    <row r="1492">
      <c r="A1492" t="s">
        <v>250</v>
      </c>
      <c r="B1492" t="s">
        <v>248</v>
      </c>
      <c r="C1492" t="s">
        <v>231</v>
      </c>
      <c r="D1492" t="s">
        <v>213</v>
      </c>
      <c r="E1492"/>
      <c r="F1492"/>
      <c r="G1492" t="s">
        <v>269</v>
      </c>
      <c r="H1492" t="n">
        <v>309437</v>
      </c>
      <c r="I1492"/>
      <c r="J1492"/>
      <c r="K1492"/>
      <c r="L1492"/>
      <c r="M1492"/>
      <c r="N1492" t="s">
        <v>219</v>
      </c>
      <c r="O1492"/>
      <c r="P1492"/>
      <c r="Q1492"/>
      <c r="R1492"/>
      <c r="S1492"/>
      <c r="T1492"/>
      <c r="U1492"/>
      <c r="V1492"/>
      <c r="W1492"/>
      <c r="X1492"/>
      <c r="Y1492" t="n">
        <v>15</v>
      </c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</row>
    <row r="1493">
      <c r="A1493" t="s">
        <v>250</v>
      </c>
      <c r="B1493" t="s">
        <v>248</v>
      </c>
      <c r="C1493" t="s">
        <v>231</v>
      </c>
      <c r="D1493" t="s">
        <v>213</v>
      </c>
      <c r="E1493"/>
      <c r="F1493"/>
      <c r="G1493" t="s">
        <v>269</v>
      </c>
      <c r="H1493" t="n">
        <v>309437</v>
      </c>
      <c r="I1493"/>
      <c r="J1493"/>
      <c r="K1493"/>
      <c r="L1493"/>
      <c r="M1493"/>
      <c r="N1493" t="s">
        <v>220</v>
      </c>
      <c r="O1493"/>
      <c r="P1493"/>
      <c r="Q1493"/>
      <c r="R1493"/>
      <c r="S1493"/>
      <c r="T1493"/>
      <c r="U1493"/>
      <c r="V1493"/>
      <c r="W1493"/>
      <c r="X1493"/>
      <c r="Y1493" t="n">
        <v>15</v>
      </c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</row>
    <row r="1494">
      <c r="A1494" t="s">
        <v>250</v>
      </c>
      <c r="B1494" t="s">
        <v>248</v>
      </c>
      <c r="C1494" t="s">
        <v>231</v>
      </c>
      <c r="D1494" t="s">
        <v>213</v>
      </c>
      <c r="E1494"/>
      <c r="F1494"/>
      <c r="G1494" t="s">
        <v>269</v>
      </c>
      <c r="H1494" t="n">
        <v>309437</v>
      </c>
      <c r="I1494"/>
      <c r="J1494"/>
      <c r="K1494"/>
      <c r="L1494"/>
      <c r="M1494"/>
      <c r="N1494" t="s">
        <v>221</v>
      </c>
      <c r="O1494"/>
      <c r="P1494"/>
      <c r="Q1494"/>
      <c r="R1494"/>
      <c r="S1494"/>
      <c r="T1494"/>
      <c r="U1494"/>
      <c r="V1494"/>
      <c r="W1494"/>
      <c r="X1494"/>
      <c r="Y1494" t="n">
        <v>14.9713428056834</v>
      </c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</row>
    <row r="1495">
      <c r="A1495" t="s">
        <v>250</v>
      </c>
      <c r="B1495" t="s">
        <v>248</v>
      </c>
      <c r="C1495" t="s">
        <v>231</v>
      </c>
      <c r="D1495" t="s">
        <v>213</v>
      </c>
      <c r="E1495"/>
      <c r="F1495"/>
      <c r="G1495" t="s">
        <v>269</v>
      </c>
      <c r="H1495" t="n">
        <v>309437</v>
      </c>
      <c r="I1495"/>
      <c r="J1495"/>
      <c r="K1495"/>
      <c r="L1495"/>
      <c r="M1495"/>
      <c r="N1495" t="s">
        <v>222</v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</row>
    <row r="1496">
      <c r="A1496" t="s">
        <v>235</v>
      </c>
      <c r="B1496" t="s">
        <v>248</v>
      </c>
      <c r="C1496"/>
      <c r="D1496" t="s">
        <v>213</v>
      </c>
      <c r="E1496" t="s">
        <v>279</v>
      </c>
      <c r="F1496" t="s">
        <v>236</v>
      </c>
      <c r="G1496" t="s">
        <v>259</v>
      </c>
      <c r="H1496" t="n">
        <v>35000</v>
      </c>
      <c r="I1496"/>
      <c r="J1496" t="n">
        <v>333200</v>
      </c>
      <c r="K1496" t="s">
        <v>280</v>
      </c>
      <c r="L1496"/>
      <c r="M1496"/>
      <c r="N1496" t="s">
        <v>214</v>
      </c>
      <c r="O1496"/>
      <c r="P1496"/>
      <c r="Q1496"/>
      <c r="R1496"/>
      <c r="S1496"/>
      <c r="T1496"/>
      <c r="U1496"/>
      <c r="V1496"/>
      <c r="W1496"/>
      <c r="X1496"/>
      <c r="Y1496" t="n">
        <v>86931</v>
      </c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</row>
    <row r="1497">
      <c r="A1497" t="s">
        <v>235</v>
      </c>
      <c r="B1497" t="s">
        <v>248</v>
      </c>
      <c r="C1497"/>
      <c r="D1497" t="s">
        <v>213</v>
      </c>
      <c r="E1497" t="s">
        <v>279</v>
      </c>
      <c r="F1497" t="s">
        <v>236</v>
      </c>
      <c r="G1497" t="s">
        <v>259</v>
      </c>
      <c r="H1497" t="n">
        <v>35000</v>
      </c>
      <c r="I1497"/>
      <c r="J1497" t="n">
        <v>333200</v>
      </c>
      <c r="K1497" t="s">
        <v>280</v>
      </c>
      <c r="L1497"/>
      <c r="M1497"/>
      <c r="N1497" t="s">
        <v>215</v>
      </c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</row>
    <row r="1498">
      <c r="A1498" t="s">
        <v>235</v>
      </c>
      <c r="B1498" t="s">
        <v>248</v>
      </c>
      <c r="C1498"/>
      <c r="D1498" t="s">
        <v>213</v>
      </c>
      <c r="E1498" t="s">
        <v>279</v>
      </c>
      <c r="F1498" t="s">
        <v>236</v>
      </c>
      <c r="G1498" t="s">
        <v>259</v>
      </c>
      <c r="H1498" t="n">
        <v>35000</v>
      </c>
      <c r="I1498"/>
      <c r="J1498" t="n">
        <v>333200</v>
      </c>
      <c r="K1498" t="s">
        <v>280</v>
      </c>
      <c r="L1498"/>
      <c r="M1498"/>
      <c r="N1498" t="s">
        <v>216</v>
      </c>
      <c r="O1498"/>
      <c r="P1498"/>
      <c r="Q1498"/>
      <c r="R1498"/>
      <c r="S1498"/>
      <c r="T1498"/>
      <c r="U1498"/>
      <c r="V1498"/>
      <c r="W1498"/>
      <c r="X1498"/>
      <c r="Y1498" t="n">
        <v>14621</v>
      </c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</row>
    <row r="1499">
      <c r="A1499" t="s">
        <v>235</v>
      </c>
      <c r="B1499" t="s">
        <v>248</v>
      </c>
      <c r="C1499"/>
      <c r="D1499" t="s">
        <v>213</v>
      </c>
      <c r="E1499" t="s">
        <v>279</v>
      </c>
      <c r="F1499" t="s">
        <v>236</v>
      </c>
      <c r="G1499" t="s">
        <v>259</v>
      </c>
      <c r="H1499" t="n">
        <v>35000</v>
      </c>
      <c r="I1499"/>
      <c r="J1499" t="n">
        <v>333200</v>
      </c>
      <c r="K1499" t="s">
        <v>280</v>
      </c>
      <c r="L1499"/>
      <c r="M1499"/>
      <c r="N1499" t="s">
        <v>217</v>
      </c>
      <c r="O1499"/>
      <c r="P1499"/>
      <c r="Q1499"/>
      <c r="R1499"/>
      <c r="S1499"/>
      <c r="T1499"/>
      <c r="U1499"/>
      <c r="V1499"/>
      <c r="W1499"/>
      <c r="X1499"/>
      <c r="Y1499" t="n">
        <v>107310</v>
      </c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</row>
    <row r="1500">
      <c r="A1500" t="s">
        <v>235</v>
      </c>
      <c r="B1500" t="s">
        <v>248</v>
      </c>
      <c r="C1500"/>
      <c r="D1500" t="s">
        <v>213</v>
      </c>
      <c r="E1500" t="s">
        <v>279</v>
      </c>
      <c r="F1500" t="s">
        <v>236</v>
      </c>
      <c r="G1500" t="s">
        <v>259</v>
      </c>
      <c r="H1500" t="n">
        <v>35000</v>
      </c>
      <c r="I1500"/>
      <c r="J1500" t="n">
        <v>333200</v>
      </c>
      <c r="K1500" t="s">
        <v>280</v>
      </c>
      <c r="L1500"/>
      <c r="M1500"/>
      <c r="N1500" t="s">
        <v>218</v>
      </c>
      <c r="O1500"/>
      <c r="P1500"/>
      <c r="Q1500"/>
      <c r="R1500"/>
      <c r="S1500"/>
      <c r="T1500"/>
      <c r="U1500"/>
      <c r="V1500"/>
      <c r="W1500"/>
      <c r="X1500"/>
      <c r="Y1500" t="n">
        <v>6</v>
      </c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</row>
    <row r="1501">
      <c r="A1501" t="s">
        <v>235</v>
      </c>
      <c r="B1501" t="s">
        <v>248</v>
      </c>
      <c r="C1501"/>
      <c r="D1501" t="s">
        <v>213</v>
      </c>
      <c r="E1501" t="s">
        <v>279</v>
      </c>
      <c r="F1501" t="s">
        <v>236</v>
      </c>
      <c r="G1501" t="s">
        <v>259</v>
      </c>
      <c r="H1501" t="n">
        <v>35000</v>
      </c>
      <c r="I1501"/>
      <c r="J1501" t="n">
        <v>333200</v>
      </c>
      <c r="K1501" t="s">
        <v>280</v>
      </c>
      <c r="L1501"/>
      <c r="M1501"/>
      <c r="N1501" t="s">
        <v>219</v>
      </c>
      <c r="O1501"/>
      <c r="P1501"/>
      <c r="Q1501"/>
      <c r="R1501"/>
      <c r="S1501"/>
      <c r="T1501"/>
      <c r="U1501"/>
      <c r="V1501"/>
      <c r="W1501"/>
      <c r="X1501"/>
      <c r="Y1501" t="n">
        <v>12</v>
      </c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</row>
    <row r="1502">
      <c r="A1502" t="s">
        <v>235</v>
      </c>
      <c r="B1502" t="s">
        <v>248</v>
      </c>
      <c r="C1502"/>
      <c r="D1502" t="s">
        <v>213</v>
      </c>
      <c r="E1502" t="s">
        <v>279</v>
      </c>
      <c r="F1502" t="s">
        <v>236</v>
      </c>
      <c r="G1502" t="s">
        <v>259</v>
      </c>
      <c r="H1502" t="n">
        <v>35000</v>
      </c>
      <c r="I1502"/>
      <c r="J1502" t="n">
        <v>333200</v>
      </c>
      <c r="K1502" t="s">
        <v>280</v>
      </c>
      <c r="L1502"/>
      <c r="M1502"/>
      <c r="N1502" t="s">
        <v>220</v>
      </c>
      <c r="O1502"/>
      <c r="P1502"/>
      <c r="Q1502"/>
      <c r="R1502"/>
      <c r="S1502"/>
      <c r="T1502"/>
      <c r="U1502"/>
      <c r="V1502"/>
      <c r="W1502"/>
      <c r="X1502"/>
      <c r="Y1502" t="n">
        <v>12</v>
      </c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</row>
    <row r="1503">
      <c r="A1503" t="s">
        <v>235</v>
      </c>
      <c r="B1503" t="s">
        <v>248</v>
      </c>
      <c r="C1503"/>
      <c r="D1503" t="s">
        <v>213</v>
      </c>
      <c r="E1503" t="s">
        <v>279</v>
      </c>
      <c r="F1503" t="s">
        <v>236</v>
      </c>
      <c r="G1503" t="s">
        <v>259</v>
      </c>
      <c r="H1503" t="n">
        <v>35000</v>
      </c>
      <c r="I1503"/>
      <c r="J1503" t="n">
        <v>333200</v>
      </c>
      <c r="K1503" t="s">
        <v>280</v>
      </c>
      <c r="L1503"/>
      <c r="M1503"/>
      <c r="N1503" t="s">
        <v>221</v>
      </c>
      <c r="O1503"/>
      <c r="P1503"/>
      <c r="Q1503"/>
      <c r="R1503"/>
      <c r="S1503"/>
      <c r="T1503"/>
      <c r="U1503"/>
      <c r="V1503"/>
      <c r="W1503"/>
      <c r="X1503"/>
      <c r="Y1503" t="n">
        <v>7.33944326653444</v>
      </c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</row>
    <row r="1504">
      <c r="A1504" t="s">
        <v>235</v>
      </c>
      <c r="B1504" t="s">
        <v>248</v>
      </c>
      <c r="C1504"/>
      <c r="D1504" t="s">
        <v>213</v>
      </c>
      <c r="E1504" t="s">
        <v>279</v>
      </c>
      <c r="F1504" t="s">
        <v>236</v>
      </c>
      <c r="G1504" t="s">
        <v>259</v>
      </c>
      <c r="H1504" t="n">
        <v>35000</v>
      </c>
      <c r="I1504"/>
      <c r="J1504" t="n">
        <v>333200</v>
      </c>
      <c r="K1504" t="s">
        <v>280</v>
      </c>
      <c r="L1504"/>
      <c r="M1504"/>
      <c r="N1504" t="s">
        <v>222</v>
      </c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</row>
    <row r="1505">
      <c r="A1505" t="s">
        <v>210</v>
      </c>
      <c r="B1505" t="s">
        <v>232</v>
      </c>
      <c r="C1505"/>
      <c r="D1505" t="s">
        <v>213</v>
      </c>
      <c r="E1505" t="s">
        <v>266</v>
      </c>
      <c r="F1505" t="s">
        <v>266</v>
      </c>
      <c r="G1505" t="s">
        <v>259</v>
      </c>
      <c r="H1505" t="n">
        <v>21064858</v>
      </c>
      <c r="I1505"/>
      <c r="J1505"/>
      <c r="K1505"/>
      <c r="L1505"/>
      <c r="M1505"/>
      <c r="N1505" t="s">
        <v>214</v>
      </c>
      <c r="O1505"/>
      <c r="P1505"/>
      <c r="Q1505"/>
      <c r="R1505"/>
      <c r="S1505"/>
      <c r="T1505"/>
      <c r="U1505"/>
      <c r="V1505"/>
      <c r="W1505"/>
      <c r="X1505"/>
      <c r="Y1505" t="n">
        <v>5275014</v>
      </c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</row>
    <row r="1506">
      <c r="A1506" t="s">
        <v>210</v>
      </c>
      <c r="B1506" t="s">
        <v>232</v>
      </c>
      <c r="C1506"/>
      <c r="D1506" t="s">
        <v>213</v>
      </c>
      <c r="E1506" t="s">
        <v>266</v>
      </c>
      <c r="F1506" t="s">
        <v>266</v>
      </c>
      <c r="G1506" t="s">
        <v>259</v>
      </c>
      <c r="H1506" t="n">
        <v>21064858</v>
      </c>
      <c r="I1506"/>
      <c r="J1506"/>
      <c r="K1506"/>
      <c r="L1506"/>
      <c r="M1506"/>
      <c r="N1506" t="s">
        <v>215</v>
      </c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</row>
    <row r="1507">
      <c r="A1507" t="s">
        <v>210</v>
      </c>
      <c r="B1507" t="s">
        <v>232</v>
      </c>
      <c r="C1507"/>
      <c r="D1507" t="s">
        <v>213</v>
      </c>
      <c r="E1507" t="s">
        <v>266</v>
      </c>
      <c r="F1507" t="s">
        <v>266</v>
      </c>
      <c r="G1507" t="s">
        <v>259</v>
      </c>
      <c r="H1507" t="n">
        <v>21064858</v>
      </c>
      <c r="I1507"/>
      <c r="J1507"/>
      <c r="K1507"/>
      <c r="L1507"/>
      <c r="M1507"/>
      <c r="N1507" t="s">
        <v>216</v>
      </c>
      <c r="O1507"/>
      <c r="P1507"/>
      <c r="Q1507"/>
      <c r="R1507"/>
      <c r="S1507"/>
      <c r="T1507"/>
      <c r="U1507"/>
      <c r="V1507"/>
      <c r="W1507"/>
      <c r="X1507"/>
      <c r="Y1507" t="n">
        <v>2035293</v>
      </c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</row>
    <row r="1508">
      <c r="A1508" t="s">
        <v>210</v>
      </c>
      <c r="B1508" t="s">
        <v>232</v>
      </c>
      <c r="C1508"/>
      <c r="D1508" t="s">
        <v>213</v>
      </c>
      <c r="E1508" t="s">
        <v>266</v>
      </c>
      <c r="F1508" t="s">
        <v>266</v>
      </c>
      <c r="G1508" t="s">
        <v>259</v>
      </c>
      <c r="H1508" t="n">
        <v>21064858</v>
      </c>
      <c r="I1508"/>
      <c r="J1508"/>
      <c r="K1508"/>
      <c r="L1508"/>
      <c r="M1508"/>
      <c r="N1508" t="s">
        <v>217</v>
      </c>
      <c r="O1508"/>
      <c r="P1508"/>
      <c r="Q1508"/>
      <c r="R1508"/>
      <c r="S1508"/>
      <c r="T1508"/>
      <c r="U1508"/>
      <c r="V1508"/>
      <c r="W1508"/>
      <c r="X1508"/>
      <c r="Y1508" t="n">
        <v>24304579</v>
      </c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</row>
    <row r="1509">
      <c r="A1509" t="s">
        <v>210</v>
      </c>
      <c r="B1509" t="s">
        <v>232</v>
      </c>
      <c r="C1509"/>
      <c r="D1509" t="s">
        <v>213</v>
      </c>
      <c r="E1509" t="s">
        <v>266</v>
      </c>
      <c r="F1509" t="s">
        <v>266</v>
      </c>
      <c r="G1509" t="s">
        <v>259</v>
      </c>
      <c r="H1509" t="n">
        <v>21064858</v>
      </c>
      <c r="I1509"/>
      <c r="J1509"/>
      <c r="K1509"/>
      <c r="L1509"/>
      <c r="M1509"/>
      <c r="N1509" t="s">
        <v>218</v>
      </c>
      <c r="O1509"/>
      <c r="P1509"/>
      <c r="Q1509"/>
      <c r="R1509"/>
      <c r="S1509"/>
      <c r="T1509"/>
      <c r="U1509"/>
      <c r="V1509"/>
      <c r="W1509"/>
      <c r="X1509"/>
      <c r="Y1509" t="n">
        <v>6</v>
      </c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</row>
    <row r="1510">
      <c r="A1510" t="s">
        <v>210</v>
      </c>
      <c r="B1510" t="s">
        <v>232</v>
      </c>
      <c r="C1510"/>
      <c r="D1510" t="s">
        <v>213</v>
      </c>
      <c r="E1510" t="s">
        <v>266</v>
      </c>
      <c r="F1510" t="s">
        <v>266</v>
      </c>
      <c r="G1510" t="s">
        <v>259</v>
      </c>
      <c r="H1510" t="n">
        <v>21064858</v>
      </c>
      <c r="I1510"/>
      <c r="J1510"/>
      <c r="K1510"/>
      <c r="L1510"/>
      <c r="M1510"/>
      <c r="N1510" t="s">
        <v>219</v>
      </c>
      <c r="O1510"/>
      <c r="P1510"/>
      <c r="Q1510"/>
      <c r="R1510"/>
      <c r="S1510"/>
      <c r="T1510"/>
      <c r="U1510"/>
      <c r="V1510"/>
      <c r="W1510"/>
      <c r="X1510"/>
      <c r="Y1510" t="n">
        <v>12</v>
      </c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</row>
    <row r="1511">
      <c r="A1511" t="s">
        <v>210</v>
      </c>
      <c r="B1511" t="s">
        <v>232</v>
      </c>
      <c r="C1511"/>
      <c r="D1511" t="s">
        <v>213</v>
      </c>
      <c r="E1511" t="s">
        <v>266</v>
      </c>
      <c r="F1511" t="s">
        <v>266</v>
      </c>
      <c r="G1511" t="s">
        <v>259</v>
      </c>
      <c r="H1511" t="n">
        <v>21064858</v>
      </c>
      <c r="I1511"/>
      <c r="J1511"/>
      <c r="K1511"/>
      <c r="L1511"/>
      <c r="M1511"/>
      <c r="N1511" t="s">
        <v>220</v>
      </c>
      <c r="O1511"/>
      <c r="P1511"/>
      <c r="Q1511"/>
      <c r="R1511"/>
      <c r="S1511"/>
      <c r="T1511"/>
      <c r="U1511"/>
      <c r="V1511"/>
      <c r="W1511"/>
      <c r="X1511"/>
      <c r="Y1511" t="n">
        <v>12</v>
      </c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</row>
    <row r="1512">
      <c r="A1512" t="s">
        <v>210</v>
      </c>
      <c r="B1512" t="s">
        <v>232</v>
      </c>
      <c r="C1512"/>
      <c r="D1512" t="s">
        <v>213</v>
      </c>
      <c r="E1512" t="s">
        <v>266</v>
      </c>
      <c r="F1512" t="s">
        <v>266</v>
      </c>
      <c r="G1512" t="s">
        <v>259</v>
      </c>
      <c r="H1512" t="n">
        <v>21064858</v>
      </c>
      <c r="I1512"/>
      <c r="J1512"/>
      <c r="K1512"/>
      <c r="L1512"/>
      <c r="M1512"/>
      <c r="N1512" t="s">
        <v>221</v>
      </c>
      <c r="O1512"/>
      <c r="P1512"/>
      <c r="Q1512"/>
      <c r="R1512"/>
      <c r="S1512"/>
      <c r="T1512"/>
      <c r="U1512"/>
      <c r="V1512"/>
      <c r="W1512"/>
      <c r="X1512"/>
      <c r="Y1512" t="n">
        <v>11.9415627135749</v>
      </c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</row>
    <row r="1513">
      <c r="A1513" t="s">
        <v>210</v>
      </c>
      <c r="B1513" t="s">
        <v>232</v>
      </c>
      <c r="C1513"/>
      <c r="D1513" t="s">
        <v>213</v>
      </c>
      <c r="E1513" t="s">
        <v>266</v>
      </c>
      <c r="F1513" t="s">
        <v>266</v>
      </c>
      <c r="G1513" t="s">
        <v>259</v>
      </c>
      <c r="H1513" t="n">
        <v>21064858</v>
      </c>
      <c r="I1513"/>
      <c r="J1513"/>
      <c r="K1513"/>
      <c r="L1513"/>
      <c r="M1513"/>
      <c r="N1513" t="s">
        <v>222</v>
      </c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</row>
    <row r="1514">
      <c r="A1514" t="s">
        <v>250</v>
      </c>
      <c r="B1514" t="s">
        <v>238</v>
      </c>
      <c r="C1514" t="s">
        <v>231</v>
      </c>
      <c r="D1514" t="s">
        <v>213</v>
      </c>
      <c r="E1514"/>
      <c r="F1514"/>
      <c r="G1514" t="s">
        <v>269</v>
      </c>
      <c r="H1514" t="n">
        <v>14350</v>
      </c>
      <c r="I1514"/>
      <c r="J1514"/>
      <c r="K1514"/>
      <c r="L1514"/>
      <c r="M1514"/>
      <c r="N1514" t="s">
        <v>214</v>
      </c>
      <c r="O1514"/>
      <c r="P1514"/>
      <c r="Q1514"/>
      <c r="R1514"/>
      <c r="S1514"/>
      <c r="T1514"/>
      <c r="U1514"/>
      <c r="V1514"/>
      <c r="W1514"/>
      <c r="X1514"/>
      <c r="Y1514"/>
      <c r="Z1514" t="n">
        <v>12465</v>
      </c>
      <c r="AA1514"/>
      <c r="AB1514"/>
      <c r="AC1514"/>
      <c r="AD1514"/>
      <c r="AE1514"/>
      <c r="AF1514"/>
      <c r="AG1514"/>
      <c r="AH1514"/>
      <c r="AI1514"/>
      <c r="AJ1514"/>
      <c r="AK1514"/>
      <c r="AL1514"/>
    </row>
    <row r="1515">
      <c r="A1515" t="s">
        <v>250</v>
      </c>
      <c r="B1515" t="s">
        <v>238</v>
      </c>
      <c r="C1515" t="s">
        <v>231</v>
      </c>
      <c r="D1515" t="s">
        <v>213</v>
      </c>
      <c r="E1515"/>
      <c r="F1515"/>
      <c r="G1515" t="s">
        <v>269</v>
      </c>
      <c r="H1515" t="n">
        <v>14350</v>
      </c>
      <c r="I1515"/>
      <c r="J1515"/>
      <c r="K1515"/>
      <c r="L1515"/>
      <c r="M1515"/>
      <c r="N1515" t="s">
        <v>215</v>
      </c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</row>
    <row r="1516">
      <c r="A1516" t="s">
        <v>250</v>
      </c>
      <c r="B1516" t="s">
        <v>238</v>
      </c>
      <c r="C1516" t="s">
        <v>231</v>
      </c>
      <c r="D1516" t="s">
        <v>213</v>
      </c>
      <c r="E1516"/>
      <c r="F1516"/>
      <c r="G1516" t="s">
        <v>269</v>
      </c>
      <c r="H1516" t="n">
        <v>14350</v>
      </c>
      <c r="I1516"/>
      <c r="J1516"/>
      <c r="K1516"/>
      <c r="L1516"/>
      <c r="M1516"/>
      <c r="N1516" t="s">
        <v>216</v>
      </c>
      <c r="O1516"/>
      <c r="P1516"/>
      <c r="Q1516"/>
      <c r="R1516"/>
      <c r="S1516"/>
      <c r="T1516"/>
      <c r="U1516"/>
      <c r="V1516"/>
      <c r="W1516"/>
      <c r="X1516"/>
      <c r="Y1516"/>
      <c r="Z1516" t="n">
        <v>1685</v>
      </c>
      <c r="AA1516"/>
      <c r="AB1516"/>
      <c r="AC1516"/>
      <c r="AD1516"/>
      <c r="AE1516"/>
      <c r="AF1516"/>
      <c r="AG1516"/>
      <c r="AH1516"/>
      <c r="AI1516"/>
      <c r="AJ1516"/>
      <c r="AK1516"/>
      <c r="AL1516"/>
    </row>
    <row r="1517">
      <c r="A1517" t="s">
        <v>250</v>
      </c>
      <c r="B1517" t="s">
        <v>238</v>
      </c>
      <c r="C1517" t="s">
        <v>231</v>
      </c>
      <c r="D1517" t="s">
        <v>213</v>
      </c>
      <c r="E1517"/>
      <c r="F1517"/>
      <c r="G1517" t="s">
        <v>269</v>
      </c>
      <c r="H1517" t="n">
        <v>14350</v>
      </c>
      <c r="I1517"/>
      <c r="J1517"/>
      <c r="K1517"/>
      <c r="L1517"/>
      <c r="M1517"/>
      <c r="N1517" t="s">
        <v>217</v>
      </c>
      <c r="O1517"/>
      <c r="P1517"/>
      <c r="Q1517"/>
      <c r="R1517"/>
      <c r="S1517"/>
      <c r="T1517"/>
      <c r="U1517"/>
      <c r="V1517"/>
      <c r="W1517"/>
      <c r="X1517"/>
      <c r="Y1517"/>
      <c r="Z1517" t="n">
        <v>25130</v>
      </c>
      <c r="AA1517"/>
      <c r="AB1517"/>
      <c r="AC1517"/>
      <c r="AD1517"/>
      <c r="AE1517"/>
      <c r="AF1517"/>
      <c r="AG1517"/>
      <c r="AH1517"/>
      <c r="AI1517"/>
      <c r="AJ1517"/>
      <c r="AK1517"/>
      <c r="AL1517"/>
    </row>
    <row r="1518">
      <c r="A1518" t="s">
        <v>250</v>
      </c>
      <c r="B1518" t="s">
        <v>238</v>
      </c>
      <c r="C1518" t="s">
        <v>231</v>
      </c>
      <c r="D1518" t="s">
        <v>213</v>
      </c>
      <c r="E1518"/>
      <c r="F1518"/>
      <c r="G1518" t="s">
        <v>269</v>
      </c>
      <c r="H1518" t="n">
        <v>14350</v>
      </c>
      <c r="I1518"/>
      <c r="J1518"/>
      <c r="K1518"/>
      <c r="L1518"/>
      <c r="M1518"/>
      <c r="N1518" t="s">
        <v>218</v>
      </c>
      <c r="O1518"/>
      <c r="P1518"/>
      <c r="Q1518"/>
      <c r="R1518"/>
      <c r="S1518"/>
      <c r="T1518"/>
      <c r="U1518"/>
      <c r="V1518"/>
      <c r="W1518"/>
      <c r="X1518"/>
      <c r="Y1518"/>
      <c r="Z1518" t="n">
        <v>7</v>
      </c>
      <c r="AA1518"/>
      <c r="AB1518"/>
      <c r="AC1518"/>
      <c r="AD1518"/>
      <c r="AE1518"/>
      <c r="AF1518"/>
      <c r="AG1518"/>
      <c r="AH1518"/>
      <c r="AI1518"/>
      <c r="AJ1518"/>
      <c r="AK1518"/>
      <c r="AL1518"/>
    </row>
    <row r="1519">
      <c r="A1519" t="s">
        <v>250</v>
      </c>
      <c r="B1519" t="s">
        <v>238</v>
      </c>
      <c r="C1519" t="s">
        <v>231</v>
      </c>
      <c r="D1519" t="s">
        <v>213</v>
      </c>
      <c r="E1519"/>
      <c r="F1519"/>
      <c r="G1519" t="s">
        <v>269</v>
      </c>
      <c r="H1519" t="n">
        <v>14350</v>
      </c>
      <c r="I1519"/>
      <c r="J1519"/>
      <c r="K1519"/>
      <c r="L1519"/>
      <c r="M1519"/>
      <c r="N1519" t="s">
        <v>219</v>
      </c>
      <c r="O1519"/>
      <c r="P1519"/>
      <c r="Q1519"/>
      <c r="R1519"/>
      <c r="S1519"/>
      <c r="T1519"/>
      <c r="U1519"/>
      <c r="V1519"/>
      <c r="W1519"/>
      <c r="X1519"/>
      <c r="Y1519"/>
      <c r="Z1519" t="n">
        <v>15</v>
      </c>
      <c r="AA1519"/>
      <c r="AB1519"/>
      <c r="AC1519"/>
      <c r="AD1519"/>
      <c r="AE1519"/>
      <c r="AF1519"/>
      <c r="AG1519"/>
      <c r="AH1519"/>
      <c r="AI1519"/>
      <c r="AJ1519"/>
      <c r="AK1519"/>
      <c r="AL1519"/>
    </row>
    <row r="1520">
      <c r="A1520" t="s">
        <v>250</v>
      </c>
      <c r="B1520" t="s">
        <v>238</v>
      </c>
      <c r="C1520" t="s">
        <v>231</v>
      </c>
      <c r="D1520" t="s">
        <v>213</v>
      </c>
      <c r="E1520"/>
      <c r="F1520"/>
      <c r="G1520" t="s">
        <v>269</v>
      </c>
      <c r="H1520" t="n">
        <v>14350</v>
      </c>
      <c r="I1520"/>
      <c r="J1520"/>
      <c r="K1520"/>
      <c r="L1520"/>
      <c r="M1520"/>
      <c r="N1520" t="s">
        <v>220</v>
      </c>
      <c r="O1520"/>
      <c r="P1520"/>
      <c r="Q1520"/>
      <c r="R1520"/>
      <c r="S1520"/>
      <c r="T1520"/>
      <c r="U1520"/>
      <c r="V1520"/>
      <c r="W1520"/>
      <c r="X1520"/>
      <c r="Y1520"/>
      <c r="Z1520" t="n">
        <v>15</v>
      </c>
      <c r="AA1520"/>
      <c r="AB1520"/>
      <c r="AC1520"/>
      <c r="AD1520"/>
      <c r="AE1520"/>
      <c r="AF1520"/>
      <c r="AG1520"/>
      <c r="AH1520"/>
      <c r="AI1520"/>
      <c r="AJ1520"/>
      <c r="AK1520"/>
      <c r="AL1520"/>
    </row>
    <row r="1521">
      <c r="A1521" t="s">
        <v>250</v>
      </c>
      <c r="B1521" t="s">
        <v>238</v>
      </c>
      <c r="C1521" t="s">
        <v>231</v>
      </c>
      <c r="D1521" t="s">
        <v>213</v>
      </c>
      <c r="E1521"/>
      <c r="F1521"/>
      <c r="G1521" t="s">
        <v>269</v>
      </c>
      <c r="H1521" t="n">
        <v>14350</v>
      </c>
      <c r="I1521"/>
      <c r="J1521"/>
      <c r="K1521"/>
      <c r="L1521"/>
      <c r="M1521"/>
      <c r="N1521" t="s">
        <v>221</v>
      </c>
      <c r="O1521"/>
      <c r="P1521"/>
      <c r="Q1521"/>
      <c r="R1521"/>
      <c r="S1521"/>
      <c r="T1521"/>
      <c r="U1521"/>
      <c r="V1521"/>
      <c r="W1521"/>
      <c r="X1521"/>
      <c r="Y1521"/>
      <c r="Z1521" t="n">
        <v>14.9139465875371</v>
      </c>
      <c r="AA1521"/>
      <c r="AB1521"/>
      <c r="AC1521"/>
      <c r="AD1521"/>
      <c r="AE1521"/>
      <c r="AF1521"/>
      <c r="AG1521"/>
      <c r="AH1521"/>
      <c r="AI1521"/>
      <c r="AJ1521"/>
      <c r="AK1521"/>
      <c r="AL1521"/>
    </row>
    <row r="1522">
      <c r="A1522" t="s">
        <v>250</v>
      </c>
      <c r="B1522" t="s">
        <v>238</v>
      </c>
      <c r="C1522" t="s">
        <v>231</v>
      </c>
      <c r="D1522" t="s">
        <v>213</v>
      </c>
      <c r="E1522"/>
      <c r="F1522"/>
      <c r="G1522" t="s">
        <v>269</v>
      </c>
      <c r="H1522" t="n">
        <v>14350</v>
      </c>
      <c r="I1522"/>
      <c r="J1522"/>
      <c r="K1522"/>
      <c r="L1522"/>
      <c r="M1522"/>
      <c r="N1522" t="s">
        <v>222</v>
      </c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</row>
    <row r="1523">
      <c r="A1523" t="s">
        <v>210</v>
      </c>
      <c r="B1523" t="s">
        <v>240</v>
      </c>
      <c r="C1523" t="s">
        <v>241</v>
      </c>
      <c r="D1523" t="s">
        <v>213</v>
      </c>
      <c r="E1523" t="s">
        <v>266</v>
      </c>
      <c r="F1523" t="s">
        <v>266</v>
      </c>
      <c r="G1523" t="s">
        <v>259</v>
      </c>
      <c r="H1523" t="n">
        <v>5130068</v>
      </c>
      <c r="I1523"/>
      <c r="J1523"/>
      <c r="K1523"/>
      <c r="L1523"/>
      <c r="M1523"/>
      <c r="N1523" t="s">
        <v>214</v>
      </c>
      <c r="O1523"/>
      <c r="P1523"/>
      <c r="Q1523"/>
      <c r="R1523"/>
      <c r="S1523"/>
      <c r="T1523"/>
      <c r="U1523"/>
      <c r="V1523"/>
      <c r="W1523"/>
      <c r="X1523"/>
      <c r="Y1523"/>
      <c r="Z1523" t="n">
        <v>2354087</v>
      </c>
      <c r="AA1523"/>
      <c r="AB1523"/>
      <c r="AC1523"/>
      <c r="AD1523"/>
      <c r="AE1523"/>
      <c r="AF1523"/>
      <c r="AG1523"/>
      <c r="AH1523"/>
      <c r="AI1523"/>
      <c r="AJ1523"/>
      <c r="AK1523"/>
      <c r="AL1523"/>
    </row>
    <row r="1524">
      <c r="A1524" t="s">
        <v>210</v>
      </c>
      <c r="B1524" t="s">
        <v>240</v>
      </c>
      <c r="C1524" t="s">
        <v>241</v>
      </c>
      <c r="D1524" t="s">
        <v>213</v>
      </c>
      <c r="E1524" t="s">
        <v>266</v>
      </c>
      <c r="F1524" t="s">
        <v>266</v>
      </c>
      <c r="G1524" t="s">
        <v>259</v>
      </c>
      <c r="H1524" t="n">
        <v>5130068</v>
      </c>
      <c r="I1524"/>
      <c r="J1524"/>
      <c r="K1524"/>
      <c r="L1524"/>
      <c r="M1524"/>
      <c r="N1524" t="s">
        <v>215</v>
      </c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</row>
    <row r="1525">
      <c r="A1525" t="s">
        <v>210</v>
      </c>
      <c r="B1525" t="s">
        <v>240</v>
      </c>
      <c r="C1525" t="s">
        <v>241</v>
      </c>
      <c r="D1525" t="s">
        <v>213</v>
      </c>
      <c r="E1525" t="s">
        <v>266</v>
      </c>
      <c r="F1525" t="s">
        <v>266</v>
      </c>
      <c r="G1525" t="s">
        <v>259</v>
      </c>
      <c r="H1525" t="n">
        <v>5130068</v>
      </c>
      <c r="I1525"/>
      <c r="J1525"/>
      <c r="K1525"/>
      <c r="L1525"/>
      <c r="M1525"/>
      <c r="N1525" t="s">
        <v>216</v>
      </c>
      <c r="O1525"/>
      <c r="P1525"/>
      <c r="Q1525"/>
      <c r="R1525"/>
      <c r="S1525"/>
      <c r="T1525"/>
      <c r="U1525"/>
      <c r="V1525"/>
      <c r="W1525"/>
      <c r="X1525"/>
      <c r="Y1525"/>
      <c r="Z1525" t="n">
        <v>1332535</v>
      </c>
      <c r="AA1525"/>
      <c r="AB1525"/>
      <c r="AC1525"/>
      <c r="AD1525"/>
      <c r="AE1525"/>
      <c r="AF1525"/>
      <c r="AG1525"/>
      <c r="AH1525"/>
      <c r="AI1525"/>
      <c r="AJ1525"/>
      <c r="AK1525"/>
      <c r="AL1525"/>
    </row>
    <row r="1526">
      <c r="A1526" t="s">
        <v>210</v>
      </c>
      <c r="B1526" t="s">
        <v>240</v>
      </c>
      <c r="C1526" t="s">
        <v>241</v>
      </c>
      <c r="D1526" t="s">
        <v>213</v>
      </c>
      <c r="E1526" t="s">
        <v>266</v>
      </c>
      <c r="F1526" t="s">
        <v>266</v>
      </c>
      <c r="G1526" t="s">
        <v>259</v>
      </c>
      <c r="H1526" t="n">
        <v>5130068</v>
      </c>
      <c r="I1526"/>
      <c r="J1526"/>
      <c r="K1526"/>
      <c r="L1526"/>
      <c r="M1526"/>
      <c r="N1526" t="s">
        <v>217</v>
      </c>
      <c r="O1526"/>
      <c r="P1526"/>
      <c r="Q1526"/>
      <c r="R1526"/>
      <c r="S1526"/>
      <c r="T1526"/>
      <c r="U1526"/>
      <c r="V1526"/>
      <c r="W1526"/>
      <c r="X1526"/>
      <c r="Y1526"/>
      <c r="Z1526" t="n">
        <v>6151620</v>
      </c>
      <c r="AA1526"/>
      <c r="AB1526"/>
      <c r="AC1526"/>
      <c r="AD1526"/>
      <c r="AE1526"/>
      <c r="AF1526"/>
      <c r="AG1526"/>
      <c r="AH1526"/>
      <c r="AI1526"/>
      <c r="AJ1526"/>
      <c r="AK1526"/>
      <c r="AL1526"/>
    </row>
    <row r="1527">
      <c r="A1527" t="s">
        <v>210</v>
      </c>
      <c r="B1527" t="s">
        <v>240</v>
      </c>
      <c r="C1527" t="s">
        <v>241</v>
      </c>
      <c r="D1527" t="s">
        <v>213</v>
      </c>
      <c r="E1527" t="s">
        <v>266</v>
      </c>
      <c r="F1527" t="s">
        <v>266</v>
      </c>
      <c r="G1527" t="s">
        <v>259</v>
      </c>
      <c r="H1527" t="n">
        <v>5130068</v>
      </c>
      <c r="I1527"/>
      <c r="J1527"/>
      <c r="K1527"/>
      <c r="L1527"/>
      <c r="M1527"/>
      <c r="N1527" t="s">
        <v>218</v>
      </c>
      <c r="O1527"/>
      <c r="P1527"/>
      <c r="Q1527"/>
      <c r="R1527"/>
      <c r="S1527"/>
      <c r="T1527"/>
      <c r="U1527"/>
      <c r="V1527"/>
      <c r="W1527"/>
      <c r="X1527"/>
      <c r="Y1527"/>
      <c r="Z1527" t="n">
        <v>6</v>
      </c>
      <c r="AA1527"/>
      <c r="AB1527"/>
      <c r="AC1527"/>
      <c r="AD1527"/>
      <c r="AE1527"/>
      <c r="AF1527"/>
      <c r="AG1527"/>
      <c r="AH1527"/>
      <c r="AI1527"/>
      <c r="AJ1527"/>
      <c r="AK1527"/>
      <c r="AL1527"/>
    </row>
    <row r="1528">
      <c r="A1528" t="s">
        <v>210</v>
      </c>
      <c r="B1528" t="s">
        <v>240</v>
      </c>
      <c r="C1528" t="s">
        <v>241</v>
      </c>
      <c r="D1528" t="s">
        <v>213</v>
      </c>
      <c r="E1528" t="s">
        <v>266</v>
      </c>
      <c r="F1528" t="s">
        <v>266</v>
      </c>
      <c r="G1528" t="s">
        <v>259</v>
      </c>
      <c r="H1528" t="n">
        <v>5130068</v>
      </c>
      <c r="I1528"/>
      <c r="J1528"/>
      <c r="K1528"/>
      <c r="L1528"/>
      <c r="M1528"/>
      <c r="N1528" t="s">
        <v>219</v>
      </c>
      <c r="O1528"/>
      <c r="P1528"/>
      <c r="Q1528"/>
      <c r="R1528"/>
      <c r="S1528"/>
      <c r="T1528"/>
      <c r="U1528"/>
      <c r="V1528"/>
      <c r="W1528"/>
      <c r="X1528"/>
      <c r="Y1528"/>
      <c r="Z1528" t="n">
        <v>12</v>
      </c>
      <c r="AA1528"/>
      <c r="AB1528"/>
      <c r="AC1528"/>
      <c r="AD1528"/>
      <c r="AE1528"/>
      <c r="AF1528"/>
      <c r="AG1528"/>
      <c r="AH1528"/>
      <c r="AI1528"/>
      <c r="AJ1528"/>
      <c r="AK1528"/>
      <c r="AL1528"/>
    </row>
    <row r="1529">
      <c r="A1529" t="s">
        <v>210</v>
      </c>
      <c r="B1529" t="s">
        <v>240</v>
      </c>
      <c r="C1529" t="s">
        <v>241</v>
      </c>
      <c r="D1529" t="s">
        <v>213</v>
      </c>
      <c r="E1529" t="s">
        <v>266</v>
      </c>
      <c r="F1529" t="s">
        <v>266</v>
      </c>
      <c r="G1529" t="s">
        <v>259</v>
      </c>
      <c r="H1529" t="n">
        <v>5130068</v>
      </c>
      <c r="I1529"/>
      <c r="J1529"/>
      <c r="K1529"/>
      <c r="L1529"/>
      <c r="M1529"/>
      <c r="N1529" t="s">
        <v>220</v>
      </c>
      <c r="O1529"/>
      <c r="P1529"/>
      <c r="Q1529"/>
      <c r="R1529"/>
      <c r="S1529"/>
      <c r="T1529"/>
      <c r="U1529"/>
      <c r="V1529"/>
      <c r="W1529"/>
      <c r="X1529"/>
      <c r="Y1529"/>
      <c r="Z1529" t="n">
        <v>12</v>
      </c>
      <c r="AA1529"/>
      <c r="AB1529"/>
      <c r="AC1529"/>
      <c r="AD1529"/>
      <c r="AE1529"/>
      <c r="AF1529"/>
      <c r="AG1529"/>
      <c r="AH1529"/>
      <c r="AI1529"/>
      <c r="AJ1529"/>
      <c r="AK1529"/>
      <c r="AL1529"/>
    </row>
    <row r="1530">
      <c r="A1530" t="s">
        <v>210</v>
      </c>
      <c r="B1530" t="s">
        <v>240</v>
      </c>
      <c r="C1530" t="s">
        <v>241</v>
      </c>
      <c r="D1530" t="s">
        <v>213</v>
      </c>
      <c r="E1530" t="s">
        <v>266</v>
      </c>
      <c r="F1530" t="s">
        <v>266</v>
      </c>
      <c r="G1530" t="s">
        <v>259</v>
      </c>
      <c r="H1530" t="n">
        <v>5130068</v>
      </c>
      <c r="I1530"/>
      <c r="J1530"/>
      <c r="K1530"/>
      <c r="L1530"/>
      <c r="M1530"/>
      <c r="N1530" t="s">
        <v>221</v>
      </c>
      <c r="O1530"/>
      <c r="P1530"/>
      <c r="Q1530"/>
      <c r="R1530"/>
      <c r="S1530"/>
      <c r="T1530"/>
      <c r="U1530"/>
      <c r="V1530"/>
      <c r="W1530"/>
      <c r="X1530"/>
      <c r="Y1530"/>
      <c r="Z1530" t="n">
        <v>4.61647911687123</v>
      </c>
      <c r="AA1530"/>
      <c r="AB1530"/>
      <c r="AC1530"/>
      <c r="AD1530"/>
      <c r="AE1530"/>
      <c r="AF1530"/>
      <c r="AG1530"/>
      <c r="AH1530"/>
      <c r="AI1530"/>
      <c r="AJ1530"/>
      <c r="AK1530"/>
      <c r="AL1530"/>
    </row>
    <row r="1531">
      <c r="A1531" t="s">
        <v>210</v>
      </c>
      <c r="B1531" t="s">
        <v>240</v>
      </c>
      <c r="C1531" t="s">
        <v>241</v>
      </c>
      <c r="D1531" t="s">
        <v>213</v>
      </c>
      <c r="E1531" t="s">
        <v>266</v>
      </c>
      <c r="F1531" t="s">
        <v>266</v>
      </c>
      <c r="G1531" t="s">
        <v>259</v>
      </c>
      <c r="H1531" t="n">
        <v>5130068</v>
      </c>
      <c r="I1531"/>
      <c r="J1531"/>
      <c r="K1531"/>
      <c r="L1531"/>
      <c r="M1531"/>
      <c r="N1531" t="s">
        <v>222</v>
      </c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</row>
    <row r="1532">
      <c r="A1532" t="s">
        <v>226</v>
      </c>
      <c r="B1532" t="s">
        <v>227</v>
      </c>
      <c r="C1532" t="s">
        <v>228</v>
      </c>
      <c r="D1532" t="s">
        <v>213</v>
      </c>
      <c r="E1532" t="s">
        <v>277</v>
      </c>
      <c r="F1532" t="s">
        <v>277</v>
      </c>
      <c r="G1532" t="s">
        <v>269</v>
      </c>
      <c r="H1532" t="n">
        <v>95700</v>
      </c>
      <c r="I1532"/>
      <c r="J1532" t="n">
        <v>47850</v>
      </c>
      <c r="K1532" t="s">
        <v>281</v>
      </c>
      <c r="L1532"/>
      <c r="M1532"/>
      <c r="N1532" t="s">
        <v>214</v>
      </c>
      <c r="O1532"/>
      <c r="P1532"/>
      <c r="Q1532"/>
      <c r="R1532"/>
      <c r="S1532"/>
      <c r="T1532"/>
      <c r="U1532"/>
      <c r="V1532"/>
      <c r="W1532"/>
      <c r="X1532"/>
      <c r="Y1532"/>
      <c r="Z1532" t="n">
        <v>31000</v>
      </c>
      <c r="AA1532"/>
      <c r="AB1532"/>
      <c r="AC1532"/>
      <c r="AD1532"/>
      <c r="AE1532"/>
      <c r="AF1532"/>
      <c r="AG1532"/>
      <c r="AH1532"/>
      <c r="AI1532"/>
      <c r="AJ1532"/>
      <c r="AK1532"/>
      <c r="AL1532"/>
    </row>
    <row r="1533">
      <c r="A1533" t="s">
        <v>226</v>
      </c>
      <c r="B1533" t="s">
        <v>227</v>
      </c>
      <c r="C1533" t="s">
        <v>228</v>
      </c>
      <c r="D1533" t="s">
        <v>213</v>
      </c>
      <c r="E1533" t="s">
        <v>277</v>
      </c>
      <c r="F1533" t="s">
        <v>277</v>
      </c>
      <c r="G1533" t="s">
        <v>269</v>
      </c>
      <c r="H1533" t="n">
        <v>95700</v>
      </c>
      <c r="I1533"/>
      <c r="J1533" t="n">
        <v>47850</v>
      </c>
      <c r="K1533" t="s">
        <v>281</v>
      </c>
      <c r="L1533"/>
      <c r="M1533"/>
      <c r="N1533" t="s">
        <v>215</v>
      </c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</row>
    <row r="1534">
      <c r="A1534" t="s">
        <v>226</v>
      </c>
      <c r="B1534" t="s">
        <v>227</v>
      </c>
      <c r="C1534" t="s">
        <v>228</v>
      </c>
      <c r="D1534" t="s">
        <v>213</v>
      </c>
      <c r="E1534" t="s">
        <v>277</v>
      </c>
      <c r="F1534" t="s">
        <v>277</v>
      </c>
      <c r="G1534" t="s">
        <v>269</v>
      </c>
      <c r="H1534" t="n">
        <v>95700</v>
      </c>
      <c r="I1534"/>
      <c r="J1534" t="n">
        <v>47850</v>
      </c>
      <c r="K1534" t="s">
        <v>281</v>
      </c>
      <c r="L1534"/>
      <c r="M1534"/>
      <c r="N1534" t="s">
        <v>216</v>
      </c>
      <c r="O1534"/>
      <c r="P1534"/>
      <c r="Q1534"/>
      <c r="R1534"/>
      <c r="S1534"/>
      <c r="T1534"/>
      <c r="U1534"/>
      <c r="V1534"/>
      <c r="W1534"/>
      <c r="X1534"/>
      <c r="Y1534"/>
      <c r="Z1534" t="n">
        <v>10000</v>
      </c>
      <c r="AA1534"/>
      <c r="AB1534"/>
      <c r="AC1534"/>
      <c r="AD1534"/>
      <c r="AE1534"/>
      <c r="AF1534"/>
      <c r="AG1534"/>
      <c r="AH1534"/>
      <c r="AI1534"/>
      <c r="AJ1534"/>
      <c r="AK1534"/>
      <c r="AL1534"/>
    </row>
    <row r="1535">
      <c r="A1535" t="s">
        <v>226</v>
      </c>
      <c r="B1535" t="s">
        <v>227</v>
      </c>
      <c r="C1535" t="s">
        <v>228</v>
      </c>
      <c r="D1535" t="s">
        <v>213</v>
      </c>
      <c r="E1535" t="s">
        <v>277</v>
      </c>
      <c r="F1535" t="s">
        <v>277</v>
      </c>
      <c r="G1535" t="s">
        <v>269</v>
      </c>
      <c r="H1535" t="n">
        <v>95700</v>
      </c>
      <c r="I1535"/>
      <c r="J1535" t="n">
        <v>47850</v>
      </c>
      <c r="K1535" t="s">
        <v>281</v>
      </c>
      <c r="L1535"/>
      <c r="M1535"/>
      <c r="N1535" t="s">
        <v>217</v>
      </c>
      <c r="O1535"/>
      <c r="P1535"/>
      <c r="Q1535"/>
      <c r="R1535"/>
      <c r="S1535"/>
      <c r="T1535"/>
      <c r="U1535"/>
      <c r="V1535"/>
      <c r="W1535"/>
      <c r="X1535"/>
      <c r="Y1535"/>
      <c r="Z1535" t="n">
        <v>116700</v>
      </c>
      <c r="AA1535"/>
      <c r="AB1535"/>
      <c r="AC1535"/>
      <c r="AD1535"/>
      <c r="AE1535"/>
      <c r="AF1535"/>
      <c r="AG1535"/>
      <c r="AH1535"/>
      <c r="AI1535"/>
      <c r="AJ1535"/>
      <c r="AK1535"/>
      <c r="AL1535"/>
    </row>
    <row r="1536">
      <c r="A1536" t="s">
        <v>226</v>
      </c>
      <c r="B1536" t="s">
        <v>227</v>
      </c>
      <c r="C1536" t="s">
        <v>228</v>
      </c>
      <c r="D1536" t="s">
        <v>213</v>
      </c>
      <c r="E1536" t="s">
        <v>277</v>
      </c>
      <c r="F1536" t="s">
        <v>277</v>
      </c>
      <c r="G1536" t="s">
        <v>269</v>
      </c>
      <c r="H1536" t="n">
        <v>95700</v>
      </c>
      <c r="I1536"/>
      <c r="J1536" t="n">
        <v>47850</v>
      </c>
      <c r="K1536" t="s">
        <v>281</v>
      </c>
      <c r="L1536"/>
      <c r="M1536"/>
      <c r="N1536" t="s">
        <v>218</v>
      </c>
      <c r="O1536"/>
      <c r="P1536"/>
      <c r="Q1536"/>
      <c r="R1536"/>
      <c r="S1536"/>
      <c r="T1536"/>
      <c r="U1536"/>
      <c r="V1536"/>
      <c r="W1536"/>
      <c r="X1536"/>
      <c r="Y1536"/>
      <c r="Z1536" t="n">
        <v>3</v>
      </c>
      <c r="AA1536"/>
      <c r="AB1536"/>
      <c r="AC1536"/>
      <c r="AD1536"/>
      <c r="AE1536"/>
      <c r="AF1536"/>
      <c r="AG1536"/>
      <c r="AH1536"/>
      <c r="AI1536"/>
      <c r="AJ1536"/>
      <c r="AK1536"/>
      <c r="AL1536"/>
    </row>
    <row r="1537">
      <c r="A1537" t="s">
        <v>226</v>
      </c>
      <c r="B1537" t="s">
        <v>227</v>
      </c>
      <c r="C1537" t="s">
        <v>228</v>
      </c>
      <c r="D1537" t="s">
        <v>213</v>
      </c>
      <c r="E1537" t="s">
        <v>277</v>
      </c>
      <c r="F1537" t="s">
        <v>277</v>
      </c>
      <c r="G1537" t="s">
        <v>269</v>
      </c>
      <c r="H1537" t="n">
        <v>95700</v>
      </c>
      <c r="I1537"/>
      <c r="J1537" t="n">
        <v>47850</v>
      </c>
      <c r="K1537" t="s">
        <v>281</v>
      </c>
      <c r="L1537"/>
      <c r="M1537"/>
      <c r="N1537" t="s">
        <v>219</v>
      </c>
      <c r="O1537"/>
      <c r="P1537"/>
      <c r="Q1537"/>
      <c r="R1537"/>
      <c r="S1537"/>
      <c r="T1537"/>
      <c r="U1537"/>
      <c r="V1537"/>
      <c r="W1537"/>
      <c r="X1537"/>
      <c r="Y1537"/>
      <c r="Z1537" t="n">
        <v>6</v>
      </c>
      <c r="AA1537"/>
      <c r="AB1537"/>
      <c r="AC1537"/>
      <c r="AD1537"/>
      <c r="AE1537"/>
      <c r="AF1537"/>
      <c r="AG1537"/>
      <c r="AH1537"/>
      <c r="AI1537"/>
      <c r="AJ1537"/>
      <c r="AK1537"/>
      <c r="AL1537"/>
    </row>
    <row r="1538">
      <c r="A1538" t="s">
        <v>226</v>
      </c>
      <c r="B1538" t="s">
        <v>227</v>
      </c>
      <c r="C1538" t="s">
        <v>228</v>
      </c>
      <c r="D1538" t="s">
        <v>213</v>
      </c>
      <c r="E1538" t="s">
        <v>277</v>
      </c>
      <c r="F1538" t="s">
        <v>277</v>
      </c>
      <c r="G1538" t="s">
        <v>269</v>
      </c>
      <c r="H1538" t="n">
        <v>95700</v>
      </c>
      <c r="I1538"/>
      <c r="J1538" t="n">
        <v>47850</v>
      </c>
      <c r="K1538" t="s">
        <v>281</v>
      </c>
      <c r="L1538"/>
      <c r="M1538"/>
      <c r="N1538" t="s">
        <v>220</v>
      </c>
      <c r="O1538"/>
      <c r="P1538"/>
      <c r="Q1538"/>
      <c r="R1538"/>
      <c r="S1538"/>
      <c r="T1538"/>
      <c r="U1538"/>
      <c r="V1538"/>
      <c r="W1538"/>
      <c r="X1538"/>
      <c r="Y1538"/>
      <c r="Z1538" t="n">
        <v>6</v>
      </c>
      <c r="AA1538"/>
      <c r="AB1538"/>
      <c r="AC1538"/>
      <c r="AD1538"/>
      <c r="AE1538"/>
      <c r="AF1538"/>
      <c r="AG1538"/>
      <c r="AH1538"/>
      <c r="AI1538"/>
      <c r="AJ1538"/>
      <c r="AK1538"/>
      <c r="AL1538"/>
    </row>
    <row r="1539">
      <c r="A1539" t="s">
        <v>226</v>
      </c>
      <c r="B1539" t="s">
        <v>227</v>
      </c>
      <c r="C1539" t="s">
        <v>228</v>
      </c>
      <c r="D1539" t="s">
        <v>213</v>
      </c>
      <c r="E1539" t="s">
        <v>277</v>
      </c>
      <c r="F1539" t="s">
        <v>277</v>
      </c>
      <c r="G1539" t="s">
        <v>269</v>
      </c>
      <c r="H1539" t="n">
        <v>95700</v>
      </c>
      <c r="I1539"/>
      <c r="J1539" t="n">
        <v>47850</v>
      </c>
      <c r="K1539" t="s">
        <v>281</v>
      </c>
      <c r="L1539"/>
      <c r="M1539"/>
      <c r="N1539" t="s">
        <v>221</v>
      </c>
      <c r="O1539"/>
      <c r="P1539"/>
      <c r="Q1539"/>
      <c r="R1539"/>
      <c r="S1539"/>
      <c r="T1539"/>
      <c r="U1539"/>
      <c r="V1539"/>
      <c r="W1539"/>
      <c r="X1539"/>
      <c r="Y1539"/>
      <c r="Z1539" t="n">
        <v>11.67</v>
      </c>
      <c r="AA1539"/>
      <c r="AB1539"/>
      <c r="AC1539"/>
      <c r="AD1539"/>
      <c r="AE1539"/>
      <c r="AF1539"/>
      <c r="AG1539"/>
      <c r="AH1539"/>
      <c r="AI1539"/>
      <c r="AJ1539"/>
      <c r="AK1539"/>
      <c r="AL1539"/>
    </row>
    <row r="1540">
      <c r="A1540" t="s">
        <v>226</v>
      </c>
      <c r="B1540" t="s">
        <v>227</v>
      </c>
      <c r="C1540" t="s">
        <v>228</v>
      </c>
      <c r="D1540" t="s">
        <v>213</v>
      </c>
      <c r="E1540" t="s">
        <v>277</v>
      </c>
      <c r="F1540" t="s">
        <v>277</v>
      </c>
      <c r="G1540" t="s">
        <v>269</v>
      </c>
      <c r="H1540" t="n">
        <v>95700</v>
      </c>
      <c r="I1540"/>
      <c r="J1540" t="n">
        <v>47850</v>
      </c>
      <c r="K1540" t="s">
        <v>281</v>
      </c>
      <c r="L1540"/>
      <c r="M1540"/>
      <c r="N1540" t="s">
        <v>222</v>
      </c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</row>
    <row r="1541">
      <c r="A1541" t="s">
        <v>235</v>
      </c>
      <c r="B1541" t="s">
        <v>247</v>
      </c>
      <c r="C1541" t="s">
        <v>231</v>
      </c>
      <c r="D1541" t="s">
        <v>213</v>
      </c>
      <c r="E1541" t="s">
        <v>272</v>
      </c>
      <c r="F1541" t="s">
        <v>272</v>
      </c>
      <c r="G1541" t="s">
        <v>269</v>
      </c>
      <c r="H1541" t="n">
        <v>198172</v>
      </c>
      <c r="I1541"/>
      <c r="J1541" t="n">
        <v>1886597</v>
      </c>
      <c r="K1541" t="s">
        <v>281</v>
      </c>
      <c r="L1541"/>
      <c r="M1541"/>
      <c r="N1541" t="s">
        <v>214</v>
      </c>
      <c r="O1541"/>
      <c r="P1541"/>
      <c r="Q1541"/>
      <c r="R1541"/>
      <c r="S1541"/>
      <c r="T1541"/>
      <c r="U1541"/>
      <c r="V1541"/>
      <c r="W1541"/>
      <c r="X1541"/>
      <c r="Y1541"/>
      <c r="Z1541" t="n">
        <v>57831</v>
      </c>
      <c r="AA1541"/>
      <c r="AB1541"/>
      <c r="AC1541"/>
      <c r="AD1541"/>
      <c r="AE1541"/>
      <c r="AF1541"/>
      <c r="AG1541"/>
      <c r="AH1541"/>
      <c r="AI1541"/>
      <c r="AJ1541"/>
      <c r="AK1541"/>
      <c r="AL1541"/>
    </row>
    <row r="1542">
      <c r="A1542" t="s">
        <v>235</v>
      </c>
      <c r="B1542" t="s">
        <v>247</v>
      </c>
      <c r="C1542" t="s">
        <v>231</v>
      </c>
      <c r="D1542" t="s">
        <v>213</v>
      </c>
      <c r="E1542" t="s">
        <v>272</v>
      </c>
      <c r="F1542" t="s">
        <v>272</v>
      </c>
      <c r="G1542" t="s">
        <v>269</v>
      </c>
      <c r="H1542" t="n">
        <v>198172</v>
      </c>
      <c r="I1542"/>
      <c r="J1542" t="n">
        <v>1886597</v>
      </c>
      <c r="K1542" t="s">
        <v>281</v>
      </c>
      <c r="L1542"/>
      <c r="M1542"/>
      <c r="N1542" t="s">
        <v>215</v>
      </c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</row>
    <row r="1543">
      <c r="A1543" t="s">
        <v>235</v>
      </c>
      <c r="B1543" t="s">
        <v>247</v>
      </c>
      <c r="C1543" t="s">
        <v>231</v>
      </c>
      <c r="D1543" t="s">
        <v>213</v>
      </c>
      <c r="E1543" t="s">
        <v>272</v>
      </c>
      <c r="F1543" t="s">
        <v>272</v>
      </c>
      <c r="G1543" t="s">
        <v>269</v>
      </c>
      <c r="H1543" t="n">
        <v>198172</v>
      </c>
      <c r="I1543"/>
      <c r="J1543" t="n">
        <v>1886597</v>
      </c>
      <c r="K1543" t="s">
        <v>281</v>
      </c>
      <c r="L1543"/>
      <c r="M1543"/>
      <c r="N1543" t="s">
        <v>216</v>
      </c>
      <c r="O1543"/>
      <c r="P1543"/>
      <c r="Q1543"/>
      <c r="R1543"/>
      <c r="S1543"/>
      <c r="T1543"/>
      <c r="U1543"/>
      <c r="V1543"/>
      <c r="W1543"/>
      <c r="X1543"/>
      <c r="Y1543"/>
      <c r="Z1543" t="n">
        <v>14536</v>
      </c>
      <c r="AA1543"/>
      <c r="AB1543"/>
      <c r="AC1543"/>
      <c r="AD1543"/>
      <c r="AE1543"/>
      <c r="AF1543"/>
      <c r="AG1543"/>
      <c r="AH1543"/>
      <c r="AI1543"/>
      <c r="AJ1543"/>
      <c r="AK1543"/>
      <c r="AL1543"/>
    </row>
    <row r="1544">
      <c r="A1544" t="s">
        <v>235</v>
      </c>
      <c r="B1544" t="s">
        <v>247</v>
      </c>
      <c r="C1544" t="s">
        <v>231</v>
      </c>
      <c r="D1544" t="s">
        <v>213</v>
      </c>
      <c r="E1544" t="s">
        <v>272</v>
      </c>
      <c r="F1544" t="s">
        <v>272</v>
      </c>
      <c r="G1544" t="s">
        <v>269</v>
      </c>
      <c r="H1544" t="n">
        <v>198172</v>
      </c>
      <c r="I1544"/>
      <c r="J1544" t="n">
        <v>1886597</v>
      </c>
      <c r="K1544" t="s">
        <v>281</v>
      </c>
      <c r="L1544"/>
      <c r="M1544"/>
      <c r="N1544" t="s">
        <v>217</v>
      </c>
      <c r="O1544"/>
      <c r="P1544"/>
      <c r="Q1544"/>
      <c r="R1544"/>
      <c r="S1544"/>
      <c r="T1544"/>
      <c r="U1544"/>
      <c r="V1544"/>
      <c r="W1544"/>
      <c r="X1544"/>
      <c r="Y1544"/>
      <c r="Z1544" t="n">
        <v>241467</v>
      </c>
      <c r="AA1544"/>
      <c r="AB1544"/>
      <c r="AC1544"/>
      <c r="AD1544"/>
      <c r="AE1544"/>
      <c r="AF1544"/>
      <c r="AG1544"/>
      <c r="AH1544"/>
      <c r="AI1544"/>
      <c r="AJ1544"/>
      <c r="AK1544"/>
      <c r="AL1544"/>
    </row>
    <row r="1545">
      <c r="A1545" t="s">
        <v>235</v>
      </c>
      <c r="B1545" t="s">
        <v>247</v>
      </c>
      <c r="C1545" t="s">
        <v>231</v>
      </c>
      <c r="D1545" t="s">
        <v>213</v>
      </c>
      <c r="E1545" t="s">
        <v>272</v>
      </c>
      <c r="F1545" t="s">
        <v>272</v>
      </c>
      <c r="G1545" t="s">
        <v>269</v>
      </c>
      <c r="H1545" t="n">
        <v>198172</v>
      </c>
      <c r="I1545"/>
      <c r="J1545" t="n">
        <v>1886597</v>
      </c>
      <c r="K1545" t="s">
        <v>281</v>
      </c>
      <c r="L1545"/>
      <c r="M1545"/>
      <c r="N1545" t="s">
        <v>218</v>
      </c>
      <c r="O1545"/>
      <c r="P1545"/>
      <c r="Q1545"/>
      <c r="R1545"/>
      <c r="S1545"/>
      <c r="T1545"/>
      <c r="U1545"/>
      <c r="V1545"/>
      <c r="W1545"/>
      <c r="X1545"/>
      <c r="Y1545"/>
      <c r="Z1545" t="n">
        <v>6</v>
      </c>
      <c r="AA1545"/>
      <c r="AB1545"/>
      <c r="AC1545"/>
      <c r="AD1545"/>
      <c r="AE1545"/>
      <c r="AF1545"/>
      <c r="AG1545"/>
      <c r="AH1545"/>
      <c r="AI1545"/>
      <c r="AJ1545"/>
      <c r="AK1545"/>
      <c r="AL1545"/>
    </row>
    <row r="1546">
      <c r="A1546" t="s">
        <v>235</v>
      </c>
      <c r="B1546" t="s">
        <v>247</v>
      </c>
      <c r="C1546" t="s">
        <v>231</v>
      </c>
      <c r="D1546" t="s">
        <v>213</v>
      </c>
      <c r="E1546" t="s">
        <v>272</v>
      </c>
      <c r="F1546" t="s">
        <v>272</v>
      </c>
      <c r="G1546" t="s">
        <v>269</v>
      </c>
      <c r="H1546" t="n">
        <v>198172</v>
      </c>
      <c r="I1546"/>
      <c r="J1546" t="n">
        <v>1886597</v>
      </c>
      <c r="K1546" t="s">
        <v>281</v>
      </c>
      <c r="L1546"/>
      <c r="M1546"/>
      <c r="N1546" t="s">
        <v>219</v>
      </c>
      <c r="O1546"/>
      <c r="P1546"/>
      <c r="Q1546"/>
      <c r="R1546"/>
      <c r="S1546"/>
      <c r="T1546"/>
      <c r="U1546"/>
      <c r="V1546"/>
      <c r="W1546"/>
      <c r="X1546"/>
      <c r="Y1546"/>
      <c r="Z1546" t="n">
        <v>12</v>
      </c>
      <c r="AA1546"/>
      <c r="AB1546"/>
      <c r="AC1546"/>
      <c r="AD1546"/>
      <c r="AE1546"/>
      <c r="AF1546"/>
      <c r="AG1546"/>
      <c r="AH1546"/>
      <c r="AI1546"/>
      <c r="AJ1546"/>
      <c r="AK1546"/>
      <c r="AL1546"/>
    </row>
    <row r="1547">
      <c r="A1547" t="s">
        <v>235</v>
      </c>
      <c r="B1547" t="s">
        <v>247</v>
      </c>
      <c r="C1547" t="s">
        <v>231</v>
      </c>
      <c r="D1547" t="s">
        <v>213</v>
      </c>
      <c r="E1547" t="s">
        <v>272</v>
      </c>
      <c r="F1547" t="s">
        <v>272</v>
      </c>
      <c r="G1547" t="s">
        <v>269</v>
      </c>
      <c r="H1547" t="n">
        <v>198172</v>
      </c>
      <c r="I1547"/>
      <c r="J1547" t="n">
        <v>1886597</v>
      </c>
      <c r="K1547" t="s">
        <v>281</v>
      </c>
      <c r="L1547"/>
      <c r="M1547"/>
      <c r="N1547" t="s">
        <v>220</v>
      </c>
      <c r="O1547"/>
      <c r="P1547"/>
      <c r="Q1547"/>
      <c r="R1547"/>
      <c r="S1547"/>
      <c r="T1547"/>
      <c r="U1547"/>
      <c r="V1547"/>
      <c r="W1547"/>
      <c r="X1547"/>
      <c r="Y1547"/>
      <c r="Z1547" t="n">
        <v>12</v>
      </c>
      <c r="AA1547"/>
      <c r="AB1547"/>
      <c r="AC1547"/>
      <c r="AD1547"/>
      <c r="AE1547"/>
      <c r="AF1547"/>
      <c r="AG1547"/>
      <c r="AH1547"/>
      <c r="AI1547"/>
      <c r="AJ1547"/>
      <c r="AK1547"/>
      <c r="AL1547"/>
    </row>
    <row r="1548">
      <c r="A1548" t="s">
        <v>235</v>
      </c>
      <c r="B1548" t="s">
        <v>247</v>
      </c>
      <c r="C1548" t="s">
        <v>231</v>
      </c>
      <c r="D1548" t="s">
        <v>213</v>
      </c>
      <c r="E1548" t="s">
        <v>272</v>
      </c>
      <c r="F1548" t="s">
        <v>272</v>
      </c>
      <c r="G1548" t="s">
        <v>269</v>
      </c>
      <c r="H1548" t="n">
        <v>198172</v>
      </c>
      <c r="I1548"/>
      <c r="J1548" t="n">
        <v>1886597</v>
      </c>
      <c r="K1548" t="s">
        <v>281</v>
      </c>
      <c r="L1548"/>
      <c r="M1548"/>
      <c r="N1548" t="s">
        <v>221</v>
      </c>
      <c r="O1548"/>
      <c r="P1548"/>
      <c r="Q1548"/>
      <c r="R1548"/>
      <c r="S1548"/>
      <c r="T1548"/>
      <c r="U1548"/>
      <c r="V1548"/>
      <c r="W1548"/>
      <c r="X1548"/>
      <c r="Y1548"/>
      <c r="Z1548" t="n">
        <v>16.6116538249862</v>
      </c>
      <c r="AA1548"/>
      <c r="AB1548"/>
      <c r="AC1548"/>
      <c r="AD1548"/>
      <c r="AE1548"/>
      <c r="AF1548"/>
      <c r="AG1548"/>
      <c r="AH1548"/>
      <c r="AI1548"/>
      <c r="AJ1548"/>
      <c r="AK1548"/>
      <c r="AL1548"/>
    </row>
    <row r="1549">
      <c r="A1549" t="s">
        <v>235</v>
      </c>
      <c r="B1549" t="s">
        <v>247</v>
      </c>
      <c r="C1549" t="s">
        <v>231</v>
      </c>
      <c r="D1549" t="s">
        <v>213</v>
      </c>
      <c r="E1549" t="s">
        <v>272</v>
      </c>
      <c r="F1549" t="s">
        <v>272</v>
      </c>
      <c r="G1549" t="s">
        <v>269</v>
      </c>
      <c r="H1549" t="n">
        <v>198172</v>
      </c>
      <c r="I1549"/>
      <c r="J1549" t="n">
        <v>1886597</v>
      </c>
      <c r="K1549" t="s">
        <v>281</v>
      </c>
      <c r="L1549"/>
      <c r="M1549"/>
      <c r="N1549" t="s">
        <v>222</v>
      </c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</row>
    <row r="1550">
      <c r="A1550" t="s">
        <v>235</v>
      </c>
      <c r="B1550" t="s">
        <v>248</v>
      </c>
      <c r="C1550"/>
      <c r="D1550" t="s">
        <v>213</v>
      </c>
      <c r="E1550" t="s">
        <v>272</v>
      </c>
      <c r="F1550" t="s">
        <v>272</v>
      </c>
      <c r="G1550" t="s">
        <v>269</v>
      </c>
      <c r="H1550" t="n">
        <v>144760</v>
      </c>
      <c r="I1550"/>
      <c r="J1550" t="n">
        <v>1378115</v>
      </c>
      <c r="K1550" t="s">
        <v>281</v>
      </c>
      <c r="L1550"/>
      <c r="M1550"/>
      <c r="N1550" t="s">
        <v>214</v>
      </c>
      <c r="O1550"/>
      <c r="P1550"/>
      <c r="Q1550"/>
      <c r="R1550"/>
      <c r="S1550"/>
      <c r="T1550"/>
      <c r="U1550"/>
      <c r="V1550"/>
      <c r="W1550"/>
      <c r="X1550"/>
      <c r="Y1550"/>
      <c r="Z1550" t="n">
        <v>107310</v>
      </c>
      <c r="AA1550"/>
      <c r="AB1550"/>
      <c r="AC1550"/>
      <c r="AD1550"/>
      <c r="AE1550"/>
      <c r="AF1550"/>
      <c r="AG1550"/>
      <c r="AH1550"/>
      <c r="AI1550"/>
      <c r="AJ1550"/>
      <c r="AK1550"/>
      <c r="AL1550"/>
    </row>
    <row r="1551">
      <c r="A1551" t="s">
        <v>235</v>
      </c>
      <c r="B1551" t="s">
        <v>248</v>
      </c>
      <c r="C1551"/>
      <c r="D1551" t="s">
        <v>213</v>
      </c>
      <c r="E1551" t="s">
        <v>272</v>
      </c>
      <c r="F1551" t="s">
        <v>272</v>
      </c>
      <c r="G1551" t="s">
        <v>269</v>
      </c>
      <c r="H1551" t="n">
        <v>144760</v>
      </c>
      <c r="I1551"/>
      <c r="J1551" t="n">
        <v>1378115</v>
      </c>
      <c r="K1551" t="s">
        <v>281</v>
      </c>
      <c r="L1551"/>
      <c r="M1551"/>
      <c r="N1551" t="s">
        <v>215</v>
      </c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</row>
    <row r="1552">
      <c r="A1552" t="s">
        <v>235</v>
      </c>
      <c r="B1552" t="s">
        <v>248</v>
      </c>
      <c r="C1552"/>
      <c r="D1552" t="s">
        <v>213</v>
      </c>
      <c r="E1552" t="s">
        <v>272</v>
      </c>
      <c r="F1552" t="s">
        <v>272</v>
      </c>
      <c r="G1552" t="s">
        <v>269</v>
      </c>
      <c r="H1552" t="n">
        <v>144760</v>
      </c>
      <c r="I1552"/>
      <c r="J1552" t="n">
        <v>1378115</v>
      </c>
      <c r="K1552" t="s">
        <v>281</v>
      </c>
      <c r="L1552"/>
      <c r="M1552"/>
      <c r="N1552" t="s">
        <v>216</v>
      </c>
      <c r="O1552"/>
      <c r="P1552"/>
      <c r="Q1552"/>
      <c r="R1552"/>
      <c r="S1552"/>
      <c r="T1552"/>
      <c r="U1552"/>
      <c r="V1552"/>
      <c r="W1552"/>
      <c r="X1552"/>
      <c r="Y1552"/>
      <c r="Z1552" t="n">
        <v>14621</v>
      </c>
      <c r="AA1552"/>
      <c r="AB1552"/>
      <c r="AC1552"/>
      <c r="AD1552"/>
      <c r="AE1552"/>
      <c r="AF1552"/>
      <c r="AG1552"/>
      <c r="AH1552"/>
      <c r="AI1552"/>
      <c r="AJ1552"/>
      <c r="AK1552"/>
      <c r="AL1552"/>
    </row>
    <row r="1553">
      <c r="A1553" t="s">
        <v>235</v>
      </c>
      <c r="B1553" t="s">
        <v>248</v>
      </c>
      <c r="C1553"/>
      <c r="D1553" t="s">
        <v>213</v>
      </c>
      <c r="E1553" t="s">
        <v>272</v>
      </c>
      <c r="F1553" t="s">
        <v>272</v>
      </c>
      <c r="G1553" t="s">
        <v>269</v>
      </c>
      <c r="H1553" t="n">
        <v>144760</v>
      </c>
      <c r="I1553"/>
      <c r="J1553" t="n">
        <v>1378115</v>
      </c>
      <c r="K1553" t="s">
        <v>281</v>
      </c>
      <c r="L1553"/>
      <c r="M1553"/>
      <c r="N1553" t="s">
        <v>217</v>
      </c>
      <c r="O1553"/>
      <c r="P1553"/>
      <c r="Q1553"/>
      <c r="R1553"/>
      <c r="S1553"/>
      <c r="T1553"/>
      <c r="U1553"/>
      <c r="V1553"/>
      <c r="W1553"/>
      <c r="X1553"/>
      <c r="Y1553"/>
      <c r="Z1553" t="n">
        <v>237449</v>
      </c>
      <c r="AA1553"/>
      <c r="AB1553"/>
      <c r="AC1553"/>
      <c r="AD1553"/>
      <c r="AE1553"/>
      <c r="AF1553"/>
      <c r="AG1553"/>
      <c r="AH1553"/>
      <c r="AI1553"/>
      <c r="AJ1553"/>
      <c r="AK1553"/>
      <c r="AL1553"/>
    </row>
    <row r="1554">
      <c r="A1554" t="s">
        <v>235</v>
      </c>
      <c r="B1554" t="s">
        <v>248</v>
      </c>
      <c r="C1554"/>
      <c r="D1554" t="s">
        <v>213</v>
      </c>
      <c r="E1554" t="s">
        <v>272</v>
      </c>
      <c r="F1554" t="s">
        <v>272</v>
      </c>
      <c r="G1554" t="s">
        <v>269</v>
      </c>
      <c r="H1554" t="n">
        <v>144760</v>
      </c>
      <c r="I1554"/>
      <c r="J1554" t="n">
        <v>1378115</v>
      </c>
      <c r="K1554" t="s">
        <v>281</v>
      </c>
      <c r="L1554"/>
      <c r="M1554"/>
      <c r="N1554" t="s">
        <v>218</v>
      </c>
      <c r="O1554"/>
      <c r="P1554"/>
      <c r="Q1554"/>
      <c r="R1554"/>
      <c r="S1554"/>
      <c r="T1554"/>
      <c r="U1554"/>
      <c r="V1554"/>
      <c r="W1554"/>
      <c r="X1554"/>
      <c r="Y1554"/>
      <c r="Z1554" t="n">
        <v>6</v>
      </c>
      <c r="AA1554"/>
      <c r="AB1554"/>
      <c r="AC1554"/>
      <c r="AD1554"/>
      <c r="AE1554"/>
      <c r="AF1554"/>
      <c r="AG1554"/>
      <c r="AH1554"/>
      <c r="AI1554"/>
      <c r="AJ1554"/>
      <c r="AK1554"/>
      <c r="AL1554"/>
    </row>
    <row r="1555">
      <c r="A1555" t="s">
        <v>235</v>
      </c>
      <c r="B1555" t="s">
        <v>248</v>
      </c>
      <c r="C1555"/>
      <c r="D1555" t="s">
        <v>213</v>
      </c>
      <c r="E1555" t="s">
        <v>272</v>
      </c>
      <c r="F1555" t="s">
        <v>272</v>
      </c>
      <c r="G1555" t="s">
        <v>269</v>
      </c>
      <c r="H1555" t="n">
        <v>144760</v>
      </c>
      <c r="I1555"/>
      <c r="J1555" t="n">
        <v>1378115</v>
      </c>
      <c r="K1555" t="s">
        <v>281</v>
      </c>
      <c r="L1555"/>
      <c r="M1555"/>
      <c r="N1555" t="s">
        <v>219</v>
      </c>
      <c r="O1555"/>
      <c r="P1555"/>
      <c r="Q1555"/>
      <c r="R1555"/>
      <c r="S1555"/>
      <c r="T1555"/>
      <c r="U1555"/>
      <c r="V1555"/>
      <c r="W1555"/>
      <c r="X1555"/>
      <c r="Y1555"/>
      <c r="Z1555" t="n">
        <v>12</v>
      </c>
      <c r="AA1555"/>
      <c r="AB1555"/>
      <c r="AC1555"/>
      <c r="AD1555"/>
      <c r="AE1555"/>
      <c r="AF1555"/>
      <c r="AG1555"/>
      <c r="AH1555"/>
      <c r="AI1555"/>
      <c r="AJ1555"/>
      <c r="AK1555"/>
      <c r="AL1555"/>
    </row>
    <row r="1556">
      <c r="A1556" t="s">
        <v>235</v>
      </c>
      <c r="B1556" t="s">
        <v>248</v>
      </c>
      <c r="C1556"/>
      <c r="D1556" t="s">
        <v>213</v>
      </c>
      <c r="E1556" t="s">
        <v>272</v>
      </c>
      <c r="F1556" t="s">
        <v>272</v>
      </c>
      <c r="G1556" t="s">
        <v>269</v>
      </c>
      <c r="H1556" t="n">
        <v>144760</v>
      </c>
      <c r="I1556"/>
      <c r="J1556" t="n">
        <v>1378115</v>
      </c>
      <c r="K1556" t="s">
        <v>281</v>
      </c>
      <c r="L1556"/>
      <c r="M1556"/>
      <c r="N1556" t="s">
        <v>220</v>
      </c>
      <c r="O1556"/>
      <c r="P1556"/>
      <c r="Q1556"/>
      <c r="R1556"/>
      <c r="S1556"/>
      <c r="T1556"/>
      <c r="U1556"/>
      <c r="V1556"/>
      <c r="W1556"/>
      <c r="X1556"/>
      <c r="Y1556"/>
      <c r="Z1556" t="n">
        <v>12</v>
      </c>
      <c r="AA1556"/>
      <c r="AB1556"/>
      <c r="AC1556"/>
      <c r="AD1556"/>
      <c r="AE1556"/>
      <c r="AF1556"/>
      <c r="AG1556"/>
      <c r="AH1556"/>
      <c r="AI1556"/>
      <c r="AJ1556"/>
      <c r="AK1556"/>
      <c r="AL1556"/>
    </row>
    <row r="1557">
      <c r="A1557" t="s">
        <v>235</v>
      </c>
      <c r="B1557" t="s">
        <v>248</v>
      </c>
      <c r="C1557"/>
      <c r="D1557" t="s">
        <v>213</v>
      </c>
      <c r="E1557" t="s">
        <v>272</v>
      </c>
      <c r="F1557" t="s">
        <v>272</v>
      </c>
      <c r="G1557" t="s">
        <v>269</v>
      </c>
      <c r="H1557" t="n">
        <v>144760</v>
      </c>
      <c r="I1557"/>
      <c r="J1557" t="n">
        <v>1378115</v>
      </c>
      <c r="K1557" t="s">
        <v>281</v>
      </c>
      <c r="L1557"/>
      <c r="M1557"/>
      <c r="N1557" t="s">
        <v>221</v>
      </c>
      <c r="O1557"/>
      <c r="P1557"/>
      <c r="Q1557"/>
      <c r="R1557"/>
      <c r="S1557"/>
      <c r="T1557"/>
      <c r="U1557"/>
      <c r="V1557"/>
      <c r="W1557"/>
      <c r="X1557"/>
      <c r="Y1557"/>
      <c r="Z1557" t="n">
        <v>16.2402708433076</v>
      </c>
      <c r="AA1557"/>
      <c r="AB1557"/>
      <c r="AC1557"/>
      <c r="AD1557"/>
      <c r="AE1557"/>
      <c r="AF1557"/>
      <c r="AG1557"/>
      <c r="AH1557"/>
      <c r="AI1557"/>
      <c r="AJ1557"/>
      <c r="AK1557"/>
      <c r="AL1557"/>
    </row>
    <row r="1558">
      <c r="A1558" t="s">
        <v>235</v>
      </c>
      <c r="B1558" t="s">
        <v>248</v>
      </c>
      <c r="C1558"/>
      <c r="D1558" t="s">
        <v>213</v>
      </c>
      <c r="E1558" t="s">
        <v>272</v>
      </c>
      <c r="F1558" t="s">
        <v>272</v>
      </c>
      <c r="G1558" t="s">
        <v>269</v>
      </c>
      <c r="H1558" t="n">
        <v>144760</v>
      </c>
      <c r="I1558"/>
      <c r="J1558" t="n">
        <v>1378115</v>
      </c>
      <c r="K1558" t="s">
        <v>281</v>
      </c>
      <c r="L1558"/>
      <c r="M1558"/>
      <c r="N1558" t="s">
        <v>222</v>
      </c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</row>
    <row r="1559">
      <c r="A1559" t="s">
        <v>233</v>
      </c>
      <c r="B1559" t="s">
        <v>248</v>
      </c>
      <c r="C1559"/>
      <c r="D1559" t="s">
        <v>213</v>
      </c>
      <c r="E1559" t="s">
        <v>272</v>
      </c>
      <c r="F1559" t="s">
        <v>272</v>
      </c>
      <c r="G1559" t="s">
        <v>269</v>
      </c>
      <c r="H1559" t="n">
        <v>148398</v>
      </c>
      <c r="I1559" t="n">
        <v>45992</v>
      </c>
      <c r="J1559"/>
      <c r="K1559"/>
      <c r="L1559"/>
      <c r="M1559"/>
      <c r="N1559" t="s">
        <v>214</v>
      </c>
      <c r="O1559"/>
      <c r="P1559"/>
      <c r="Q1559"/>
      <c r="R1559"/>
      <c r="S1559"/>
      <c r="T1559"/>
      <c r="U1559"/>
      <c r="V1559"/>
      <c r="W1559"/>
      <c r="X1559"/>
      <c r="Y1559"/>
      <c r="Z1559" t="n">
        <v>40030</v>
      </c>
      <c r="AA1559"/>
      <c r="AB1559"/>
      <c r="AC1559"/>
      <c r="AD1559"/>
      <c r="AE1559"/>
      <c r="AF1559"/>
      <c r="AG1559"/>
      <c r="AH1559"/>
      <c r="AI1559"/>
      <c r="AJ1559"/>
      <c r="AK1559"/>
      <c r="AL1559"/>
    </row>
    <row r="1560">
      <c r="A1560" t="s">
        <v>233</v>
      </c>
      <c r="B1560" t="s">
        <v>248</v>
      </c>
      <c r="C1560"/>
      <c r="D1560" t="s">
        <v>213</v>
      </c>
      <c r="E1560" t="s">
        <v>272</v>
      </c>
      <c r="F1560" t="s">
        <v>272</v>
      </c>
      <c r="G1560" t="s">
        <v>269</v>
      </c>
      <c r="H1560" t="n">
        <v>148398</v>
      </c>
      <c r="I1560" t="n">
        <v>45992</v>
      </c>
      <c r="J1560"/>
      <c r="K1560"/>
      <c r="L1560"/>
      <c r="M1560"/>
      <c r="N1560" t="s">
        <v>215</v>
      </c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</row>
    <row r="1561">
      <c r="A1561" t="s">
        <v>233</v>
      </c>
      <c r="B1561" t="s">
        <v>248</v>
      </c>
      <c r="C1561"/>
      <c r="D1561" t="s">
        <v>213</v>
      </c>
      <c r="E1561" t="s">
        <v>272</v>
      </c>
      <c r="F1561" t="s">
        <v>272</v>
      </c>
      <c r="G1561" t="s">
        <v>269</v>
      </c>
      <c r="H1561" t="n">
        <v>148398</v>
      </c>
      <c r="I1561" t="n">
        <v>45992</v>
      </c>
      <c r="J1561"/>
      <c r="K1561"/>
      <c r="L1561"/>
      <c r="M1561"/>
      <c r="N1561" t="s">
        <v>216</v>
      </c>
      <c r="O1561"/>
      <c r="P1561"/>
      <c r="Q1561"/>
      <c r="R1561"/>
      <c r="S1561"/>
      <c r="T1561"/>
      <c r="U1561"/>
      <c r="V1561"/>
      <c r="W1561"/>
      <c r="X1561"/>
      <c r="Y1561"/>
      <c r="Z1561" t="n">
        <v>27890</v>
      </c>
      <c r="AA1561"/>
      <c r="AB1561"/>
      <c r="AC1561"/>
      <c r="AD1561"/>
      <c r="AE1561"/>
      <c r="AF1561"/>
      <c r="AG1561"/>
      <c r="AH1561"/>
      <c r="AI1561"/>
      <c r="AJ1561"/>
      <c r="AK1561"/>
      <c r="AL1561"/>
    </row>
    <row r="1562">
      <c r="A1562" t="s">
        <v>233</v>
      </c>
      <c r="B1562" t="s">
        <v>248</v>
      </c>
      <c r="C1562"/>
      <c r="D1562" t="s">
        <v>213</v>
      </c>
      <c r="E1562" t="s">
        <v>272</v>
      </c>
      <c r="F1562" t="s">
        <v>272</v>
      </c>
      <c r="G1562" t="s">
        <v>269</v>
      </c>
      <c r="H1562" t="n">
        <v>148398</v>
      </c>
      <c r="I1562" t="n">
        <v>45992</v>
      </c>
      <c r="J1562"/>
      <c r="K1562"/>
      <c r="L1562"/>
      <c r="M1562"/>
      <c r="N1562" t="s">
        <v>217</v>
      </c>
      <c r="O1562"/>
      <c r="P1562"/>
      <c r="Q1562"/>
      <c r="R1562"/>
      <c r="S1562"/>
      <c r="T1562"/>
      <c r="U1562"/>
      <c r="V1562"/>
      <c r="W1562"/>
      <c r="X1562"/>
      <c r="Y1562"/>
      <c r="Z1562" t="n">
        <v>160538</v>
      </c>
      <c r="AA1562"/>
      <c r="AB1562"/>
      <c r="AC1562"/>
      <c r="AD1562"/>
      <c r="AE1562"/>
      <c r="AF1562"/>
      <c r="AG1562"/>
      <c r="AH1562"/>
      <c r="AI1562"/>
      <c r="AJ1562"/>
      <c r="AK1562"/>
      <c r="AL1562"/>
    </row>
    <row r="1563">
      <c r="A1563" t="s">
        <v>233</v>
      </c>
      <c r="B1563" t="s">
        <v>248</v>
      </c>
      <c r="C1563"/>
      <c r="D1563" t="s">
        <v>213</v>
      </c>
      <c r="E1563" t="s">
        <v>272</v>
      </c>
      <c r="F1563" t="s">
        <v>272</v>
      </c>
      <c r="G1563" t="s">
        <v>269</v>
      </c>
      <c r="H1563" t="n">
        <v>148398</v>
      </c>
      <c r="I1563" t="n">
        <v>45992</v>
      </c>
      <c r="J1563"/>
      <c r="K1563"/>
      <c r="L1563"/>
      <c r="M1563"/>
      <c r="N1563" t="s">
        <v>218</v>
      </c>
      <c r="O1563"/>
      <c r="P1563"/>
      <c r="Q1563"/>
      <c r="R1563"/>
      <c r="S1563"/>
      <c r="T1563"/>
      <c r="U1563"/>
      <c r="V1563"/>
      <c r="W1563"/>
      <c r="X1563"/>
      <c r="Y1563"/>
      <c r="Z1563" t="n">
        <v>3</v>
      </c>
      <c r="AA1563"/>
      <c r="AB1563"/>
      <c r="AC1563"/>
      <c r="AD1563"/>
      <c r="AE1563"/>
      <c r="AF1563"/>
      <c r="AG1563"/>
      <c r="AH1563"/>
      <c r="AI1563"/>
      <c r="AJ1563"/>
      <c r="AK1563"/>
      <c r="AL1563"/>
    </row>
    <row r="1564">
      <c r="A1564" t="s">
        <v>233</v>
      </c>
      <c r="B1564" t="s">
        <v>248</v>
      </c>
      <c r="C1564"/>
      <c r="D1564" t="s">
        <v>213</v>
      </c>
      <c r="E1564" t="s">
        <v>272</v>
      </c>
      <c r="F1564" t="s">
        <v>272</v>
      </c>
      <c r="G1564" t="s">
        <v>269</v>
      </c>
      <c r="H1564" t="n">
        <v>148398</v>
      </c>
      <c r="I1564" t="n">
        <v>45992</v>
      </c>
      <c r="J1564"/>
      <c r="K1564"/>
      <c r="L1564"/>
      <c r="M1564"/>
      <c r="N1564" t="s">
        <v>219</v>
      </c>
      <c r="O1564"/>
      <c r="P1564"/>
      <c r="Q1564"/>
      <c r="R1564"/>
      <c r="S1564"/>
      <c r="T1564"/>
      <c r="U1564"/>
      <c r="V1564"/>
      <c r="W1564"/>
      <c r="X1564"/>
      <c r="Y1564"/>
      <c r="Z1564" t="n">
        <v>6</v>
      </c>
      <c r="AA1564"/>
      <c r="AB1564"/>
      <c r="AC1564"/>
      <c r="AD1564"/>
      <c r="AE1564"/>
      <c r="AF1564"/>
      <c r="AG1564"/>
      <c r="AH1564"/>
      <c r="AI1564"/>
      <c r="AJ1564"/>
      <c r="AK1564"/>
      <c r="AL1564"/>
    </row>
    <row r="1565">
      <c r="A1565" t="s">
        <v>233</v>
      </c>
      <c r="B1565" t="s">
        <v>248</v>
      </c>
      <c r="C1565"/>
      <c r="D1565" t="s">
        <v>213</v>
      </c>
      <c r="E1565" t="s">
        <v>272</v>
      </c>
      <c r="F1565" t="s">
        <v>272</v>
      </c>
      <c r="G1565" t="s">
        <v>269</v>
      </c>
      <c r="H1565" t="n">
        <v>148398</v>
      </c>
      <c r="I1565" t="n">
        <v>45992</v>
      </c>
      <c r="J1565"/>
      <c r="K1565"/>
      <c r="L1565"/>
      <c r="M1565"/>
      <c r="N1565" t="s">
        <v>220</v>
      </c>
      <c r="O1565"/>
      <c r="P1565"/>
      <c r="Q1565"/>
      <c r="R1565"/>
      <c r="S1565"/>
      <c r="T1565"/>
      <c r="U1565"/>
      <c r="V1565"/>
      <c r="W1565"/>
      <c r="X1565"/>
      <c r="Y1565"/>
      <c r="Z1565" t="n">
        <v>6</v>
      </c>
      <c r="AA1565"/>
      <c r="AB1565"/>
      <c r="AC1565"/>
      <c r="AD1565"/>
      <c r="AE1565"/>
      <c r="AF1565"/>
      <c r="AG1565"/>
      <c r="AH1565"/>
      <c r="AI1565"/>
      <c r="AJ1565"/>
      <c r="AK1565"/>
      <c r="AL1565"/>
    </row>
    <row r="1566">
      <c r="A1566" t="s">
        <v>233</v>
      </c>
      <c r="B1566" t="s">
        <v>248</v>
      </c>
      <c r="C1566"/>
      <c r="D1566" t="s">
        <v>213</v>
      </c>
      <c r="E1566" t="s">
        <v>272</v>
      </c>
      <c r="F1566" t="s">
        <v>272</v>
      </c>
      <c r="G1566" t="s">
        <v>269</v>
      </c>
      <c r="H1566" t="n">
        <v>148398</v>
      </c>
      <c r="I1566" t="n">
        <v>45992</v>
      </c>
      <c r="J1566"/>
      <c r="K1566"/>
      <c r="L1566"/>
      <c r="M1566"/>
      <c r="N1566" t="s">
        <v>221</v>
      </c>
      <c r="O1566"/>
      <c r="P1566"/>
      <c r="Q1566"/>
      <c r="R1566"/>
      <c r="S1566"/>
      <c r="T1566"/>
      <c r="U1566"/>
      <c r="V1566"/>
      <c r="W1566"/>
      <c r="X1566"/>
      <c r="Y1566"/>
      <c r="Z1566" t="n">
        <v>5.75611330225887</v>
      </c>
      <c r="AA1566"/>
      <c r="AB1566"/>
      <c r="AC1566"/>
      <c r="AD1566"/>
      <c r="AE1566"/>
      <c r="AF1566"/>
      <c r="AG1566"/>
      <c r="AH1566"/>
      <c r="AI1566"/>
      <c r="AJ1566"/>
      <c r="AK1566"/>
      <c r="AL1566"/>
    </row>
    <row r="1567">
      <c r="A1567" t="s">
        <v>233</v>
      </c>
      <c r="B1567" t="s">
        <v>248</v>
      </c>
      <c r="C1567"/>
      <c r="D1567" t="s">
        <v>213</v>
      </c>
      <c r="E1567" t="s">
        <v>272</v>
      </c>
      <c r="F1567" t="s">
        <v>272</v>
      </c>
      <c r="G1567" t="s">
        <v>269</v>
      </c>
      <c r="H1567" t="n">
        <v>148398</v>
      </c>
      <c r="I1567" t="n">
        <v>45992</v>
      </c>
      <c r="J1567"/>
      <c r="K1567"/>
      <c r="L1567"/>
      <c r="M1567"/>
      <c r="N1567" t="s">
        <v>222</v>
      </c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</row>
    <row r="1568">
      <c r="A1568" t="s">
        <v>233</v>
      </c>
      <c r="B1568" t="s">
        <v>234</v>
      </c>
      <c r="C1568" t="s">
        <v>212</v>
      </c>
      <c r="D1568" t="s">
        <v>213</v>
      </c>
      <c r="E1568" t="s">
        <v>272</v>
      </c>
      <c r="F1568" t="s">
        <v>272</v>
      </c>
      <c r="G1568" t="s">
        <v>269</v>
      </c>
      <c r="H1568" t="n">
        <v>152714</v>
      </c>
      <c r="I1568"/>
      <c r="J1568"/>
      <c r="K1568"/>
      <c r="L1568"/>
      <c r="M1568"/>
      <c r="N1568" t="s">
        <v>214</v>
      </c>
      <c r="O1568"/>
      <c r="P1568"/>
      <c r="Q1568"/>
      <c r="R1568"/>
      <c r="S1568"/>
      <c r="T1568"/>
      <c r="U1568"/>
      <c r="V1568"/>
      <c r="W1568"/>
      <c r="X1568"/>
      <c r="Y1568"/>
      <c r="Z1568" t="n">
        <v>0</v>
      </c>
      <c r="AA1568"/>
      <c r="AB1568"/>
      <c r="AC1568"/>
      <c r="AD1568"/>
      <c r="AE1568"/>
      <c r="AF1568"/>
      <c r="AG1568"/>
      <c r="AH1568"/>
      <c r="AI1568"/>
      <c r="AJ1568"/>
      <c r="AK1568"/>
      <c r="AL1568"/>
    </row>
    <row r="1569">
      <c r="A1569" t="s">
        <v>233</v>
      </c>
      <c r="B1569" t="s">
        <v>234</v>
      </c>
      <c r="C1569" t="s">
        <v>212</v>
      </c>
      <c r="D1569" t="s">
        <v>213</v>
      </c>
      <c r="E1569" t="s">
        <v>272</v>
      </c>
      <c r="F1569" t="s">
        <v>272</v>
      </c>
      <c r="G1569" t="s">
        <v>269</v>
      </c>
      <c r="H1569" t="n">
        <v>152714</v>
      </c>
      <c r="I1569"/>
      <c r="J1569"/>
      <c r="K1569"/>
      <c r="L1569"/>
      <c r="M1569"/>
      <c r="N1569" t="s">
        <v>215</v>
      </c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</row>
    <row r="1570">
      <c r="A1570" t="s">
        <v>233</v>
      </c>
      <c r="B1570" t="s">
        <v>234</v>
      </c>
      <c r="C1570" t="s">
        <v>212</v>
      </c>
      <c r="D1570" t="s">
        <v>213</v>
      </c>
      <c r="E1570" t="s">
        <v>272</v>
      </c>
      <c r="F1570" t="s">
        <v>272</v>
      </c>
      <c r="G1570" t="s">
        <v>269</v>
      </c>
      <c r="H1570" t="n">
        <v>152714</v>
      </c>
      <c r="I1570"/>
      <c r="J1570"/>
      <c r="K1570"/>
      <c r="L1570"/>
      <c r="M1570"/>
      <c r="N1570" t="s">
        <v>216</v>
      </c>
      <c r="O1570"/>
      <c r="P1570"/>
      <c r="Q1570"/>
      <c r="R1570"/>
      <c r="S1570"/>
      <c r="T1570"/>
      <c r="U1570"/>
      <c r="V1570"/>
      <c r="W1570"/>
      <c r="X1570"/>
      <c r="Y1570"/>
      <c r="Z1570" t="n">
        <v>28000</v>
      </c>
      <c r="AA1570"/>
      <c r="AB1570"/>
      <c r="AC1570"/>
      <c r="AD1570"/>
      <c r="AE1570"/>
      <c r="AF1570"/>
      <c r="AG1570"/>
      <c r="AH1570"/>
      <c r="AI1570"/>
      <c r="AJ1570"/>
      <c r="AK1570"/>
      <c r="AL1570"/>
    </row>
    <row r="1571">
      <c r="A1571" t="s">
        <v>233</v>
      </c>
      <c r="B1571" t="s">
        <v>234</v>
      </c>
      <c r="C1571" t="s">
        <v>212</v>
      </c>
      <c r="D1571" t="s">
        <v>213</v>
      </c>
      <c r="E1571" t="s">
        <v>272</v>
      </c>
      <c r="F1571" t="s">
        <v>272</v>
      </c>
      <c r="G1571" t="s">
        <v>269</v>
      </c>
      <c r="H1571" t="n">
        <v>152714</v>
      </c>
      <c r="I1571"/>
      <c r="J1571"/>
      <c r="K1571"/>
      <c r="L1571"/>
      <c r="M1571"/>
      <c r="N1571" t="s">
        <v>217</v>
      </c>
      <c r="O1571"/>
      <c r="P1571"/>
      <c r="Q1571"/>
      <c r="R1571"/>
      <c r="S1571"/>
      <c r="T1571"/>
      <c r="U1571"/>
      <c r="V1571"/>
      <c r="W1571"/>
      <c r="X1571"/>
      <c r="Y1571"/>
      <c r="Z1571" t="n">
        <v>124714</v>
      </c>
      <c r="AA1571"/>
      <c r="AB1571"/>
      <c r="AC1571"/>
      <c r="AD1571"/>
      <c r="AE1571"/>
      <c r="AF1571"/>
      <c r="AG1571"/>
      <c r="AH1571"/>
      <c r="AI1571"/>
      <c r="AJ1571"/>
      <c r="AK1571"/>
      <c r="AL1571"/>
    </row>
    <row r="1572">
      <c r="A1572" t="s">
        <v>233</v>
      </c>
      <c r="B1572" t="s">
        <v>234</v>
      </c>
      <c r="C1572" t="s">
        <v>212</v>
      </c>
      <c r="D1572" t="s">
        <v>213</v>
      </c>
      <c r="E1572" t="s">
        <v>272</v>
      </c>
      <c r="F1572" t="s">
        <v>272</v>
      </c>
      <c r="G1572" t="s">
        <v>269</v>
      </c>
      <c r="H1572" t="n">
        <v>152714</v>
      </c>
      <c r="I1572"/>
      <c r="J1572"/>
      <c r="K1572"/>
      <c r="L1572"/>
      <c r="M1572"/>
      <c r="N1572" t="s">
        <v>218</v>
      </c>
      <c r="O1572"/>
      <c r="P1572"/>
      <c r="Q1572"/>
      <c r="R1572"/>
      <c r="S1572"/>
      <c r="T1572"/>
      <c r="U1572"/>
      <c r="V1572"/>
      <c r="W1572"/>
      <c r="X1572"/>
      <c r="Y1572"/>
      <c r="Z1572" t="n">
        <v>3</v>
      </c>
      <c r="AA1572"/>
      <c r="AB1572"/>
      <c r="AC1572"/>
      <c r="AD1572"/>
      <c r="AE1572"/>
      <c r="AF1572"/>
      <c r="AG1572"/>
      <c r="AH1572"/>
      <c r="AI1572"/>
      <c r="AJ1572"/>
      <c r="AK1572"/>
      <c r="AL1572"/>
    </row>
    <row r="1573">
      <c r="A1573" t="s">
        <v>233</v>
      </c>
      <c r="B1573" t="s">
        <v>234</v>
      </c>
      <c r="C1573" t="s">
        <v>212</v>
      </c>
      <c r="D1573" t="s">
        <v>213</v>
      </c>
      <c r="E1573" t="s">
        <v>272</v>
      </c>
      <c r="F1573" t="s">
        <v>272</v>
      </c>
      <c r="G1573" t="s">
        <v>269</v>
      </c>
      <c r="H1573" t="n">
        <v>152714</v>
      </c>
      <c r="I1573"/>
      <c r="J1573"/>
      <c r="K1573"/>
      <c r="L1573"/>
      <c r="M1573"/>
      <c r="N1573" t="s">
        <v>219</v>
      </c>
      <c r="O1573"/>
      <c r="P1573"/>
      <c r="Q1573"/>
      <c r="R1573"/>
      <c r="S1573"/>
      <c r="T1573"/>
      <c r="U1573"/>
      <c r="V1573"/>
      <c r="W1573"/>
      <c r="X1573"/>
      <c r="Y1573"/>
      <c r="Z1573" t="n">
        <v>6</v>
      </c>
      <c r="AA1573"/>
      <c r="AB1573"/>
      <c r="AC1573"/>
      <c r="AD1573"/>
      <c r="AE1573"/>
      <c r="AF1573"/>
      <c r="AG1573"/>
      <c r="AH1573"/>
      <c r="AI1573"/>
      <c r="AJ1573"/>
      <c r="AK1573"/>
      <c r="AL1573"/>
    </row>
    <row r="1574">
      <c r="A1574" t="s">
        <v>233</v>
      </c>
      <c r="B1574" t="s">
        <v>234</v>
      </c>
      <c r="C1574" t="s">
        <v>212</v>
      </c>
      <c r="D1574" t="s">
        <v>213</v>
      </c>
      <c r="E1574" t="s">
        <v>272</v>
      </c>
      <c r="F1574" t="s">
        <v>272</v>
      </c>
      <c r="G1574" t="s">
        <v>269</v>
      </c>
      <c r="H1574" t="n">
        <v>152714</v>
      </c>
      <c r="I1574"/>
      <c r="J1574"/>
      <c r="K1574"/>
      <c r="L1574"/>
      <c r="M1574"/>
      <c r="N1574" t="s">
        <v>220</v>
      </c>
      <c r="O1574"/>
      <c r="P1574"/>
      <c r="Q1574"/>
      <c r="R1574"/>
      <c r="S1574"/>
      <c r="T1574"/>
      <c r="U1574"/>
      <c r="V1574"/>
      <c r="W1574"/>
      <c r="X1574"/>
      <c r="Y1574"/>
      <c r="Z1574" t="n">
        <v>6</v>
      </c>
      <c r="AA1574"/>
      <c r="AB1574"/>
      <c r="AC1574"/>
      <c r="AD1574"/>
      <c r="AE1574"/>
      <c r="AF1574"/>
      <c r="AG1574"/>
      <c r="AH1574"/>
      <c r="AI1574"/>
      <c r="AJ1574"/>
      <c r="AK1574"/>
      <c r="AL1574"/>
    </row>
    <row r="1575">
      <c r="A1575" t="s">
        <v>233</v>
      </c>
      <c r="B1575" t="s">
        <v>234</v>
      </c>
      <c r="C1575" t="s">
        <v>212</v>
      </c>
      <c r="D1575" t="s">
        <v>213</v>
      </c>
      <c r="E1575" t="s">
        <v>272</v>
      </c>
      <c r="F1575" t="s">
        <v>272</v>
      </c>
      <c r="G1575" t="s">
        <v>269</v>
      </c>
      <c r="H1575" t="n">
        <v>152714</v>
      </c>
      <c r="I1575"/>
      <c r="J1575"/>
      <c r="K1575"/>
      <c r="L1575"/>
      <c r="M1575"/>
      <c r="N1575" t="s">
        <v>221</v>
      </c>
      <c r="O1575"/>
      <c r="P1575"/>
      <c r="Q1575"/>
      <c r="R1575"/>
      <c r="S1575"/>
      <c r="T1575"/>
      <c r="U1575"/>
      <c r="V1575"/>
      <c r="W1575"/>
      <c r="X1575"/>
      <c r="Y1575"/>
      <c r="Z1575" t="n">
        <v>4.45407142857143</v>
      </c>
      <c r="AA1575"/>
      <c r="AB1575"/>
      <c r="AC1575"/>
      <c r="AD1575"/>
      <c r="AE1575"/>
      <c r="AF1575"/>
      <c r="AG1575"/>
      <c r="AH1575"/>
      <c r="AI1575"/>
      <c r="AJ1575"/>
      <c r="AK1575"/>
      <c r="AL1575"/>
    </row>
    <row r="1576">
      <c r="A1576" t="s">
        <v>233</v>
      </c>
      <c r="B1576" t="s">
        <v>234</v>
      </c>
      <c r="C1576" t="s">
        <v>212</v>
      </c>
      <c r="D1576" t="s">
        <v>213</v>
      </c>
      <c r="E1576" t="s">
        <v>272</v>
      </c>
      <c r="F1576" t="s">
        <v>272</v>
      </c>
      <c r="G1576" t="s">
        <v>269</v>
      </c>
      <c r="H1576" t="n">
        <v>152714</v>
      </c>
      <c r="I1576"/>
      <c r="J1576"/>
      <c r="K1576"/>
      <c r="L1576"/>
      <c r="M1576"/>
      <c r="N1576" t="s">
        <v>222</v>
      </c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</row>
    <row r="1577">
      <c r="A1577" t="s">
        <v>261</v>
      </c>
      <c r="B1577" t="s">
        <v>262</v>
      </c>
      <c r="C1577" t="s">
        <v>212</v>
      </c>
      <c r="D1577" t="s">
        <v>213</v>
      </c>
      <c r="E1577" t="s">
        <v>272</v>
      </c>
      <c r="F1577" t="s">
        <v>272</v>
      </c>
      <c r="G1577" t="s">
        <v>269</v>
      </c>
      <c r="H1577" t="n">
        <v>508480</v>
      </c>
      <c r="I1577"/>
      <c r="J1577" t="n">
        <v>134239</v>
      </c>
      <c r="K1577" t="s">
        <v>282</v>
      </c>
      <c r="L1577"/>
      <c r="M1577"/>
      <c r="N1577" t="s">
        <v>214</v>
      </c>
      <c r="O1577"/>
      <c r="P1577"/>
      <c r="Q1577"/>
      <c r="R1577"/>
      <c r="S1577"/>
      <c r="T1577"/>
      <c r="U1577"/>
      <c r="V1577"/>
      <c r="W1577"/>
      <c r="X1577"/>
      <c r="Y1577"/>
      <c r="Z1577"/>
      <c r="AA1577" t="n">
        <v>319953</v>
      </c>
      <c r="AB1577"/>
      <c r="AC1577"/>
      <c r="AD1577"/>
      <c r="AE1577"/>
      <c r="AF1577"/>
      <c r="AG1577"/>
      <c r="AH1577"/>
      <c r="AI1577"/>
      <c r="AJ1577"/>
      <c r="AK1577"/>
      <c r="AL1577"/>
    </row>
    <row r="1578">
      <c r="A1578" t="s">
        <v>261</v>
      </c>
      <c r="B1578" t="s">
        <v>262</v>
      </c>
      <c r="C1578" t="s">
        <v>212</v>
      </c>
      <c r="D1578" t="s">
        <v>213</v>
      </c>
      <c r="E1578" t="s">
        <v>272</v>
      </c>
      <c r="F1578" t="s">
        <v>272</v>
      </c>
      <c r="G1578" t="s">
        <v>269</v>
      </c>
      <c r="H1578" t="n">
        <v>508480</v>
      </c>
      <c r="I1578"/>
      <c r="J1578" t="n">
        <v>134239</v>
      </c>
      <c r="K1578" t="s">
        <v>282</v>
      </c>
      <c r="L1578"/>
      <c r="M1578"/>
      <c r="N1578" t="s">
        <v>215</v>
      </c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</row>
    <row r="1579">
      <c r="A1579" t="s">
        <v>261</v>
      </c>
      <c r="B1579" t="s">
        <v>262</v>
      </c>
      <c r="C1579" t="s">
        <v>212</v>
      </c>
      <c r="D1579" t="s">
        <v>213</v>
      </c>
      <c r="E1579" t="s">
        <v>272</v>
      </c>
      <c r="F1579" t="s">
        <v>272</v>
      </c>
      <c r="G1579" t="s">
        <v>269</v>
      </c>
      <c r="H1579" t="n">
        <v>508480</v>
      </c>
      <c r="I1579"/>
      <c r="J1579" t="n">
        <v>134239</v>
      </c>
      <c r="K1579" t="s">
        <v>282</v>
      </c>
      <c r="L1579"/>
      <c r="M1579"/>
      <c r="N1579" t="s">
        <v>216</v>
      </c>
      <c r="O1579"/>
      <c r="P1579"/>
      <c r="Q1579"/>
      <c r="R1579"/>
      <c r="S1579"/>
      <c r="T1579"/>
      <c r="U1579"/>
      <c r="V1579"/>
      <c r="W1579"/>
      <c r="X1579"/>
      <c r="Y1579"/>
      <c r="Z1579"/>
      <c r="AA1579" t="n">
        <v>94644</v>
      </c>
      <c r="AB1579"/>
      <c r="AC1579"/>
      <c r="AD1579"/>
      <c r="AE1579"/>
      <c r="AF1579"/>
      <c r="AG1579"/>
      <c r="AH1579"/>
      <c r="AI1579"/>
      <c r="AJ1579"/>
      <c r="AK1579"/>
      <c r="AL1579"/>
    </row>
    <row r="1580">
      <c r="A1580" t="s">
        <v>261</v>
      </c>
      <c r="B1580" t="s">
        <v>262</v>
      </c>
      <c r="C1580" t="s">
        <v>212</v>
      </c>
      <c r="D1580" t="s">
        <v>213</v>
      </c>
      <c r="E1580" t="s">
        <v>272</v>
      </c>
      <c r="F1580" t="s">
        <v>272</v>
      </c>
      <c r="G1580" t="s">
        <v>269</v>
      </c>
      <c r="H1580" t="n">
        <v>508480</v>
      </c>
      <c r="I1580"/>
      <c r="J1580" t="n">
        <v>134239</v>
      </c>
      <c r="K1580" t="s">
        <v>282</v>
      </c>
      <c r="L1580"/>
      <c r="M1580"/>
      <c r="N1580" t="s">
        <v>217</v>
      </c>
      <c r="O1580"/>
      <c r="P1580"/>
      <c r="Q1580"/>
      <c r="R1580"/>
      <c r="S1580"/>
      <c r="T1580"/>
      <c r="U1580"/>
      <c r="V1580"/>
      <c r="W1580"/>
      <c r="X1580"/>
      <c r="Y1580"/>
      <c r="Z1580"/>
      <c r="AA1580" t="n">
        <v>733789</v>
      </c>
      <c r="AB1580"/>
      <c r="AC1580"/>
      <c r="AD1580"/>
      <c r="AE1580"/>
      <c r="AF1580"/>
      <c r="AG1580"/>
      <c r="AH1580"/>
      <c r="AI1580"/>
      <c r="AJ1580"/>
      <c r="AK1580"/>
      <c r="AL1580"/>
    </row>
    <row r="1581">
      <c r="A1581" t="s">
        <v>261</v>
      </c>
      <c r="B1581" t="s">
        <v>262</v>
      </c>
      <c r="C1581" t="s">
        <v>212</v>
      </c>
      <c r="D1581" t="s">
        <v>213</v>
      </c>
      <c r="E1581" t="s">
        <v>272</v>
      </c>
      <c r="F1581" t="s">
        <v>272</v>
      </c>
      <c r="G1581" t="s">
        <v>269</v>
      </c>
      <c r="H1581" t="n">
        <v>508480</v>
      </c>
      <c r="I1581"/>
      <c r="J1581" t="n">
        <v>134239</v>
      </c>
      <c r="K1581" t="s">
        <v>282</v>
      </c>
      <c r="L1581"/>
      <c r="M1581"/>
      <c r="N1581" t="s">
        <v>218</v>
      </c>
      <c r="O1581"/>
      <c r="P1581"/>
      <c r="Q1581"/>
      <c r="R1581"/>
      <c r="S1581"/>
      <c r="T1581"/>
      <c r="U1581"/>
      <c r="V1581"/>
      <c r="W1581"/>
      <c r="X1581"/>
      <c r="Y1581"/>
      <c r="Z1581"/>
      <c r="AA1581" t="n">
        <v>9</v>
      </c>
      <c r="AB1581"/>
      <c r="AC1581"/>
      <c r="AD1581"/>
      <c r="AE1581"/>
      <c r="AF1581"/>
      <c r="AG1581"/>
      <c r="AH1581"/>
      <c r="AI1581"/>
      <c r="AJ1581"/>
      <c r="AK1581"/>
      <c r="AL1581"/>
    </row>
    <row r="1582">
      <c r="A1582" t="s">
        <v>261</v>
      </c>
      <c r="B1582" t="s">
        <v>262</v>
      </c>
      <c r="C1582" t="s">
        <v>212</v>
      </c>
      <c r="D1582" t="s">
        <v>213</v>
      </c>
      <c r="E1582" t="s">
        <v>272</v>
      </c>
      <c r="F1582" t="s">
        <v>272</v>
      </c>
      <c r="G1582" t="s">
        <v>269</v>
      </c>
      <c r="H1582" t="n">
        <v>508480</v>
      </c>
      <c r="I1582"/>
      <c r="J1582" t="n">
        <v>134239</v>
      </c>
      <c r="K1582" t="s">
        <v>282</v>
      </c>
      <c r="L1582"/>
      <c r="M1582"/>
      <c r="N1582" t="s">
        <v>219</v>
      </c>
      <c r="O1582"/>
      <c r="P1582"/>
      <c r="Q1582"/>
      <c r="R1582"/>
      <c r="S1582"/>
      <c r="T1582"/>
      <c r="U1582"/>
      <c r="V1582"/>
      <c r="W1582"/>
      <c r="X1582"/>
      <c r="Y1582"/>
      <c r="Z1582"/>
      <c r="AA1582" t="n">
        <v>14</v>
      </c>
      <c r="AB1582"/>
      <c r="AC1582"/>
      <c r="AD1582"/>
      <c r="AE1582"/>
      <c r="AF1582"/>
      <c r="AG1582"/>
      <c r="AH1582"/>
      <c r="AI1582"/>
      <c r="AJ1582"/>
      <c r="AK1582"/>
      <c r="AL1582"/>
    </row>
    <row r="1583">
      <c r="A1583" t="s">
        <v>261</v>
      </c>
      <c r="B1583" t="s">
        <v>262</v>
      </c>
      <c r="C1583" t="s">
        <v>212</v>
      </c>
      <c r="D1583" t="s">
        <v>213</v>
      </c>
      <c r="E1583" t="s">
        <v>272</v>
      </c>
      <c r="F1583" t="s">
        <v>272</v>
      </c>
      <c r="G1583" t="s">
        <v>269</v>
      </c>
      <c r="H1583" t="n">
        <v>508480</v>
      </c>
      <c r="I1583"/>
      <c r="J1583" t="n">
        <v>134239</v>
      </c>
      <c r="K1583" t="s">
        <v>282</v>
      </c>
      <c r="L1583"/>
      <c r="M1583"/>
      <c r="N1583" t="s">
        <v>220</v>
      </c>
      <c r="O1583"/>
      <c r="P1583"/>
      <c r="Q1583"/>
      <c r="R1583"/>
      <c r="S1583"/>
      <c r="T1583"/>
      <c r="U1583"/>
      <c r="V1583"/>
      <c r="W1583"/>
      <c r="X1583"/>
      <c r="Y1583"/>
      <c r="Z1583"/>
      <c r="AA1583" t="n">
        <v>13</v>
      </c>
      <c r="AB1583"/>
      <c r="AC1583"/>
      <c r="AD1583"/>
      <c r="AE1583"/>
      <c r="AF1583"/>
      <c r="AG1583"/>
      <c r="AH1583"/>
      <c r="AI1583"/>
      <c r="AJ1583"/>
      <c r="AK1583"/>
      <c r="AL1583"/>
    </row>
    <row r="1584">
      <c r="A1584" t="s">
        <v>261</v>
      </c>
      <c r="B1584" t="s">
        <v>262</v>
      </c>
      <c r="C1584" t="s">
        <v>212</v>
      </c>
      <c r="D1584" t="s">
        <v>213</v>
      </c>
      <c r="E1584" t="s">
        <v>272</v>
      </c>
      <c r="F1584" t="s">
        <v>272</v>
      </c>
      <c r="G1584" t="s">
        <v>269</v>
      </c>
      <c r="H1584" t="n">
        <v>508480</v>
      </c>
      <c r="I1584"/>
      <c r="J1584" t="n">
        <v>134239</v>
      </c>
      <c r="K1584" t="s">
        <v>282</v>
      </c>
      <c r="L1584"/>
      <c r="M1584"/>
      <c r="N1584" t="s">
        <v>221</v>
      </c>
      <c r="O1584"/>
      <c r="P1584"/>
      <c r="Q1584"/>
      <c r="R1584"/>
      <c r="S1584"/>
      <c r="T1584"/>
      <c r="U1584"/>
      <c r="V1584"/>
      <c r="W1584"/>
      <c r="X1584"/>
      <c r="Y1584"/>
      <c r="Z1584"/>
      <c r="AA1584" t="n">
        <v>7.75314864122396</v>
      </c>
      <c r="AB1584"/>
      <c r="AC1584"/>
      <c r="AD1584"/>
      <c r="AE1584"/>
      <c r="AF1584"/>
      <c r="AG1584"/>
      <c r="AH1584"/>
      <c r="AI1584"/>
      <c r="AJ1584"/>
      <c r="AK1584"/>
      <c r="AL1584"/>
    </row>
    <row r="1585">
      <c r="A1585" t="s">
        <v>261</v>
      </c>
      <c r="B1585" t="s">
        <v>262</v>
      </c>
      <c r="C1585" t="s">
        <v>212</v>
      </c>
      <c r="D1585" t="s">
        <v>213</v>
      </c>
      <c r="E1585" t="s">
        <v>272</v>
      </c>
      <c r="F1585" t="s">
        <v>272</v>
      </c>
      <c r="G1585" t="s">
        <v>269</v>
      </c>
      <c r="H1585" t="n">
        <v>508480</v>
      </c>
      <c r="I1585"/>
      <c r="J1585" t="n">
        <v>134239</v>
      </c>
      <c r="K1585" t="s">
        <v>282</v>
      </c>
      <c r="L1585"/>
      <c r="M1585"/>
      <c r="N1585" t="s">
        <v>222</v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</row>
    <row r="1586">
      <c r="A1586" t="s">
        <v>235</v>
      </c>
      <c r="B1586" t="s">
        <v>211</v>
      </c>
      <c r="C1586" t="s">
        <v>212</v>
      </c>
      <c r="D1586" t="s">
        <v>213</v>
      </c>
      <c r="E1586" t="s">
        <v>272</v>
      </c>
      <c r="F1586" t="s">
        <v>272</v>
      </c>
      <c r="G1586" t="s">
        <v>269</v>
      </c>
      <c r="H1586" t="n">
        <v>305671</v>
      </c>
      <c r="I1586"/>
      <c r="J1586" t="n">
        <v>89011</v>
      </c>
      <c r="K1586" t="s">
        <v>282</v>
      </c>
      <c r="L1586"/>
      <c r="M1586"/>
      <c r="N1586" t="s">
        <v>214</v>
      </c>
      <c r="O1586"/>
      <c r="P1586"/>
      <c r="Q1586"/>
      <c r="R1586"/>
      <c r="S1586"/>
      <c r="T1586"/>
      <c r="U1586"/>
      <c r="V1586"/>
      <c r="W1586"/>
      <c r="X1586"/>
      <c r="Y1586"/>
      <c r="Z1586"/>
      <c r="AA1586" t="n">
        <v>547191</v>
      </c>
      <c r="AB1586"/>
      <c r="AC1586"/>
      <c r="AD1586"/>
      <c r="AE1586"/>
      <c r="AF1586"/>
      <c r="AG1586"/>
      <c r="AH1586"/>
      <c r="AI1586"/>
      <c r="AJ1586"/>
      <c r="AK1586"/>
      <c r="AL1586"/>
    </row>
    <row r="1587">
      <c r="A1587" t="s">
        <v>235</v>
      </c>
      <c r="B1587" t="s">
        <v>211</v>
      </c>
      <c r="C1587" t="s">
        <v>212</v>
      </c>
      <c r="D1587" t="s">
        <v>213</v>
      </c>
      <c r="E1587" t="s">
        <v>272</v>
      </c>
      <c r="F1587" t="s">
        <v>272</v>
      </c>
      <c r="G1587" t="s">
        <v>269</v>
      </c>
      <c r="H1587" t="n">
        <v>305671</v>
      </c>
      <c r="I1587"/>
      <c r="J1587" t="n">
        <v>89011</v>
      </c>
      <c r="K1587" t="s">
        <v>282</v>
      </c>
      <c r="L1587"/>
      <c r="M1587"/>
      <c r="N1587" t="s">
        <v>215</v>
      </c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</row>
    <row r="1588">
      <c r="A1588" t="s">
        <v>235</v>
      </c>
      <c r="B1588" t="s">
        <v>211</v>
      </c>
      <c r="C1588" t="s">
        <v>212</v>
      </c>
      <c r="D1588" t="s">
        <v>213</v>
      </c>
      <c r="E1588" t="s">
        <v>272</v>
      </c>
      <c r="F1588" t="s">
        <v>272</v>
      </c>
      <c r="G1588" t="s">
        <v>269</v>
      </c>
      <c r="H1588" t="n">
        <v>305671</v>
      </c>
      <c r="I1588"/>
      <c r="J1588" t="n">
        <v>89011</v>
      </c>
      <c r="K1588" t="s">
        <v>282</v>
      </c>
      <c r="L1588"/>
      <c r="M1588"/>
      <c r="N1588" t="s">
        <v>216</v>
      </c>
      <c r="O1588"/>
      <c r="P1588"/>
      <c r="Q1588"/>
      <c r="R1588"/>
      <c r="S1588"/>
      <c r="T1588"/>
      <c r="U1588"/>
      <c r="V1588"/>
      <c r="W1588"/>
      <c r="X1588"/>
      <c r="Y1588"/>
      <c r="Z1588"/>
      <c r="AA1588" t="n">
        <v>43147</v>
      </c>
      <c r="AB1588"/>
      <c r="AC1588"/>
      <c r="AD1588"/>
      <c r="AE1588"/>
      <c r="AF1588"/>
      <c r="AG1588"/>
      <c r="AH1588"/>
      <c r="AI1588"/>
      <c r="AJ1588"/>
      <c r="AK1588"/>
      <c r="AL1588"/>
    </row>
    <row r="1589">
      <c r="A1589" t="s">
        <v>235</v>
      </c>
      <c r="B1589" t="s">
        <v>211</v>
      </c>
      <c r="C1589" t="s">
        <v>212</v>
      </c>
      <c r="D1589" t="s">
        <v>213</v>
      </c>
      <c r="E1589" t="s">
        <v>272</v>
      </c>
      <c r="F1589" t="s">
        <v>272</v>
      </c>
      <c r="G1589" t="s">
        <v>269</v>
      </c>
      <c r="H1589" t="n">
        <v>305671</v>
      </c>
      <c r="I1589"/>
      <c r="J1589" t="n">
        <v>89011</v>
      </c>
      <c r="K1589" t="s">
        <v>282</v>
      </c>
      <c r="L1589"/>
      <c r="M1589"/>
      <c r="N1589" t="s">
        <v>217</v>
      </c>
      <c r="O1589"/>
      <c r="P1589"/>
      <c r="Q1589"/>
      <c r="R1589"/>
      <c r="S1589"/>
      <c r="T1589"/>
      <c r="U1589"/>
      <c r="V1589"/>
      <c r="W1589"/>
      <c r="X1589"/>
      <c r="Y1589"/>
      <c r="Z1589"/>
      <c r="AA1589" t="n">
        <v>809715</v>
      </c>
      <c r="AB1589"/>
      <c r="AC1589"/>
      <c r="AD1589"/>
      <c r="AE1589"/>
      <c r="AF1589"/>
      <c r="AG1589"/>
      <c r="AH1589"/>
      <c r="AI1589"/>
      <c r="AJ1589"/>
      <c r="AK1589"/>
      <c r="AL1589"/>
    </row>
    <row r="1590">
      <c r="A1590" t="s">
        <v>235</v>
      </c>
      <c r="B1590" t="s">
        <v>211</v>
      </c>
      <c r="C1590" t="s">
        <v>212</v>
      </c>
      <c r="D1590" t="s">
        <v>213</v>
      </c>
      <c r="E1590" t="s">
        <v>272</v>
      </c>
      <c r="F1590" t="s">
        <v>272</v>
      </c>
      <c r="G1590" t="s">
        <v>269</v>
      </c>
      <c r="H1590" t="n">
        <v>305671</v>
      </c>
      <c r="I1590"/>
      <c r="J1590" t="n">
        <v>89011</v>
      </c>
      <c r="K1590" t="s">
        <v>282</v>
      </c>
      <c r="L1590"/>
      <c r="M1590"/>
      <c r="N1590" t="s">
        <v>218</v>
      </c>
      <c r="O1590"/>
      <c r="P1590"/>
      <c r="Q1590"/>
      <c r="R1590"/>
      <c r="S1590"/>
      <c r="T1590"/>
      <c r="U1590"/>
      <c r="V1590"/>
      <c r="W1590"/>
      <c r="X1590"/>
      <c r="Y1590"/>
      <c r="Z1590"/>
      <c r="AA1590" t="n">
        <v>6</v>
      </c>
      <c r="AB1590"/>
      <c r="AC1590"/>
      <c r="AD1590"/>
      <c r="AE1590"/>
      <c r="AF1590"/>
      <c r="AG1590"/>
      <c r="AH1590"/>
      <c r="AI1590"/>
      <c r="AJ1590"/>
      <c r="AK1590"/>
      <c r="AL1590"/>
    </row>
    <row r="1591">
      <c r="A1591" t="s">
        <v>235</v>
      </c>
      <c r="B1591" t="s">
        <v>211</v>
      </c>
      <c r="C1591" t="s">
        <v>212</v>
      </c>
      <c r="D1591" t="s">
        <v>213</v>
      </c>
      <c r="E1591" t="s">
        <v>272</v>
      </c>
      <c r="F1591" t="s">
        <v>272</v>
      </c>
      <c r="G1591" t="s">
        <v>269</v>
      </c>
      <c r="H1591" t="n">
        <v>305671</v>
      </c>
      <c r="I1591"/>
      <c r="J1591" t="n">
        <v>89011</v>
      </c>
      <c r="K1591" t="s">
        <v>282</v>
      </c>
      <c r="L1591"/>
      <c r="M1591"/>
      <c r="N1591" t="s">
        <v>219</v>
      </c>
      <c r="O1591"/>
      <c r="P1591"/>
      <c r="Q1591"/>
      <c r="R1591"/>
      <c r="S1591"/>
      <c r="T1591"/>
      <c r="U1591"/>
      <c r="V1591"/>
      <c r="W1591"/>
      <c r="X1591"/>
      <c r="Y1591"/>
      <c r="Z1591"/>
      <c r="AA1591" t="n">
        <v>12</v>
      </c>
      <c r="AB1591"/>
      <c r="AC1591"/>
      <c r="AD1591"/>
      <c r="AE1591"/>
      <c r="AF1591"/>
      <c r="AG1591"/>
      <c r="AH1591"/>
      <c r="AI1591"/>
      <c r="AJ1591"/>
      <c r="AK1591"/>
      <c r="AL1591"/>
    </row>
    <row r="1592">
      <c r="A1592" t="s">
        <v>235</v>
      </c>
      <c r="B1592" t="s">
        <v>211</v>
      </c>
      <c r="C1592" t="s">
        <v>212</v>
      </c>
      <c r="D1592" t="s">
        <v>213</v>
      </c>
      <c r="E1592" t="s">
        <v>272</v>
      </c>
      <c r="F1592" t="s">
        <v>272</v>
      </c>
      <c r="G1592" t="s">
        <v>269</v>
      </c>
      <c r="H1592" t="n">
        <v>305671</v>
      </c>
      <c r="I1592"/>
      <c r="J1592" t="n">
        <v>89011</v>
      </c>
      <c r="K1592" t="s">
        <v>282</v>
      </c>
      <c r="L1592"/>
      <c r="M1592"/>
      <c r="N1592" t="s">
        <v>220</v>
      </c>
      <c r="O1592"/>
      <c r="P1592"/>
      <c r="Q1592"/>
      <c r="R1592"/>
      <c r="S1592"/>
      <c r="T1592"/>
      <c r="U1592"/>
      <c r="V1592"/>
      <c r="W1592"/>
      <c r="X1592"/>
      <c r="Y1592"/>
      <c r="Z1592"/>
      <c r="AA1592" t="n">
        <v>12</v>
      </c>
      <c r="AB1592"/>
      <c r="AC1592"/>
      <c r="AD1592"/>
      <c r="AE1592"/>
      <c r="AF1592"/>
      <c r="AG1592"/>
      <c r="AH1592"/>
      <c r="AI1592"/>
      <c r="AJ1592"/>
      <c r="AK1592"/>
      <c r="AL1592"/>
    </row>
    <row r="1593">
      <c r="A1593" t="s">
        <v>235</v>
      </c>
      <c r="B1593" t="s">
        <v>211</v>
      </c>
      <c r="C1593" t="s">
        <v>212</v>
      </c>
      <c r="D1593" t="s">
        <v>213</v>
      </c>
      <c r="E1593" t="s">
        <v>272</v>
      </c>
      <c r="F1593" t="s">
        <v>272</v>
      </c>
      <c r="G1593" t="s">
        <v>269</v>
      </c>
      <c r="H1593" t="n">
        <v>305671</v>
      </c>
      <c r="I1593"/>
      <c r="J1593" t="n">
        <v>89011</v>
      </c>
      <c r="K1593" t="s">
        <v>282</v>
      </c>
      <c r="L1593"/>
      <c r="M1593"/>
      <c r="N1593" t="s">
        <v>221</v>
      </c>
      <c r="O1593"/>
      <c r="P1593"/>
      <c r="Q1593"/>
      <c r="R1593"/>
      <c r="S1593"/>
      <c r="T1593"/>
      <c r="U1593"/>
      <c r="V1593"/>
      <c r="W1593"/>
      <c r="X1593"/>
      <c r="Y1593"/>
      <c r="Z1593"/>
      <c r="AA1593" t="n">
        <v>18.7664264027626</v>
      </c>
      <c r="AB1593"/>
      <c r="AC1593"/>
      <c r="AD1593"/>
      <c r="AE1593"/>
      <c r="AF1593"/>
      <c r="AG1593"/>
      <c r="AH1593"/>
      <c r="AI1593"/>
      <c r="AJ1593"/>
      <c r="AK1593"/>
      <c r="AL1593"/>
    </row>
    <row r="1594">
      <c r="A1594" t="s">
        <v>235</v>
      </c>
      <c r="B1594" t="s">
        <v>211</v>
      </c>
      <c r="C1594" t="s">
        <v>212</v>
      </c>
      <c r="D1594" t="s">
        <v>213</v>
      </c>
      <c r="E1594" t="s">
        <v>272</v>
      </c>
      <c r="F1594" t="s">
        <v>272</v>
      </c>
      <c r="G1594" t="s">
        <v>269</v>
      </c>
      <c r="H1594" t="n">
        <v>305671</v>
      </c>
      <c r="I1594"/>
      <c r="J1594" t="n">
        <v>89011</v>
      </c>
      <c r="K1594" t="s">
        <v>282</v>
      </c>
      <c r="L1594"/>
      <c r="M1594"/>
      <c r="N1594" t="s">
        <v>222</v>
      </c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</row>
    <row r="1595">
      <c r="A1595" t="s">
        <v>233</v>
      </c>
      <c r="B1595" t="s">
        <v>211</v>
      </c>
      <c r="C1595" t="s">
        <v>212</v>
      </c>
      <c r="D1595" t="s">
        <v>213</v>
      </c>
      <c r="E1595" t="s">
        <v>272</v>
      </c>
      <c r="F1595" t="s">
        <v>272</v>
      </c>
      <c r="G1595" t="s">
        <v>269</v>
      </c>
      <c r="H1595" t="n">
        <v>449800</v>
      </c>
      <c r="I1595"/>
      <c r="J1595"/>
      <c r="K1595"/>
      <c r="L1595"/>
      <c r="M1595"/>
      <c r="N1595" t="s">
        <v>214</v>
      </c>
      <c r="O1595"/>
      <c r="P1595"/>
      <c r="Q1595"/>
      <c r="R1595"/>
      <c r="S1595"/>
      <c r="T1595"/>
      <c r="U1595"/>
      <c r="V1595"/>
      <c r="W1595"/>
      <c r="X1595"/>
      <c r="Y1595"/>
      <c r="Z1595"/>
      <c r="AA1595" t="n">
        <v>0</v>
      </c>
      <c r="AB1595"/>
      <c r="AC1595"/>
      <c r="AD1595"/>
      <c r="AE1595"/>
      <c r="AF1595"/>
      <c r="AG1595"/>
      <c r="AH1595"/>
      <c r="AI1595"/>
      <c r="AJ1595"/>
      <c r="AK1595"/>
      <c r="AL1595"/>
    </row>
    <row r="1596">
      <c r="A1596" t="s">
        <v>233</v>
      </c>
      <c r="B1596" t="s">
        <v>211</v>
      </c>
      <c r="C1596" t="s">
        <v>212</v>
      </c>
      <c r="D1596" t="s">
        <v>213</v>
      </c>
      <c r="E1596" t="s">
        <v>272</v>
      </c>
      <c r="F1596" t="s">
        <v>272</v>
      </c>
      <c r="G1596" t="s">
        <v>269</v>
      </c>
      <c r="H1596" t="n">
        <v>449800</v>
      </c>
      <c r="I1596"/>
      <c r="J1596"/>
      <c r="K1596"/>
      <c r="L1596"/>
      <c r="M1596"/>
      <c r="N1596" t="s">
        <v>215</v>
      </c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</row>
    <row r="1597">
      <c r="A1597" t="s">
        <v>233</v>
      </c>
      <c r="B1597" t="s">
        <v>211</v>
      </c>
      <c r="C1597" t="s">
        <v>212</v>
      </c>
      <c r="D1597" t="s">
        <v>213</v>
      </c>
      <c r="E1597" t="s">
        <v>272</v>
      </c>
      <c r="F1597" t="s">
        <v>272</v>
      </c>
      <c r="G1597" t="s">
        <v>269</v>
      </c>
      <c r="H1597" t="n">
        <v>449800</v>
      </c>
      <c r="I1597"/>
      <c r="J1597"/>
      <c r="K1597"/>
      <c r="L1597"/>
      <c r="M1597"/>
      <c r="N1597" t="s">
        <v>216</v>
      </c>
      <c r="O1597"/>
      <c r="P1597"/>
      <c r="Q1597"/>
      <c r="R1597"/>
      <c r="S1597"/>
      <c r="T1597"/>
      <c r="U1597"/>
      <c r="V1597"/>
      <c r="W1597"/>
      <c r="X1597"/>
      <c r="Y1597"/>
      <c r="Z1597"/>
      <c r="AA1597" t="n">
        <v>78000</v>
      </c>
      <c r="AB1597"/>
      <c r="AC1597"/>
      <c r="AD1597"/>
      <c r="AE1597"/>
      <c r="AF1597"/>
      <c r="AG1597"/>
      <c r="AH1597"/>
      <c r="AI1597"/>
      <c r="AJ1597"/>
      <c r="AK1597"/>
      <c r="AL1597"/>
    </row>
    <row r="1598">
      <c r="A1598" t="s">
        <v>233</v>
      </c>
      <c r="B1598" t="s">
        <v>211</v>
      </c>
      <c r="C1598" t="s">
        <v>212</v>
      </c>
      <c r="D1598" t="s">
        <v>213</v>
      </c>
      <c r="E1598" t="s">
        <v>272</v>
      </c>
      <c r="F1598" t="s">
        <v>272</v>
      </c>
      <c r="G1598" t="s">
        <v>269</v>
      </c>
      <c r="H1598" t="n">
        <v>449800</v>
      </c>
      <c r="I1598"/>
      <c r="J1598"/>
      <c r="K1598"/>
      <c r="L1598"/>
      <c r="M1598"/>
      <c r="N1598" t="s">
        <v>217</v>
      </c>
      <c r="O1598"/>
      <c r="P1598"/>
      <c r="Q1598"/>
      <c r="R1598"/>
      <c r="S1598"/>
      <c r="T1598"/>
      <c r="U1598"/>
      <c r="V1598"/>
      <c r="W1598"/>
      <c r="X1598"/>
      <c r="Y1598"/>
      <c r="Z1598"/>
      <c r="AA1598" t="n">
        <v>371800</v>
      </c>
      <c r="AB1598"/>
      <c r="AC1598"/>
      <c r="AD1598"/>
      <c r="AE1598"/>
      <c r="AF1598"/>
      <c r="AG1598"/>
      <c r="AH1598"/>
      <c r="AI1598"/>
      <c r="AJ1598"/>
      <c r="AK1598"/>
      <c r="AL1598"/>
    </row>
    <row r="1599">
      <c r="A1599" t="s">
        <v>233</v>
      </c>
      <c r="B1599" t="s">
        <v>211</v>
      </c>
      <c r="C1599" t="s">
        <v>212</v>
      </c>
      <c r="D1599" t="s">
        <v>213</v>
      </c>
      <c r="E1599" t="s">
        <v>272</v>
      </c>
      <c r="F1599" t="s">
        <v>272</v>
      </c>
      <c r="G1599" t="s">
        <v>269</v>
      </c>
      <c r="H1599" t="n">
        <v>449800</v>
      </c>
      <c r="I1599"/>
      <c r="J1599"/>
      <c r="K1599"/>
      <c r="L1599"/>
      <c r="M1599"/>
      <c r="N1599" t="s">
        <v>218</v>
      </c>
      <c r="O1599"/>
      <c r="P1599"/>
      <c r="Q1599"/>
      <c r="R1599"/>
      <c r="S1599"/>
      <c r="T1599"/>
      <c r="U1599"/>
      <c r="V1599"/>
      <c r="W1599"/>
      <c r="X1599"/>
      <c r="Y1599"/>
      <c r="Z1599"/>
      <c r="AA1599" t="n">
        <v>3</v>
      </c>
      <c r="AB1599"/>
      <c r="AC1599"/>
      <c r="AD1599"/>
      <c r="AE1599"/>
      <c r="AF1599"/>
      <c r="AG1599"/>
      <c r="AH1599"/>
      <c r="AI1599"/>
      <c r="AJ1599"/>
      <c r="AK1599"/>
      <c r="AL1599"/>
    </row>
    <row r="1600">
      <c r="A1600" t="s">
        <v>233</v>
      </c>
      <c r="B1600" t="s">
        <v>211</v>
      </c>
      <c r="C1600" t="s">
        <v>212</v>
      </c>
      <c r="D1600" t="s">
        <v>213</v>
      </c>
      <c r="E1600" t="s">
        <v>272</v>
      </c>
      <c r="F1600" t="s">
        <v>272</v>
      </c>
      <c r="G1600" t="s">
        <v>269</v>
      </c>
      <c r="H1600" t="n">
        <v>449800</v>
      </c>
      <c r="I1600"/>
      <c r="J1600"/>
      <c r="K1600"/>
      <c r="L1600"/>
      <c r="M1600"/>
      <c r="N1600" t="s">
        <v>219</v>
      </c>
      <c r="O1600"/>
      <c r="P1600"/>
      <c r="Q1600"/>
      <c r="R1600"/>
      <c r="S1600"/>
      <c r="T1600"/>
      <c r="U1600"/>
      <c r="V1600"/>
      <c r="W1600"/>
      <c r="X1600"/>
      <c r="Y1600"/>
      <c r="Z1600"/>
      <c r="AA1600" t="n">
        <v>6</v>
      </c>
      <c r="AB1600"/>
      <c r="AC1600"/>
      <c r="AD1600"/>
      <c r="AE1600"/>
      <c r="AF1600"/>
      <c r="AG1600"/>
      <c r="AH1600"/>
      <c r="AI1600"/>
      <c r="AJ1600"/>
      <c r="AK1600"/>
      <c r="AL1600"/>
    </row>
    <row r="1601">
      <c r="A1601" t="s">
        <v>233</v>
      </c>
      <c r="B1601" t="s">
        <v>211</v>
      </c>
      <c r="C1601" t="s">
        <v>212</v>
      </c>
      <c r="D1601" t="s">
        <v>213</v>
      </c>
      <c r="E1601" t="s">
        <v>272</v>
      </c>
      <c r="F1601" t="s">
        <v>272</v>
      </c>
      <c r="G1601" t="s">
        <v>269</v>
      </c>
      <c r="H1601" t="n">
        <v>449800</v>
      </c>
      <c r="I1601"/>
      <c r="J1601"/>
      <c r="K1601"/>
      <c r="L1601"/>
      <c r="M1601"/>
      <c r="N1601" t="s">
        <v>220</v>
      </c>
      <c r="O1601"/>
      <c r="P1601"/>
      <c r="Q1601"/>
      <c r="R1601"/>
      <c r="S1601"/>
      <c r="T1601"/>
      <c r="U1601"/>
      <c r="V1601"/>
      <c r="W1601"/>
      <c r="X1601"/>
      <c r="Y1601"/>
      <c r="Z1601"/>
      <c r="AA1601" t="n">
        <v>6</v>
      </c>
      <c r="AB1601"/>
      <c r="AC1601"/>
      <c r="AD1601"/>
      <c r="AE1601"/>
      <c r="AF1601"/>
      <c r="AG1601"/>
      <c r="AH1601"/>
      <c r="AI1601"/>
      <c r="AJ1601"/>
      <c r="AK1601"/>
      <c r="AL1601"/>
    </row>
    <row r="1602">
      <c r="A1602" t="s">
        <v>233</v>
      </c>
      <c r="B1602" t="s">
        <v>211</v>
      </c>
      <c r="C1602" t="s">
        <v>212</v>
      </c>
      <c r="D1602" t="s">
        <v>213</v>
      </c>
      <c r="E1602" t="s">
        <v>272</v>
      </c>
      <c r="F1602" t="s">
        <v>272</v>
      </c>
      <c r="G1602" t="s">
        <v>269</v>
      </c>
      <c r="H1602" t="n">
        <v>449800</v>
      </c>
      <c r="I1602"/>
      <c r="J1602"/>
      <c r="K1602"/>
      <c r="L1602"/>
      <c r="M1602"/>
      <c r="N1602" t="s">
        <v>221</v>
      </c>
      <c r="O1602"/>
      <c r="P1602"/>
      <c r="Q1602"/>
      <c r="R1602"/>
      <c r="S1602"/>
      <c r="T1602"/>
      <c r="U1602"/>
      <c r="V1602"/>
      <c r="W1602"/>
      <c r="X1602"/>
      <c r="Y1602"/>
      <c r="Z1602"/>
      <c r="AA1602" t="n">
        <v>4.76666666666667</v>
      </c>
      <c r="AB1602"/>
      <c r="AC1602"/>
      <c r="AD1602"/>
      <c r="AE1602"/>
      <c r="AF1602"/>
      <c r="AG1602"/>
      <c r="AH1602"/>
      <c r="AI1602"/>
      <c r="AJ1602"/>
      <c r="AK1602"/>
      <c r="AL1602"/>
    </row>
    <row r="1603">
      <c r="A1603" t="s">
        <v>233</v>
      </c>
      <c r="B1603" t="s">
        <v>211</v>
      </c>
      <c r="C1603" t="s">
        <v>212</v>
      </c>
      <c r="D1603" t="s">
        <v>213</v>
      </c>
      <c r="E1603" t="s">
        <v>272</v>
      </c>
      <c r="F1603" t="s">
        <v>272</v>
      </c>
      <c r="G1603" t="s">
        <v>269</v>
      </c>
      <c r="H1603" t="n">
        <v>449800</v>
      </c>
      <c r="I1603"/>
      <c r="J1603"/>
      <c r="K1603"/>
      <c r="L1603"/>
      <c r="M1603"/>
      <c r="N1603" t="s">
        <v>222</v>
      </c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</row>
    <row r="1604">
      <c r="A1604" t="s">
        <v>235</v>
      </c>
      <c r="B1604" t="s">
        <v>227</v>
      </c>
      <c r="C1604" t="s">
        <v>228</v>
      </c>
      <c r="D1604" t="s">
        <v>213</v>
      </c>
      <c r="E1604" t="s">
        <v>272</v>
      </c>
      <c r="F1604" t="s">
        <v>272</v>
      </c>
      <c r="G1604" t="s">
        <v>269</v>
      </c>
      <c r="H1604" t="n">
        <v>16726</v>
      </c>
      <c r="I1604"/>
      <c r="J1604" t="n">
        <v>9336</v>
      </c>
      <c r="K1604" t="s">
        <v>282</v>
      </c>
      <c r="L1604"/>
      <c r="M1604"/>
      <c r="N1604" t="s">
        <v>214</v>
      </c>
      <c r="O1604"/>
      <c r="P1604"/>
      <c r="Q1604"/>
      <c r="R1604"/>
      <c r="S1604"/>
      <c r="T1604"/>
      <c r="U1604"/>
      <c r="V1604"/>
      <c r="W1604"/>
      <c r="X1604"/>
      <c r="Y1604"/>
      <c r="Z1604"/>
      <c r="AA1604" t="n">
        <v>0</v>
      </c>
      <c r="AB1604"/>
      <c r="AC1604"/>
      <c r="AD1604"/>
      <c r="AE1604"/>
      <c r="AF1604"/>
      <c r="AG1604"/>
      <c r="AH1604"/>
      <c r="AI1604"/>
      <c r="AJ1604"/>
      <c r="AK1604"/>
      <c r="AL1604"/>
    </row>
    <row r="1605">
      <c r="A1605" t="s">
        <v>235</v>
      </c>
      <c r="B1605" t="s">
        <v>227</v>
      </c>
      <c r="C1605" t="s">
        <v>228</v>
      </c>
      <c r="D1605" t="s">
        <v>213</v>
      </c>
      <c r="E1605" t="s">
        <v>272</v>
      </c>
      <c r="F1605" t="s">
        <v>272</v>
      </c>
      <c r="G1605" t="s">
        <v>269</v>
      </c>
      <c r="H1605" t="n">
        <v>16726</v>
      </c>
      <c r="I1605"/>
      <c r="J1605" t="n">
        <v>9336</v>
      </c>
      <c r="K1605" t="s">
        <v>282</v>
      </c>
      <c r="L1605"/>
      <c r="M1605"/>
      <c r="N1605" t="s">
        <v>215</v>
      </c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</row>
    <row r="1606">
      <c r="A1606" t="s">
        <v>235</v>
      </c>
      <c r="B1606" t="s">
        <v>227</v>
      </c>
      <c r="C1606" t="s">
        <v>228</v>
      </c>
      <c r="D1606" t="s">
        <v>213</v>
      </c>
      <c r="E1606" t="s">
        <v>272</v>
      </c>
      <c r="F1606" t="s">
        <v>272</v>
      </c>
      <c r="G1606" t="s">
        <v>269</v>
      </c>
      <c r="H1606" t="n">
        <v>16726</v>
      </c>
      <c r="I1606"/>
      <c r="J1606" t="n">
        <v>9336</v>
      </c>
      <c r="K1606" t="s">
        <v>282</v>
      </c>
      <c r="L1606"/>
      <c r="M1606"/>
      <c r="N1606" t="s">
        <v>216</v>
      </c>
      <c r="O1606"/>
      <c r="P1606"/>
      <c r="Q1606"/>
      <c r="R1606"/>
      <c r="S1606"/>
      <c r="T1606"/>
      <c r="U1606"/>
      <c r="V1606"/>
      <c r="W1606"/>
      <c r="X1606"/>
      <c r="Y1606"/>
      <c r="Z1606"/>
      <c r="AA1606" t="n">
        <v>7816</v>
      </c>
      <c r="AB1606"/>
      <c r="AC1606"/>
      <c r="AD1606"/>
      <c r="AE1606"/>
      <c r="AF1606"/>
      <c r="AG1606"/>
      <c r="AH1606"/>
      <c r="AI1606"/>
      <c r="AJ1606"/>
      <c r="AK1606"/>
      <c r="AL1606"/>
    </row>
    <row r="1607">
      <c r="A1607" t="s">
        <v>235</v>
      </c>
      <c r="B1607" t="s">
        <v>227</v>
      </c>
      <c r="C1607" t="s">
        <v>228</v>
      </c>
      <c r="D1607" t="s">
        <v>213</v>
      </c>
      <c r="E1607" t="s">
        <v>272</v>
      </c>
      <c r="F1607" t="s">
        <v>272</v>
      </c>
      <c r="G1607" t="s">
        <v>269</v>
      </c>
      <c r="H1607" t="n">
        <v>16726</v>
      </c>
      <c r="I1607"/>
      <c r="J1607" t="n">
        <v>9336</v>
      </c>
      <c r="K1607" t="s">
        <v>282</v>
      </c>
      <c r="L1607"/>
      <c r="M1607"/>
      <c r="N1607" t="s">
        <v>217</v>
      </c>
      <c r="O1607"/>
      <c r="P1607"/>
      <c r="Q1607"/>
      <c r="R1607"/>
      <c r="S1607"/>
      <c r="T1607"/>
      <c r="U1607"/>
      <c r="V1607"/>
      <c r="W1607"/>
      <c r="X1607"/>
      <c r="Y1607"/>
      <c r="Z1607"/>
      <c r="AA1607" t="n">
        <v>8910</v>
      </c>
      <c r="AB1607"/>
      <c r="AC1607"/>
      <c r="AD1607"/>
      <c r="AE1607"/>
      <c r="AF1607"/>
      <c r="AG1607"/>
      <c r="AH1607"/>
      <c r="AI1607"/>
      <c r="AJ1607"/>
      <c r="AK1607"/>
      <c r="AL1607"/>
    </row>
    <row r="1608">
      <c r="A1608" t="s">
        <v>235</v>
      </c>
      <c r="B1608" t="s">
        <v>227</v>
      </c>
      <c r="C1608" t="s">
        <v>228</v>
      </c>
      <c r="D1608" t="s">
        <v>213</v>
      </c>
      <c r="E1608" t="s">
        <v>272</v>
      </c>
      <c r="F1608" t="s">
        <v>272</v>
      </c>
      <c r="G1608" t="s">
        <v>269</v>
      </c>
      <c r="H1608" t="n">
        <v>16726</v>
      </c>
      <c r="I1608"/>
      <c r="J1608" t="n">
        <v>9336</v>
      </c>
      <c r="K1608" t="s">
        <v>282</v>
      </c>
      <c r="L1608"/>
      <c r="M1608"/>
      <c r="N1608" t="s">
        <v>218</v>
      </c>
      <c r="O1608"/>
      <c r="P1608"/>
      <c r="Q1608"/>
      <c r="R1608"/>
      <c r="S1608"/>
      <c r="T1608"/>
      <c r="U1608"/>
      <c r="V1608"/>
      <c r="W1608"/>
      <c r="X1608"/>
      <c r="Y1608"/>
      <c r="Z1608"/>
      <c r="AA1608" t="n">
        <v>6</v>
      </c>
      <c r="AB1608"/>
      <c r="AC1608"/>
      <c r="AD1608"/>
      <c r="AE1608"/>
      <c r="AF1608"/>
      <c r="AG1608"/>
      <c r="AH1608"/>
      <c r="AI1608"/>
      <c r="AJ1608"/>
      <c r="AK1608"/>
      <c r="AL1608"/>
    </row>
    <row r="1609">
      <c r="A1609" t="s">
        <v>235</v>
      </c>
      <c r="B1609" t="s">
        <v>227</v>
      </c>
      <c r="C1609" t="s">
        <v>228</v>
      </c>
      <c r="D1609" t="s">
        <v>213</v>
      </c>
      <c r="E1609" t="s">
        <v>272</v>
      </c>
      <c r="F1609" t="s">
        <v>272</v>
      </c>
      <c r="G1609" t="s">
        <v>269</v>
      </c>
      <c r="H1609" t="n">
        <v>16726</v>
      </c>
      <c r="I1609"/>
      <c r="J1609" t="n">
        <v>9336</v>
      </c>
      <c r="K1609" t="s">
        <v>282</v>
      </c>
      <c r="L1609"/>
      <c r="M1609"/>
      <c r="N1609" t="s">
        <v>219</v>
      </c>
      <c r="O1609"/>
      <c r="P1609"/>
      <c r="Q1609"/>
      <c r="R1609"/>
      <c r="S1609"/>
      <c r="T1609"/>
      <c r="U1609"/>
      <c r="V1609"/>
      <c r="W1609"/>
      <c r="X1609"/>
      <c r="Y1609"/>
      <c r="Z1609"/>
      <c r="AA1609" t="n">
        <v>12</v>
      </c>
      <c r="AB1609"/>
      <c r="AC1609"/>
      <c r="AD1609"/>
      <c r="AE1609"/>
      <c r="AF1609"/>
      <c r="AG1609"/>
      <c r="AH1609"/>
      <c r="AI1609"/>
      <c r="AJ1609"/>
      <c r="AK1609"/>
      <c r="AL1609"/>
    </row>
    <row r="1610">
      <c r="A1610" t="s">
        <v>235</v>
      </c>
      <c r="B1610" t="s">
        <v>227</v>
      </c>
      <c r="C1610" t="s">
        <v>228</v>
      </c>
      <c r="D1610" t="s">
        <v>213</v>
      </c>
      <c r="E1610" t="s">
        <v>272</v>
      </c>
      <c r="F1610" t="s">
        <v>272</v>
      </c>
      <c r="G1610" t="s">
        <v>269</v>
      </c>
      <c r="H1610" t="n">
        <v>16726</v>
      </c>
      <c r="I1610"/>
      <c r="J1610" t="n">
        <v>9336</v>
      </c>
      <c r="K1610" t="s">
        <v>282</v>
      </c>
      <c r="L1610"/>
      <c r="M1610"/>
      <c r="N1610" t="s">
        <v>220</v>
      </c>
      <c r="O1610"/>
      <c r="P1610"/>
      <c r="Q1610"/>
      <c r="R1610"/>
      <c r="S1610"/>
      <c r="T1610"/>
      <c r="U1610"/>
      <c r="V1610"/>
      <c r="W1610"/>
      <c r="X1610"/>
      <c r="Y1610"/>
      <c r="Z1610"/>
      <c r="AA1610" t="n">
        <v>12</v>
      </c>
      <c r="AB1610"/>
      <c r="AC1610"/>
      <c r="AD1610"/>
      <c r="AE1610"/>
      <c r="AF1610"/>
      <c r="AG1610"/>
      <c r="AH1610"/>
      <c r="AI1610"/>
      <c r="AJ1610"/>
      <c r="AK1610"/>
      <c r="AL1610"/>
    </row>
    <row r="1611">
      <c r="A1611" t="s">
        <v>235</v>
      </c>
      <c r="B1611" t="s">
        <v>227</v>
      </c>
      <c r="C1611" t="s">
        <v>228</v>
      </c>
      <c r="D1611" t="s">
        <v>213</v>
      </c>
      <c r="E1611" t="s">
        <v>272</v>
      </c>
      <c r="F1611" t="s">
        <v>272</v>
      </c>
      <c r="G1611" t="s">
        <v>269</v>
      </c>
      <c r="H1611" t="n">
        <v>16726</v>
      </c>
      <c r="I1611"/>
      <c r="J1611" t="n">
        <v>9336</v>
      </c>
      <c r="K1611" t="s">
        <v>282</v>
      </c>
      <c r="L1611"/>
      <c r="M1611"/>
      <c r="N1611" t="s">
        <v>221</v>
      </c>
      <c r="O1611"/>
      <c r="P1611"/>
      <c r="Q1611"/>
      <c r="R1611"/>
      <c r="S1611"/>
      <c r="T1611"/>
      <c r="U1611"/>
      <c r="V1611"/>
      <c r="W1611"/>
      <c r="X1611"/>
      <c r="Y1611"/>
      <c r="Z1611"/>
      <c r="AA1611" t="n">
        <v>1.1399692937564</v>
      </c>
      <c r="AB1611"/>
      <c r="AC1611"/>
      <c r="AD1611"/>
      <c r="AE1611"/>
      <c r="AF1611"/>
      <c r="AG1611"/>
      <c r="AH1611"/>
      <c r="AI1611"/>
      <c r="AJ1611"/>
      <c r="AK1611"/>
      <c r="AL1611"/>
    </row>
    <row r="1612">
      <c r="A1612" t="s">
        <v>235</v>
      </c>
      <c r="B1612" t="s">
        <v>227</v>
      </c>
      <c r="C1612" t="s">
        <v>228</v>
      </c>
      <c r="D1612" t="s">
        <v>213</v>
      </c>
      <c r="E1612" t="s">
        <v>272</v>
      </c>
      <c r="F1612" t="s">
        <v>272</v>
      </c>
      <c r="G1612" t="s">
        <v>269</v>
      </c>
      <c r="H1612" t="n">
        <v>16726</v>
      </c>
      <c r="I1612"/>
      <c r="J1612" t="n">
        <v>9336</v>
      </c>
      <c r="K1612" t="s">
        <v>282</v>
      </c>
      <c r="L1612"/>
      <c r="M1612"/>
      <c r="N1612" t="s">
        <v>222</v>
      </c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</row>
    <row r="1613">
      <c r="A1613" t="s">
        <v>235</v>
      </c>
      <c r="B1613" t="s">
        <v>247</v>
      </c>
      <c r="C1613" t="s">
        <v>231</v>
      </c>
      <c r="D1613" t="s">
        <v>213</v>
      </c>
      <c r="E1613" t="s">
        <v>272</v>
      </c>
      <c r="F1613" t="s">
        <v>272</v>
      </c>
      <c r="G1613" t="s">
        <v>269</v>
      </c>
      <c r="H1613" t="n">
        <v>103874</v>
      </c>
      <c r="I1613"/>
      <c r="J1613" t="n">
        <v>988880</v>
      </c>
      <c r="K1613" t="s">
        <v>282</v>
      </c>
      <c r="L1613"/>
      <c r="M1613"/>
      <c r="N1613" t="s">
        <v>214</v>
      </c>
      <c r="O1613"/>
      <c r="P1613"/>
      <c r="Q1613"/>
      <c r="R1613"/>
      <c r="S1613"/>
      <c r="T1613"/>
      <c r="U1613"/>
      <c r="V1613"/>
      <c r="W1613"/>
      <c r="X1613"/>
      <c r="Y1613"/>
      <c r="Z1613"/>
      <c r="AA1613" t="n">
        <v>241467</v>
      </c>
      <c r="AB1613"/>
      <c r="AC1613"/>
      <c r="AD1613"/>
      <c r="AE1613"/>
      <c r="AF1613"/>
      <c r="AG1613"/>
      <c r="AH1613"/>
      <c r="AI1613"/>
      <c r="AJ1613"/>
      <c r="AK1613"/>
      <c r="AL1613"/>
    </row>
    <row r="1614">
      <c r="A1614" t="s">
        <v>235</v>
      </c>
      <c r="B1614" t="s">
        <v>247</v>
      </c>
      <c r="C1614" t="s">
        <v>231</v>
      </c>
      <c r="D1614" t="s">
        <v>213</v>
      </c>
      <c r="E1614" t="s">
        <v>272</v>
      </c>
      <c r="F1614" t="s">
        <v>272</v>
      </c>
      <c r="G1614" t="s">
        <v>269</v>
      </c>
      <c r="H1614" t="n">
        <v>103874</v>
      </c>
      <c r="I1614"/>
      <c r="J1614" t="n">
        <v>988880</v>
      </c>
      <c r="K1614" t="s">
        <v>282</v>
      </c>
      <c r="L1614"/>
      <c r="M1614"/>
      <c r="N1614" t="s">
        <v>215</v>
      </c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</row>
    <row r="1615">
      <c r="A1615" t="s">
        <v>235</v>
      </c>
      <c r="B1615" t="s">
        <v>247</v>
      </c>
      <c r="C1615" t="s">
        <v>231</v>
      </c>
      <c r="D1615" t="s">
        <v>213</v>
      </c>
      <c r="E1615" t="s">
        <v>272</v>
      </c>
      <c r="F1615" t="s">
        <v>272</v>
      </c>
      <c r="G1615" t="s">
        <v>269</v>
      </c>
      <c r="H1615" t="n">
        <v>103874</v>
      </c>
      <c r="I1615"/>
      <c r="J1615" t="n">
        <v>988880</v>
      </c>
      <c r="K1615" t="s">
        <v>282</v>
      </c>
      <c r="L1615"/>
      <c r="M1615"/>
      <c r="N1615" t="s">
        <v>216</v>
      </c>
      <c r="O1615"/>
      <c r="P1615"/>
      <c r="Q1615"/>
      <c r="R1615"/>
      <c r="S1615"/>
      <c r="T1615"/>
      <c r="U1615"/>
      <c r="V1615"/>
      <c r="W1615"/>
      <c r="X1615"/>
      <c r="Y1615"/>
      <c r="Z1615"/>
      <c r="AA1615" t="n">
        <v>14536</v>
      </c>
      <c r="AB1615"/>
      <c r="AC1615"/>
      <c r="AD1615"/>
      <c r="AE1615"/>
      <c r="AF1615"/>
      <c r="AG1615"/>
      <c r="AH1615"/>
      <c r="AI1615"/>
      <c r="AJ1615"/>
      <c r="AK1615"/>
      <c r="AL1615"/>
    </row>
    <row r="1616">
      <c r="A1616" t="s">
        <v>235</v>
      </c>
      <c r="B1616" t="s">
        <v>247</v>
      </c>
      <c r="C1616" t="s">
        <v>231</v>
      </c>
      <c r="D1616" t="s">
        <v>213</v>
      </c>
      <c r="E1616" t="s">
        <v>272</v>
      </c>
      <c r="F1616" t="s">
        <v>272</v>
      </c>
      <c r="G1616" t="s">
        <v>269</v>
      </c>
      <c r="H1616" t="n">
        <v>103874</v>
      </c>
      <c r="I1616"/>
      <c r="J1616" t="n">
        <v>988880</v>
      </c>
      <c r="K1616" t="s">
        <v>282</v>
      </c>
      <c r="L1616"/>
      <c r="M1616"/>
      <c r="N1616" t="s">
        <v>217</v>
      </c>
      <c r="O1616"/>
      <c r="P1616"/>
      <c r="Q1616"/>
      <c r="R1616"/>
      <c r="S1616"/>
      <c r="T1616"/>
      <c r="U1616"/>
      <c r="V1616"/>
      <c r="W1616"/>
      <c r="X1616"/>
      <c r="Y1616"/>
      <c r="Z1616"/>
      <c r="AA1616" t="n">
        <v>330805</v>
      </c>
      <c r="AB1616"/>
      <c r="AC1616"/>
      <c r="AD1616"/>
      <c r="AE1616"/>
      <c r="AF1616"/>
      <c r="AG1616"/>
      <c r="AH1616"/>
      <c r="AI1616"/>
      <c r="AJ1616"/>
      <c r="AK1616"/>
      <c r="AL1616"/>
    </row>
    <row r="1617">
      <c r="A1617" t="s">
        <v>235</v>
      </c>
      <c r="B1617" t="s">
        <v>247</v>
      </c>
      <c r="C1617" t="s">
        <v>231</v>
      </c>
      <c r="D1617" t="s">
        <v>213</v>
      </c>
      <c r="E1617" t="s">
        <v>272</v>
      </c>
      <c r="F1617" t="s">
        <v>272</v>
      </c>
      <c r="G1617" t="s">
        <v>269</v>
      </c>
      <c r="H1617" t="n">
        <v>103874</v>
      </c>
      <c r="I1617"/>
      <c r="J1617" t="n">
        <v>988880</v>
      </c>
      <c r="K1617" t="s">
        <v>282</v>
      </c>
      <c r="L1617"/>
      <c r="M1617"/>
      <c r="N1617" t="s">
        <v>218</v>
      </c>
      <c r="O1617"/>
      <c r="P1617"/>
      <c r="Q1617"/>
      <c r="R1617"/>
      <c r="S1617"/>
      <c r="T1617"/>
      <c r="U1617"/>
      <c r="V1617"/>
      <c r="W1617"/>
      <c r="X1617"/>
      <c r="Y1617"/>
      <c r="Z1617"/>
      <c r="AA1617" t="n">
        <v>6</v>
      </c>
      <c r="AB1617"/>
      <c r="AC1617"/>
      <c r="AD1617"/>
      <c r="AE1617"/>
      <c r="AF1617"/>
      <c r="AG1617"/>
      <c r="AH1617"/>
      <c r="AI1617"/>
      <c r="AJ1617"/>
      <c r="AK1617"/>
      <c r="AL1617"/>
    </row>
    <row r="1618">
      <c r="A1618" t="s">
        <v>235</v>
      </c>
      <c r="B1618" t="s">
        <v>247</v>
      </c>
      <c r="C1618" t="s">
        <v>231</v>
      </c>
      <c r="D1618" t="s">
        <v>213</v>
      </c>
      <c r="E1618" t="s">
        <v>272</v>
      </c>
      <c r="F1618" t="s">
        <v>272</v>
      </c>
      <c r="G1618" t="s">
        <v>269</v>
      </c>
      <c r="H1618" t="n">
        <v>103874</v>
      </c>
      <c r="I1618"/>
      <c r="J1618" t="n">
        <v>988880</v>
      </c>
      <c r="K1618" t="s">
        <v>282</v>
      </c>
      <c r="L1618"/>
      <c r="M1618"/>
      <c r="N1618" t="s">
        <v>219</v>
      </c>
      <c r="O1618"/>
      <c r="P1618"/>
      <c r="Q1618"/>
      <c r="R1618"/>
      <c r="S1618"/>
      <c r="T1618"/>
      <c r="U1618"/>
      <c r="V1618"/>
      <c r="W1618"/>
      <c r="X1618"/>
      <c r="Y1618"/>
      <c r="Z1618"/>
      <c r="AA1618" t="n">
        <v>12</v>
      </c>
      <c r="AB1618"/>
      <c r="AC1618"/>
      <c r="AD1618"/>
      <c r="AE1618"/>
      <c r="AF1618"/>
      <c r="AG1618"/>
      <c r="AH1618"/>
      <c r="AI1618"/>
      <c r="AJ1618"/>
      <c r="AK1618"/>
      <c r="AL1618"/>
    </row>
    <row r="1619">
      <c r="A1619" t="s">
        <v>235</v>
      </c>
      <c r="B1619" t="s">
        <v>247</v>
      </c>
      <c r="C1619" t="s">
        <v>231</v>
      </c>
      <c r="D1619" t="s">
        <v>213</v>
      </c>
      <c r="E1619" t="s">
        <v>272</v>
      </c>
      <c r="F1619" t="s">
        <v>272</v>
      </c>
      <c r="G1619" t="s">
        <v>269</v>
      </c>
      <c r="H1619" t="n">
        <v>103874</v>
      </c>
      <c r="I1619"/>
      <c r="J1619" t="n">
        <v>988880</v>
      </c>
      <c r="K1619" t="s">
        <v>282</v>
      </c>
      <c r="L1619"/>
      <c r="M1619"/>
      <c r="N1619" t="s">
        <v>220</v>
      </c>
      <c r="O1619"/>
      <c r="P1619"/>
      <c r="Q1619"/>
      <c r="R1619"/>
      <c r="S1619"/>
      <c r="T1619"/>
      <c r="U1619"/>
      <c r="V1619"/>
      <c r="W1619"/>
      <c r="X1619"/>
      <c r="Y1619"/>
      <c r="Z1619"/>
      <c r="AA1619" t="n">
        <v>12</v>
      </c>
      <c r="AB1619"/>
      <c r="AC1619"/>
      <c r="AD1619"/>
      <c r="AE1619"/>
      <c r="AF1619"/>
      <c r="AG1619"/>
      <c r="AH1619"/>
      <c r="AI1619"/>
      <c r="AJ1619"/>
      <c r="AK1619"/>
      <c r="AL1619"/>
    </row>
    <row r="1620">
      <c r="A1620" t="s">
        <v>235</v>
      </c>
      <c r="B1620" t="s">
        <v>247</v>
      </c>
      <c r="C1620" t="s">
        <v>231</v>
      </c>
      <c r="D1620" t="s">
        <v>213</v>
      </c>
      <c r="E1620" t="s">
        <v>272</v>
      </c>
      <c r="F1620" t="s">
        <v>272</v>
      </c>
      <c r="G1620" t="s">
        <v>269</v>
      </c>
      <c r="H1620" t="n">
        <v>103874</v>
      </c>
      <c r="I1620"/>
      <c r="J1620" t="n">
        <v>988880</v>
      </c>
      <c r="K1620" t="s">
        <v>282</v>
      </c>
      <c r="L1620"/>
      <c r="M1620"/>
      <c r="N1620" t="s">
        <v>221</v>
      </c>
      <c r="O1620"/>
      <c r="P1620"/>
      <c r="Q1620"/>
      <c r="R1620"/>
      <c r="S1620"/>
      <c r="T1620"/>
      <c r="U1620"/>
      <c r="V1620"/>
      <c r="W1620"/>
      <c r="X1620"/>
      <c r="Y1620"/>
      <c r="Z1620"/>
      <c r="AA1620" t="n">
        <v>22.7576362135388</v>
      </c>
      <c r="AB1620"/>
      <c r="AC1620"/>
      <c r="AD1620"/>
      <c r="AE1620"/>
      <c r="AF1620"/>
      <c r="AG1620"/>
      <c r="AH1620"/>
      <c r="AI1620"/>
      <c r="AJ1620"/>
      <c r="AK1620"/>
      <c r="AL1620"/>
    </row>
    <row r="1621">
      <c r="A1621" t="s">
        <v>235</v>
      </c>
      <c r="B1621" t="s">
        <v>247</v>
      </c>
      <c r="C1621" t="s">
        <v>231</v>
      </c>
      <c r="D1621" t="s">
        <v>213</v>
      </c>
      <c r="E1621" t="s">
        <v>272</v>
      </c>
      <c r="F1621" t="s">
        <v>272</v>
      </c>
      <c r="G1621" t="s">
        <v>269</v>
      </c>
      <c r="H1621" t="n">
        <v>103874</v>
      </c>
      <c r="I1621"/>
      <c r="J1621" t="n">
        <v>988880</v>
      </c>
      <c r="K1621" t="s">
        <v>282</v>
      </c>
      <c r="L1621"/>
      <c r="M1621"/>
      <c r="N1621" t="s">
        <v>222</v>
      </c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</row>
    <row r="1622">
      <c r="A1622" t="s">
        <v>261</v>
      </c>
      <c r="B1622" t="s">
        <v>248</v>
      </c>
      <c r="C1622" t="s">
        <v>231</v>
      </c>
      <c r="D1622" t="s">
        <v>213</v>
      </c>
      <c r="E1622" t="s">
        <v>272</v>
      </c>
      <c r="F1622" t="s">
        <v>272</v>
      </c>
      <c r="G1622" t="s">
        <v>269</v>
      </c>
      <c r="H1622" t="n">
        <v>39753</v>
      </c>
      <c r="I1622"/>
      <c r="J1622" t="n">
        <v>405481</v>
      </c>
      <c r="K1622" t="s">
        <v>282</v>
      </c>
      <c r="L1622"/>
      <c r="M1622"/>
      <c r="N1622" t="s">
        <v>214</v>
      </c>
      <c r="O1622"/>
      <c r="P1622"/>
      <c r="Q1622"/>
      <c r="R1622"/>
      <c r="S1622"/>
      <c r="T1622"/>
      <c r="U1622"/>
      <c r="V1622"/>
      <c r="W1622"/>
      <c r="X1622"/>
      <c r="Y1622"/>
      <c r="Z1622"/>
      <c r="AA1622" t="n">
        <v>66741</v>
      </c>
      <c r="AB1622"/>
      <c r="AC1622"/>
      <c r="AD1622"/>
      <c r="AE1622"/>
      <c r="AF1622"/>
      <c r="AG1622"/>
      <c r="AH1622"/>
      <c r="AI1622"/>
      <c r="AJ1622"/>
      <c r="AK1622"/>
      <c r="AL1622"/>
    </row>
    <row r="1623">
      <c r="A1623" t="s">
        <v>261</v>
      </c>
      <c r="B1623" t="s">
        <v>248</v>
      </c>
      <c r="C1623" t="s">
        <v>231</v>
      </c>
      <c r="D1623" t="s">
        <v>213</v>
      </c>
      <c r="E1623" t="s">
        <v>272</v>
      </c>
      <c r="F1623" t="s">
        <v>272</v>
      </c>
      <c r="G1623" t="s">
        <v>269</v>
      </c>
      <c r="H1623" t="n">
        <v>39753</v>
      </c>
      <c r="I1623"/>
      <c r="J1623" t="n">
        <v>405481</v>
      </c>
      <c r="K1623" t="s">
        <v>282</v>
      </c>
      <c r="L1623"/>
      <c r="M1623"/>
      <c r="N1623" t="s">
        <v>215</v>
      </c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</row>
    <row r="1624">
      <c r="A1624" t="s">
        <v>261</v>
      </c>
      <c r="B1624" t="s">
        <v>248</v>
      </c>
      <c r="C1624" t="s">
        <v>231</v>
      </c>
      <c r="D1624" t="s">
        <v>213</v>
      </c>
      <c r="E1624" t="s">
        <v>272</v>
      </c>
      <c r="F1624" t="s">
        <v>272</v>
      </c>
      <c r="G1624" t="s">
        <v>269</v>
      </c>
      <c r="H1624" t="n">
        <v>39753</v>
      </c>
      <c r="I1624"/>
      <c r="J1624" t="n">
        <v>405481</v>
      </c>
      <c r="K1624" t="s">
        <v>282</v>
      </c>
      <c r="L1624"/>
      <c r="M1624"/>
      <c r="N1624" t="s">
        <v>216</v>
      </c>
      <c r="O1624"/>
      <c r="P1624"/>
      <c r="Q1624"/>
      <c r="R1624"/>
      <c r="S1624"/>
      <c r="T1624"/>
      <c r="U1624"/>
      <c r="V1624"/>
      <c r="W1624"/>
      <c r="X1624"/>
      <c r="Y1624"/>
      <c r="Z1624"/>
      <c r="AA1624" t="n">
        <v>7774</v>
      </c>
      <c r="AB1624"/>
      <c r="AC1624"/>
      <c r="AD1624"/>
      <c r="AE1624"/>
      <c r="AF1624"/>
      <c r="AG1624"/>
      <c r="AH1624"/>
      <c r="AI1624"/>
      <c r="AJ1624"/>
      <c r="AK1624"/>
      <c r="AL1624"/>
    </row>
    <row r="1625">
      <c r="A1625" t="s">
        <v>261</v>
      </c>
      <c r="B1625" t="s">
        <v>248</v>
      </c>
      <c r="C1625" t="s">
        <v>231</v>
      </c>
      <c r="D1625" t="s">
        <v>213</v>
      </c>
      <c r="E1625" t="s">
        <v>272</v>
      </c>
      <c r="F1625" t="s">
        <v>272</v>
      </c>
      <c r="G1625" t="s">
        <v>269</v>
      </c>
      <c r="H1625" t="n">
        <v>39753</v>
      </c>
      <c r="I1625"/>
      <c r="J1625" t="n">
        <v>405481</v>
      </c>
      <c r="K1625" t="s">
        <v>282</v>
      </c>
      <c r="L1625"/>
      <c r="M1625"/>
      <c r="N1625" t="s">
        <v>217</v>
      </c>
      <c r="O1625"/>
      <c r="P1625"/>
      <c r="Q1625"/>
      <c r="R1625"/>
      <c r="S1625"/>
      <c r="T1625"/>
      <c r="U1625"/>
      <c r="V1625"/>
      <c r="W1625"/>
      <c r="X1625"/>
      <c r="Y1625"/>
      <c r="Z1625"/>
      <c r="AA1625" t="n">
        <v>98720</v>
      </c>
      <c r="AB1625"/>
      <c r="AC1625"/>
      <c r="AD1625"/>
      <c r="AE1625"/>
      <c r="AF1625"/>
      <c r="AG1625"/>
      <c r="AH1625"/>
      <c r="AI1625"/>
      <c r="AJ1625"/>
      <c r="AK1625"/>
      <c r="AL1625"/>
    </row>
    <row r="1626">
      <c r="A1626" t="s">
        <v>261</v>
      </c>
      <c r="B1626" t="s">
        <v>248</v>
      </c>
      <c r="C1626" t="s">
        <v>231</v>
      </c>
      <c r="D1626" t="s">
        <v>213</v>
      </c>
      <c r="E1626" t="s">
        <v>272</v>
      </c>
      <c r="F1626" t="s">
        <v>272</v>
      </c>
      <c r="G1626" t="s">
        <v>269</v>
      </c>
      <c r="H1626" t="n">
        <v>39753</v>
      </c>
      <c r="I1626"/>
      <c r="J1626" t="n">
        <v>405481</v>
      </c>
      <c r="K1626" t="s">
        <v>282</v>
      </c>
      <c r="L1626"/>
      <c r="M1626"/>
      <c r="N1626" t="s">
        <v>218</v>
      </c>
      <c r="O1626"/>
      <c r="P1626"/>
      <c r="Q1626"/>
      <c r="R1626"/>
      <c r="S1626"/>
      <c r="T1626"/>
      <c r="U1626"/>
      <c r="V1626"/>
      <c r="W1626"/>
      <c r="X1626"/>
      <c r="Y1626"/>
      <c r="Z1626"/>
      <c r="AA1626" t="n">
        <v>9</v>
      </c>
      <c r="AB1626"/>
      <c r="AC1626"/>
      <c r="AD1626"/>
      <c r="AE1626"/>
      <c r="AF1626"/>
      <c r="AG1626"/>
      <c r="AH1626"/>
      <c r="AI1626"/>
      <c r="AJ1626"/>
      <c r="AK1626"/>
      <c r="AL1626"/>
    </row>
    <row r="1627">
      <c r="A1627" t="s">
        <v>261</v>
      </c>
      <c r="B1627" t="s">
        <v>248</v>
      </c>
      <c r="C1627" t="s">
        <v>231</v>
      </c>
      <c r="D1627" t="s">
        <v>213</v>
      </c>
      <c r="E1627" t="s">
        <v>272</v>
      </c>
      <c r="F1627" t="s">
        <v>272</v>
      </c>
      <c r="G1627" t="s">
        <v>269</v>
      </c>
      <c r="H1627" t="n">
        <v>39753</v>
      </c>
      <c r="I1627"/>
      <c r="J1627" t="n">
        <v>405481</v>
      </c>
      <c r="K1627" t="s">
        <v>282</v>
      </c>
      <c r="L1627"/>
      <c r="M1627"/>
      <c r="N1627" t="s">
        <v>219</v>
      </c>
      <c r="O1627"/>
      <c r="P1627"/>
      <c r="Q1627"/>
      <c r="R1627"/>
      <c r="S1627"/>
      <c r="T1627"/>
      <c r="U1627"/>
      <c r="V1627"/>
      <c r="W1627"/>
      <c r="X1627"/>
      <c r="Y1627"/>
      <c r="Z1627"/>
      <c r="AA1627" t="n">
        <v>14</v>
      </c>
      <c r="AB1627"/>
      <c r="AC1627"/>
      <c r="AD1627"/>
      <c r="AE1627"/>
      <c r="AF1627"/>
      <c r="AG1627"/>
      <c r="AH1627"/>
      <c r="AI1627"/>
      <c r="AJ1627"/>
      <c r="AK1627"/>
      <c r="AL1627"/>
    </row>
    <row r="1628">
      <c r="A1628" t="s">
        <v>261</v>
      </c>
      <c r="B1628" t="s">
        <v>248</v>
      </c>
      <c r="C1628" t="s">
        <v>231</v>
      </c>
      <c r="D1628" t="s">
        <v>213</v>
      </c>
      <c r="E1628" t="s">
        <v>272</v>
      </c>
      <c r="F1628" t="s">
        <v>272</v>
      </c>
      <c r="G1628" t="s">
        <v>269</v>
      </c>
      <c r="H1628" t="n">
        <v>39753</v>
      </c>
      <c r="I1628"/>
      <c r="J1628" t="n">
        <v>405481</v>
      </c>
      <c r="K1628" t="s">
        <v>282</v>
      </c>
      <c r="L1628"/>
      <c r="M1628"/>
      <c r="N1628" t="s">
        <v>220</v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 t="n">
        <v>13</v>
      </c>
      <c r="AB1628"/>
      <c r="AC1628"/>
      <c r="AD1628"/>
      <c r="AE1628"/>
      <c r="AF1628"/>
      <c r="AG1628"/>
      <c r="AH1628"/>
      <c r="AI1628"/>
      <c r="AJ1628"/>
      <c r="AK1628"/>
      <c r="AL1628"/>
    </row>
    <row r="1629">
      <c r="A1629" t="s">
        <v>261</v>
      </c>
      <c r="B1629" t="s">
        <v>248</v>
      </c>
      <c r="C1629" t="s">
        <v>231</v>
      </c>
      <c r="D1629" t="s">
        <v>213</v>
      </c>
      <c r="E1629" t="s">
        <v>272</v>
      </c>
      <c r="F1629" t="s">
        <v>272</v>
      </c>
      <c r="G1629" t="s">
        <v>269</v>
      </c>
      <c r="H1629" t="n">
        <v>39753</v>
      </c>
      <c r="I1629"/>
      <c r="J1629" t="n">
        <v>405481</v>
      </c>
      <c r="K1629" t="s">
        <v>282</v>
      </c>
      <c r="L1629"/>
      <c r="M1629"/>
      <c r="N1629" t="s">
        <v>221</v>
      </c>
      <c r="O1629"/>
      <c r="P1629"/>
      <c r="Q1629"/>
      <c r="R1629"/>
      <c r="S1629"/>
      <c r="T1629"/>
      <c r="U1629"/>
      <c r="V1629"/>
      <c r="W1629"/>
      <c r="X1629"/>
      <c r="Y1629"/>
      <c r="Z1629"/>
      <c r="AA1629" t="n">
        <v>12.6987393877026</v>
      </c>
      <c r="AB1629"/>
      <c r="AC1629"/>
      <c r="AD1629"/>
      <c r="AE1629"/>
      <c r="AF1629"/>
      <c r="AG1629"/>
      <c r="AH1629"/>
      <c r="AI1629"/>
      <c r="AJ1629"/>
      <c r="AK1629"/>
      <c r="AL1629"/>
    </row>
    <row r="1630">
      <c r="A1630" t="s">
        <v>261</v>
      </c>
      <c r="B1630" t="s">
        <v>248</v>
      </c>
      <c r="C1630" t="s">
        <v>231</v>
      </c>
      <c r="D1630" t="s">
        <v>213</v>
      </c>
      <c r="E1630" t="s">
        <v>272</v>
      </c>
      <c r="F1630" t="s">
        <v>272</v>
      </c>
      <c r="G1630" t="s">
        <v>269</v>
      </c>
      <c r="H1630" t="n">
        <v>39753</v>
      </c>
      <c r="I1630"/>
      <c r="J1630" t="n">
        <v>405481</v>
      </c>
      <c r="K1630" t="s">
        <v>282</v>
      </c>
      <c r="L1630"/>
      <c r="M1630"/>
      <c r="N1630" t="s">
        <v>222</v>
      </c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</row>
    <row r="1631">
      <c r="A1631" t="s">
        <v>261</v>
      </c>
      <c r="B1631" t="s">
        <v>232</v>
      </c>
      <c r="C1631" t="s">
        <v>265</v>
      </c>
      <c r="D1631" t="s">
        <v>213</v>
      </c>
      <c r="E1631" t="s">
        <v>272</v>
      </c>
      <c r="F1631" t="s">
        <v>272</v>
      </c>
      <c r="G1631" t="s">
        <v>269</v>
      </c>
      <c r="H1631" t="n">
        <v>6706200</v>
      </c>
      <c r="I1631"/>
      <c r="J1631" t="n">
        <v>241423</v>
      </c>
      <c r="K1631" t="s">
        <v>282</v>
      </c>
      <c r="L1631"/>
      <c r="M1631"/>
      <c r="N1631" t="s">
        <v>214</v>
      </c>
      <c r="O1631"/>
      <c r="P1631"/>
      <c r="Q1631"/>
      <c r="R1631"/>
      <c r="S1631"/>
      <c r="T1631"/>
      <c r="U1631"/>
      <c r="V1631"/>
      <c r="W1631"/>
      <c r="X1631"/>
      <c r="Y1631"/>
      <c r="Z1631"/>
      <c r="AA1631" t="n">
        <v>14166959</v>
      </c>
      <c r="AB1631"/>
      <c r="AC1631"/>
      <c r="AD1631"/>
      <c r="AE1631"/>
      <c r="AF1631"/>
      <c r="AG1631"/>
      <c r="AH1631"/>
      <c r="AI1631"/>
      <c r="AJ1631"/>
      <c r="AK1631"/>
      <c r="AL1631"/>
    </row>
    <row r="1632">
      <c r="A1632" t="s">
        <v>261</v>
      </c>
      <c r="B1632" t="s">
        <v>232</v>
      </c>
      <c r="C1632" t="s">
        <v>265</v>
      </c>
      <c r="D1632" t="s">
        <v>213</v>
      </c>
      <c r="E1632" t="s">
        <v>272</v>
      </c>
      <c r="F1632" t="s">
        <v>272</v>
      </c>
      <c r="G1632" t="s">
        <v>269</v>
      </c>
      <c r="H1632" t="n">
        <v>6706200</v>
      </c>
      <c r="I1632"/>
      <c r="J1632" t="n">
        <v>241423</v>
      </c>
      <c r="K1632" t="s">
        <v>282</v>
      </c>
      <c r="L1632"/>
      <c r="M1632"/>
      <c r="N1632" t="s">
        <v>215</v>
      </c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</row>
    <row r="1633">
      <c r="A1633" t="s">
        <v>261</v>
      </c>
      <c r="B1633" t="s">
        <v>232</v>
      </c>
      <c r="C1633" t="s">
        <v>265</v>
      </c>
      <c r="D1633" t="s">
        <v>213</v>
      </c>
      <c r="E1633" t="s">
        <v>272</v>
      </c>
      <c r="F1633" t="s">
        <v>272</v>
      </c>
      <c r="G1633" t="s">
        <v>269</v>
      </c>
      <c r="H1633" t="n">
        <v>6706200</v>
      </c>
      <c r="I1633"/>
      <c r="J1633" t="n">
        <v>241423</v>
      </c>
      <c r="K1633" t="s">
        <v>282</v>
      </c>
      <c r="L1633"/>
      <c r="M1633"/>
      <c r="N1633" t="s">
        <v>216</v>
      </c>
      <c r="O1633"/>
      <c r="P1633"/>
      <c r="Q1633"/>
      <c r="R1633"/>
      <c r="S1633"/>
      <c r="T1633"/>
      <c r="U1633"/>
      <c r="V1633"/>
      <c r="W1633"/>
      <c r="X1633"/>
      <c r="Y1633"/>
      <c r="Z1633"/>
      <c r="AA1633" t="n">
        <v>1099123</v>
      </c>
      <c r="AB1633"/>
      <c r="AC1633"/>
      <c r="AD1633"/>
      <c r="AE1633"/>
      <c r="AF1633"/>
      <c r="AG1633"/>
      <c r="AH1633"/>
      <c r="AI1633"/>
      <c r="AJ1633"/>
      <c r="AK1633"/>
      <c r="AL1633"/>
    </row>
    <row r="1634">
      <c r="A1634" t="s">
        <v>261</v>
      </c>
      <c r="B1634" t="s">
        <v>232</v>
      </c>
      <c r="C1634" t="s">
        <v>265</v>
      </c>
      <c r="D1634" t="s">
        <v>213</v>
      </c>
      <c r="E1634" t="s">
        <v>272</v>
      </c>
      <c r="F1634" t="s">
        <v>272</v>
      </c>
      <c r="G1634" t="s">
        <v>269</v>
      </c>
      <c r="H1634" t="n">
        <v>6706200</v>
      </c>
      <c r="I1634"/>
      <c r="J1634" t="n">
        <v>241423</v>
      </c>
      <c r="K1634" t="s">
        <v>282</v>
      </c>
      <c r="L1634"/>
      <c r="M1634"/>
      <c r="N1634" t="s">
        <v>217</v>
      </c>
      <c r="O1634"/>
      <c r="P1634"/>
      <c r="Q1634"/>
      <c r="R1634"/>
      <c r="S1634"/>
      <c r="T1634"/>
      <c r="U1634"/>
      <c r="V1634"/>
      <c r="W1634"/>
      <c r="X1634"/>
      <c r="Y1634"/>
      <c r="Z1634"/>
      <c r="AA1634" t="n">
        <v>19774036</v>
      </c>
      <c r="AB1634"/>
      <c r="AC1634"/>
      <c r="AD1634"/>
      <c r="AE1634"/>
      <c r="AF1634"/>
      <c r="AG1634"/>
      <c r="AH1634"/>
      <c r="AI1634"/>
      <c r="AJ1634"/>
      <c r="AK1634"/>
      <c r="AL1634"/>
    </row>
    <row r="1635">
      <c r="A1635" t="s">
        <v>261</v>
      </c>
      <c r="B1635" t="s">
        <v>232</v>
      </c>
      <c r="C1635" t="s">
        <v>265</v>
      </c>
      <c r="D1635" t="s">
        <v>213</v>
      </c>
      <c r="E1635" t="s">
        <v>272</v>
      </c>
      <c r="F1635" t="s">
        <v>272</v>
      </c>
      <c r="G1635" t="s">
        <v>269</v>
      </c>
      <c r="H1635" t="n">
        <v>6706200</v>
      </c>
      <c r="I1635"/>
      <c r="J1635" t="n">
        <v>241423</v>
      </c>
      <c r="K1635" t="s">
        <v>282</v>
      </c>
      <c r="L1635"/>
      <c r="M1635"/>
      <c r="N1635" t="s">
        <v>218</v>
      </c>
      <c r="O1635"/>
      <c r="P1635"/>
      <c r="Q1635"/>
      <c r="R1635"/>
      <c r="S1635"/>
      <c r="T1635"/>
      <c r="U1635"/>
      <c r="V1635"/>
      <c r="W1635"/>
      <c r="X1635"/>
      <c r="Y1635"/>
      <c r="Z1635"/>
      <c r="AA1635" t="n">
        <v>9</v>
      </c>
      <c r="AB1635"/>
      <c r="AC1635"/>
      <c r="AD1635"/>
      <c r="AE1635"/>
      <c r="AF1635"/>
      <c r="AG1635"/>
      <c r="AH1635"/>
      <c r="AI1635"/>
      <c r="AJ1635"/>
      <c r="AK1635"/>
      <c r="AL1635"/>
    </row>
    <row r="1636">
      <c r="A1636" t="s">
        <v>261</v>
      </c>
      <c r="B1636" t="s">
        <v>232</v>
      </c>
      <c r="C1636" t="s">
        <v>265</v>
      </c>
      <c r="D1636" t="s">
        <v>213</v>
      </c>
      <c r="E1636" t="s">
        <v>272</v>
      </c>
      <c r="F1636" t="s">
        <v>272</v>
      </c>
      <c r="G1636" t="s">
        <v>269</v>
      </c>
      <c r="H1636" t="n">
        <v>6706200</v>
      </c>
      <c r="I1636"/>
      <c r="J1636" t="n">
        <v>241423</v>
      </c>
      <c r="K1636" t="s">
        <v>282</v>
      </c>
      <c r="L1636"/>
      <c r="M1636"/>
      <c r="N1636" t="s">
        <v>219</v>
      </c>
      <c r="O1636"/>
      <c r="P1636"/>
      <c r="Q1636"/>
      <c r="R1636"/>
      <c r="S1636"/>
      <c r="T1636"/>
      <c r="U1636"/>
      <c r="V1636"/>
      <c r="W1636"/>
      <c r="X1636"/>
      <c r="Y1636"/>
      <c r="Z1636"/>
      <c r="AA1636" t="n">
        <v>14</v>
      </c>
      <c r="AB1636"/>
      <c r="AC1636"/>
      <c r="AD1636"/>
      <c r="AE1636"/>
      <c r="AF1636"/>
      <c r="AG1636"/>
      <c r="AH1636"/>
      <c r="AI1636"/>
      <c r="AJ1636"/>
      <c r="AK1636"/>
      <c r="AL1636"/>
    </row>
    <row r="1637">
      <c r="A1637" t="s">
        <v>261</v>
      </c>
      <c r="B1637" t="s">
        <v>232</v>
      </c>
      <c r="C1637" t="s">
        <v>265</v>
      </c>
      <c r="D1637" t="s">
        <v>213</v>
      </c>
      <c r="E1637" t="s">
        <v>272</v>
      </c>
      <c r="F1637" t="s">
        <v>272</v>
      </c>
      <c r="G1637" t="s">
        <v>269</v>
      </c>
      <c r="H1637" t="n">
        <v>6706200</v>
      </c>
      <c r="I1637"/>
      <c r="J1637" t="n">
        <v>241423</v>
      </c>
      <c r="K1637" t="s">
        <v>282</v>
      </c>
      <c r="L1637"/>
      <c r="M1637"/>
      <c r="N1637" t="s">
        <v>220</v>
      </c>
      <c r="O1637"/>
      <c r="P1637"/>
      <c r="Q1637"/>
      <c r="R1637"/>
      <c r="S1637"/>
      <c r="T1637"/>
      <c r="U1637"/>
      <c r="V1637"/>
      <c r="W1637"/>
      <c r="X1637"/>
      <c r="Y1637"/>
      <c r="Z1637"/>
      <c r="AA1637" t="n">
        <v>13</v>
      </c>
      <c r="AB1637"/>
      <c r="AC1637"/>
      <c r="AD1637"/>
      <c r="AE1637"/>
      <c r="AF1637"/>
      <c r="AG1637"/>
      <c r="AH1637"/>
      <c r="AI1637"/>
      <c r="AJ1637"/>
      <c r="AK1637"/>
      <c r="AL1637"/>
    </row>
    <row r="1638">
      <c r="A1638" t="s">
        <v>261</v>
      </c>
      <c r="B1638" t="s">
        <v>232</v>
      </c>
      <c r="C1638" t="s">
        <v>265</v>
      </c>
      <c r="D1638" t="s">
        <v>213</v>
      </c>
      <c r="E1638" t="s">
        <v>272</v>
      </c>
      <c r="F1638" t="s">
        <v>272</v>
      </c>
      <c r="G1638" t="s">
        <v>269</v>
      </c>
      <c r="H1638" t="n">
        <v>6706200</v>
      </c>
      <c r="I1638"/>
      <c r="J1638" t="n">
        <v>241423</v>
      </c>
      <c r="K1638" t="s">
        <v>282</v>
      </c>
      <c r="L1638"/>
      <c r="M1638"/>
      <c r="N1638" t="s">
        <v>221</v>
      </c>
      <c r="O1638"/>
      <c r="P1638"/>
      <c r="Q1638"/>
      <c r="R1638"/>
      <c r="S1638"/>
      <c r="T1638"/>
      <c r="U1638"/>
      <c r="V1638"/>
      <c r="W1638"/>
      <c r="X1638"/>
      <c r="Y1638"/>
      <c r="Z1638"/>
      <c r="AA1638" t="n">
        <v>17.990739889894</v>
      </c>
      <c r="AB1638"/>
      <c r="AC1638"/>
      <c r="AD1638"/>
      <c r="AE1638"/>
      <c r="AF1638"/>
      <c r="AG1638"/>
      <c r="AH1638"/>
      <c r="AI1638"/>
      <c r="AJ1638"/>
      <c r="AK1638"/>
      <c r="AL1638"/>
    </row>
    <row r="1639">
      <c r="A1639" t="s">
        <v>261</v>
      </c>
      <c r="B1639" t="s">
        <v>232</v>
      </c>
      <c r="C1639" t="s">
        <v>265</v>
      </c>
      <c r="D1639" t="s">
        <v>213</v>
      </c>
      <c r="E1639" t="s">
        <v>272</v>
      </c>
      <c r="F1639" t="s">
        <v>272</v>
      </c>
      <c r="G1639" t="s">
        <v>269</v>
      </c>
      <c r="H1639" t="n">
        <v>6706200</v>
      </c>
      <c r="I1639"/>
      <c r="J1639" t="n">
        <v>241423</v>
      </c>
      <c r="K1639" t="s">
        <v>282</v>
      </c>
      <c r="L1639"/>
      <c r="M1639"/>
      <c r="N1639" t="s">
        <v>222</v>
      </c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</row>
    <row r="1640">
      <c r="A1640" t="s">
        <v>235</v>
      </c>
      <c r="B1640" t="s">
        <v>232</v>
      </c>
      <c r="C1640"/>
      <c r="D1640" t="s">
        <v>213</v>
      </c>
      <c r="E1640" t="s">
        <v>272</v>
      </c>
      <c r="F1640" t="s">
        <v>272</v>
      </c>
      <c r="G1640" t="s">
        <v>269</v>
      </c>
      <c r="H1640" t="n">
        <v>18349428</v>
      </c>
      <c r="I1640"/>
      <c r="J1640" t="n">
        <v>616540</v>
      </c>
      <c r="K1640" t="s">
        <v>282</v>
      </c>
      <c r="L1640"/>
      <c r="M1640"/>
      <c r="N1640" t="s">
        <v>214</v>
      </c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</row>
    <row r="1641">
      <c r="A1641" t="s">
        <v>235</v>
      </c>
      <c r="B1641" t="s">
        <v>232</v>
      </c>
      <c r="C1641"/>
      <c r="D1641" t="s">
        <v>213</v>
      </c>
      <c r="E1641" t="s">
        <v>272</v>
      </c>
      <c r="F1641" t="s">
        <v>272</v>
      </c>
      <c r="G1641" t="s">
        <v>269</v>
      </c>
      <c r="H1641" t="n">
        <v>18349428</v>
      </c>
      <c r="I1641"/>
      <c r="J1641" t="n">
        <v>616540</v>
      </c>
      <c r="K1641" t="s">
        <v>282</v>
      </c>
      <c r="L1641"/>
      <c r="M1641"/>
      <c r="N1641" t="s">
        <v>215</v>
      </c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</row>
    <row r="1642">
      <c r="A1642" t="s">
        <v>235</v>
      </c>
      <c r="B1642" t="s">
        <v>232</v>
      </c>
      <c r="C1642"/>
      <c r="D1642" t="s">
        <v>213</v>
      </c>
      <c r="E1642" t="s">
        <v>272</v>
      </c>
      <c r="F1642" t="s">
        <v>272</v>
      </c>
      <c r="G1642" t="s">
        <v>269</v>
      </c>
      <c r="H1642" t="n">
        <v>18349428</v>
      </c>
      <c r="I1642"/>
      <c r="J1642" t="n">
        <v>616540</v>
      </c>
      <c r="K1642" t="s">
        <v>282</v>
      </c>
      <c r="L1642"/>
      <c r="M1642"/>
      <c r="N1642" t="s">
        <v>216</v>
      </c>
      <c r="O1642"/>
      <c r="P1642"/>
      <c r="Q1642"/>
      <c r="R1642"/>
      <c r="S1642"/>
      <c r="T1642"/>
      <c r="U1642"/>
      <c r="V1642"/>
      <c r="W1642"/>
      <c r="X1642"/>
      <c r="Y1642"/>
      <c r="Z1642"/>
      <c r="AA1642" t="n">
        <v>2556052</v>
      </c>
      <c r="AB1642"/>
      <c r="AC1642"/>
      <c r="AD1642"/>
      <c r="AE1642"/>
      <c r="AF1642"/>
      <c r="AG1642"/>
      <c r="AH1642"/>
      <c r="AI1642"/>
      <c r="AJ1642"/>
      <c r="AK1642"/>
      <c r="AL1642"/>
    </row>
    <row r="1643">
      <c r="A1643" t="s">
        <v>235</v>
      </c>
      <c r="B1643" t="s">
        <v>232</v>
      </c>
      <c r="C1643"/>
      <c r="D1643" t="s">
        <v>213</v>
      </c>
      <c r="E1643" t="s">
        <v>272</v>
      </c>
      <c r="F1643" t="s">
        <v>272</v>
      </c>
      <c r="G1643" t="s">
        <v>269</v>
      </c>
      <c r="H1643" t="n">
        <v>18349428</v>
      </c>
      <c r="I1643"/>
      <c r="J1643" t="n">
        <v>616540</v>
      </c>
      <c r="K1643" t="s">
        <v>282</v>
      </c>
      <c r="L1643"/>
      <c r="M1643"/>
      <c r="N1643" t="s">
        <v>217</v>
      </c>
      <c r="O1643"/>
      <c r="P1643"/>
      <c r="Q1643"/>
      <c r="R1643"/>
      <c r="S1643"/>
      <c r="T1643"/>
      <c r="U1643"/>
      <c r="V1643"/>
      <c r="W1643"/>
      <c r="X1643"/>
      <c r="Y1643"/>
      <c r="Z1643"/>
      <c r="AA1643" t="n">
        <v>15793376</v>
      </c>
      <c r="AB1643"/>
      <c r="AC1643"/>
      <c r="AD1643"/>
      <c r="AE1643"/>
      <c r="AF1643"/>
      <c r="AG1643"/>
      <c r="AH1643"/>
      <c r="AI1643"/>
      <c r="AJ1643"/>
      <c r="AK1643"/>
      <c r="AL1643"/>
    </row>
    <row r="1644">
      <c r="A1644" t="s">
        <v>235</v>
      </c>
      <c r="B1644" t="s">
        <v>232</v>
      </c>
      <c r="C1644"/>
      <c r="D1644" t="s">
        <v>213</v>
      </c>
      <c r="E1644" t="s">
        <v>272</v>
      </c>
      <c r="F1644" t="s">
        <v>272</v>
      </c>
      <c r="G1644" t="s">
        <v>269</v>
      </c>
      <c r="H1644" t="n">
        <v>18349428</v>
      </c>
      <c r="I1644"/>
      <c r="J1644" t="n">
        <v>616540</v>
      </c>
      <c r="K1644" t="s">
        <v>282</v>
      </c>
      <c r="L1644"/>
      <c r="M1644"/>
      <c r="N1644" t="s">
        <v>218</v>
      </c>
      <c r="O1644"/>
      <c r="P1644"/>
      <c r="Q1644"/>
      <c r="R1644"/>
      <c r="S1644"/>
      <c r="T1644"/>
      <c r="U1644"/>
      <c r="V1644"/>
      <c r="W1644"/>
      <c r="X1644"/>
      <c r="Y1644"/>
      <c r="Z1644"/>
      <c r="AA1644" t="n">
        <v>6</v>
      </c>
      <c r="AB1644"/>
      <c r="AC1644"/>
      <c r="AD1644"/>
      <c r="AE1644"/>
      <c r="AF1644"/>
      <c r="AG1644"/>
      <c r="AH1644"/>
      <c r="AI1644"/>
      <c r="AJ1644"/>
      <c r="AK1644"/>
      <c r="AL1644"/>
    </row>
    <row r="1645">
      <c r="A1645" t="s">
        <v>235</v>
      </c>
      <c r="B1645" t="s">
        <v>232</v>
      </c>
      <c r="C1645"/>
      <c r="D1645" t="s">
        <v>213</v>
      </c>
      <c r="E1645" t="s">
        <v>272</v>
      </c>
      <c r="F1645" t="s">
        <v>272</v>
      </c>
      <c r="G1645" t="s">
        <v>269</v>
      </c>
      <c r="H1645" t="n">
        <v>18349428</v>
      </c>
      <c r="I1645"/>
      <c r="J1645" t="n">
        <v>616540</v>
      </c>
      <c r="K1645" t="s">
        <v>282</v>
      </c>
      <c r="L1645"/>
      <c r="M1645"/>
      <c r="N1645" t="s">
        <v>219</v>
      </c>
      <c r="O1645"/>
      <c r="P1645"/>
      <c r="Q1645"/>
      <c r="R1645"/>
      <c r="S1645"/>
      <c r="T1645"/>
      <c r="U1645"/>
      <c r="V1645"/>
      <c r="W1645"/>
      <c r="X1645"/>
      <c r="Y1645"/>
      <c r="Z1645"/>
      <c r="AA1645" t="n">
        <v>12</v>
      </c>
      <c r="AB1645"/>
      <c r="AC1645"/>
      <c r="AD1645"/>
      <c r="AE1645"/>
      <c r="AF1645"/>
      <c r="AG1645"/>
      <c r="AH1645"/>
      <c r="AI1645"/>
      <c r="AJ1645"/>
      <c r="AK1645"/>
      <c r="AL1645"/>
    </row>
    <row r="1646">
      <c r="A1646" t="s">
        <v>235</v>
      </c>
      <c r="B1646" t="s">
        <v>232</v>
      </c>
      <c r="C1646"/>
      <c r="D1646" t="s">
        <v>213</v>
      </c>
      <c r="E1646" t="s">
        <v>272</v>
      </c>
      <c r="F1646" t="s">
        <v>272</v>
      </c>
      <c r="G1646" t="s">
        <v>269</v>
      </c>
      <c r="H1646" t="n">
        <v>18349428</v>
      </c>
      <c r="I1646"/>
      <c r="J1646" t="n">
        <v>616540</v>
      </c>
      <c r="K1646" t="s">
        <v>282</v>
      </c>
      <c r="L1646"/>
      <c r="M1646"/>
      <c r="N1646" t="s">
        <v>220</v>
      </c>
      <c r="O1646"/>
      <c r="P1646"/>
      <c r="Q1646"/>
      <c r="R1646"/>
      <c r="S1646"/>
      <c r="T1646"/>
      <c r="U1646"/>
      <c r="V1646"/>
      <c r="W1646"/>
      <c r="X1646"/>
      <c r="Y1646"/>
      <c r="Z1646"/>
      <c r="AA1646" t="n">
        <v>12</v>
      </c>
      <c r="AB1646"/>
      <c r="AC1646"/>
      <c r="AD1646"/>
      <c r="AE1646"/>
      <c r="AF1646"/>
      <c r="AG1646"/>
      <c r="AH1646"/>
      <c r="AI1646"/>
      <c r="AJ1646"/>
      <c r="AK1646"/>
      <c r="AL1646"/>
    </row>
    <row r="1647">
      <c r="A1647" t="s">
        <v>235</v>
      </c>
      <c r="B1647" t="s">
        <v>232</v>
      </c>
      <c r="C1647"/>
      <c r="D1647" t="s">
        <v>213</v>
      </c>
      <c r="E1647" t="s">
        <v>272</v>
      </c>
      <c r="F1647" t="s">
        <v>272</v>
      </c>
      <c r="G1647" t="s">
        <v>269</v>
      </c>
      <c r="H1647" t="n">
        <v>18349428</v>
      </c>
      <c r="I1647"/>
      <c r="J1647" t="n">
        <v>616540</v>
      </c>
      <c r="K1647" t="s">
        <v>282</v>
      </c>
      <c r="L1647"/>
      <c r="M1647"/>
      <c r="N1647" t="s">
        <v>221</v>
      </c>
      <c r="O1647"/>
      <c r="P1647"/>
      <c r="Q1647"/>
      <c r="R1647"/>
      <c r="S1647"/>
      <c r="T1647"/>
      <c r="U1647"/>
      <c r="V1647"/>
      <c r="W1647"/>
      <c r="X1647"/>
      <c r="Y1647"/>
      <c r="Z1647"/>
      <c r="AA1647" t="n">
        <v>6.17881639340671</v>
      </c>
      <c r="AB1647"/>
      <c r="AC1647"/>
      <c r="AD1647"/>
      <c r="AE1647"/>
      <c r="AF1647"/>
      <c r="AG1647"/>
      <c r="AH1647"/>
      <c r="AI1647"/>
      <c r="AJ1647"/>
      <c r="AK1647"/>
      <c r="AL1647"/>
    </row>
    <row r="1648">
      <c r="A1648" t="s">
        <v>235</v>
      </c>
      <c r="B1648" t="s">
        <v>232</v>
      </c>
      <c r="C1648"/>
      <c r="D1648" t="s">
        <v>213</v>
      </c>
      <c r="E1648" t="s">
        <v>272</v>
      </c>
      <c r="F1648" t="s">
        <v>272</v>
      </c>
      <c r="G1648" t="s">
        <v>269</v>
      </c>
      <c r="H1648" t="n">
        <v>18349428</v>
      </c>
      <c r="I1648"/>
      <c r="J1648" t="n">
        <v>616540</v>
      </c>
      <c r="K1648" t="s">
        <v>282</v>
      </c>
      <c r="L1648"/>
      <c r="M1648"/>
      <c r="N1648" t="s">
        <v>222</v>
      </c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</row>
    <row r="1649">
      <c r="A1649" t="s">
        <v>261</v>
      </c>
      <c r="B1649" t="s">
        <v>234</v>
      </c>
      <c r="C1649"/>
      <c r="D1649" t="s">
        <v>213</v>
      </c>
      <c r="E1649" t="s">
        <v>272</v>
      </c>
      <c r="F1649" t="s">
        <v>272</v>
      </c>
      <c r="G1649" t="s">
        <v>269</v>
      </c>
      <c r="H1649" t="n">
        <v>508480</v>
      </c>
      <c r="I1649"/>
      <c r="J1649" t="n">
        <v>134239</v>
      </c>
      <c r="K1649" t="s">
        <v>282</v>
      </c>
      <c r="L1649"/>
      <c r="M1649"/>
      <c r="N1649" t="s">
        <v>214</v>
      </c>
      <c r="O1649"/>
      <c r="P1649"/>
      <c r="Q1649"/>
      <c r="R1649"/>
      <c r="S1649"/>
      <c r="T1649"/>
      <c r="U1649"/>
      <c r="V1649"/>
      <c r="W1649"/>
      <c r="X1649"/>
      <c r="Y1649"/>
      <c r="Z1649"/>
      <c r="AA1649" t="n">
        <v>598041</v>
      </c>
      <c r="AB1649"/>
      <c r="AC1649"/>
      <c r="AD1649"/>
      <c r="AE1649"/>
      <c r="AF1649"/>
      <c r="AG1649"/>
      <c r="AH1649"/>
      <c r="AI1649"/>
      <c r="AJ1649"/>
      <c r="AK1649"/>
      <c r="AL1649"/>
    </row>
    <row r="1650">
      <c r="A1650" t="s">
        <v>261</v>
      </c>
      <c r="B1650" t="s">
        <v>234</v>
      </c>
      <c r="C1650"/>
      <c r="D1650" t="s">
        <v>213</v>
      </c>
      <c r="E1650" t="s">
        <v>272</v>
      </c>
      <c r="F1650" t="s">
        <v>272</v>
      </c>
      <c r="G1650" t="s">
        <v>269</v>
      </c>
      <c r="H1650" t="n">
        <v>508480</v>
      </c>
      <c r="I1650"/>
      <c r="J1650" t="n">
        <v>134239</v>
      </c>
      <c r="K1650" t="s">
        <v>282</v>
      </c>
      <c r="L1650"/>
      <c r="M1650"/>
      <c r="N1650" t="s">
        <v>215</v>
      </c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</row>
    <row r="1651">
      <c r="A1651" t="s">
        <v>261</v>
      </c>
      <c r="B1651" t="s">
        <v>234</v>
      </c>
      <c r="C1651"/>
      <c r="D1651" t="s">
        <v>213</v>
      </c>
      <c r="E1651" t="s">
        <v>272</v>
      </c>
      <c r="F1651" t="s">
        <v>272</v>
      </c>
      <c r="G1651" t="s">
        <v>269</v>
      </c>
      <c r="H1651" t="n">
        <v>508480</v>
      </c>
      <c r="I1651"/>
      <c r="J1651" t="n">
        <v>134239</v>
      </c>
      <c r="K1651" t="s">
        <v>282</v>
      </c>
      <c r="L1651"/>
      <c r="M1651"/>
      <c r="N1651" t="s">
        <v>216</v>
      </c>
      <c r="O1651"/>
      <c r="P1651"/>
      <c r="Q1651"/>
      <c r="R1651"/>
      <c r="S1651"/>
      <c r="T1651"/>
      <c r="U1651"/>
      <c r="V1651"/>
      <c r="W1651"/>
      <c r="X1651"/>
      <c r="Y1651"/>
      <c r="Z1651"/>
      <c r="AA1651" t="n">
        <v>19077</v>
      </c>
      <c r="AB1651"/>
      <c r="AC1651"/>
      <c r="AD1651"/>
      <c r="AE1651"/>
      <c r="AF1651"/>
      <c r="AG1651"/>
      <c r="AH1651"/>
      <c r="AI1651"/>
      <c r="AJ1651"/>
      <c r="AK1651"/>
      <c r="AL1651"/>
    </row>
    <row r="1652">
      <c r="A1652" t="s">
        <v>261</v>
      </c>
      <c r="B1652" t="s">
        <v>234</v>
      </c>
      <c r="C1652"/>
      <c r="D1652" t="s">
        <v>213</v>
      </c>
      <c r="E1652" t="s">
        <v>272</v>
      </c>
      <c r="F1652" t="s">
        <v>272</v>
      </c>
      <c r="G1652" t="s">
        <v>269</v>
      </c>
      <c r="H1652" t="n">
        <v>508480</v>
      </c>
      <c r="I1652"/>
      <c r="J1652" t="n">
        <v>134239</v>
      </c>
      <c r="K1652" t="s">
        <v>282</v>
      </c>
      <c r="L1652"/>
      <c r="M1652"/>
      <c r="N1652" t="s">
        <v>217</v>
      </c>
      <c r="O1652"/>
      <c r="P1652"/>
      <c r="Q1652"/>
      <c r="R1652"/>
      <c r="S1652"/>
      <c r="T1652"/>
      <c r="U1652"/>
      <c r="V1652"/>
      <c r="W1652"/>
      <c r="X1652"/>
      <c r="Y1652"/>
      <c r="Z1652"/>
      <c r="AA1652" t="n">
        <v>1087444</v>
      </c>
      <c r="AB1652"/>
      <c r="AC1652"/>
      <c r="AD1652"/>
      <c r="AE1652"/>
      <c r="AF1652"/>
      <c r="AG1652"/>
      <c r="AH1652"/>
      <c r="AI1652"/>
      <c r="AJ1652"/>
      <c r="AK1652"/>
      <c r="AL1652"/>
    </row>
    <row r="1653">
      <c r="A1653" t="s">
        <v>261</v>
      </c>
      <c r="B1653" t="s">
        <v>234</v>
      </c>
      <c r="C1653"/>
      <c r="D1653" t="s">
        <v>213</v>
      </c>
      <c r="E1653" t="s">
        <v>272</v>
      </c>
      <c r="F1653" t="s">
        <v>272</v>
      </c>
      <c r="G1653" t="s">
        <v>269</v>
      </c>
      <c r="H1653" t="n">
        <v>508480</v>
      </c>
      <c r="I1653"/>
      <c r="J1653" t="n">
        <v>134239</v>
      </c>
      <c r="K1653" t="s">
        <v>282</v>
      </c>
      <c r="L1653"/>
      <c r="M1653"/>
      <c r="N1653" t="s">
        <v>218</v>
      </c>
      <c r="O1653"/>
      <c r="P1653"/>
      <c r="Q1653"/>
      <c r="R1653"/>
      <c r="S1653"/>
      <c r="T1653"/>
      <c r="U1653"/>
      <c r="V1653"/>
      <c r="W1653"/>
      <c r="X1653"/>
      <c r="Y1653"/>
      <c r="Z1653"/>
      <c r="AA1653" t="n">
        <v>9</v>
      </c>
      <c r="AB1653"/>
      <c r="AC1653"/>
      <c r="AD1653"/>
      <c r="AE1653"/>
      <c r="AF1653"/>
      <c r="AG1653"/>
      <c r="AH1653"/>
      <c r="AI1653"/>
      <c r="AJ1653"/>
      <c r="AK1653"/>
      <c r="AL1653"/>
    </row>
    <row r="1654">
      <c r="A1654" t="s">
        <v>261</v>
      </c>
      <c r="B1654" t="s">
        <v>234</v>
      </c>
      <c r="C1654"/>
      <c r="D1654" t="s">
        <v>213</v>
      </c>
      <c r="E1654" t="s">
        <v>272</v>
      </c>
      <c r="F1654" t="s">
        <v>272</v>
      </c>
      <c r="G1654" t="s">
        <v>269</v>
      </c>
      <c r="H1654" t="n">
        <v>508480</v>
      </c>
      <c r="I1654"/>
      <c r="J1654" t="n">
        <v>134239</v>
      </c>
      <c r="K1654" t="s">
        <v>282</v>
      </c>
      <c r="L1654"/>
      <c r="M1654"/>
      <c r="N1654" t="s">
        <v>219</v>
      </c>
      <c r="O1654"/>
      <c r="P1654"/>
      <c r="Q1654"/>
      <c r="R1654"/>
      <c r="S1654"/>
      <c r="T1654"/>
      <c r="U1654"/>
      <c r="V1654"/>
      <c r="W1654"/>
      <c r="X1654"/>
      <c r="Y1654"/>
      <c r="Z1654"/>
      <c r="AA1654" t="n">
        <v>14</v>
      </c>
      <c r="AB1654"/>
      <c r="AC1654"/>
      <c r="AD1654"/>
      <c r="AE1654"/>
      <c r="AF1654"/>
      <c r="AG1654"/>
      <c r="AH1654"/>
      <c r="AI1654"/>
      <c r="AJ1654"/>
      <c r="AK1654"/>
      <c r="AL1654"/>
    </row>
    <row r="1655">
      <c r="A1655" t="s">
        <v>261</v>
      </c>
      <c r="B1655" t="s">
        <v>234</v>
      </c>
      <c r="C1655"/>
      <c r="D1655" t="s">
        <v>213</v>
      </c>
      <c r="E1655" t="s">
        <v>272</v>
      </c>
      <c r="F1655" t="s">
        <v>272</v>
      </c>
      <c r="G1655" t="s">
        <v>269</v>
      </c>
      <c r="H1655" t="n">
        <v>508480</v>
      </c>
      <c r="I1655"/>
      <c r="J1655" t="n">
        <v>134239</v>
      </c>
      <c r="K1655" t="s">
        <v>282</v>
      </c>
      <c r="L1655"/>
      <c r="M1655"/>
      <c r="N1655" t="s">
        <v>220</v>
      </c>
      <c r="O1655"/>
      <c r="P1655"/>
      <c r="Q1655"/>
      <c r="R1655"/>
      <c r="S1655"/>
      <c r="T1655"/>
      <c r="U1655"/>
      <c r="V1655"/>
      <c r="W1655"/>
      <c r="X1655"/>
      <c r="Y1655"/>
      <c r="Z1655"/>
      <c r="AA1655" t="n">
        <v>13</v>
      </c>
      <c r="AB1655"/>
      <c r="AC1655"/>
      <c r="AD1655"/>
      <c r="AE1655"/>
      <c r="AF1655"/>
      <c r="AG1655"/>
      <c r="AH1655"/>
      <c r="AI1655"/>
      <c r="AJ1655"/>
      <c r="AK1655"/>
      <c r="AL1655"/>
    </row>
    <row r="1656">
      <c r="A1656" t="s">
        <v>261</v>
      </c>
      <c r="B1656" t="s">
        <v>234</v>
      </c>
      <c r="C1656"/>
      <c r="D1656" t="s">
        <v>213</v>
      </c>
      <c r="E1656" t="s">
        <v>272</v>
      </c>
      <c r="F1656" t="s">
        <v>272</v>
      </c>
      <c r="G1656" t="s">
        <v>269</v>
      </c>
      <c r="H1656" t="n">
        <v>508480</v>
      </c>
      <c r="I1656"/>
      <c r="J1656" t="n">
        <v>134239</v>
      </c>
      <c r="K1656" t="s">
        <v>282</v>
      </c>
      <c r="L1656"/>
      <c r="M1656"/>
      <c r="N1656" t="s">
        <v>221</v>
      </c>
      <c r="O1656"/>
      <c r="P1656"/>
      <c r="Q1656"/>
      <c r="R1656"/>
      <c r="S1656"/>
      <c r="T1656"/>
      <c r="U1656"/>
      <c r="V1656"/>
      <c r="W1656"/>
      <c r="X1656"/>
      <c r="Y1656"/>
      <c r="Z1656"/>
      <c r="AA1656" t="n">
        <v>57.0028830528909</v>
      </c>
      <c r="AB1656"/>
      <c r="AC1656"/>
      <c r="AD1656"/>
      <c r="AE1656"/>
      <c r="AF1656"/>
      <c r="AG1656"/>
      <c r="AH1656"/>
      <c r="AI1656"/>
      <c r="AJ1656"/>
      <c r="AK1656"/>
      <c r="AL1656"/>
    </row>
    <row r="1657">
      <c r="A1657" t="s">
        <v>261</v>
      </c>
      <c r="B1657" t="s">
        <v>234</v>
      </c>
      <c r="C1657"/>
      <c r="D1657" t="s">
        <v>213</v>
      </c>
      <c r="E1657" t="s">
        <v>272</v>
      </c>
      <c r="F1657" t="s">
        <v>272</v>
      </c>
      <c r="G1657" t="s">
        <v>269</v>
      </c>
      <c r="H1657" t="n">
        <v>508480</v>
      </c>
      <c r="I1657"/>
      <c r="J1657" t="n">
        <v>134239</v>
      </c>
      <c r="K1657" t="s">
        <v>282</v>
      </c>
      <c r="L1657"/>
      <c r="M1657"/>
      <c r="N1657" t="s">
        <v>222</v>
      </c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</row>
    <row r="1658">
      <c r="A1658" t="s">
        <v>210</v>
      </c>
      <c r="B1658" t="s">
        <v>268</v>
      </c>
      <c r="C1658" t="s">
        <v>212</v>
      </c>
      <c r="D1658" t="s">
        <v>213</v>
      </c>
      <c r="E1658" t="s">
        <v>266</v>
      </c>
      <c r="F1658" t="s">
        <v>266</v>
      </c>
      <c r="G1658" t="s">
        <v>259</v>
      </c>
      <c r="H1658" t="n">
        <v>207022</v>
      </c>
      <c r="I1658"/>
      <c r="J1658"/>
      <c r="K1658"/>
      <c r="L1658"/>
      <c r="M1658"/>
      <c r="N1658" t="s">
        <v>214</v>
      </c>
      <c r="O1658"/>
      <c r="P1658"/>
      <c r="Q1658"/>
      <c r="R1658"/>
      <c r="S1658"/>
      <c r="T1658"/>
      <c r="U1658"/>
      <c r="V1658"/>
      <c r="W1658"/>
      <c r="X1658"/>
      <c r="Y1658"/>
      <c r="Z1658"/>
      <c r="AA1658" t="n">
        <v>1313754</v>
      </c>
      <c r="AB1658"/>
      <c r="AC1658"/>
      <c r="AD1658"/>
      <c r="AE1658"/>
      <c r="AF1658"/>
      <c r="AG1658"/>
      <c r="AH1658"/>
      <c r="AI1658"/>
      <c r="AJ1658"/>
      <c r="AK1658"/>
      <c r="AL1658"/>
    </row>
    <row r="1659">
      <c r="A1659" t="s">
        <v>210</v>
      </c>
      <c r="B1659" t="s">
        <v>268</v>
      </c>
      <c r="C1659" t="s">
        <v>212</v>
      </c>
      <c r="D1659" t="s">
        <v>213</v>
      </c>
      <c r="E1659" t="s">
        <v>266</v>
      </c>
      <c r="F1659" t="s">
        <v>266</v>
      </c>
      <c r="G1659" t="s">
        <v>259</v>
      </c>
      <c r="H1659" t="n">
        <v>207022</v>
      </c>
      <c r="I1659"/>
      <c r="J1659"/>
      <c r="K1659"/>
      <c r="L1659"/>
      <c r="M1659"/>
      <c r="N1659" t="s">
        <v>215</v>
      </c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</row>
    <row r="1660">
      <c r="A1660" t="s">
        <v>210</v>
      </c>
      <c r="B1660" t="s">
        <v>268</v>
      </c>
      <c r="C1660" t="s">
        <v>212</v>
      </c>
      <c r="D1660" t="s">
        <v>213</v>
      </c>
      <c r="E1660" t="s">
        <v>266</v>
      </c>
      <c r="F1660" t="s">
        <v>266</v>
      </c>
      <c r="G1660" t="s">
        <v>259</v>
      </c>
      <c r="H1660" t="n">
        <v>207022</v>
      </c>
      <c r="I1660"/>
      <c r="J1660"/>
      <c r="K1660"/>
      <c r="L1660"/>
      <c r="M1660"/>
      <c r="N1660" t="s">
        <v>216</v>
      </c>
      <c r="O1660"/>
      <c r="P1660"/>
      <c r="Q1660"/>
      <c r="R1660"/>
      <c r="S1660"/>
      <c r="T1660"/>
      <c r="U1660"/>
      <c r="V1660"/>
      <c r="W1660"/>
      <c r="X1660"/>
      <c r="Y1660"/>
      <c r="Z1660"/>
      <c r="AA1660" t="n">
        <v>117973</v>
      </c>
      <c r="AB1660"/>
      <c r="AC1660"/>
      <c r="AD1660"/>
      <c r="AE1660"/>
      <c r="AF1660"/>
      <c r="AG1660"/>
      <c r="AH1660"/>
      <c r="AI1660"/>
      <c r="AJ1660"/>
      <c r="AK1660"/>
      <c r="AL1660"/>
    </row>
    <row r="1661">
      <c r="A1661" t="s">
        <v>210</v>
      </c>
      <c r="B1661" t="s">
        <v>268</v>
      </c>
      <c r="C1661" t="s">
        <v>212</v>
      </c>
      <c r="D1661" t="s">
        <v>213</v>
      </c>
      <c r="E1661" t="s">
        <v>266</v>
      </c>
      <c r="F1661" t="s">
        <v>266</v>
      </c>
      <c r="G1661" t="s">
        <v>259</v>
      </c>
      <c r="H1661" t="n">
        <v>207022</v>
      </c>
      <c r="I1661"/>
      <c r="J1661"/>
      <c r="K1661"/>
      <c r="L1661"/>
      <c r="M1661"/>
      <c r="N1661" t="s">
        <v>217</v>
      </c>
      <c r="O1661"/>
      <c r="P1661"/>
      <c r="Q1661"/>
      <c r="R1661"/>
      <c r="S1661"/>
      <c r="T1661"/>
      <c r="U1661"/>
      <c r="V1661"/>
      <c r="W1661"/>
      <c r="X1661"/>
      <c r="Y1661"/>
      <c r="Z1661"/>
      <c r="AA1661" t="n">
        <v>1402803</v>
      </c>
      <c r="AB1661"/>
      <c r="AC1661"/>
      <c r="AD1661"/>
      <c r="AE1661"/>
      <c r="AF1661"/>
      <c r="AG1661"/>
      <c r="AH1661"/>
      <c r="AI1661"/>
      <c r="AJ1661"/>
      <c r="AK1661"/>
      <c r="AL1661"/>
    </row>
    <row r="1662">
      <c r="A1662" t="s">
        <v>210</v>
      </c>
      <c r="B1662" t="s">
        <v>268</v>
      </c>
      <c r="C1662" t="s">
        <v>212</v>
      </c>
      <c r="D1662" t="s">
        <v>213</v>
      </c>
      <c r="E1662" t="s">
        <v>266</v>
      </c>
      <c r="F1662" t="s">
        <v>266</v>
      </c>
      <c r="G1662" t="s">
        <v>259</v>
      </c>
      <c r="H1662" t="n">
        <v>207022</v>
      </c>
      <c r="I1662"/>
      <c r="J1662"/>
      <c r="K1662"/>
      <c r="L1662"/>
      <c r="M1662"/>
      <c r="N1662" t="s">
        <v>218</v>
      </c>
      <c r="O1662"/>
      <c r="P1662"/>
      <c r="Q1662"/>
      <c r="R1662"/>
      <c r="S1662"/>
      <c r="T1662"/>
      <c r="U1662"/>
      <c r="V1662"/>
      <c r="W1662"/>
      <c r="X1662"/>
      <c r="Y1662"/>
      <c r="Z1662"/>
      <c r="AA1662" t="n">
        <v>6</v>
      </c>
      <c r="AB1662"/>
      <c r="AC1662"/>
      <c r="AD1662"/>
      <c r="AE1662"/>
      <c r="AF1662"/>
      <c r="AG1662"/>
      <c r="AH1662"/>
      <c r="AI1662"/>
      <c r="AJ1662"/>
      <c r="AK1662"/>
      <c r="AL1662"/>
    </row>
    <row r="1663">
      <c r="A1663" t="s">
        <v>210</v>
      </c>
      <c r="B1663" t="s">
        <v>268</v>
      </c>
      <c r="C1663" t="s">
        <v>212</v>
      </c>
      <c r="D1663" t="s">
        <v>213</v>
      </c>
      <c r="E1663" t="s">
        <v>266</v>
      </c>
      <c r="F1663" t="s">
        <v>266</v>
      </c>
      <c r="G1663" t="s">
        <v>259</v>
      </c>
      <c r="H1663" t="n">
        <v>207022</v>
      </c>
      <c r="I1663"/>
      <c r="J1663"/>
      <c r="K1663"/>
      <c r="L1663"/>
      <c r="M1663"/>
      <c r="N1663" t="s">
        <v>219</v>
      </c>
      <c r="O1663"/>
      <c r="P1663"/>
      <c r="Q1663"/>
      <c r="R1663"/>
      <c r="S1663"/>
      <c r="T1663"/>
      <c r="U1663"/>
      <c r="V1663"/>
      <c r="W1663"/>
      <c r="X1663"/>
      <c r="Y1663"/>
      <c r="Z1663"/>
      <c r="AA1663" t="n">
        <v>12</v>
      </c>
      <c r="AB1663"/>
      <c r="AC1663"/>
      <c r="AD1663"/>
      <c r="AE1663"/>
      <c r="AF1663"/>
      <c r="AG1663"/>
      <c r="AH1663"/>
      <c r="AI1663"/>
      <c r="AJ1663"/>
      <c r="AK1663"/>
      <c r="AL1663"/>
    </row>
    <row r="1664">
      <c r="A1664" t="s">
        <v>210</v>
      </c>
      <c r="B1664" t="s">
        <v>268</v>
      </c>
      <c r="C1664" t="s">
        <v>212</v>
      </c>
      <c r="D1664" t="s">
        <v>213</v>
      </c>
      <c r="E1664" t="s">
        <v>266</v>
      </c>
      <c r="F1664" t="s">
        <v>266</v>
      </c>
      <c r="G1664" t="s">
        <v>259</v>
      </c>
      <c r="H1664" t="n">
        <v>207022</v>
      </c>
      <c r="I1664"/>
      <c r="J1664"/>
      <c r="K1664"/>
      <c r="L1664"/>
      <c r="M1664"/>
      <c r="N1664" t="s">
        <v>220</v>
      </c>
      <c r="O1664"/>
      <c r="P1664"/>
      <c r="Q1664"/>
      <c r="R1664"/>
      <c r="S1664"/>
      <c r="T1664"/>
      <c r="U1664"/>
      <c r="V1664"/>
      <c r="W1664"/>
      <c r="X1664"/>
      <c r="Y1664"/>
      <c r="Z1664"/>
      <c r="AA1664" t="n">
        <v>12</v>
      </c>
      <c r="AB1664"/>
      <c r="AC1664"/>
      <c r="AD1664"/>
      <c r="AE1664"/>
      <c r="AF1664"/>
      <c r="AG1664"/>
      <c r="AH1664"/>
      <c r="AI1664"/>
      <c r="AJ1664"/>
      <c r="AK1664"/>
      <c r="AL1664"/>
    </row>
    <row r="1665">
      <c r="A1665" t="s">
        <v>210</v>
      </c>
      <c r="B1665" t="s">
        <v>268</v>
      </c>
      <c r="C1665" t="s">
        <v>212</v>
      </c>
      <c r="D1665" t="s">
        <v>213</v>
      </c>
      <c r="E1665" t="s">
        <v>266</v>
      </c>
      <c r="F1665" t="s">
        <v>266</v>
      </c>
      <c r="G1665" t="s">
        <v>259</v>
      </c>
      <c r="H1665" t="n">
        <v>207022</v>
      </c>
      <c r="I1665"/>
      <c r="J1665"/>
      <c r="K1665"/>
      <c r="L1665"/>
      <c r="M1665"/>
      <c r="N1665" t="s">
        <v>221</v>
      </c>
      <c r="O1665"/>
      <c r="P1665"/>
      <c r="Q1665"/>
      <c r="R1665"/>
      <c r="S1665"/>
      <c r="T1665"/>
      <c r="U1665"/>
      <c r="V1665"/>
      <c r="W1665"/>
      <c r="X1665"/>
      <c r="Y1665"/>
      <c r="Z1665"/>
      <c r="AA1665" t="n">
        <v>11.89088181194</v>
      </c>
      <c r="AB1665"/>
      <c r="AC1665"/>
      <c r="AD1665"/>
      <c r="AE1665"/>
      <c r="AF1665"/>
      <c r="AG1665"/>
      <c r="AH1665"/>
      <c r="AI1665"/>
      <c r="AJ1665"/>
      <c r="AK1665"/>
      <c r="AL1665"/>
    </row>
    <row r="1666">
      <c r="A1666" t="s">
        <v>210</v>
      </c>
      <c r="B1666" t="s">
        <v>268</v>
      </c>
      <c r="C1666" t="s">
        <v>212</v>
      </c>
      <c r="D1666" t="s">
        <v>213</v>
      </c>
      <c r="E1666" t="s">
        <v>266</v>
      </c>
      <c r="F1666" t="s">
        <v>266</v>
      </c>
      <c r="G1666" t="s">
        <v>259</v>
      </c>
      <c r="H1666" t="n">
        <v>207022</v>
      </c>
      <c r="I1666"/>
      <c r="J1666"/>
      <c r="K1666"/>
      <c r="L1666"/>
      <c r="M1666"/>
      <c r="N1666" t="s">
        <v>222</v>
      </c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</row>
    <row r="1667">
      <c r="A1667" t="s">
        <v>261</v>
      </c>
      <c r="B1667" t="s">
        <v>240</v>
      </c>
      <c r="C1667" t="s">
        <v>241</v>
      </c>
      <c r="D1667" t="s">
        <v>213</v>
      </c>
      <c r="E1667" t="s">
        <v>272</v>
      </c>
      <c r="F1667" t="s">
        <v>272</v>
      </c>
      <c r="G1667" t="s">
        <v>269</v>
      </c>
      <c r="H1667" t="n">
        <v>404568</v>
      </c>
      <c r="I1667"/>
      <c r="J1667" t="n">
        <v>368966</v>
      </c>
      <c r="K1667" t="s">
        <v>283</v>
      </c>
      <c r="L1667"/>
      <c r="M1667"/>
      <c r="N1667" t="s">
        <v>214</v>
      </c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 t="n">
        <v>86774</v>
      </c>
      <c r="AC1667"/>
      <c r="AD1667"/>
      <c r="AE1667"/>
      <c r="AF1667"/>
      <c r="AG1667"/>
      <c r="AH1667"/>
      <c r="AI1667"/>
      <c r="AJ1667"/>
      <c r="AK1667"/>
      <c r="AL1667"/>
    </row>
    <row r="1668">
      <c r="A1668" t="s">
        <v>261</v>
      </c>
      <c r="B1668" t="s">
        <v>240</v>
      </c>
      <c r="C1668" t="s">
        <v>241</v>
      </c>
      <c r="D1668" t="s">
        <v>213</v>
      </c>
      <c r="E1668" t="s">
        <v>272</v>
      </c>
      <c r="F1668" t="s">
        <v>272</v>
      </c>
      <c r="G1668" t="s">
        <v>269</v>
      </c>
      <c r="H1668" t="n">
        <v>404568</v>
      </c>
      <c r="I1668"/>
      <c r="J1668" t="n">
        <v>368966</v>
      </c>
      <c r="K1668" t="s">
        <v>283</v>
      </c>
      <c r="L1668"/>
      <c r="M1668"/>
      <c r="N1668" t="s">
        <v>215</v>
      </c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</row>
    <row r="1669">
      <c r="A1669" t="s">
        <v>261</v>
      </c>
      <c r="B1669" t="s">
        <v>240</v>
      </c>
      <c r="C1669" t="s">
        <v>241</v>
      </c>
      <c r="D1669" t="s">
        <v>213</v>
      </c>
      <c r="E1669" t="s">
        <v>272</v>
      </c>
      <c r="F1669" t="s">
        <v>272</v>
      </c>
      <c r="G1669" t="s">
        <v>269</v>
      </c>
      <c r="H1669" t="n">
        <v>404568</v>
      </c>
      <c r="I1669"/>
      <c r="J1669" t="n">
        <v>368966</v>
      </c>
      <c r="K1669" t="s">
        <v>283</v>
      </c>
      <c r="L1669"/>
      <c r="M1669"/>
      <c r="N1669" t="s">
        <v>216</v>
      </c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 t="n">
        <v>78968</v>
      </c>
      <c r="AC1669"/>
      <c r="AD1669"/>
      <c r="AE1669"/>
      <c r="AF1669"/>
      <c r="AG1669"/>
      <c r="AH1669"/>
      <c r="AI1669"/>
      <c r="AJ1669"/>
      <c r="AK1669"/>
      <c r="AL1669"/>
    </row>
    <row r="1670">
      <c r="A1670" t="s">
        <v>261</v>
      </c>
      <c r="B1670" t="s">
        <v>240</v>
      </c>
      <c r="C1670" t="s">
        <v>241</v>
      </c>
      <c r="D1670" t="s">
        <v>213</v>
      </c>
      <c r="E1670" t="s">
        <v>272</v>
      </c>
      <c r="F1670" t="s">
        <v>272</v>
      </c>
      <c r="G1670" t="s">
        <v>269</v>
      </c>
      <c r="H1670" t="n">
        <v>404568</v>
      </c>
      <c r="I1670"/>
      <c r="J1670" t="n">
        <v>368966</v>
      </c>
      <c r="K1670" t="s">
        <v>283</v>
      </c>
      <c r="L1670"/>
      <c r="M1670"/>
      <c r="N1670" t="s">
        <v>217</v>
      </c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 t="n">
        <v>412374</v>
      </c>
      <c r="AC1670"/>
      <c r="AD1670"/>
      <c r="AE1670"/>
      <c r="AF1670"/>
      <c r="AG1670"/>
      <c r="AH1670"/>
      <c r="AI1670"/>
      <c r="AJ1670"/>
      <c r="AK1670"/>
      <c r="AL1670"/>
    </row>
    <row r="1671">
      <c r="A1671" t="s">
        <v>261</v>
      </c>
      <c r="B1671" t="s">
        <v>240</v>
      </c>
      <c r="C1671" t="s">
        <v>241</v>
      </c>
      <c r="D1671" t="s">
        <v>213</v>
      </c>
      <c r="E1671" t="s">
        <v>272</v>
      </c>
      <c r="F1671" t="s">
        <v>272</v>
      </c>
      <c r="G1671" t="s">
        <v>269</v>
      </c>
      <c r="H1671" t="n">
        <v>404568</v>
      </c>
      <c r="I1671"/>
      <c r="J1671" t="n">
        <v>368966</v>
      </c>
      <c r="K1671" t="s">
        <v>283</v>
      </c>
      <c r="L1671"/>
      <c r="M1671"/>
      <c r="N1671" t="s">
        <v>218</v>
      </c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 t="n">
        <v>9</v>
      </c>
      <c r="AC1671"/>
      <c r="AD1671"/>
      <c r="AE1671"/>
      <c r="AF1671"/>
      <c r="AG1671"/>
      <c r="AH1671"/>
      <c r="AI1671"/>
      <c r="AJ1671"/>
      <c r="AK1671"/>
      <c r="AL1671"/>
    </row>
    <row r="1672">
      <c r="A1672" t="s">
        <v>261</v>
      </c>
      <c r="B1672" t="s">
        <v>240</v>
      </c>
      <c r="C1672" t="s">
        <v>241</v>
      </c>
      <c r="D1672" t="s">
        <v>213</v>
      </c>
      <c r="E1672" t="s">
        <v>272</v>
      </c>
      <c r="F1672" t="s">
        <v>272</v>
      </c>
      <c r="G1672" t="s">
        <v>269</v>
      </c>
      <c r="H1672" t="n">
        <v>404568</v>
      </c>
      <c r="I1672"/>
      <c r="J1672" t="n">
        <v>368966</v>
      </c>
      <c r="K1672" t="s">
        <v>283</v>
      </c>
      <c r="L1672"/>
      <c r="M1672"/>
      <c r="N1672" t="s">
        <v>219</v>
      </c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 t="n">
        <v>14</v>
      </c>
      <c r="AC1672"/>
      <c r="AD1672"/>
      <c r="AE1672"/>
      <c r="AF1672"/>
      <c r="AG1672"/>
      <c r="AH1672"/>
      <c r="AI1672"/>
      <c r="AJ1672"/>
      <c r="AK1672"/>
      <c r="AL1672"/>
    </row>
    <row r="1673">
      <c r="A1673" t="s">
        <v>261</v>
      </c>
      <c r="B1673" t="s">
        <v>240</v>
      </c>
      <c r="C1673" t="s">
        <v>241</v>
      </c>
      <c r="D1673" t="s">
        <v>213</v>
      </c>
      <c r="E1673" t="s">
        <v>272</v>
      </c>
      <c r="F1673" t="s">
        <v>272</v>
      </c>
      <c r="G1673" t="s">
        <v>269</v>
      </c>
      <c r="H1673" t="n">
        <v>404568</v>
      </c>
      <c r="I1673"/>
      <c r="J1673" t="n">
        <v>368966</v>
      </c>
      <c r="K1673" t="s">
        <v>283</v>
      </c>
      <c r="L1673"/>
      <c r="M1673"/>
      <c r="N1673" t="s">
        <v>220</v>
      </c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 t="n">
        <v>13</v>
      </c>
      <c r="AC1673"/>
      <c r="AD1673"/>
      <c r="AE1673"/>
      <c r="AF1673"/>
      <c r="AG1673"/>
      <c r="AH1673"/>
      <c r="AI1673"/>
      <c r="AJ1673"/>
      <c r="AK1673"/>
      <c r="AL1673"/>
    </row>
    <row r="1674">
      <c r="A1674" t="s">
        <v>261</v>
      </c>
      <c r="B1674" t="s">
        <v>240</v>
      </c>
      <c r="C1674" t="s">
        <v>241</v>
      </c>
      <c r="D1674" t="s">
        <v>213</v>
      </c>
      <c r="E1674" t="s">
        <v>272</v>
      </c>
      <c r="F1674" t="s">
        <v>272</v>
      </c>
      <c r="G1674" t="s">
        <v>269</v>
      </c>
      <c r="H1674" t="n">
        <v>404568</v>
      </c>
      <c r="I1674"/>
      <c r="J1674" t="n">
        <v>368966</v>
      </c>
      <c r="K1674" t="s">
        <v>283</v>
      </c>
      <c r="L1674"/>
      <c r="M1674"/>
      <c r="N1674" t="s">
        <v>221</v>
      </c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 t="n">
        <v>5.22203930706109</v>
      </c>
      <c r="AC1674"/>
      <c r="AD1674"/>
      <c r="AE1674"/>
      <c r="AF1674"/>
      <c r="AG1674"/>
      <c r="AH1674"/>
      <c r="AI1674"/>
      <c r="AJ1674"/>
      <c r="AK1674"/>
      <c r="AL1674"/>
    </row>
    <row r="1675">
      <c r="A1675" t="s">
        <v>261</v>
      </c>
      <c r="B1675" t="s">
        <v>240</v>
      </c>
      <c r="C1675" t="s">
        <v>241</v>
      </c>
      <c r="D1675" t="s">
        <v>213</v>
      </c>
      <c r="E1675" t="s">
        <v>272</v>
      </c>
      <c r="F1675" t="s">
        <v>272</v>
      </c>
      <c r="G1675" t="s">
        <v>269</v>
      </c>
      <c r="H1675" t="n">
        <v>404568</v>
      </c>
      <c r="I1675"/>
      <c r="J1675" t="n">
        <v>368966</v>
      </c>
      <c r="K1675" t="s">
        <v>283</v>
      </c>
      <c r="L1675"/>
      <c r="M1675"/>
      <c r="N1675" t="s">
        <v>222</v>
      </c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</row>
    <row r="1676">
      <c r="A1676" t="s">
        <v>261</v>
      </c>
      <c r="B1676" t="s">
        <v>245</v>
      </c>
      <c r="C1676" t="s">
        <v>246</v>
      </c>
      <c r="D1676" t="s">
        <v>213</v>
      </c>
      <c r="E1676" t="s">
        <v>272</v>
      </c>
      <c r="F1676" t="s">
        <v>272</v>
      </c>
      <c r="G1676" t="s">
        <v>269</v>
      </c>
      <c r="H1676" t="n">
        <v>147705</v>
      </c>
      <c r="I1676"/>
      <c r="J1676" t="n">
        <v>150659</v>
      </c>
      <c r="K1676" t="s">
        <v>283</v>
      </c>
      <c r="L1676"/>
      <c r="M1676"/>
      <c r="N1676" t="s">
        <v>214</v>
      </c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 t="n">
        <v>190630</v>
      </c>
      <c r="AC1676"/>
      <c r="AD1676"/>
      <c r="AE1676"/>
      <c r="AF1676"/>
      <c r="AG1676"/>
      <c r="AH1676"/>
      <c r="AI1676"/>
      <c r="AJ1676"/>
      <c r="AK1676"/>
      <c r="AL1676"/>
    </row>
    <row r="1677">
      <c r="A1677" t="s">
        <v>261</v>
      </c>
      <c r="B1677" t="s">
        <v>245</v>
      </c>
      <c r="C1677" t="s">
        <v>246</v>
      </c>
      <c r="D1677" t="s">
        <v>213</v>
      </c>
      <c r="E1677" t="s">
        <v>272</v>
      </c>
      <c r="F1677" t="s">
        <v>272</v>
      </c>
      <c r="G1677" t="s">
        <v>269</v>
      </c>
      <c r="H1677" t="n">
        <v>147705</v>
      </c>
      <c r="I1677"/>
      <c r="J1677" t="n">
        <v>150659</v>
      </c>
      <c r="K1677" t="s">
        <v>283</v>
      </c>
      <c r="L1677"/>
      <c r="M1677"/>
      <c r="N1677" t="s">
        <v>215</v>
      </c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</row>
    <row r="1678">
      <c r="A1678" t="s">
        <v>261</v>
      </c>
      <c r="B1678" t="s">
        <v>245</v>
      </c>
      <c r="C1678" t="s">
        <v>246</v>
      </c>
      <c r="D1678" t="s">
        <v>213</v>
      </c>
      <c r="E1678" t="s">
        <v>272</v>
      </c>
      <c r="F1678" t="s">
        <v>272</v>
      </c>
      <c r="G1678" t="s">
        <v>269</v>
      </c>
      <c r="H1678" t="n">
        <v>147705</v>
      </c>
      <c r="I1678"/>
      <c r="J1678" t="n">
        <v>150659</v>
      </c>
      <c r="K1678" t="s">
        <v>283</v>
      </c>
      <c r="L1678"/>
      <c r="M1678"/>
      <c r="N1678" t="s">
        <v>216</v>
      </c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 t="n">
        <v>25415</v>
      </c>
      <c r="AC1678"/>
      <c r="AD1678"/>
      <c r="AE1678"/>
      <c r="AF1678"/>
      <c r="AG1678"/>
      <c r="AH1678"/>
      <c r="AI1678"/>
      <c r="AJ1678"/>
      <c r="AK1678"/>
      <c r="AL1678"/>
    </row>
    <row r="1679">
      <c r="A1679" t="s">
        <v>261</v>
      </c>
      <c r="B1679" t="s">
        <v>245</v>
      </c>
      <c r="C1679" t="s">
        <v>246</v>
      </c>
      <c r="D1679" t="s">
        <v>213</v>
      </c>
      <c r="E1679" t="s">
        <v>272</v>
      </c>
      <c r="F1679" t="s">
        <v>272</v>
      </c>
      <c r="G1679" t="s">
        <v>269</v>
      </c>
      <c r="H1679" t="n">
        <v>147705</v>
      </c>
      <c r="I1679"/>
      <c r="J1679" t="n">
        <v>150659</v>
      </c>
      <c r="K1679" t="s">
        <v>283</v>
      </c>
      <c r="L1679"/>
      <c r="M1679"/>
      <c r="N1679" t="s">
        <v>217</v>
      </c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 t="n">
        <v>312920</v>
      </c>
      <c r="AC1679"/>
      <c r="AD1679"/>
      <c r="AE1679"/>
      <c r="AF1679"/>
      <c r="AG1679"/>
      <c r="AH1679"/>
      <c r="AI1679"/>
      <c r="AJ1679"/>
      <c r="AK1679"/>
      <c r="AL1679"/>
    </row>
    <row r="1680">
      <c r="A1680" t="s">
        <v>261</v>
      </c>
      <c r="B1680" t="s">
        <v>245</v>
      </c>
      <c r="C1680" t="s">
        <v>246</v>
      </c>
      <c r="D1680" t="s">
        <v>213</v>
      </c>
      <c r="E1680" t="s">
        <v>272</v>
      </c>
      <c r="F1680" t="s">
        <v>272</v>
      </c>
      <c r="G1680" t="s">
        <v>269</v>
      </c>
      <c r="H1680" t="n">
        <v>147705</v>
      </c>
      <c r="I1680"/>
      <c r="J1680" t="n">
        <v>150659</v>
      </c>
      <c r="K1680" t="s">
        <v>283</v>
      </c>
      <c r="L1680"/>
      <c r="M1680"/>
      <c r="N1680" t="s">
        <v>218</v>
      </c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 t="n">
        <v>9</v>
      </c>
      <c r="AC1680"/>
      <c r="AD1680"/>
      <c r="AE1680"/>
      <c r="AF1680"/>
      <c r="AG1680"/>
      <c r="AH1680"/>
      <c r="AI1680"/>
      <c r="AJ1680"/>
      <c r="AK1680"/>
      <c r="AL1680"/>
    </row>
    <row r="1681">
      <c r="A1681" t="s">
        <v>261</v>
      </c>
      <c r="B1681" t="s">
        <v>245</v>
      </c>
      <c r="C1681" t="s">
        <v>246</v>
      </c>
      <c r="D1681" t="s">
        <v>213</v>
      </c>
      <c r="E1681" t="s">
        <v>272</v>
      </c>
      <c r="F1681" t="s">
        <v>272</v>
      </c>
      <c r="G1681" t="s">
        <v>269</v>
      </c>
      <c r="H1681" t="n">
        <v>147705</v>
      </c>
      <c r="I1681"/>
      <c r="J1681" t="n">
        <v>150659</v>
      </c>
      <c r="K1681" t="s">
        <v>283</v>
      </c>
      <c r="L1681"/>
      <c r="M1681"/>
      <c r="N1681" t="s">
        <v>219</v>
      </c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 t="n">
        <v>14</v>
      </c>
      <c r="AC1681"/>
      <c r="AD1681"/>
      <c r="AE1681"/>
      <c r="AF1681"/>
      <c r="AG1681"/>
      <c r="AH1681"/>
      <c r="AI1681"/>
      <c r="AJ1681"/>
      <c r="AK1681"/>
      <c r="AL1681"/>
    </row>
    <row r="1682">
      <c r="A1682" t="s">
        <v>261</v>
      </c>
      <c r="B1682" t="s">
        <v>245</v>
      </c>
      <c r="C1682" t="s">
        <v>246</v>
      </c>
      <c r="D1682" t="s">
        <v>213</v>
      </c>
      <c r="E1682" t="s">
        <v>272</v>
      </c>
      <c r="F1682" t="s">
        <v>272</v>
      </c>
      <c r="G1682" t="s">
        <v>269</v>
      </c>
      <c r="H1682" t="n">
        <v>147705</v>
      </c>
      <c r="I1682"/>
      <c r="J1682" t="n">
        <v>150659</v>
      </c>
      <c r="K1682" t="s">
        <v>283</v>
      </c>
      <c r="L1682"/>
      <c r="M1682"/>
      <c r="N1682" t="s">
        <v>220</v>
      </c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 t="n">
        <v>13</v>
      </c>
      <c r="AC1682"/>
      <c r="AD1682"/>
      <c r="AE1682"/>
      <c r="AF1682"/>
      <c r="AG1682"/>
      <c r="AH1682"/>
      <c r="AI1682"/>
      <c r="AJ1682"/>
      <c r="AK1682"/>
      <c r="AL1682"/>
    </row>
    <row r="1683">
      <c r="A1683" t="s">
        <v>261</v>
      </c>
      <c r="B1683" t="s">
        <v>245</v>
      </c>
      <c r="C1683" t="s">
        <v>246</v>
      </c>
      <c r="D1683" t="s">
        <v>213</v>
      </c>
      <c r="E1683" t="s">
        <v>272</v>
      </c>
      <c r="F1683" t="s">
        <v>272</v>
      </c>
      <c r="G1683" t="s">
        <v>269</v>
      </c>
      <c r="H1683" t="n">
        <v>147705</v>
      </c>
      <c r="I1683"/>
      <c r="J1683" t="n">
        <v>150659</v>
      </c>
      <c r="K1683" t="s">
        <v>283</v>
      </c>
      <c r="L1683"/>
      <c r="M1683"/>
      <c r="N1683" t="s">
        <v>221</v>
      </c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 t="n">
        <v>12.3124139287822</v>
      </c>
      <c r="AC1683"/>
      <c r="AD1683"/>
      <c r="AE1683"/>
      <c r="AF1683"/>
      <c r="AG1683"/>
      <c r="AH1683"/>
      <c r="AI1683"/>
      <c r="AJ1683"/>
      <c r="AK1683"/>
      <c r="AL1683"/>
    </row>
    <row r="1684">
      <c r="A1684" t="s">
        <v>261</v>
      </c>
      <c r="B1684" t="s">
        <v>245</v>
      </c>
      <c r="C1684" t="s">
        <v>246</v>
      </c>
      <c r="D1684" t="s">
        <v>213</v>
      </c>
      <c r="E1684" t="s">
        <v>272</v>
      </c>
      <c r="F1684" t="s">
        <v>272</v>
      </c>
      <c r="G1684" t="s">
        <v>269</v>
      </c>
      <c r="H1684" t="n">
        <v>147705</v>
      </c>
      <c r="I1684"/>
      <c r="J1684" t="n">
        <v>150659</v>
      </c>
      <c r="K1684" t="s">
        <v>283</v>
      </c>
      <c r="L1684"/>
      <c r="M1684"/>
      <c r="N1684" t="s">
        <v>222</v>
      </c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</row>
    <row r="1685">
      <c r="A1685" t="s">
        <v>261</v>
      </c>
      <c r="B1685" t="s">
        <v>224</v>
      </c>
      <c r="C1685" t="s">
        <v>225</v>
      </c>
      <c r="D1685"/>
      <c r="E1685" t="s">
        <v>272</v>
      </c>
      <c r="F1685" t="s">
        <v>272</v>
      </c>
      <c r="G1685" t="s">
        <v>269</v>
      </c>
      <c r="H1685" t="n">
        <v>40962</v>
      </c>
      <c r="I1685"/>
      <c r="J1685" t="n">
        <v>10814</v>
      </c>
      <c r="K1685"/>
      <c r="L1685"/>
      <c r="M1685"/>
      <c r="N1685" t="s">
        <v>214</v>
      </c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 t="n">
        <v>57240</v>
      </c>
      <c r="AC1685"/>
      <c r="AD1685"/>
      <c r="AE1685"/>
      <c r="AF1685"/>
      <c r="AG1685"/>
      <c r="AH1685"/>
      <c r="AI1685"/>
      <c r="AJ1685"/>
      <c r="AK1685"/>
      <c r="AL1685"/>
    </row>
    <row r="1686">
      <c r="A1686" t="s">
        <v>261</v>
      </c>
      <c r="B1686" t="s">
        <v>224</v>
      </c>
      <c r="C1686" t="s">
        <v>225</v>
      </c>
      <c r="D1686"/>
      <c r="E1686" t="s">
        <v>272</v>
      </c>
      <c r="F1686" t="s">
        <v>272</v>
      </c>
      <c r="G1686" t="s">
        <v>269</v>
      </c>
      <c r="H1686" t="n">
        <v>40962</v>
      </c>
      <c r="I1686"/>
      <c r="J1686" t="n">
        <v>10814</v>
      </c>
      <c r="K1686"/>
      <c r="L1686"/>
      <c r="M1686"/>
      <c r="N1686" t="s">
        <v>215</v>
      </c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</row>
    <row r="1687">
      <c r="A1687" t="s">
        <v>261</v>
      </c>
      <c r="B1687" t="s">
        <v>224</v>
      </c>
      <c r="C1687" t="s">
        <v>225</v>
      </c>
      <c r="D1687"/>
      <c r="E1687" t="s">
        <v>272</v>
      </c>
      <c r="F1687" t="s">
        <v>272</v>
      </c>
      <c r="G1687" t="s">
        <v>269</v>
      </c>
      <c r="H1687" t="n">
        <v>40962</v>
      </c>
      <c r="I1687"/>
      <c r="J1687" t="n">
        <v>10814</v>
      </c>
      <c r="K1687"/>
      <c r="L1687"/>
      <c r="M1687"/>
      <c r="N1687" t="s">
        <v>216</v>
      </c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 t="n">
        <v>7996</v>
      </c>
      <c r="AC1687"/>
      <c r="AD1687"/>
      <c r="AE1687"/>
      <c r="AF1687"/>
      <c r="AG1687"/>
      <c r="AH1687"/>
      <c r="AI1687"/>
      <c r="AJ1687"/>
      <c r="AK1687"/>
      <c r="AL1687"/>
    </row>
    <row r="1688">
      <c r="A1688" t="s">
        <v>261</v>
      </c>
      <c r="B1688" t="s">
        <v>224</v>
      </c>
      <c r="C1688" t="s">
        <v>225</v>
      </c>
      <c r="D1688"/>
      <c r="E1688" t="s">
        <v>272</v>
      </c>
      <c r="F1688" t="s">
        <v>272</v>
      </c>
      <c r="G1688" t="s">
        <v>269</v>
      </c>
      <c r="H1688" t="n">
        <v>40962</v>
      </c>
      <c r="I1688"/>
      <c r="J1688" t="n">
        <v>10814</v>
      </c>
      <c r="K1688"/>
      <c r="L1688"/>
      <c r="M1688"/>
      <c r="N1688" t="s">
        <v>217</v>
      </c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 t="n">
        <v>90206</v>
      </c>
      <c r="AC1688"/>
      <c r="AD1688"/>
      <c r="AE1688"/>
      <c r="AF1688"/>
      <c r="AG1688"/>
      <c r="AH1688"/>
      <c r="AI1688"/>
      <c r="AJ1688"/>
      <c r="AK1688"/>
      <c r="AL1688"/>
    </row>
    <row r="1689">
      <c r="A1689" t="s">
        <v>261</v>
      </c>
      <c r="B1689" t="s">
        <v>224</v>
      </c>
      <c r="C1689" t="s">
        <v>225</v>
      </c>
      <c r="D1689"/>
      <c r="E1689" t="s">
        <v>272</v>
      </c>
      <c r="F1689" t="s">
        <v>272</v>
      </c>
      <c r="G1689" t="s">
        <v>269</v>
      </c>
      <c r="H1689" t="n">
        <v>40962</v>
      </c>
      <c r="I1689"/>
      <c r="J1689" t="n">
        <v>10814</v>
      </c>
      <c r="K1689"/>
      <c r="L1689"/>
      <c r="M1689"/>
      <c r="N1689" t="s">
        <v>218</v>
      </c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 t="n">
        <v>9</v>
      </c>
      <c r="AC1689"/>
      <c r="AD1689"/>
      <c r="AE1689"/>
      <c r="AF1689"/>
      <c r="AG1689"/>
      <c r="AH1689"/>
      <c r="AI1689"/>
      <c r="AJ1689"/>
      <c r="AK1689"/>
      <c r="AL1689"/>
    </row>
    <row r="1690">
      <c r="A1690" t="s">
        <v>261</v>
      </c>
      <c r="B1690" t="s">
        <v>224</v>
      </c>
      <c r="C1690" t="s">
        <v>225</v>
      </c>
      <c r="D1690"/>
      <c r="E1690" t="s">
        <v>272</v>
      </c>
      <c r="F1690" t="s">
        <v>272</v>
      </c>
      <c r="G1690" t="s">
        <v>269</v>
      </c>
      <c r="H1690" t="n">
        <v>40962</v>
      </c>
      <c r="I1690"/>
      <c r="J1690" t="n">
        <v>10814</v>
      </c>
      <c r="K1690"/>
      <c r="L1690"/>
      <c r="M1690"/>
      <c r="N1690" t="s">
        <v>219</v>
      </c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 t="n">
        <v>14</v>
      </c>
      <c r="AC1690"/>
      <c r="AD1690"/>
      <c r="AE1690"/>
      <c r="AF1690"/>
      <c r="AG1690"/>
      <c r="AH1690"/>
      <c r="AI1690"/>
      <c r="AJ1690"/>
      <c r="AK1690"/>
      <c r="AL1690"/>
    </row>
    <row r="1691">
      <c r="A1691" t="s">
        <v>261</v>
      </c>
      <c r="B1691" t="s">
        <v>224</v>
      </c>
      <c r="C1691" t="s">
        <v>225</v>
      </c>
      <c r="D1691"/>
      <c r="E1691" t="s">
        <v>272</v>
      </c>
      <c r="F1691" t="s">
        <v>272</v>
      </c>
      <c r="G1691" t="s">
        <v>269</v>
      </c>
      <c r="H1691" t="n">
        <v>40962</v>
      </c>
      <c r="I1691"/>
      <c r="J1691" t="n">
        <v>10814</v>
      </c>
      <c r="K1691"/>
      <c r="L1691"/>
      <c r="M1691"/>
      <c r="N1691" t="s">
        <v>220</v>
      </c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 t="n">
        <v>13</v>
      </c>
      <c r="AC1691"/>
      <c r="AD1691"/>
      <c r="AE1691"/>
      <c r="AF1691"/>
      <c r="AG1691"/>
      <c r="AH1691"/>
      <c r="AI1691"/>
      <c r="AJ1691"/>
      <c r="AK1691"/>
      <c r="AL1691"/>
    </row>
    <row r="1692">
      <c r="A1692" t="s">
        <v>261</v>
      </c>
      <c r="B1692" t="s">
        <v>224</v>
      </c>
      <c r="C1692" t="s">
        <v>225</v>
      </c>
      <c r="D1692"/>
      <c r="E1692" t="s">
        <v>272</v>
      </c>
      <c r="F1692" t="s">
        <v>272</v>
      </c>
      <c r="G1692" t="s">
        <v>269</v>
      </c>
      <c r="H1692" t="n">
        <v>40962</v>
      </c>
      <c r="I1692"/>
      <c r="J1692" t="n">
        <v>10814</v>
      </c>
      <c r="K1692"/>
      <c r="L1692"/>
      <c r="M1692"/>
      <c r="N1692" t="s">
        <v>221</v>
      </c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 t="n">
        <v>11.2813906953477</v>
      </c>
      <c r="AC1692"/>
      <c r="AD1692"/>
      <c r="AE1692"/>
      <c r="AF1692"/>
      <c r="AG1692"/>
      <c r="AH1692"/>
      <c r="AI1692"/>
      <c r="AJ1692"/>
      <c r="AK1692"/>
      <c r="AL1692"/>
    </row>
    <row r="1693">
      <c r="A1693" t="s">
        <v>261</v>
      </c>
      <c r="B1693" t="s">
        <v>224</v>
      </c>
      <c r="C1693" t="s">
        <v>225</v>
      </c>
      <c r="D1693"/>
      <c r="E1693" t="s">
        <v>272</v>
      </c>
      <c r="F1693" t="s">
        <v>272</v>
      </c>
      <c r="G1693" t="s">
        <v>269</v>
      </c>
      <c r="H1693" t="n">
        <v>40962</v>
      </c>
      <c r="I1693"/>
      <c r="J1693" t="n">
        <v>10814</v>
      </c>
      <c r="K1693"/>
      <c r="L1693"/>
      <c r="M1693"/>
      <c r="N1693" t="s">
        <v>222</v>
      </c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</row>
    <row r="1694">
      <c r="A1694" t="s">
        <v>261</v>
      </c>
      <c r="B1694" t="s">
        <v>247</v>
      </c>
      <c r="C1694" t="s">
        <v>231</v>
      </c>
      <c r="D1694" t="s">
        <v>213</v>
      </c>
      <c r="E1694" t="s">
        <v>272</v>
      </c>
      <c r="F1694" t="s">
        <v>272</v>
      </c>
      <c r="G1694" t="s">
        <v>269</v>
      </c>
      <c r="H1694" t="n">
        <v>98983</v>
      </c>
      <c r="I1694"/>
      <c r="J1694" t="n">
        <v>1009627</v>
      </c>
      <c r="K1694" t="s">
        <v>283</v>
      </c>
      <c r="L1694"/>
      <c r="M1694"/>
      <c r="N1694" t="s">
        <v>214</v>
      </c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 t="n">
        <v>49382</v>
      </c>
      <c r="AC1694"/>
      <c r="AD1694"/>
      <c r="AE1694"/>
      <c r="AF1694"/>
      <c r="AG1694"/>
      <c r="AH1694"/>
      <c r="AI1694"/>
      <c r="AJ1694"/>
      <c r="AK1694"/>
      <c r="AL1694"/>
    </row>
    <row r="1695">
      <c r="A1695" t="s">
        <v>261</v>
      </c>
      <c r="B1695" t="s">
        <v>247</v>
      </c>
      <c r="C1695" t="s">
        <v>231</v>
      </c>
      <c r="D1695" t="s">
        <v>213</v>
      </c>
      <c r="E1695" t="s">
        <v>272</v>
      </c>
      <c r="F1695" t="s">
        <v>272</v>
      </c>
      <c r="G1695" t="s">
        <v>269</v>
      </c>
      <c r="H1695" t="n">
        <v>98983</v>
      </c>
      <c r="I1695"/>
      <c r="J1695" t="n">
        <v>1009627</v>
      </c>
      <c r="K1695" t="s">
        <v>283</v>
      </c>
      <c r="L1695"/>
      <c r="M1695"/>
      <c r="N1695" t="s">
        <v>215</v>
      </c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</row>
    <row r="1696">
      <c r="A1696" t="s">
        <v>261</v>
      </c>
      <c r="B1696" t="s">
        <v>247</v>
      </c>
      <c r="C1696" t="s">
        <v>231</v>
      </c>
      <c r="D1696" t="s">
        <v>213</v>
      </c>
      <c r="E1696" t="s">
        <v>272</v>
      </c>
      <c r="F1696" t="s">
        <v>272</v>
      </c>
      <c r="G1696" t="s">
        <v>269</v>
      </c>
      <c r="H1696" t="n">
        <v>98983</v>
      </c>
      <c r="I1696"/>
      <c r="J1696" t="n">
        <v>1009627</v>
      </c>
      <c r="K1696" t="s">
        <v>283</v>
      </c>
      <c r="L1696"/>
      <c r="M1696"/>
      <c r="N1696" t="s">
        <v>216</v>
      </c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 t="n">
        <v>17890</v>
      </c>
      <c r="AC1696"/>
      <c r="AD1696"/>
      <c r="AE1696"/>
      <c r="AF1696"/>
      <c r="AG1696"/>
      <c r="AH1696"/>
      <c r="AI1696"/>
      <c r="AJ1696"/>
      <c r="AK1696"/>
      <c r="AL1696"/>
    </row>
    <row r="1697">
      <c r="A1697" t="s">
        <v>261</v>
      </c>
      <c r="B1697" t="s">
        <v>247</v>
      </c>
      <c r="C1697" t="s">
        <v>231</v>
      </c>
      <c r="D1697" t="s">
        <v>213</v>
      </c>
      <c r="E1697" t="s">
        <v>272</v>
      </c>
      <c r="F1697" t="s">
        <v>272</v>
      </c>
      <c r="G1697" t="s">
        <v>269</v>
      </c>
      <c r="H1697" t="n">
        <v>98983</v>
      </c>
      <c r="I1697"/>
      <c r="J1697" t="n">
        <v>1009627</v>
      </c>
      <c r="K1697" t="s">
        <v>283</v>
      </c>
      <c r="L1697"/>
      <c r="M1697"/>
      <c r="N1697" t="s">
        <v>217</v>
      </c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 t="n">
        <v>130475</v>
      </c>
      <c r="AC1697"/>
      <c r="AD1697"/>
      <c r="AE1697"/>
      <c r="AF1697"/>
      <c r="AG1697"/>
      <c r="AH1697"/>
      <c r="AI1697"/>
      <c r="AJ1697"/>
      <c r="AK1697"/>
      <c r="AL1697"/>
    </row>
    <row r="1698">
      <c r="A1698" t="s">
        <v>261</v>
      </c>
      <c r="B1698" t="s">
        <v>247</v>
      </c>
      <c r="C1698" t="s">
        <v>231</v>
      </c>
      <c r="D1698" t="s">
        <v>213</v>
      </c>
      <c r="E1698" t="s">
        <v>272</v>
      </c>
      <c r="F1698" t="s">
        <v>272</v>
      </c>
      <c r="G1698" t="s">
        <v>269</v>
      </c>
      <c r="H1698" t="n">
        <v>98983</v>
      </c>
      <c r="I1698"/>
      <c r="J1698" t="n">
        <v>1009627</v>
      </c>
      <c r="K1698" t="s">
        <v>283</v>
      </c>
      <c r="L1698"/>
      <c r="M1698"/>
      <c r="N1698" t="s">
        <v>218</v>
      </c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 t="n">
        <v>9</v>
      </c>
      <c r="AC1698"/>
      <c r="AD1698"/>
      <c r="AE1698"/>
      <c r="AF1698"/>
      <c r="AG1698"/>
      <c r="AH1698"/>
      <c r="AI1698"/>
      <c r="AJ1698"/>
      <c r="AK1698"/>
      <c r="AL1698"/>
    </row>
    <row r="1699">
      <c r="A1699" t="s">
        <v>261</v>
      </c>
      <c r="B1699" t="s">
        <v>247</v>
      </c>
      <c r="C1699" t="s">
        <v>231</v>
      </c>
      <c r="D1699" t="s">
        <v>213</v>
      </c>
      <c r="E1699" t="s">
        <v>272</v>
      </c>
      <c r="F1699" t="s">
        <v>272</v>
      </c>
      <c r="G1699" t="s">
        <v>269</v>
      </c>
      <c r="H1699" t="n">
        <v>98983</v>
      </c>
      <c r="I1699"/>
      <c r="J1699" t="n">
        <v>1009627</v>
      </c>
      <c r="K1699" t="s">
        <v>283</v>
      </c>
      <c r="L1699"/>
      <c r="M1699"/>
      <c r="N1699" t="s">
        <v>219</v>
      </c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 t="n">
        <v>14</v>
      </c>
      <c r="AC1699"/>
      <c r="AD1699"/>
      <c r="AE1699"/>
      <c r="AF1699"/>
      <c r="AG1699"/>
      <c r="AH1699"/>
      <c r="AI1699"/>
      <c r="AJ1699"/>
      <c r="AK1699"/>
      <c r="AL1699"/>
    </row>
    <row r="1700">
      <c r="A1700" t="s">
        <v>261</v>
      </c>
      <c r="B1700" t="s">
        <v>247</v>
      </c>
      <c r="C1700" t="s">
        <v>231</v>
      </c>
      <c r="D1700" t="s">
        <v>213</v>
      </c>
      <c r="E1700" t="s">
        <v>272</v>
      </c>
      <c r="F1700" t="s">
        <v>272</v>
      </c>
      <c r="G1700" t="s">
        <v>269</v>
      </c>
      <c r="H1700" t="n">
        <v>98983</v>
      </c>
      <c r="I1700"/>
      <c r="J1700" t="n">
        <v>1009627</v>
      </c>
      <c r="K1700" t="s">
        <v>283</v>
      </c>
      <c r="L1700"/>
      <c r="M1700"/>
      <c r="N1700" t="s">
        <v>220</v>
      </c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 t="n">
        <v>13</v>
      </c>
      <c r="AC1700"/>
      <c r="AD1700"/>
      <c r="AE1700"/>
      <c r="AF1700"/>
      <c r="AG1700"/>
      <c r="AH1700"/>
      <c r="AI1700"/>
      <c r="AJ1700"/>
      <c r="AK1700"/>
      <c r="AL1700"/>
    </row>
    <row r="1701">
      <c r="A1701" t="s">
        <v>261</v>
      </c>
      <c r="B1701" t="s">
        <v>247</v>
      </c>
      <c r="C1701" t="s">
        <v>231</v>
      </c>
      <c r="D1701" t="s">
        <v>213</v>
      </c>
      <c r="E1701" t="s">
        <v>272</v>
      </c>
      <c r="F1701" t="s">
        <v>272</v>
      </c>
      <c r="G1701" t="s">
        <v>269</v>
      </c>
      <c r="H1701" t="n">
        <v>98983</v>
      </c>
      <c r="I1701"/>
      <c r="J1701" t="n">
        <v>1009627</v>
      </c>
      <c r="K1701" t="s">
        <v>283</v>
      </c>
      <c r="L1701"/>
      <c r="M1701"/>
      <c r="N1701" t="s">
        <v>221</v>
      </c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 t="n">
        <v>7.29318054779206</v>
      </c>
      <c r="AC1701"/>
      <c r="AD1701"/>
      <c r="AE1701"/>
      <c r="AF1701"/>
      <c r="AG1701"/>
      <c r="AH1701"/>
      <c r="AI1701"/>
      <c r="AJ1701"/>
      <c r="AK1701"/>
      <c r="AL1701"/>
    </row>
    <row r="1702">
      <c r="A1702" t="s">
        <v>261</v>
      </c>
      <c r="B1702" t="s">
        <v>247</v>
      </c>
      <c r="C1702" t="s">
        <v>231</v>
      </c>
      <c r="D1702" t="s">
        <v>213</v>
      </c>
      <c r="E1702" t="s">
        <v>272</v>
      </c>
      <c r="F1702" t="s">
        <v>272</v>
      </c>
      <c r="G1702" t="s">
        <v>269</v>
      </c>
      <c r="H1702" t="n">
        <v>98983</v>
      </c>
      <c r="I1702"/>
      <c r="J1702" t="n">
        <v>1009627</v>
      </c>
      <c r="K1702" t="s">
        <v>283</v>
      </c>
      <c r="L1702"/>
      <c r="M1702"/>
      <c r="N1702" t="s">
        <v>222</v>
      </c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</row>
    <row r="1703">
      <c r="A1703" t="s">
        <v>250</v>
      </c>
      <c r="B1703" t="s">
        <v>247</v>
      </c>
      <c r="C1703" t="s">
        <v>231</v>
      </c>
      <c r="D1703" t="s">
        <v>213</v>
      </c>
      <c r="E1703"/>
      <c r="F1703"/>
      <c r="G1703" t="s">
        <v>269</v>
      </c>
      <c r="H1703" t="n">
        <v>170000</v>
      </c>
      <c r="I1703"/>
      <c r="J1703"/>
      <c r="K1703"/>
      <c r="L1703"/>
      <c r="M1703"/>
      <c r="N1703" t="s">
        <v>214</v>
      </c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 t="n">
        <v>139368</v>
      </c>
      <c r="AC1703"/>
      <c r="AD1703"/>
      <c r="AE1703"/>
      <c r="AF1703"/>
      <c r="AG1703"/>
      <c r="AH1703"/>
      <c r="AI1703"/>
      <c r="AJ1703"/>
      <c r="AK1703"/>
      <c r="AL1703"/>
    </row>
    <row r="1704">
      <c r="A1704" t="s">
        <v>250</v>
      </c>
      <c r="B1704" t="s">
        <v>247</v>
      </c>
      <c r="C1704" t="s">
        <v>231</v>
      </c>
      <c r="D1704" t="s">
        <v>213</v>
      </c>
      <c r="E1704"/>
      <c r="F1704"/>
      <c r="G1704" t="s">
        <v>269</v>
      </c>
      <c r="H1704" t="n">
        <v>170000</v>
      </c>
      <c r="I1704"/>
      <c r="J1704"/>
      <c r="K1704"/>
      <c r="L1704"/>
      <c r="M1704"/>
      <c r="N1704" t="s">
        <v>215</v>
      </c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</row>
    <row r="1705">
      <c r="A1705" t="s">
        <v>250</v>
      </c>
      <c r="B1705" t="s">
        <v>247</v>
      </c>
      <c r="C1705" t="s">
        <v>231</v>
      </c>
      <c r="D1705" t="s">
        <v>213</v>
      </c>
      <c r="E1705"/>
      <c r="F1705"/>
      <c r="G1705" t="s">
        <v>269</v>
      </c>
      <c r="H1705" t="n">
        <v>170000</v>
      </c>
      <c r="I1705"/>
      <c r="J1705"/>
      <c r="K1705"/>
      <c r="L1705"/>
      <c r="M1705"/>
      <c r="N1705" t="s">
        <v>216</v>
      </c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 t="n">
        <v>19340</v>
      </c>
      <c r="AC1705"/>
      <c r="AD1705"/>
      <c r="AE1705"/>
      <c r="AF1705"/>
      <c r="AG1705"/>
      <c r="AH1705"/>
      <c r="AI1705"/>
      <c r="AJ1705"/>
      <c r="AK1705"/>
      <c r="AL1705"/>
    </row>
    <row r="1706">
      <c r="A1706" t="s">
        <v>250</v>
      </c>
      <c r="B1706" t="s">
        <v>247</v>
      </c>
      <c r="C1706" t="s">
        <v>231</v>
      </c>
      <c r="D1706" t="s">
        <v>213</v>
      </c>
      <c r="E1706"/>
      <c r="F1706"/>
      <c r="G1706" t="s">
        <v>269</v>
      </c>
      <c r="H1706" t="n">
        <v>170000</v>
      </c>
      <c r="I1706"/>
      <c r="J1706"/>
      <c r="K1706"/>
      <c r="L1706"/>
      <c r="M1706"/>
      <c r="N1706" t="s">
        <v>217</v>
      </c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 t="n">
        <v>290028</v>
      </c>
      <c r="AC1706"/>
      <c r="AD1706"/>
      <c r="AE1706"/>
      <c r="AF1706"/>
      <c r="AG1706"/>
      <c r="AH1706"/>
      <c r="AI1706"/>
      <c r="AJ1706"/>
      <c r="AK1706"/>
      <c r="AL1706"/>
    </row>
    <row r="1707">
      <c r="A1707" t="s">
        <v>250</v>
      </c>
      <c r="B1707" t="s">
        <v>247</v>
      </c>
      <c r="C1707" t="s">
        <v>231</v>
      </c>
      <c r="D1707" t="s">
        <v>213</v>
      </c>
      <c r="E1707"/>
      <c r="F1707"/>
      <c r="G1707" t="s">
        <v>269</v>
      </c>
      <c r="H1707" t="n">
        <v>170000</v>
      </c>
      <c r="I1707"/>
      <c r="J1707"/>
      <c r="K1707"/>
      <c r="L1707"/>
      <c r="M1707"/>
      <c r="N1707" t="s">
        <v>218</v>
      </c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 t="n">
        <v>7</v>
      </c>
      <c r="AC1707"/>
      <c r="AD1707"/>
      <c r="AE1707"/>
      <c r="AF1707"/>
      <c r="AG1707"/>
      <c r="AH1707"/>
      <c r="AI1707"/>
      <c r="AJ1707"/>
      <c r="AK1707"/>
      <c r="AL1707"/>
    </row>
    <row r="1708">
      <c r="A1708" t="s">
        <v>250</v>
      </c>
      <c r="B1708" t="s">
        <v>247</v>
      </c>
      <c r="C1708" t="s">
        <v>231</v>
      </c>
      <c r="D1708" t="s">
        <v>213</v>
      </c>
      <c r="E1708"/>
      <c r="F1708"/>
      <c r="G1708" t="s">
        <v>269</v>
      </c>
      <c r="H1708" t="n">
        <v>170000</v>
      </c>
      <c r="I1708"/>
      <c r="J1708"/>
      <c r="K1708"/>
      <c r="L1708"/>
      <c r="M1708"/>
      <c r="N1708" t="s">
        <v>219</v>
      </c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 t="n">
        <v>15</v>
      </c>
      <c r="AC1708"/>
      <c r="AD1708"/>
      <c r="AE1708"/>
      <c r="AF1708"/>
      <c r="AG1708"/>
      <c r="AH1708"/>
      <c r="AI1708"/>
      <c r="AJ1708"/>
      <c r="AK1708"/>
      <c r="AL1708"/>
    </row>
    <row r="1709">
      <c r="A1709" t="s">
        <v>250</v>
      </c>
      <c r="B1709" t="s">
        <v>247</v>
      </c>
      <c r="C1709" t="s">
        <v>231</v>
      </c>
      <c r="D1709" t="s">
        <v>213</v>
      </c>
      <c r="E1709"/>
      <c r="F1709"/>
      <c r="G1709" t="s">
        <v>269</v>
      </c>
      <c r="H1709" t="n">
        <v>170000</v>
      </c>
      <c r="I1709"/>
      <c r="J1709"/>
      <c r="K1709"/>
      <c r="L1709"/>
      <c r="M1709"/>
      <c r="N1709" t="s">
        <v>220</v>
      </c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 t="n">
        <v>15</v>
      </c>
      <c r="AC1709"/>
      <c r="AD1709"/>
      <c r="AE1709"/>
      <c r="AF1709"/>
      <c r="AG1709"/>
      <c r="AH1709"/>
      <c r="AI1709"/>
      <c r="AJ1709"/>
      <c r="AK1709"/>
      <c r="AL1709"/>
    </row>
    <row r="1710">
      <c r="A1710" t="s">
        <v>250</v>
      </c>
      <c r="B1710" t="s">
        <v>247</v>
      </c>
      <c r="C1710" t="s">
        <v>231</v>
      </c>
      <c r="D1710" t="s">
        <v>213</v>
      </c>
      <c r="E1710"/>
      <c r="F1710"/>
      <c r="G1710" t="s">
        <v>269</v>
      </c>
      <c r="H1710" t="n">
        <v>170000</v>
      </c>
      <c r="I1710"/>
      <c r="J1710"/>
      <c r="K1710"/>
      <c r="L1710"/>
      <c r="M1710"/>
      <c r="N1710" t="s">
        <v>221</v>
      </c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 t="n">
        <v>14.9962771458118</v>
      </c>
      <c r="AC1710"/>
      <c r="AD1710"/>
      <c r="AE1710"/>
      <c r="AF1710"/>
      <c r="AG1710"/>
      <c r="AH1710"/>
      <c r="AI1710"/>
      <c r="AJ1710"/>
      <c r="AK1710"/>
      <c r="AL1710"/>
    </row>
    <row r="1711">
      <c r="A1711" t="s">
        <v>250</v>
      </c>
      <c r="B1711" t="s">
        <v>247</v>
      </c>
      <c r="C1711" t="s">
        <v>231</v>
      </c>
      <c r="D1711" t="s">
        <v>213</v>
      </c>
      <c r="E1711"/>
      <c r="F1711"/>
      <c r="G1711" t="s">
        <v>269</v>
      </c>
      <c r="H1711" t="n">
        <v>170000</v>
      </c>
      <c r="I1711"/>
      <c r="J1711"/>
      <c r="K1711"/>
      <c r="L1711"/>
      <c r="M1711"/>
      <c r="N1711" t="s">
        <v>222</v>
      </c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</row>
    <row r="1712">
      <c r="A1712" t="s">
        <v>235</v>
      </c>
      <c r="B1712" t="s">
        <v>240</v>
      </c>
      <c r="C1712" t="s">
        <v>241</v>
      </c>
      <c r="D1712" t="s">
        <v>213</v>
      </c>
      <c r="E1712" t="s">
        <v>272</v>
      </c>
      <c r="F1712" t="s">
        <v>272</v>
      </c>
      <c r="G1712" t="s">
        <v>269</v>
      </c>
      <c r="H1712" t="n">
        <v>632016</v>
      </c>
      <c r="I1712"/>
      <c r="J1712" t="n">
        <v>545051</v>
      </c>
      <c r="K1712" t="s">
        <v>284</v>
      </c>
      <c r="L1712"/>
      <c r="M1712"/>
      <c r="N1712" t="s">
        <v>214</v>
      </c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 t="n">
        <v>844408</v>
      </c>
      <c r="AD1712"/>
      <c r="AE1712"/>
      <c r="AF1712"/>
      <c r="AG1712"/>
      <c r="AH1712"/>
      <c r="AI1712"/>
      <c r="AJ1712"/>
      <c r="AK1712"/>
      <c r="AL1712"/>
    </row>
    <row r="1713">
      <c r="A1713" t="s">
        <v>235</v>
      </c>
      <c r="B1713" t="s">
        <v>240</v>
      </c>
      <c r="C1713" t="s">
        <v>241</v>
      </c>
      <c r="D1713" t="s">
        <v>213</v>
      </c>
      <c r="E1713" t="s">
        <v>272</v>
      </c>
      <c r="F1713" t="s">
        <v>272</v>
      </c>
      <c r="G1713" t="s">
        <v>269</v>
      </c>
      <c r="H1713" t="n">
        <v>632016</v>
      </c>
      <c r="I1713"/>
      <c r="J1713" t="n">
        <v>545051</v>
      </c>
      <c r="K1713" t="s">
        <v>284</v>
      </c>
      <c r="L1713"/>
      <c r="M1713"/>
      <c r="N1713" t="s">
        <v>215</v>
      </c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</row>
    <row r="1714">
      <c r="A1714" t="s">
        <v>235</v>
      </c>
      <c r="B1714" t="s">
        <v>240</v>
      </c>
      <c r="C1714" t="s">
        <v>241</v>
      </c>
      <c r="D1714" t="s">
        <v>213</v>
      </c>
      <c r="E1714" t="s">
        <v>272</v>
      </c>
      <c r="F1714" t="s">
        <v>272</v>
      </c>
      <c r="G1714" t="s">
        <v>269</v>
      </c>
      <c r="H1714" t="n">
        <v>632016</v>
      </c>
      <c r="I1714"/>
      <c r="J1714" t="n">
        <v>545051</v>
      </c>
      <c r="K1714" t="s">
        <v>284</v>
      </c>
      <c r="L1714"/>
      <c r="M1714"/>
      <c r="N1714" t="s">
        <v>216</v>
      </c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 t="n">
        <v>110429</v>
      </c>
      <c r="AD1714"/>
      <c r="AE1714"/>
      <c r="AF1714"/>
      <c r="AG1714"/>
      <c r="AH1714"/>
      <c r="AI1714"/>
      <c r="AJ1714"/>
      <c r="AK1714"/>
      <c r="AL1714"/>
    </row>
    <row r="1715">
      <c r="A1715" t="s">
        <v>235</v>
      </c>
      <c r="B1715" t="s">
        <v>240</v>
      </c>
      <c r="C1715" t="s">
        <v>241</v>
      </c>
      <c r="D1715" t="s">
        <v>213</v>
      </c>
      <c r="E1715" t="s">
        <v>272</v>
      </c>
      <c r="F1715" t="s">
        <v>272</v>
      </c>
      <c r="G1715" t="s">
        <v>269</v>
      </c>
      <c r="H1715" t="n">
        <v>632016</v>
      </c>
      <c r="I1715"/>
      <c r="J1715" t="n">
        <v>545051</v>
      </c>
      <c r="K1715" t="s">
        <v>284</v>
      </c>
      <c r="L1715"/>
      <c r="M1715"/>
      <c r="N1715" t="s">
        <v>217</v>
      </c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 t="n">
        <v>1365995</v>
      </c>
      <c r="AD1715"/>
      <c r="AE1715"/>
      <c r="AF1715"/>
      <c r="AG1715"/>
      <c r="AH1715"/>
      <c r="AI1715"/>
      <c r="AJ1715"/>
      <c r="AK1715"/>
      <c r="AL1715"/>
    </row>
    <row r="1716">
      <c r="A1716" t="s">
        <v>235</v>
      </c>
      <c r="B1716" t="s">
        <v>240</v>
      </c>
      <c r="C1716" t="s">
        <v>241</v>
      </c>
      <c r="D1716" t="s">
        <v>213</v>
      </c>
      <c r="E1716" t="s">
        <v>272</v>
      </c>
      <c r="F1716" t="s">
        <v>272</v>
      </c>
      <c r="G1716" t="s">
        <v>269</v>
      </c>
      <c r="H1716" t="n">
        <v>632016</v>
      </c>
      <c r="I1716"/>
      <c r="J1716" t="n">
        <v>545051</v>
      </c>
      <c r="K1716" t="s">
        <v>284</v>
      </c>
      <c r="L1716"/>
      <c r="M1716"/>
      <c r="N1716" t="s">
        <v>218</v>
      </c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 t="n">
        <v>6</v>
      </c>
      <c r="AD1716"/>
      <c r="AE1716"/>
      <c r="AF1716"/>
      <c r="AG1716"/>
      <c r="AH1716"/>
      <c r="AI1716"/>
      <c r="AJ1716"/>
      <c r="AK1716"/>
      <c r="AL1716"/>
    </row>
    <row r="1717">
      <c r="A1717" t="s">
        <v>235</v>
      </c>
      <c r="B1717" t="s">
        <v>240</v>
      </c>
      <c r="C1717" t="s">
        <v>241</v>
      </c>
      <c r="D1717" t="s">
        <v>213</v>
      </c>
      <c r="E1717" t="s">
        <v>272</v>
      </c>
      <c r="F1717" t="s">
        <v>272</v>
      </c>
      <c r="G1717" t="s">
        <v>269</v>
      </c>
      <c r="H1717" t="n">
        <v>632016</v>
      </c>
      <c r="I1717"/>
      <c r="J1717" t="n">
        <v>545051</v>
      </c>
      <c r="K1717" t="s">
        <v>284</v>
      </c>
      <c r="L1717"/>
      <c r="M1717"/>
      <c r="N1717" t="s">
        <v>219</v>
      </c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 t="n">
        <v>12</v>
      </c>
      <c r="AD1717"/>
      <c r="AE1717"/>
      <c r="AF1717"/>
      <c r="AG1717"/>
      <c r="AH1717"/>
      <c r="AI1717"/>
      <c r="AJ1717"/>
      <c r="AK1717"/>
      <c r="AL1717"/>
    </row>
    <row r="1718">
      <c r="A1718" t="s">
        <v>235</v>
      </c>
      <c r="B1718" t="s">
        <v>240</v>
      </c>
      <c r="C1718" t="s">
        <v>241</v>
      </c>
      <c r="D1718" t="s">
        <v>213</v>
      </c>
      <c r="E1718" t="s">
        <v>272</v>
      </c>
      <c r="F1718" t="s">
        <v>272</v>
      </c>
      <c r="G1718" t="s">
        <v>269</v>
      </c>
      <c r="H1718" t="n">
        <v>632016</v>
      </c>
      <c r="I1718"/>
      <c r="J1718" t="n">
        <v>545051</v>
      </c>
      <c r="K1718" t="s">
        <v>284</v>
      </c>
      <c r="L1718"/>
      <c r="M1718"/>
      <c r="N1718" t="s">
        <v>220</v>
      </c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 t="n">
        <v>12</v>
      </c>
      <c r="AD1718"/>
      <c r="AE1718"/>
      <c r="AF1718"/>
      <c r="AG1718"/>
      <c r="AH1718"/>
      <c r="AI1718"/>
      <c r="AJ1718"/>
      <c r="AK1718"/>
      <c r="AL1718"/>
    </row>
    <row r="1719">
      <c r="A1719" t="s">
        <v>235</v>
      </c>
      <c r="B1719" t="s">
        <v>240</v>
      </c>
      <c r="C1719" t="s">
        <v>241</v>
      </c>
      <c r="D1719" t="s">
        <v>213</v>
      </c>
      <c r="E1719" t="s">
        <v>272</v>
      </c>
      <c r="F1719" t="s">
        <v>272</v>
      </c>
      <c r="G1719" t="s">
        <v>269</v>
      </c>
      <c r="H1719" t="n">
        <v>632016</v>
      </c>
      <c r="I1719"/>
      <c r="J1719" t="n">
        <v>545051</v>
      </c>
      <c r="K1719" t="s">
        <v>284</v>
      </c>
      <c r="L1719"/>
      <c r="M1719"/>
      <c r="N1719" t="s">
        <v>221</v>
      </c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 t="n">
        <v>12.3698937779025</v>
      </c>
      <c r="AD1719"/>
      <c r="AE1719"/>
      <c r="AF1719"/>
      <c r="AG1719"/>
      <c r="AH1719"/>
      <c r="AI1719"/>
      <c r="AJ1719"/>
      <c r="AK1719"/>
      <c r="AL1719"/>
    </row>
    <row r="1720">
      <c r="A1720" t="s">
        <v>235</v>
      </c>
      <c r="B1720" t="s">
        <v>240</v>
      </c>
      <c r="C1720" t="s">
        <v>241</v>
      </c>
      <c r="D1720" t="s">
        <v>213</v>
      </c>
      <c r="E1720" t="s">
        <v>272</v>
      </c>
      <c r="F1720" t="s">
        <v>272</v>
      </c>
      <c r="G1720" t="s">
        <v>269</v>
      </c>
      <c r="H1720" t="n">
        <v>632016</v>
      </c>
      <c r="I1720"/>
      <c r="J1720" t="n">
        <v>545051</v>
      </c>
      <c r="K1720" t="s">
        <v>284</v>
      </c>
      <c r="L1720"/>
      <c r="M1720"/>
      <c r="N1720" t="s">
        <v>222</v>
      </c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</row>
    <row r="1721">
      <c r="A1721" t="s">
        <v>261</v>
      </c>
      <c r="B1721" t="s">
        <v>255</v>
      </c>
      <c r="C1721" t="s">
        <v>256</v>
      </c>
      <c r="D1721" t="s">
        <v>213</v>
      </c>
      <c r="E1721" t="s">
        <v>272</v>
      </c>
      <c r="F1721" t="s">
        <v>272</v>
      </c>
      <c r="G1721" t="s">
        <v>269</v>
      </c>
      <c r="H1721" t="n">
        <v>5352</v>
      </c>
      <c r="I1721"/>
      <c r="J1721" t="n">
        <v>70004</v>
      </c>
      <c r="K1721" t="s">
        <v>284</v>
      </c>
      <c r="L1721"/>
      <c r="M1721"/>
      <c r="N1721" t="s">
        <v>214</v>
      </c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 t="n">
        <v>10809</v>
      </c>
      <c r="AD1721"/>
      <c r="AE1721"/>
      <c r="AF1721"/>
      <c r="AG1721"/>
      <c r="AH1721"/>
      <c r="AI1721"/>
      <c r="AJ1721"/>
      <c r="AK1721"/>
      <c r="AL1721"/>
    </row>
    <row r="1722">
      <c r="A1722" t="s">
        <v>261</v>
      </c>
      <c r="B1722" t="s">
        <v>255</v>
      </c>
      <c r="C1722" t="s">
        <v>256</v>
      </c>
      <c r="D1722" t="s">
        <v>213</v>
      </c>
      <c r="E1722" t="s">
        <v>272</v>
      </c>
      <c r="F1722" t="s">
        <v>272</v>
      </c>
      <c r="G1722" t="s">
        <v>269</v>
      </c>
      <c r="H1722" t="n">
        <v>5352</v>
      </c>
      <c r="I1722"/>
      <c r="J1722" t="n">
        <v>70004</v>
      </c>
      <c r="K1722" t="s">
        <v>284</v>
      </c>
      <c r="L1722"/>
      <c r="M1722"/>
      <c r="N1722" t="s">
        <v>215</v>
      </c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</row>
    <row r="1723">
      <c r="A1723" t="s">
        <v>261</v>
      </c>
      <c r="B1723" t="s">
        <v>255</v>
      </c>
      <c r="C1723" t="s">
        <v>256</v>
      </c>
      <c r="D1723" t="s">
        <v>213</v>
      </c>
      <c r="E1723" t="s">
        <v>272</v>
      </c>
      <c r="F1723" t="s">
        <v>272</v>
      </c>
      <c r="G1723" t="s">
        <v>269</v>
      </c>
      <c r="H1723" t="n">
        <v>5352</v>
      </c>
      <c r="I1723"/>
      <c r="J1723" t="n">
        <v>70004</v>
      </c>
      <c r="K1723" t="s">
        <v>284</v>
      </c>
      <c r="L1723"/>
      <c r="M1723"/>
      <c r="N1723" t="s">
        <v>216</v>
      </c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 t="n">
        <v>902</v>
      </c>
      <c r="AD1723"/>
      <c r="AE1723"/>
      <c r="AF1723"/>
      <c r="AG1723"/>
      <c r="AH1723"/>
      <c r="AI1723"/>
      <c r="AJ1723"/>
      <c r="AK1723"/>
      <c r="AL1723"/>
    </row>
    <row r="1724">
      <c r="A1724" t="s">
        <v>261</v>
      </c>
      <c r="B1724" t="s">
        <v>255</v>
      </c>
      <c r="C1724" t="s">
        <v>256</v>
      </c>
      <c r="D1724" t="s">
        <v>213</v>
      </c>
      <c r="E1724" t="s">
        <v>272</v>
      </c>
      <c r="F1724" t="s">
        <v>272</v>
      </c>
      <c r="G1724" t="s">
        <v>269</v>
      </c>
      <c r="H1724" t="n">
        <v>5352</v>
      </c>
      <c r="I1724"/>
      <c r="J1724" t="n">
        <v>70004</v>
      </c>
      <c r="K1724" t="s">
        <v>284</v>
      </c>
      <c r="L1724"/>
      <c r="M1724"/>
      <c r="N1724" t="s">
        <v>217</v>
      </c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 t="n">
        <v>15259</v>
      </c>
      <c r="AD1724"/>
      <c r="AE1724"/>
      <c r="AF1724"/>
      <c r="AG1724"/>
      <c r="AH1724"/>
      <c r="AI1724"/>
      <c r="AJ1724"/>
      <c r="AK1724"/>
      <c r="AL1724"/>
    </row>
    <row r="1725">
      <c r="A1725" t="s">
        <v>261</v>
      </c>
      <c r="B1725" t="s">
        <v>255</v>
      </c>
      <c r="C1725" t="s">
        <v>256</v>
      </c>
      <c r="D1725" t="s">
        <v>213</v>
      </c>
      <c r="E1725" t="s">
        <v>272</v>
      </c>
      <c r="F1725" t="s">
        <v>272</v>
      </c>
      <c r="G1725" t="s">
        <v>269</v>
      </c>
      <c r="H1725" t="n">
        <v>5352</v>
      </c>
      <c r="I1725"/>
      <c r="J1725" t="n">
        <v>70004</v>
      </c>
      <c r="K1725" t="s">
        <v>284</v>
      </c>
      <c r="L1725"/>
      <c r="M1725"/>
      <c r="N1725" t="s">
        <v>218</v>
      </c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 t="n">
        <v>9</v>
      </c>
      <c r="AD1725"/>
      <c r="AE1725"/>
      <c r="AF1725"/>
      <c r="AG1725"/>
      <c r="AH1725"/>
      <c r="AI1725"/>
      <c r="AJ1725"/>
      <c r="AK1725"/>
      <c r="AL1725"/>
    </row>
    <row r="1726">
      <c r="A1726" t="s">
        <v>261</v>
      </c>
      <c r="B1726" t="s">
        <v>255</v>
      </c>
      <c r="C1726" t="s">
        <v>256</v>
      </c>
      <c r="D1726" t="s">
        <v>213</v>
      </c>
      <c r="E1726" t="s">
        <v>272</v>
      </c>
      <c r="F1726" t="s">
        <v>272</v>
      </c>
      <c r="G1726" t="s">
        <v>269</v>
      </c>
      <c r="H1726" t="n">
        <v>5352</v>
      </c>
      <c r="I1726"/>
      <c r="J1726" t="n">
        <v>70004</v>
      </c>
      <c r="K1726" t="s">
        <v>284</v>
      </c>
      <c r="L1726"/>
      <c r="M1726"/>
      <c r="N1726" t="s">
        <v>219</v>
      </c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 t="n">
        <v>14</v>
      </c>
      <c r="AD1726"/>
      <c r="AE1726"/>
      <c r="AF1726"/>
      <c r="AG1726"/>
      <c r="AH1726"/>
      <c r="AI1726"/>
      <c r="AJ1726"/>
      <c r="AK1726"/>
      <c r="AL1726"/>
    </row>
    <row r="1727">
      <c r="A1727" t="s">
        <v>261</v>
      </c>
      <c r="B1727" t="s">
        <v>255</v>
      </c>
      <c r="C1727" t="s">
        <v>256</v>
      </c>
      <c r="D1727" t="s">
        <v>213</v>
      </c>
      <c r="E1727" t="s">
        <v>272</v>
      </c>
      <c r="F1727" t="s">
        <v>272</v>
      </c>
      <c r="G1727" t="s">
        <v>269</v>
      </c>
      <c r="H1727" t="n">
        <v>5352</v>
      </c>
      <c r="I1727"/>
      <c r="J1727" t="n">
        <v>70004</v>
      </c>
      <c r="K1727" t="s">
        <v>284</v>
      </c>
      <c r="L1727"/>
      <c r="M1727"/>
      <c r="N1727" t="s">
        <v>220</v>
      </c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 t="n">
        <v>13</v>
      </c>
      <c r="AD1727"/>
      <c r="AE1727"/>
      <c r="AF1727"/>
      <c r="AG1727"/>
      <c r="AH1727"/>
      <c r="AI1727"/>
      <c r="AJ1727"/>
      <c r="AK1727"/>
      <c r="AL1727"/>
    </row>
    <row r="1728">
      <c r="A1728" t="s">
        <v>261</v>
      </c>
      <c r="B1728" t="s">
        <v>255</v>
      </c>
      <c r="C1728" t="s">
        <v>256</v>
      </c>
      <c r="D1728" t="s">
        <v>213</v>
      </c>
      <c r="E1728" t="s">
        <v>272</v>
      </c>
      <c r="F1728" t="s">
        <v>272</v>
      </c>
      <c r="G1728" t="s">
        <v>269</v>
      </c>
      <c r="H1728" t="n">
        <v>5352</v>
      </c>
      <c r="I1728"/>
      <c r="J1728" t="n">
        <v>70004</v>
      </c>
      <c r="K1728" t="s">
        <v>284</v>
      </c>
      <c r="L1728"/>
      <c r="M1728"/>
      <c r="N1728" t="s">
        <v>221</v>
      </c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 t="n">
        <v>16.9168514412417</v>
      </c>
      <c r="AD1728"/>
      <c r="AE1728"/>
      <c r="AF1728"/>
      <c r="AG1728"/>
      <c r="AH1728"/>
      <c r="AI1728"/>
      <c r="AJ1728"/>
      <c r="AK1728"/>
      <c r="AL1728"/>
    </row>
    <row r="1729">
      <c r="A1729" t="s">
        <v>261</v>
      </c>
      <c r="B1729" t="s">
        <v>255</v>
      </c>
      <c r="C1729" t="s">
        <v>256</v>
      </c>
      <c r="D1729" t="s">
        <v>213</v>
      </c>
      <c r="E1729" t="s">
        <v>272</v>
      </c>
      <c r="F1729" t="s">
        <v>272</v>
      </c>
      <c r="G1729" t="s">
        <v>269</v>
      </c>
      <c r="H1729" t="n">
        <v>5352</v>
      </c>
      <c r="I1729"/>
      <c r="J1729" t="n">
        <v>70004</v>
      </c>
      <c r="K1729" t="s">
        <v>284</v>
      </c>
      <c r="L1729"/>
      <c r="M1729"/>
      <c r="N1729" t="s">
        <v>222</v>
      </c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</row>
    <row r="1730">
      <c r="A1730" t="s">
        <v>250</v>
      </c>
      <c r="B1730" t="s">
        <v>248</v>
      </c>
      <c r="C1730" t="s">
        <v>231</v>
      </c>
      <c r="D1730" t="s">
        <v>213</v>
      </c>
      <c r="E1730"/>
      <c r="F1730"/>
      <c r="G1730" t="s">
        <v>269</v>
      </c>
      <c r="H1730" t="n">
        <v>151100</v>
      </c>
      <c r="I1730"/>
      <c r="J1730"/>
      <c r="K1730"/>
      <c r="L1730"/>
      <c r="M1730"/>
      <c r="N1730" t="s">
        <v>214</v>
      </c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 t="n">
        <v>298972</v>
      </c>
      <c r="AD1730"/>
      <c r="AE1730"/>
      <c r="AF1730"/>
      <c r="AG1730"/>
      <c r="AH1730"/>
      <c r="AI1730"/>
      <c r="AJ1730"/>
      <c r="AK1730"/>
      <c r="AL1730"/>
    </row>
    <row r="1731">
      <c r="A1731" t="s">
        <v>250</v>
      </c>
      <c r="B1731" t="s">
        <v>248</v>
      </c>
      <c r="C1731" t="s">
        <v>231</v>
      </c>
      <c r="D1731" t="s">
        <v>213</v>
      </c>
      <c r="E1731"/>
      <c r="F1731"/>
      <c r="G1731" t="s">
        <v>269</v>
      </c>
      <c r="H1731" t="n">
        <v>151100</v>
      </c>
      <c r="I1731"/>
      <c r="J1731"/>
      <c r="K1731"/>
      <c r="L1731"/>
      <c r="M1731"/>
      <c r="N1731" t="s">
        <v>215</v>
      </c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</row>
    <row r="1732">
      <c r="A1732" t="s">
        <v>250</v>
      </c>
      <c r="B1732" t="s">
        <v>248</v>
      </c>
      <c r="C1732" t="s">
        <v>231</v>
      </c>
      <c r="D1732" t="s">
        <v>213</v>
      </c>
      <c r="E1732"/>
      <c r="F1732"/>
      <c r="G1732" t="s">
        <v>269</v>
      </c>
      <c r="H1732" t="n">
        <v>151100</v>
      </c>
      <c r="I1732"/>
      <c r="J1732"/>
      <c r="K1732"/>
      <c r="L1732"/>
      <c r="M1732"/>
      <c r="N1732" t="s">
        <v>216</v>
      </c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 t="n">
        <v>25029</v>
      </c>
      <c r="AD1732"/>
      <c r="AE1732"/>
      <c r="AF1732"/>
      <c r="AG1732"/>
      <c r="AH1732"/>
      <c r="AI1732"/>
      <c r="AJ1732"/>
      <c r="AK1732"/>
      <c r="AL1732"/>
    </row>
    <row r="1733">
      <c r="A1733" t="s">
        <v>250</v>
      </c>
      <c r="B1733" t="s">
        <v>248</v>
      </c>
      <c r="C1733" t="s">
        <v>231</v>
      </c>
      <c r="D1733" t="s">
        <v>213</v>
      </c>
      <c r="E1733"/>
      <c r="F1733"/>
      <c r="G1733" t="s">
        <v>269</v>
      </c>
      <c r="H1733" t="n">
        <v>151100</v>
      </c>
      <c r="I1733"/>
      <c r="J1733"/>
      <c r="K1733"/>
      <c r="L1733"/>
      <c r="M1733"/>
      <c r="N1733" t="s">
        <v>217</v>
      </c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 t="n">
        <v>425043</v>
      </c>
      <c r="AD1733"/>
      <c r="AE1733"/>
      <c r="AF1733"/>
      <c r="AG1733"/>
      <c r="AH1733"/>
      <c r="AI1733"/>
      <c r="AJ1733"/>
      <c r="AK1733"/>
      <c r="AL1733"/>
    </row>
    <row r="1734">
      <c r="A1734" t="s">
        <v>250</v>
      </c>
      <c r="B1734" t="s">
        <v>248</v>
      </c>
      <c r="C1734" t="s">
        <v>231</v>
      </c>
      <c r="D1734" t="s">
        <v>213</v>
      </c>
      <c r="E1734"/>
      <c r="F1734"/>
      <c r="G1734" t="s">
        <v>269</v>
      </c>
      <c r="H1734" t="n">
        <v>151100</v>
      </c>
      <c r="I1734"/>
      <c r="J1734"/>
      <c r="K1734"/>
      <c r="L1734"/>
      <c r="M1734"/>
      <c r="N1734" t="s">
        <v>218</v>
      </c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 t="n">
        <v>7</v>
      </c>
      <c r="AD1734"/>
      <c r="AE1734"/>
      <c r="AF1734"/>
      <c r="AG1734"/>
      <c r="AH1734"/>
      <c r="AI1734"/>
      <c r="AJ1734"/>
      <c r="AK1734"/>
      <c r="AL1734"/>
    </row>
    <row r="1735">
      <c r="A1735" t="s">
        <v>250</v>
      </c>
      <c r="B1735" t="s">
        <v>248</v>
      </c>
      <c r="C1735" t="s">
        <v>231</v>
      </c>
      <c r="D1735" t="s">
        <v>213</v>
      </c>
      <c r="E1735"/>
      <c r="F1735"/>
      <c r="G1735" t="s">
        <v>269</v>
      </c>
      <c r="H1735" t="n">
        <v>151100</v>
      </c>
      <c r="I1735"/>
      <c r="J1735"/>
      <c r="K1735"/>
      <c r="L1735"/>
      <c r="M1735"/>
      <c r="N1735" t="s">
        <v>219</v>
      </c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 t="n">
        <v>15</v>
      </c>
      <c r="AD1735"/>
      <c r="AE1735"/>
      <c r="AF1735"/>
      <c r="AG1735"/>
      <c r="AH1735"/>
      <c r="AI1735"/>
      <c r="AJ1735"/>
      <c r="AK1735"/>
      <c r="AL1735"/>
    </row>
    <row r="1736">
      <c r="A1736" t="s">
        <v>250</v>
      </c>
      <c r="B1736" t="s">
        <v>248</v>
      </c>
      <c r="C1736" t="s">
        <v>231</v>
      </c>
      <c r="D1736" t="s">
        <v>213</v>
      </c>
      <c r="E1736"/>
      <c r="F1736"/>
      <c r="G1736" t="s">
        <v>269</v>
      </c>
      <c r="H1736" t="n">
        <v>151100</v>
      </c>
      <c r="I1736"/>
      <c r="J1736"/>
      <c r="K1736"/>
      <c r="L1736"/>
      <c r="M1736"/>
      <c r="N1736" t="s">
        <v>220</v>
      </c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 t="n">
        <v>15</v>
      </c>
      <c r="AD1736"/>
      <c r="AE1736"/>
      <c r="AF1736"/>
      <c r="AG1736"/>
      <c r="AH1736"/>
      <c r="AI1736"/>
      <c r="AJ1736"/>
      <c r="AK1736"/>
      <c r="AL1736"/>
    </row>
    <row r="1737">
      <c r="A1737" t="s">
        <v>250</v>
      </c>
      <c r="B1737" t="s">
        <v>248</v>
      </c>
      <c r="C1737" t="s">
        <v>231</v>
      </c>
      <c r="D1737" t="s">
        <v>213</v>
      </c>
      <c r="E1737"/>
      <c r="F1737"/>
      <c r="G1737" t="s">
        <v>269</v>
      </c>
      <c r="H1737" t="n">
        <v>151100</v>
      </c>
      <c r="I1737"/>
      <c r="J1737"/>
      <c r="K1737"/>
      <c r="L1737"/>
      <c r="M1737"/>
      <c r="N1737" t="s">
        <v>221</v>
      </c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 t="n">
        <v>16.9820208558073</v>
      </c>
      <c r="AD1737"/>
      <c r="AE1737"/>
      <c r="AF1737"/>
      <c r="AG1737"/>
      <c r="AH1737"/>
      <c r="AI1737"/>
      <c r="AJ1737"/>
      <c r="AK1737"/>
      <c r="AL1737"/>
    </row>
    <row r="1738">
      <c r="A1738" t="s">
        <v>250</v>
      </c>
      <c r="B1738" t="s">
        <v>248</v>
      </c>
      <c r="C1738" t="s">
        <v>231</v>
      </c>
      <c r="D1738" t="s">
        <v>213</v>
      </c>
      <c r="E1738"/>
      <c r="F1738"/>
      <c r="G1738" t="s">
        <v>269</v>
      </c>
      <c r="H1738" t="n">
        <v>151100</v>
      </c>
      <c r="I1738"/>
      <c r="J1738"/>
      <c r="K1738"/>
      <c r="L1738"/>
      <c r="M1738"/>
      <c r="N1738" t="s">
        <v>222</v>
      </c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</row>
    <row r="1739">
      <c r="A1739" t="s">
        <v>233</v>
      </c>
      <c r="B1739" t="s">
        <v>211</v>
      </c>
      <c r="C1739" t="s">
        <v>212</v>
      </c>
      <c r="D1739" t="s">
        <v>213</v>
      </c>
      <c r="E1739" t="s">
        <v>272</v>
      </c>
      <c r="F1739" t="s">
        <v>272</v>
      </c>
      <c r="G1739" t="s">
        <v>269</v>
      </c>
      <c r="H1739" t="n">
        <v>242617</v>
      </c>
      <c r="I1739"/>
      <c r="J1739"/>
      <c r="K1739"/>
      <c r="L1739"/>
      <c r="M1739"/>
      <c r="N1739" t="s">
        <v>214</v>
      </c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 t="n">
        <v>215800</v>
      </c>
      <c r="AE1739"/>
      <c r="AF1739"/>
      <c r="AG1739"/>
      <c r="AH1739"/>
      <c r="AI1739"/>
      <c r="AJ1739"/>
      <c r="AK1739"/>
      <c r="AL1739"/>
    </row>
    <row r="1740">
      <c r="A1740" t="s">
        <v>233</v>
      </c>
      <c r="B1740" t="s">
        <v>211</v>
      </c>
      <c r="C1740" t="s">
        <v>212</v>
      </c>
      <c r="D1740" t="s">
        <v>213</v>
      </c>
      <c r="E1740" t="s">
        <v>272</v>
      </c>
      <c r="F1740" t="s">
        <v>272</v>
      </c>
      <c r="G1740" t="s">
        <v>269</v>
      </c>
      <c r="H1740" t="n">
        <v>242617</v>
      </c>
      <c r="I1740"/>
      <c r="J1740"/>
      <c r="K1740"/>
      <c r="L1740"/>
      <c r="M1740"/>
      <c r="N1740" t="s">
        <v>215</v>
      </c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</row>
    <row r="1741">
      <c r="A1741" t="s">
        <v>233</v>
      </c>
      <c r="B1741" t="s">
        <v>211</v>
      </c>
      <c r="C1741" t="s">
        <v>212</v>
      </c>
      <c r="D1741" t="s">
        <v>213</v>
      </c>
      <c r="E1741" t="s">
        <v>272</v>
      </c>
      <c r="F1741" t="s">
        <v>272</v>
      </c>
      <c r="G1741" t="s">
        <v>269</v>
      </c>
      <c r="H1741" t="n">
        <v>242617</v>
      </c>
      <c r="I1741"/>
      <c r="J1741"/>
      <c r="K1741"/>
      <c r="L1741"/>
      <c r="M1741"/>
      <c r="N1741" t="s">
        <v>216</v>
      </c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 t="n">
        <v>78000</v>
      </c>
      <c r="AE1741"/>
      <c r="AF1741"/>
      <c r="AG1741"/>
      <c r="AH1741"/>
      <c r="AI1741"/>
      <c r="AJ1741"/>
      <c r="AK1741"/>
      <c r="AL1741"/>
    </row>
    <row r="1742">
      <c r="A1742" t="s">
        <v>233</v>
      </c>
      <c r="B1742" t="s">
        <v>211</v>
      </c>
      <c r="C1742" t="s">
        <v>212</v>
      </c>
      <c r="D1742" t="s">
        <v>213</v>
      </c>
      <c r="E1742" t="s">
        <v>272</v>
      </c>
      <c r="F1742" t="s">
        <v>272</v>
      </c>
      <c r="G1742" t="s">
        <v>269</v>
      </c>
      <c r="H1742" t="n">
        <v>242617</v>
      </c>
      <c r="I1742"/>
      <c r="J1742"/>
      <c r="K1742"/>
      <c r="L1742"/>
      <c r="M1742"/>
      <c r="N1742" t="s">
        <v>217</v>
      </c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 t="n">
        <v>380417</v>
      </c>
      <c r="AE1742"/>
      <c r="AF1742"/>
      <c r="AG1742"/>
      <c r="AH1742"/>
      <c r="AI1742"/>
      <c r="AJ1742"/>
      <c r="AK1742"/>
      <c r="AL1742"/>
    </row>
    <row r="1743">
      <c r="A1743" t="s">
        <v>233</v>
      </c>
      <c r="B1743" t="s">
        <v>211</v>
      </c>
      <c r="C1743" t="s">
        <v>212</v>
      </c>
      <c r="D1743" t="s">
        <v>213</v>
      </c>
      <c r="E1743" t="s">
        <v>272</v>
      </c>
      <c r="F1743" t="s">
        <v>272</v>
      </c>
      <c r="G1743" t="s">
        <v>269</v>
      </c>
      <c r="H1743" t="n">
        <v>242617</v>
      </c>
      <c r="I1743"/>
      <c r="J1743"/>
      <c r="K1743"/>
      <c r="L1743"/>
      <c r="M1743"/>
      <c r="N1743" t="s">
        <v>218</v>
      </c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 t="n">
        <v>3</v>
      </c>
      <c r="AE1743"/>
      <c r="AF1743"/>
      <c r="AG1743"/>
      <c r="AH1743"/>
      <c r="AI1743"/>
      <c r="AJ1743"/>
      <c r="AK1743"/>
      <c r="AL1743"/>
    </row>
    <row r="1744">
      <c r="A1744" t="s">
        <v>233</v>
      </c>
      <c r="B1744" t="s">
        <v>211</v>
      </c>
      <c r="C1744" t="s">
        <v>212</v>
      </c>
      <c r="D1744" t="s">
        <v>213</v>
      </c>
      <c r="E1744" t="s">
        <v>272</v>
      </c>
      <c r="F1744" t="s">
        <v>272</v>
      </c>
      <c r="G1744" t="s">
        <v>269</v>
      </c>
      <c r="H1744" t="n">
        <v>242617</v>
      </c>
      <c r="I1744"/>
      <c r="J1744"/>
      <c r="K1744"/>
      <c r="L1744"/>
      <c r="M1744"/>
      <c r="N1744" t="s">
        <v>219</v>
      </c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 t="n">
        <v>6</v>
      </c>
      <c r="AE1744"/>
      <c r="AF1744"/>
      <c r="AG1744"/>
      <c r="AH1744"/>
      <c r="AI1744"/>
      <c r="AJ1744"/>
      <c r="AK1744"/>
      <c r="AL1744"/>
    </row>
    <row r="1745">
      <c r="A1745" t="s">
        <v>233</v>
      </c>
      <c r="B1745" t="s">
        <v>211</v>
      </c>
      <c r="C1745" t="s">
        <v>212</v>
      </c>
      <c r="D1745" t="s">
        <v>213</v>
      </c>
      <c r="E1745" t="s">
        <v>272</v>
      </c>
      <c r="F1745" t="s">
        <v>272</v>
      </c>
      <c r="G1745" t="s">
        <v>269</v>
      </c>
      <c r="H1745" t="n">
        <v>242617</v>
      </c>
      <c r="I1745"/>
      <c r="J1745"/>
      <c r="K1745"/>
      <c r="L1745"/>
      <c r="M1745"/>
      <c r="N1745" t="s">
        <v>220</v>
      </c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 t="n">
        <v>6</v>
      </c>
      <c r="AE1745"/>
      <c r="AF1745"/>
      <c r="AG1745"/>
      <c r="AH1745"/>
      <c r="AI1745"/>
      <c r="AJ1745"/>
      <c r="AK1745"/>
      <c r="AL1745"/>
    </row>
    <row r="1746">
      <c r="A1746" t="s">
        <v>233</v>
      </c>
      <c r="B1746" t="s">
        <v>211</v>
      </c>
      <c r="C1746" t="s">
        <v>212</v>
      </c>
      <c r="D1746" t="s">
        <v>213</v>
      </c>
      <c r="E1746" t="s">
        <v>272</v>
      </c>
      <c r="F1746" t="s">
        <v>272</v>
      </c>
      <c r="G1746" t="s">
        <v>269</v>
      </c>
      <c r="H1746" t="n">
        <v>242617</v>
      </c>
      <c r="I1746"/>
      <c r="J1746"/>
      <c r="K1746"/>
      <c r="L1746"/>
      <c r="M1746"/>
      <c r="N1746" t="s">
        <v>221</v>
      </c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 t="n">
        <v>4.87714102564103</v>
      </c>
      <c r="AE1746"/>
      <c r="AF1746"/>
      <c r="AG1746"/>
      <c r="AH1746"/>
      <c r="AI1746"/>
      <c r="AJ1746"/>
      <c r="AK1746"/>
      <c r="AL1746"/>
    </row>
    <row r="1747">
      <c r="A1747" t="s">
        <v>233</v>
      </c>
      <c r="B1747" t="s">
        <v>211</v>
      </c>
      <c r="C1747" t="s">
        <v>212</v>
      </c>
      <c r="D1747" t="s">
        <v>213</v>
      </c>
      <c r="E1747" t="s">
        <v>272</v>
      </c>
      <c r="F1747" t="s">
        <v>272</v>
      </c>
      <c r="G1747" t="s">
        <v>269</v>
      </c>
      <c r="H1747" t="n">
        <v>242617</v>
      </c>
      <c r="I1747"/>
      <c r="J1747"/>
      <c r="K1747"/>
      <c r="L1747"/>
      <c r="M1747"/>
      <c r="N1747" t="s">
        <v>222</v>
      </c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</row>
    <row r="1748">
      <c r="A1748" t="s">
        <v>261</v>
      </c>
      <c r="B1748" t="s">
        <v>238</v>
      </c>
      <c r="C1748" t="s">
        <v>231</v>
      </c>
      <c r="D1748" t="s">
        <v>213</v>
      </c>
      <c r="E1748" t="s">
        <v>272</v>
      </c>
      <c r="F1748" t="s">
        <v>272</v>
      </c>
      <c r="G1748" t="s">
        <v>269</v>
      </c>
      <c r="H1748" t="n">
        <v>4605</v>
      </c>
      <c r="I1748"/>
      <c r="J1748" t="n">
        <v>2321</v>
      </c>
      <c r="K1748"/>
      <c r="L1748"/>
      <c r="M1748"/>
      <c r="N1748" t="s">
        <v>214</v>
      </c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 t="n">
        <v>917</v>
      </c>
      <c r="AE1748"/>
      <c r="AF1748"/>
      <c r="AG1748"/>
      <c r="AH1748"/>
      <c r="AI1748"/>
      <c r="AJ1748"/>
      <c r="AK1748"/>
      <c r="AL1748"/>
    </row>
    <row r="1749">
      <c r="A1749" t="s">
        <v>261</v>
      </c>
      <c r="B1749" t="s">
        <v>238</v>
      </c>
      <c r="C1749" t="s">
        <v>231</v>
      </c>
      <c r="D1749" t="s">
        <v>213</v>
      </c>
      <c r="E1749" t="s">
        <v>272</v>
      </c>
      <c r="F1749" t="s">
        <v>272</v>
      </c>
      <c r="G1749" t="s">
        <v>269</v>
      </c>
      <c r="H1749" t="n">
        <v>4605</v>
      </c>
      <c r="I1749"/>
      <c r="J1749" t="n">
        <v>2321</v>
      </c>
      <c r="K1749"/>
      <c r="L1749"/>
      <c r="M1749"/>
      <c r="N1749" t="s">
        <v>215</v>
      </c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</row>
    <row r="1750">
      <c r="A1750" t="s">
        <v>261</v>
      </c>
      <c r="B1750" t="s">
        <v>238</v>
      </c>
      <c r="C1750" t="s">
        <v>231</v>
      </c>
      <c r="D1750" t="s">
        <v>213</v>
      </c>
      <c r="E1750" t="s">
        <v>272</v>
      </c>
      <c r="F1750" t="s">
        <v>272</v>
      </c>
      <c r="G1750" t="s">
        <v>269</v>
      </c>
      <c r="H1750" t="n">
        <v>4605</v>
      </c>
      <c r="I1750"/>
      <c r="J1750" t="n">
        <v>2321</v>
      </c>
      <c r="K1750"/>
      <c r="L1750"/>
      <c r="M1750"/>
      <c r="N1750" t="s">
        <v>216</v>
      </c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 t="n">
        <v>906</v>
      </c>
      <c r="AE1750"/>
      <c r="AF1750"/>
      <c r="AG1750"/>
      <c r="AH1750"/>
      <c r="AI1750"/>
      <c r="AJ1750"/>
      <c r="AK1750"/>
      <c r="AL1750"/>
    </row>
    <row r="1751">
      <c r="A1751" t="s">
        <v>261</v>
      </c>
      <c r="B1751" t="s">
        <v>238</v>
      </c>
      <c r="C1751" t="s">
        <v>231</v>
      </c>
      <c r="D1751" t="s">
        <v>213</v>
      </c>
      <c r="E1751" t="s">
        <v>272</v>
      </c>
      <c r="F1751" t="s">
        <v>272</v>
      </c>
      <c r="G1751" t="s">
        <v>269</v>
      </c>
      <c r="H1751" t="n">
        <v>4605</v>
      </c>
      <c r="I1751"/>
      <c r="J1751" t="n">
        <v>2321</v>
      </c>
      <c r="K1751"/>
      <c r="L1751"/>
      <c r="M1751"/>
      <c r="N1751" t="s">
        <v>217</v>
      </c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 t="n">
        <v>4616</v>
      </c>
      <c r="AE1751"/>
      <c r="AF1751"/>
      <c r="AG1751"/>
      <c r="AH1751"/>
      <c r="AI1751"/>
      <c r="AJ1751"/>
      <c r="AK1751"/>
      <c r="AL1751"/>
    </row>
    <row r="1752">
      <c r="A1752" t="s">
        <v>261</v>
      </c>
      <c r="B1752" t="s">
        <v>238</v>
      </c>
      <c r="C1752" t="s">
        <v>231</v>
      </c>
      <c r="D1752" t="s">
        <v>213</v>
      </c>
      <c r="E1752" t="s">
        <v>272</v>
      </c>
      <c r="F1752" t="s">
        <v>272</v>
      </c>
      <c r="G1752" t="s">
        <v>269</v>
      </c>
      <c r="H1752" t="n">
        <v>4605</v>
      </c>
      <c r="I1752"/>
      <c r="J1752" t="n">
        <v>2321</v>
      </c>
      <c r="K1752"/>
      <c r="L1752"/>
      <c r="M1752"/>
      <c r="N1752" t="s">
        <v>218</v>
      </c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 t="n">
        <v>9</v>
      </c>
      <c r="AE1752"/>
      <c r="AF1752"/>
      <c r="AG1752"/>
      <c r="AH1752"/>
      <c r="AI1752"/>
      <c r="AJ1752"/>
      <c r="AK1752"/>
      <c r="AL1752"/>
    </row>
    <row r="1753">
      <c r="A1753" t="s">
        <v>261</v>
      </c>
      <c r="B1753" t="s">
        <v>238</v>
      </c>
      <c r="C1753" t="s">
        <v>231</v>
      </c>
      <c r="D1753" t="s">
        <v>213</v>
      </c>
      <c r="E1753" t="s">
        <v>272</v>
      </c>
      <c r="F1753" t="s">
        <v>272</v>
      </c>
      <c r="G1753" t="s">
        <v>269</v>
      </c>
      <c r="H1753" t="n">
        <v>4605</v>
      </c>
      <c r="I1753"/>
      <c r="J1753" t="n">
        <v>2321</v>
      </c>
      <c r="K1753"/>
      <c r="L1753"/>
      <c r="M1753"/>
      <c r="N1753" t="s">
        <v>219</v>
      </c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 t="n">
        <v>14</v>
      </c>
      <c r="AE1753"/>
      <c r="AF1753"/>
      <c r="AG1753"/>
      <c r="AH1753"/>
      <c r="AI1753"/>
      <c r="AJ1753"/>
      <c r="AK1753"/>
      <c r="AL1753"/>
    </row>
    <row r="1754">
      <c r="A1754" t="s">
        <v>261</v>
      </c>
      <c r="B1754" t="s">
        <v>238</v>
      </c>
      <c r="C1754" t="s">
        <v>231</v>
      </c>
      <c r="D1754" t="s">
        <v>213</v>
      </c>
      <c r="E1754" t="s">
        <v>272</v>
      </c>
      <c r="F1754" t="s">
        <v>272</v>
      </c>
      <c r="G1754" t="s">
        <v>269</v>
      </c>
      <c r="H1754" t="n">
        <v>4605</v>
      </c>
      <c r="I1754"/>
      <c r="J1754" t="n">
        <v>2321</v>
      </c>
      <c r="K1754"/>
      <c r="L1754"/>
      <c r="M1754"/>
      <c r="N1754" t="s">
        <v>220</v>
      </c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 t="n">
        <v>13</v>
      </c>
      <c r="AE1754"/>
      <c r="AF1754"/>
      <c r="AG1754"/>
      <c r="AH1754"/>
      <c r="AI1754"/>
      <c r="AJ1754"/>
      <c r="AK1754"/>
      <c r="AL1754"/>
    </row>
    <row r="1755">
      <c r="A1755" t="s">
        <v>261</v>
      </c>
      <c r="B1755" t="s">
        <v>238</v>
      </c>
      <c r="C1755" t="s">
        <v>231</v>
      </c>
      <c r="D1755" t="s">
        <v>213</v>
      </c>
      <c r="E1755" t="s">
        <v>272</v>
      </c>
      <c r="F1755" t="s">
        <v>272</v>
      </c>
      <c r="G1755" t="s">
        <v>269</v>
      </c>
      <c r="H1755" t="n">
        <v>4605</v>
      </c>
      <c r="I1755"/>
      <c r="J1755" t="n">
        <v>2321</v>
      </c>
      <c r="K1755"/>
      <c r="L1755"/>
      <c r="M1755"/>
      <c r="N1755" t="s">
        <v>221</v>
      </c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 t="n">
        <v>5.09492273730684</v>
      </c>
      <c r="AE1755"/>
      <c r="AF1755"/>
      <c r="AG1755"/>
      <c r="AH1755"/>
      <c r="AI1755"/>
      <c r="AJ1755"/>
      <c r="AK1755"/>
      <c r="AL1755"/>
    </row>
    <row r="1756">
      <c r="A1756" t="s">
        <v>261</v>
      </c>
      <c r="B1756" t="s">
        <v>238</v>
      </c>
      <c r="C1756" t="s">
        <v>231</v>
      </c>
      <c r="D1756" t="s">
        <v>213</v>
      </c>
      <c r="E1756" t="s">
        <v>272</v>
      </c>
      <c r="F1756" t="s">
        <v>272</v>
      </c>
      <c r="G1756" t="s">
        <v>269</v>
      </c>
      <c r="H1756" t="n">
        <v>4605</v>
      </c>
      <c r="I1756"/>
      <c r="J1756" t="n">
        <v>2321</v>
      </c>
      <c r="K1756"/>
      <c r="L1756"/>
      <c r="M1756"/>
      <c r="N1756" t="s">
        <v>222</v>
      </c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</row>
    <row r="1757">
      <c r="A1757" t="s">
        <v>250</v>
      </c>
      <c r="B1757" t="s">
        <v>240</v>
      </c>
      <c r="C1757" t="s">
        <v>241</v>
      </c>
      <c r="D1757" t="s">
        <v>213</v>
      </c>
      <c r="E1757"/>
      <c r="F1757"/>
      <c r="G1757" t="s">
        <v>269</v>
      </c>
      <c r="H1757" t="n">
        <v>2371684</v>
      </c>
      <c r="I1757"/>
      <c r="J1757"/>
      <c r="K1757"/>
      <c r="L1757"/>
      <c r="M1757"/>
      <c r="N1757" t="s">
        <v>214</v>
      </c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 t="n">
        <v>2197965</v>
      </c>
      <c r="AE1757"/>
      <c r="AF1757"/>
      <c r="AG1757"/>
      <c r="AH1757"/>
      <c r="AI1757"/>
      <c r="AJ1757"/>
      <c r="AK1757"/>
      <c r="AL1757"/>
    </row>
    <row r="1758">
      <c r="A1758" t="s">
        <v>250</v>
      </c>
      <c r="B1758" t="s">
        <v>240</v>
      </c>
      <c r="C1758" t="s">
        <v>241</v>
      </c>
      <c r="D1758" t="s">
        <v>213</v>
      </c>
      <c r="E1758"/>
      <c r="F1758"/>
      <c r="G1758" t="s">
        <v>269</v>
      </c>
      <c r="H1758" t="n">
        <v>2371684</v>
      </c>
      <c r="I1758"/>
      <c r="J1758"/>
      <c r="K1758"/>
      <c r="L1758"/>
      <c r="M1758"/>
      <c r="N1758" t="s">
        <v>215</v>
      </c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</row>
    <row r="1759">
      <c r="A1759" t="s">
        <v>250</v>
      </c>
      <c r="B1759" t="s">
        <v>240</v>
      </c>
      <c r="C1759" t="s">
        <v>241</v>
      </c>
      <c r="D1759" t="s">
        <v>213</v>
      </c>
      <c r="E1759"/>
      <c r="F1759"/>
      <c r="G1759" t="s">
        <v>269</v>
      </c>
      <c r="H1759" t="n">
        <v>2371684</v>
      </c>
      <c r="I1759"/>
      <c r="J1759"/>
      <c r="K1759"/>
      <c r="L1759"/>
      <c r="M1759"/>
      <c r="N1759" t="s">
        <v>216</v>
      </c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 t="n">
        <v>357079</v>
      </c>
      <c r="AE1759"/>
      <c r="AF1759"/>
      <c r="AG1759"/>
      <c r="AH1759"/>
      <c r="AI1759"/>
      <c r="AJ1759"/>
      <c r="AK1759"/>
      <c r="AL1759"/>
    </row>
    <row r="1760">
      <c r="A1760" t="s">
        <v>250</v>
      </c>
      <c r="B1760" t="s">
        <v>240</v>
      </c>
      <c r="C1760" t="s">
        <v>241</v>
      </c>
      <c r="D1760" t="s">
        <v>213</v>
      </c>
      <c r="E1760"/>
      <c r="F1760"/>
      <c r="G1760" t="s">
        <v>269</v>
      </c>
      <c r="H1760" t="n">
        <v>2371684</v>
      </c>
      <c r="I1760"/>
      <c r="J1760"/>
      <c r="K1760"/>
      <c r="L1760"/>
      <c r="M1760"/>
      <c r="N1760" t="s">
        <v>217</v>
      </c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 t="n">
        <v>4212570</v>
      </c>
      <c r="AE1760"/>
      <c r="AF1760"/>
      <c r="AG1760"/>
      <c r="AH1760"/>
      <c r="AI1760"/>
      <c r="AJ1760"/>
      <c r="AK1760"/>
      <c r="AL1760"/>
    </row>
    <row r="1761">
      <c r="A1761" t="s">
        <v>250</v>
      </c>
      <c r="B1761" t="s">
        <v>240</v>
      </c>
      <c r="C1761" t="s">
        <v>241</v>
      </c>
      <c r="D1761" t="s">
        <v>213</v>
      </c>
      <c r="E1761"/>
      <c r="F1761"/>
      <c r="G1761" t="s">
        <v>269</v>
      </c>
      <c r="H1761" t="n">
        <v>2371684</v>
      </c>
      <c r="I1761"/>
      <c r="J1761"/>
      <c r="K1761"/>
      <c r="L1761"/>
      <c r="M1761"/>
      <c r="N1761" t="s">
        <v>218</v>
      </c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 t="n">
        <v>6</v>
      </c>
      <c r="AE1761"/>
      <c r="AF1761"/>
      <c r="AG1761"/>
      <c r="AH1761"/>
      <c r="AI1761"/>
      <c r="AJ1761"/>
      <c r="AK1761"/>
      <c r="AL1761"/>
    </row>
    <row r="1762">
      <c r="A1762" t="s">
        <v>250</v>
      </c>
      <c r="B1762" t="s">
        <v>240</v>
      </c>
      <c r="C1762" t="s">
        <v>241</v>
      </c>
      <c r="D1762" t="s">
        <v>213</v>
      </c>
      <c r="E1762"/>
      <c r="F1762"/>
      <c r="G1762" t="s">
        <v>269</v>
      </c>
      <c r="H1762" t="n">
        <v>2371684</v>
      </c>
      <c r="I1762"/>
      <c r="J1762"/>
      <c r="K1762"/>
      <c r="L1762"/>
      <c r="M1762"/>
      <c r="N1762" t="s">
        <v>219</v>
      </c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 t="n">
        <v>12</v>
      </c>
      <c r="AE1762"/>
      <c r="AF1762"/>
      <c r="AG1762"/>
      <c r="AH1762"/>
      <c r="AI1762"/>
      <c r="AJ1762"/>
      <c r="AK1762"/>
      <c r="AL1762"/>
    </row>
    <row r="1763">
      <c r="A1763" t="s">
        <v>250</v>
      </c>
      <c r="B1763" t="s">
        <v>240</v>
      </c>
      <c r="C1763" t="s">
        <v>241</v>
      </c>
      <c r="D1763" t="s">
        <v>213</v>
      </c>
      <c r="E1763"/>
      <c r="F1763"/>
      <c r="G1763" t="s">
        <v>269</v>
      </c>
      <c r="H1763" t="n">
        <v>2371684</v>
      </c>
      <c r="I1763"/>
      <c r="J1763"/>
      <c r="K1763"/>
      <c r="L1763"/>
      <c r="M1763"/>
      <c r="N1763" t="s">
        <v>220</v>
      </c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 t="n">
        <v>12</v>
      </c>
      <c r="AE1763"/>
      <c r="AF1763"/>
      <c r="AG1763"/>
      <c r="AH1763"/>
      <c r="AI1763"/>
      <c r="AJ1763"/>
      <c r="AK1763"/>
      <c r="AL1763"/>
    </row>
    <row r="1764">
      <c r="A1764" t="s">
        <v>250</v>
      </c>
      <c r="B1764" t="s">
        <v>240</v>
      </c>
      <c r="C1764" t="s">
        <v>241</v>
      </c>
      <c r="D1764" t="s">
        <v>213</v>
      </c>
      <c r="E1764"/>
      <c r="F1764"/>
      <c r="G1764" t="s">
        <v>269</v>
      </c>
      <c r="H1764" t="n">
        <v>2371684</v>
      </c>
      <c r="I1764"/>
      <c r="J1764"/>
      <c r="K1764"/>
      <c r="L1764"/>
      <c r="M1764"/>
      <c r="N1764" t="s">
        <v>221</v>
      </c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 t="n">
        <v>11.797305358198</v>
      </c>
      <c r="AE1764"/>
      <c r="AF1764"/>
      <c r="AG1764"/>
      <c r="AH1764"/>
      <c r="AI1764"/>
      <c r="AJ1764"/>
      <c r="AK1764"/>
      <c r="AL1764"/>
    </row>
    <row r="1765">
      <c r="A1765" t="s">
        <v>250</v>
      </c>
      <c r="B1765" t="s">
        <v>240</v>
      </c>
      <c r="C1765" t="s">
        <v>241</v>
      </c>
      <c r="D1765" t="s">
        <v>213</v>
      </c>
      <c r="E1765"/>
      <c r="F1765"/>
      <c r="G1765" t="s">
        <v>269</v>
      </c>
      <c r="H1765" t="n">
        <v>2371684</v>
      </c>
      <c r="I1765"/>
      <c r="J1765"/>
      <c r="K1765"/>
      <c r="L1765"/>
      <c r="M1765"/>
      <c r="N1765" t="s">
        <v>222</v>
      </c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</row>
    <row r="1766">
      <c r="A1766" t="s">
        <v>233</v>
      </c>
      <c r="B1766" t="s">
        <v>240</v>
      </c>
      <c r="C1766" t="s">
        <v>241</v>
      </c>
      <c r="D1766" t="s">
        <v>213</v>
      </c>
      <c r="E1766" t="s">
        <v>272</v>
      </c>
      <c r="F1766" t="s">
        <v>272</v>
      </c>
      <c r="G1766" t="s">
        <v>269</v>
      </c>
      <c r="H1766" t="n">
        <v>100875</v>
      </c>
      <c r="I1766"/>
      <c r="J1766"/>
      <c r="K1766"/>
      <c r="L1766"/>
      <c r="M1766"/>
      <c r="N1766" t="s">
        <v>214</v>
      </c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 t="n">
        <v>784145</v>
      </c>
      <c r="AE1766"/>
      <c r="AF1766"/>
      <c r="AG1766"/>
      <c r="AH1766"/>
      <c r="AI1766"/>
      <c r="AJ1766"/>
      <c r="AK1766"/>
      <c r="AL1766"/>
    </row>
    <row r="1767">
      <c r="A1767" t="s">
        <v>233</v>
      </c>
      <c r="B1767" t="s">
        <v>240</v>
      </c>
      <c r="C1767" t="s">
        <v>241</v>
      </c>
      <c r="D1767" t="s">
        <v>213</v>
      </c>
      <c r="E1767" t="s">
        <v>272</v>
      </c>
      <c r="F1767" t="s">
        <v>272</v>
      </c>
      <c r="G1767" t="s">
        <v>269</v>
      </c>
      <c r="H1767" t="n">
        <v>100875</v>
      </c>
      <c r="I1767"/>
      <c r="J1767"/>
      <c r="K1767"/>
      <c r="L1767"/>
      <c r="M1767"/>
      <c r="N1767" t="s">
        <v>215</v>
      </c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</row>
    <row r="1768">
      <c r="A1768" t="s">
        <v>233</v>
      </c>
      <c r="B1768" t="s">
        <v>240</v>
      </c>
      <c r="C1768" t="s">
        <v>241</v>
      </c>
      <c r="D1768" t="s">
        <v>213</v>
      </c>
      <c r="E1768" t="s">
        <v>272</v>
      </c>
      <c r="F1768" t="s">
        <v>272</v>
      </c>
      <c r="G1768" t="s">
        <v>269</v>
      </c>
      <c r="H1768" t="n">
        <v>100875</v>
      </c>
      <c r="I1768"/>
      <c r="J1768"/>
      <c r="K1768"/>
      <c r="L1768"/>
      <c r="M1768"/>
      <c r="N1768" t="s">
        <v>216</v>
      </c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 t="n">
        <v>130000</v>
      </c>
      <c r="AE1768"/>
      <c r="AF1768"/>
      <c r="AG1768"/>
      <c r="AH1768"/>
      <c r="AI1768"/>
      <c r="AJ1768"/>
      <c r="AK1768"/>
      <c r="AL1768"/>
    </row>
    <row r="1769">
      <c r="A1769" t="s">
        <v>233</v>
      </c>
      <c r="B1769" t="s">
        <v>240</v>
      </c>
      <c r="C1769" t="s">
        <v>241</v>
      </c>
      <c r="D1769" t="s">
        <v>213</v>
      </c>
      <c r="E1769" t="s">
        <v>272</v>
      </c>
      <c r="F1769" t="s">
        <v>272</v>
      </c>
      <c r="G1769" t="s">
        <v>269</v>
      </c>
      <c r="H1769" t="n">
        <v>100875</v>
      </c>
      <c r="I1769"/>
      <c r="J1769"/>
      <c r="K1769"/>
      <c r="L1769"/>
      <c r="M1769"/>
      <c r="N1769" t="s">
        <v>217</v>
      </c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 t="n">
        <v>755020</v>
      </c>
      <c r="AE1769"/>
      <c r="AF1769"/>
      <c r="AG1769"/>
      <c r="AH1769"/>
      <c r="AI1769"/>
      <c r="AJ1769"/>
      <c r="AK1769"/>
      <c r="AL1769"/>
    </row>
    <row r="1770">
      <c r="A1770" t="s">
        <v>233</v>
      </c>
      <c r="B1770" t="s">
        <v>240</v>
      </c>
      <c r="C1770" t="s">
        <v>241</v>
      </c>
      <c r="D1770" t="s">
        <v>213</v>
      </c>
      <c r="E1770" t="s">
        <v>272</v>
      </c>
      <c r="F1770" t="s">
        <v>272</v>
      </c>
      <c r="G1770" t="s">
        <v>269</v>
      </c>
      <c r="H1770" t="n">
        <v>100875</v>
      </c>
      <c r="I1770"/>
      <c r="J1770"/>
      <c r="K1770"/>
      <c r="L1770"/>
      <c r="M1770"/>
      <c r="N1770" t="s">
        <v>218</v>
      </c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 t="n">
        <v>3</v>
      </c>
      <c r="AE1770"/>
      <c r="AF1770"/>
      <c r="AG1770"/>
      <c r="AH1770"/>
      <c r="AI1770"/>
      <c r="AJ1770"/>
      <c r="AK1770"/>
      <c r="AL1770"/>
    </row>
    <row r="1771">
      <c r="A1771" t="s">
        <v>233</v>
      </c>
      <c r="B1771" t="s">
        <v>240</v>
      </c>
      <c r="C1771" t="s">
        <v>241</v>
      </c>
      <c r="D1771" t="s">
        <v>213</v>
      </c>
      <c r="E1771" t="s">
        <v>272</v>
      </c>
      <c r="F1771" t="s">
        <v>272</v>
      </c>
      <c r="G1771" t="s">
        <v>269</v>
      </c>
      <c r="H1771" t="n">
        <v>100875</v>
      </c>
      <c r="I1771"/>
      <c r="J1771"/>
      <c r="K1771"/>
      <c r="L1771"/>
      <c r="M1771"/>
      <c r="N1771" t="s">
        <v>219</v>
      </c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 t="n">
        <v>6</v>
      </c>
      <c r="AE1771"/>
      <c r="AF1771"/>
      <c r="AG1771"/>
      <c r="AH1771"/>
      <c r="AI1771"/>
      <c r="AJ1771"/>
      <c r="AK1771"/>
      <c r="AL1771"/>
    </row>
    <row r="1772">
      <c r="A1772" t="s">
        <v>233</v>
      </c>
      <c r="B1772" t="s">
        <v>240</v>
      </c>
      <c r="C1772" t="s">
        <v>241</v>
      </c>
      <c r="D1772" t="s">
        <v>213</v>
      </c>
      <c r="E1772" t="s">
        <v>272</v>
      </c>
      <c r="F1772" t="s">
        <v>272</v>
      </c>
      <c r="G1772" t="s">
        <v>269</v>
      </c>
      <c r="H1772" t="n">
        <v>100875</v>
      </c>
      <c r="I1772"/>
      <c r="J1772"/>
      <c r="K1772"/>
      <c r="L1772"/>
      <c r="M1772"/>
      <c r="N1772" t="s">
        <v>220</v>
      </c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 t="n">
        <v>6</v>
      </c>
      <c r="AE1772"/>
      <c r="AF1772"/>
      <c r="AG1772"/>
      <c r="AH1772"/>
      <c r="AI1772"/>
      <c r="AJ1772"/>
      <c r="AK1772"/>
      <c r="AL1772"/>
    </row>
    <row r="1773">
      <c r="A1773" t="s">
        <v>233</v>
      </c>
      <c r="B1773" t="s">
        <v>240</v>
      </c>
      <c r="C1773" t="s">
        <v>241</v>
      </c>
      <c r="D1773" t="s">
        <v>213</v>
      </c>
      <c r="E1773" t="s">
        <v>272</v>
      </c>
      <c r="F1773" t="s">
        <v>272</v>
      </c>
      <c r="G1773" t="s">
        <v>269</v>
      </c>
      <c r="H1773" t="n">
        <v>100875</v>
      </c>
      <c r="I1773"/>
      <c r="J1773"/>
      <c r="K1773"/>
      <c r="L1773"/>
      <c r="M1773"/>
      <c r="N1773" t="s">
        <v>221</v>
      </c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 t="n">
        <v>5.80784615384615</v>
      </c>
      <c r="AE1773"/>
      <c r="AF1773"/>
      <c r="AG1773"/>
      <c r="AH1773"/>
      <c r="AI1773"/>
      <c r="AJ1773"/>
      <c r="AK1773"/>
      <c r="AL1773"/>
    </row>
    <row r="1774">
      <c r="A1774" t="s">
        <v>233</v>
      </c>
      <c r="B1774" t="s">
        <v>240</v>
      </c>
      <c r="C1774" t="s">
        <v>241</v>
      </c>
      <c r="D1774" t="s">
        <v>213</v>
      </c>
      <c r="E1774" t="s">
        <v>272</v>
      </c>
      <c r="F1774" t="s">
        <v>272</v>
      </c>
      <c r="G1774" t="s">
        <v>269</v>
      </c>
      <c r="H1774" t="n">
        <v>100875</v>
      </c>
      <c r="I1774"/>
      <c r="J1774"/>
      <c r="K1774"/>
      <c r="L1774"/>
      <c r="M1774"/>
      <c r="N1774" t="s">
        <v>222</v>
      </c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</row>
    <row r="1775">
      <c r="A1775" t="s">
        <v>250</v>
      </c>
      <c r="B1775" t="s">
        <v>245</v>
      </c>
      <c r="C1775" t="s">
        <v>246</v>
      </c>
      <c r="D1775" t="s">
        <v>213</v>
      </c>
      <c r="E1775"/>
      <c r="F1775"/>
      <c r="G1775" t="s">
        <v>269</v>
      </c>
      <c r="H1775" t="n">
        <v>2371684</v>
      </c>
      <c r="I1775"/>
      <c r="J1775"/>
      <c r="K1775"/>
      <c r="L1775"/>
      <c r="M1775"/>
      <c r="N1775" t="s">
        <v>214</v>
      </c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 t="n">
        <v>2197965</v>
      </c>
      <c r="AE1775"/>
      <c r="AF1775"/>
      <c r="AG1775"/>
      <c r="AH1775"/>
      <c r="AI1775"/>
      <c r="AJ1775"/>
      <c r="AK1775"/>
      <c r="AL1775"/>
    </row>
    <row r="1776">
      <c r="A1776" t="s">
        <v>250</v>
      </c>
      <c r="B1776" t="s">
        <v>245</v>
      </c>
      <c r="C1776" t="s">
        <v>246</v>
      </c>
      <c r="D1776" t="s">
        <v>213</v>
      </c>
      <c r="E1776"/>
      <c r="F1776"/>
      <c r="G1776" t="s">
        <v>269</v>
      </c>
      <c r="H1776" t="n">
        <v>2371684</v>
      </c>
      <c r="I1776"/>
      <c r="J1776"/>
      <c r="K1776"/>
      <c r="L1776"/>
      <c r="M1776"/>
      <c r="N1776" t="s">
        <v>215</v>
      </c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</row>
    <row r="1777">
      <c r="A1777" t="s">
        <v>250</v>
      </c>
      <c r="B1777" t="s">
        <v>245</v>
      </c>
      <c r="C1777" t="s">
        <v>246</v>
      </c>
      <c r="D1777" t="s">
        <v>213</v>
      </c>
      <c r="E1777"/>
      <c r="F1777"/>
      <c r="G1777" t="s">
        <v>269</v>
      </c>
      <c r="H1777" t="n">
        <v>2371684</v>
      </c>
      <c r="I1777"/>
      <c r="J1777"/>
      <c r="K1777"/>
      <c r="L1777"/>
      <c r="M1777"/>
      <c r="N1777" t="s">
        <v>216</v>
      </c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 t="n">
        <v>357079</v>
      </c>
      <c r="AE1777"/>
      <c r="AF1777"/>
      <c r="AG1777"/>
      <c r="AH1777"/>
      <c r="AI1777"/>
      <c r="AJ1777"/>
      <c r="AK1777"/>
      <c r="AL1777"/>
    </row>
    <row r="1778">
      <c r="A1778" t="s">
        <v>250</v>
      </c>
      <c r="B1778" t="s">
        <v>245</v>
      </c>
      <c r="C1778" t="s">
        <v>246</v>
      </c>
      <c r="D1778" t="s">
        <v>213</v>
      </c>
      <c r="E1778"/>
      <c r="F1778"/>
      <c r="G1778" t="s">
        <v>269</v>
      </c>
      <c r="H1778" t="n">
        <v>2371684</v>
      </c>
      <c r="I1778"/>
      <c r="J1778"/>
      <c r="K1778"/>
      <c r="L1778"/>
      <c r="M1778"/>
      <c r="N1778" t="s">
        <v>217</v>
      </c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 t="n">
        <v>4212570</v>
      </c>
      <c r="AE1778"/>
      <c r="AF1778"/>
      <c r="AG1778"/>
      <c r="AH1778"/>
      <c r="AI1778"/>
      <c r="AJ1778"/>
      <c r="AK1778"/>
      <c r="AL1778"/>
    </row>
    <row r="1779">
      <c r="A1779" t="s">
        <v>250</v>
      </c>
      <c r="B1779" t="s">
        <v>245</v>
      </c>
      <c r="C1779" t="s">
        <v>246</v>
      </c>
      <c r="D1779" t="s">
        <v>213</v>
      </c>
      <c r="E1779"/>
      <c r="F1779"/>
      <c r="G1779" t="s">
        <v>269</v>
      </c>
      <c r="H1779" t="n">
        <v>2371684</v>
      </c>
      <c r="I1779"/>
      <c r="J1779"/>
      <c r="K1779"/>
      <c r="L1779"/>
      <c r="M1779"/>
      <c r="N1779" t="s">
        <v>218</v>
      </c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 t="n">
        <v>6</v>
      </c>
      <c r="AE1779"/>
      <c r="AF1779"/>
      <c r="AG1779"/>
      <c r="AH1779"/>
      <c r="AI1779"/>
      <c r="AJ1779"/>
      <c r="AK1779"/>
      <c r="AL1779"/>
    </row>
    <row r="1780">
      <c r="A1780" t="s">
        <v>250</v>
      </c>
      <c r="B1780" t="s">
        <v>245</v>
      </c>
      <c r="C1780" t="s">
        <v>246</v>
      </c>
      <c r="D1780" t="s">
        <v>213</v>
      </c>
      <c r="E1780"/>
      <c r="F1780"/>
      <c r="G1780" t="s">
        <v>269</v>
      </c>
      <c r="H1780" t="n">
        <v>2371684</v>
      </c>
      <c r="I1780"/>
      <c r="J1780"/>
      <c r="K1780"/>
      <c r="L1780"/>
      <c r="M1780"/>
      <c r="N1780" t="s">
        <v>219</v>
      </c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 t="n">
        <v>12</v>
      </c>
      <c r="AE1780"/>
      <c r="AF1780"/>
      <c r="AG1780"/>
      <c r="AH1780"/>
      <c r="AI1780"/>
      <c r="AJ1780"/>
      <c r="AK1780"/>
      <c r="AL1780"/>
    </row>
    <row r="1781">
      <c r="A1781" t="s">
        <v>250</v>
      </c>
      <c r="B1781" t="s">
        <v>245</v>
      </c>
      <c r="C1781" t="s">
        <v>246</v>
      </c>
      <c r="D1781" t="s">
        <v>213</v>
      </c>
      <c r="E1781"/>
      <c r="F1781"/>
      <c r="G1781" t="s">
        <v>269</v>
      </c>
      <c r="H1781" t="n">
        <v>2371684</v>
      </c>
      <c r="I1781"/>
      <c r="J1781"/>
      <c r="K1781"/>
      <c r="L1781"/>
      <c r="M1781"/>
      <c r="N1781" t="s">
        <v>220</v>
      </c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 t="n">
        <v>12</v>
      </c>
      <c r="AE1781"/>
      <c r="AF1781"/>
      <c r="AG1781"/>
      <c r="AH1781"/>
      <c r="AI1781"/>
      <c r="AJ1781"/>
      <c r="AK1781"/>
      <c r="AL1781"/>
    </row>
    <row r="1782">
      <c r="A1782" t="s">
        <v>250</v>
      </c>
      <c r="B1782" t="s">
        <v>245</v>
      </c>
      <c r="C1782" t="s">
        <v>246</v>
      </c>
      <c r="D1782" t="s">
        <v>213</v>
      </c>
      <c r="E1782"/>
      <c r="F1782"/>
      <c r="G1782" t="s">
        <v>269</v>
      </c>
      <c r="H1782" t="n">
        <v>2371684</v>
      </c>
      <c r="I1782"/>
      <c r="J1782"/>
      <c r="K1782"/>
      <c r="L1782"/>
      <c r="M1782"/>
      <c r="N1782" t="s">
        <v>221</v>
      </c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 t="n">
        <v>11.797305358198</v>
      </c>
      <c r="AE1782"/>
      <c r="AF1782"/>
      <c r="AG1782"/>
      <c r="AH1782"/>
      <c r="AI1782"/>
      <c r="AJ1782"/>
      <c r="AK1782"/>
      <c r="AL1782"/>
    </row>
    <row r="1783">
      <c r="A1783" t="s">
        <v>250</v>
      </c>
      <c r="B1783" t="s">
        <v>245</v>
      </c>
      <c r="C1783" t="s">
        <v>246</v>
      </c>
      <c r="D1783" t="s">
        <v>213</v>
      </c>
      <c r="E1783"/>
      <c r="F1783"/>
      <c r="G1783" t="s">
        <v>269</v>
      </c>
      <c r="H1783" t="n">
        <v>2371684</v>
      </c>
      <c r="I1783"/>
      <c r="J1783"/>
      <c r="K1783"/>
      <c r="L1783"/>
      <c r="M1783"/>
      <c r="N1783" t="s">
        <v>222</v>
      </c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</row>
    <row r="1784">
      <c r="A1784" t="s">
        <v>250</v>
      </c>
      <c r="B1784" t="s">
        <v>230</v>
      </c>
      <c r="C1784" t="s">
        <v>231</v>
      </c>
      <c r="D1784" t="s">
        <v>213</v>
      </c>
      <c r="E1784"/>
      <c r="F1784"/>
      <c r="G1784" t="s">
        <v>269</v>
      </c>
      <c r="H1784" t="n">
        <v>80060</v>
      </c>
      <c r="I1784"/>
      <c r="J1784"/>
      <c r="K1784"/>
      <c r="L1784"/>
      <c r="M1784"/>
      <c r="N1784" t="s">
        <v>214</v>
      </c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 t="n">
        <v>78460</v>
      </c>
      <c r="AE1784"/>
      <c r="AF1784"/>
      <c r="AG1784"/>
      <c r="AH1784"/>
      <c r="AI1784"/>
      <c r="AJ1784"/>
      <c r="AK1784"/>
      <c r="AL1784"/>
    </row>
    <row r="1785">
      <c r="A1785" t="s">
        <v>250</v>
      </c>
      <c r="B1785" t="s">
        <v>230</v>
      </c>
      <c r="C1785" t="s">
        <v>231</v>
      </c>
      <c r="D1785" t="s">
        <v>213</v>
      </c>
      <c r="E1785"/>
      <c r="F1785"/>
      <c r="G1785" t="s">
        <v>269</v>
      </c>
      <c r="H1785" t="n">
        <v>80060</v>
      </c>
      <c r="I1785"/>
      <c r="J1785"/>
      <c r="K1785"/>
      <c r="L1785"/>
      <c r="M1785"/>
      <c r="N1785" t="s">
        <v>215</v>
      </c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</row>
    <row r="1786">
      <c r="A1786" t="s">
        <v>250</v>
      </c>
      <c r="B1786" t="s">
        <v>230</v>
      </c>
      <c r="C1786" t="s">
        <v>231</v>
      </c>
      <c r="D1786" t="s">
        <v>213</v>
      </c>
      <c r="E1786"/>
      <c r="F1786"/>
      <c r="G1786" t="s">
        <v>269</v>
      </c>
      <c r="H1786" t="n">
        <v>80060</v>
      </c>
      <c r="I1786"/>
      <c r="J1786"/>
      <c r="K1786"/>
      <c r="L1786"/>
      <c r="M1786"/>
      <c r="N1786" t="s">
        <v>216</v>
      </c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 t="n">
        <v>12210</v>
      </c>
      <c r="AE1786"/>
      <c r="AF1786"/>
      <c r="AG1786"/>
      <c r="AH1786"/>
      <c r="AI1786"/>
      <c r="AJ1786"/>
      <c r="AK1786"/>
      <c r="AL1786"/>
    </row>
    <row r="1787">
      <c r="A1787" t="s">
        <v>250</v>
      </c>
      <c r="B1787" t="s">
        <v>230</v>
      </c>
      <c r="C1787" t="s">
        <v>231</v>
      </c>
      <c r="D1787" t="s">
        <v>213</v>
      </c>
      <c r="E1787"/>
      <c r="F1787"/>
      <c r="G1787" t="s">
        <v>269</v>
      </c>
      <c r="H1787" t="n">
        <v>80060</v>
      </c>
      <c r="I1787"/>
      <c r="J1787"/>
      <c r="K1787"/>
      <c r="L1787"/>
      <c r="M1787"/>
      <c r="N1787" t="s">
        <v>217</v>
      </c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 t="n">
        <v>146310</v>
      </c>
      <c r="AE1787"/>
      <c r="AF1787"/>
      <c r="AG1787"/>
      <c r="AH1787"/>
      <c r="AI1787"/>
      <c r="AJ1787"/>
      <c r="AK1787"/>
      <c r="AL1787"/>
    </row>
    <row r="1788">
      <c r="A1788" t="s">
        <v>250</v>
      </c>
      <c r="B1788" t="s">
        <v>230</v>
      </c>
      <c r="C1788" t="s">
        <v>231</v>
      </c>
      <c r="D1788" t="s">
        <v>213</v>
      </c>
      <c r="E1788"/>
      <c r="F1788"/>
      <c r="G1788" t="s">
        <v>269</v>
      </c>
      <c r="H1788" t="n">
        <v>80060</v>
      </c>
      <c r="I1788"/>
      <c r="J1788"/>
      <c r="K1788"/>
      <c r="L1788"/>
      <c r="M1788"/>
      <c r="N1788" t="s">
        <v>218</v>
      </c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 t="n">
        <v>6</v>
      </c>
      <c r="AE1788"/>
      <c r="AF1788"/>
      <c r="AG1788"/>
      <c r="AH1788"/>
      <c r="AI1788"/>
      <c r="AJ1788"/>
      <c r="AK1788"/>
      <c r="AL1788"/>
    </row>
    <row r="1789">
      <c r="A1789" t="s">
        <v>250</v>
      </c>
      <c r="B1789" t="s">
        <v>230</v>
      </c>
      <c r="C1789" t="s">
        <v>231</v>
      </c>
      <c r="D1789" t="s">
        <v>213</v>
      </c>
      <c r="E1789"/>
      <c r="F1789"/>
      <c r="G1789" t="s">
        <v>269</v>
      </c>
      <c r="H1789" t="n">
        <v>80060</v>
      </c>
      <c r="I1789"/>
      <c r="J1789"/>
      <c r="K1789"/>
      <c r="L1789"/>
      <c r="M1789"/>
      <c r="N1789" t="s">
        <v>219</v>
      </c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 t="n">
        <v>12</v>
      </c>
      <c r="AE1789"/>
      <c r="AF1789"/>
      <c r="AG1789"/>
      <c r="AH1789"/>
      <c r="AI1789"/>
      <c r="AJ1789"/>
      <c r="AK1789"/>
      <c r="AL1789"/>
    </row>
    <row r="1790">
      <c r="A1790" t="s">
        <v>250</v>
      </c>
      <c r="B1790" t="s">
        <v>230</v>
      </c>
      <c r="C1790" t="s">
        <v>231</v>
      </c>
      <c r="D1790" t="s">
        <v>213</v>
      </c>
      <c r="E1790"/>
      <c r="F1790"/>
      <c r="G1790" t="s">
        <v>269</v>
      </c>
      <c r="H1790" t="n">
        <v>80060</v>
      </c>
      <c r="I1790"/>
      <c r="J1790"/>
      <c r="K1790"/>
      <c r="L1790"/>
      <c r="M1790"/>
      <c r="N1790" t="s">
        <v>220</v>
      </c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 t="n">
        <v>12</v>
      </c>
      <c r="AE1790"/>
      <c r="AF1790"/>
      <c r="AG1790"/>
      <c r="AH1790"/>
      <c r="AI1790"/>
      <c r="AJ1790"/>
      <c r="AK1790"/>
      <c r="AL1790"/>
    </row>
    <row r="1791">
      <c r="A1791" t="s">
        <v>250</v>
      </c>
      <c r="B1791" t="s">
        <v>230</v>
      </c>
      <c r="C1791" t="s">
        <v>231</v>
      </c>
      <c r="D1791" t="s">
        <v>213</v>
      </c>
      <c r="E1791"/>
      <c r="F1791"/>
      <c r="G1791" t="s">
        <v>269</v>
      </c>
      <c r="H1791" t="n">
        <v>80060</v>
      </c>
      <c r="I1791"/>
      <c r="J1791"/>
      <c r="K1791"/>
      <c r="L1791"/>
      <c r="M1791"/>
      <c r="N1791" t="s">
        <v>221</v>
      </c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 t="n">
        <v>11.982800982801</v>
      </c>
      <c r="AE1791"/>
      <c r="AF1791"/>
      <c r="AG1791"/>
      <c r="AH1791"/>
      <c r="AI1791"/>
      <c r="AJ1791"/>
      <c r="AK1791"/>
      <c r="AL1791"/>
    </row>
    <row r="1792">
      <c r="A1792" t="s">
        <v>250</v>
      </c>
      <c r="B1792" t="s">
        <v>230</v>
      </c>
      <c r="C1792" t="s">
        <v>231</v>
      </c>
      <c r="D1792" t="s">
        <v>213</v>
      </c>
      <c r="E1792"/>
      <c r="F1792"/>
      <c r="G1792" t="s">
        <v>269</v>
      </c>
      <c r="H1792" t="n">
        <v>80060</v>
      </c>
      <c r="I1792"/>
      <c r="J1792"/>
      <c r="K1792"/>
      <c r="L1792"/>
      <c r="M1792"/>
      <c r="N1792" t="s">
        <v>222</v>
      </c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</row>
    <row r="1793">
      <c r="A1793" t="s">
        <v>235</v>
      </c>
      <c r="B1793" t="s">
        <v>238</v>
      </c>
      <c r="C1793" t="s">
        <v>231</v>
      </c>
      <c r="D1793" t="s">
        <v>213</v>
      </c>
      <c r="E1793" t="s">
        <v>272</v>
      </c>
      <c r="F1793" t="s">
        <v>272</v>
      </c>
      <c r="G1793" t="s">
        <v>269</v>
      </c>
      <c r="H1793" t="n">
        <v>12348</v>
      </c>
      <c r="I1793"/>
      <c r="J1793" t="n">
        <v>8297.86</v>
      </c>
      <c r="K1793" t="s">
        <v>285</v>
      </c>
      <c r="L1793"/>
      <c r="M1793"/>
      <c r="N1793" t="s">
        <v>214</v>
      </c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 t="n">
        <v>9857</v>
      </c>
      <c r="AF1793"/>
      <c r="AG1793"/>
      <c r="AH1793"/>
      <c r="AI1793"/>
      <c r="AJ1793"/>
      <c r="AK1793"/>
      <c r="AL1793"/>
    </row>
    <row r="1794">
      <c r="A1794" t="s">
        <v>235</v>
      </c>
      <c r="B1794" t="s">
        <v>238</v>
      </c>
      <c r="C1794" t="s">
        <v>231</v>
      </c>
      <c r="D1794" t="s">
        <v>213</v>
      </c>
      <c r="E1794" t="s">
        <v>272</v>
      </c>
      <c r="F1794" t="s">
        <v>272</v>
      </c>
      <c r="G1794" t="s">
        <v>269</v>
      </c>
      <c r="H1794" t="n">
        <v>12348</v>
      </c>
      <c r="I1794"/>
      <c r="J1794" t="n">
        <v>8297.86</v>
      </c>
      <c r="K1794" t="s">
        <v>285</v>
      </c>
      <c r="L1794"/>
      <c r="M1794"/>
      <c r="N1794" t="s">
        <v>215</v>
      </c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</row>
    <row r="1795">
      <c r="A1795" t="s">
        <v>235</v>
      </c>
      <c r="B1795" t="s">
        <v>238</v>
      </c>
      <c r="C1795" t="s">
        <v>231</v>
      </c>
      <c r="D1795" t="s">
        <v>213</v>
      </c>
      <c r="E1795" t="s">
        <v>272</v>
      </c>
      <c r="F1795" t="s">
        <v>272</v>
      </c>
      <c r="G1795" t="s">
        <v>269</v>
      </c>
      <c r="H1795" t="n">
        <v>12348</v>
      </c>
      <c r="I1795"/>
      <c r="J1795" t="n">
        <v>8297.86</v>
      </c>
      <c r="K1795" t="s">
        <v>285</v>
      </c>
      <c r="L1795"/>
      <c r="M1795"/>
      <c r="N1795" t="s">
        <v>216</v>
      </c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 t="n">
        <v>1785</v>
      </c>
      <c r="AF1795"/>
      <c r="AG1795"/>
      <c r="AH1795"/>
      <c r="AI1795"/>
      <c r="AJ1795"/>
      <c r="AK1795"/>
      <c r="AL1795"/>
    </row>
    <row r="1796">
      <c r="A1796" t="s">
        <v>235</v>
      </c>
      <c r="B1796" t="s">
        <v>238</v>
      </c>
      <c r="C1796" t="s">
        <v>231</v>
      </c>
      <c r="D1796" t="s">
        <v>213</v>
      </c>
      <c r="E1796" t="s">
        <v>272</v>
      </c>
      <c r="F1796" t="s">
        <v>272</v>
      </c>
      <c r="G1796" t="s">
        <v>269</v>
      </c>
      <c r="H1796" t="n">
        <v>12348</v>
      </c>
      <c r="I1796"/>
      <c r="J1796" t="n">
        <v>8297.86</v>
      </c>
      <c r="K1796" t="s">
        <v>285</v>
      </c>
      <c r="L1796"/>
      <c r="M1796"/>
      <c r="N1796" t="s">
        <v>217</v>
      </c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 t="n">
        <v>20420</v>
      </c>
      <c r="AF1796"/>
      <c r="AG1796"/>
      <c r="AH1796"/>
      <c r="AI1796"/>
      <c r="AJ1796"/>
      <c r="AK1796"/>
      <c r="AL1796"/>
    </row>
    <row r="1797">
      <c r="A1797" t="s">
        <v>235</v>
      </c>
      <c r="B1797" t="s">
        <v>238</v>
      </c>
      <c r="C1797" t="s">
        <v>231</v>
      </c>
      <c r="D1797" t="s">
        <v>213</v>
      </c>
      <c r="E1797" t="s">
        <v>272</v>
      </c>
      <c r="F1797" t="s">
        <v>272</v>
      </c>
      <c r="G1797" t="s">
        <v>269</v>
      </c>
      <c r="H1797" t="n">
        <v>12348</v>
      </c>
      <c r="I1797"/>
      <c r="J1797" t="n">
        <v>8297.86</v>
      </c>
      <c r="K1797" t="s">
        <v>285</v>
      </c>
      <c r="L1797"/>
      <c r="M1797"/>
      <c r="N1797" t="s">
        <v>218</v>
      </c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 t="n">
        <v>6</v>
      </c>
      <c r="AF1797"/>
      <c r="AG1797"/>
      <c r="AH1797"/>
      <c r="AI1797"/>
      <c r="AJ1797"/>
      <c r="AK1797"/>
      <c r="AL1797"/>
    </row>
    <row r="1798">
      <c r="A1798" t="s">
        <v>235</v>
      </c>
      <c r="B1798" t="s">
        <v>238</v>
      </c>
      <c r="C1798" t="s">
        <v>231</v>
      </c>
      <c r="D1798" t="s">
        <v>213</v>
      </c>
      <c r="E1798" t="s">
        <v>272</v>
      </c>
      <c r="F1798" t="s">
        <v>272</v>
      </c>
      <c r="G1798" t="s">
        <v>269</v>
      </c>
      <c r="H1798" t="n">
        <v>12348</v>
      </c>
      <c r="I1798"/>
      <c r="J1798" t="n">
        <v>8297.86</v>
      </c>
      <c r="K1798" t="s">
        <v>285</v>
      </c>
      <c r="L1798"/>
      <c r="M1798"/>
      <c r="N1798" t="s">
        <v>219</v>
      </c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 t="n">
        <v>12</v>
      </c>
      <c r="AF1798"/>
      <c r="AG1798"/>
      <c r="AH1798"/>
      <c r="AI1798"/>
      <c r="AJ1798"/>
      <c r="AK1798"/>
      <c r="AL1798"/>
    </row>
    <row r="1799">
      <c r="A1799" t="s">
        <v>235</v>
      </c>
      <c r="B1799" t="s">
        <v>238</v>
      </c>
      <c r="C1799" t="s">
        <v>231</v>
      </c>
      <c r="D1799" t="s">
        <v>213</v>
      </c>
      <c r="E1799" t="s">
        <v>272</v>
      </c>
      <c r="F1799" t="s">
        <v>272</v>
      </c>
      <c r="G1799" t="s">
        <v>269</v>
      </c>
      <c r="H1799" t="n">
        <v>12348</v>
      </c>
      <c r="I1799"/>
      <c r="J1799" t="n">
        <v>8297.86</v>
      </c>
      <c r="K1799" t="s">
        <v>285</v>
      </c>
      <c r="L1799"/>
      <c r="M1799"/>
      <c r="N1799" t="s">
        <v>220</v>
      </c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 t="n">
        <v>12</v>
      </c>
      <c r="AF1799"/>
      <c r="AG1799"/>
      <c r="AH1799"/>
      <c r="AI1799"/>
      <c r="AJ1799"/>
      <c r="AK1799"/>
      <c r="AL1799"/>
    </row>
    <row r="1800">
      <c r="A1800" t="s">
        <v>235</v>
      </c>
      <c r="B1800" t="s">
        <v>238</v>
      </c>
      <c r="C1800" t="s">
        <v>231</v>
      </c>
      <c r="D1800" t="s">
        <v>213</v>
      </c>
      <c r="E1800" t="s">
        <v>272</v>
      </c>
      <c r="F1800" t="s">
        <v>272</v>
      </c>
      <c r="G1800" t="s">
        <v>269</v>
      </c>
      <c r="H1800" t="n">
        <v>12348</v>
      </c>
      <c r="I1800"/>
      <c r="J1800" t="n">
        <v>8297.86</v>
      </c>
      <c r="K1800" t="s">
        <v>285</v>
      </c>
      <c r="L1800"/>
      <c r="M1800"/>
      <c r="N1800" t="s">
        <v>221</v>
      </c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 t="n">
        <v>11.4397759103641</v>
      </c>
      <c r="AF1800"/>
      <c r="AG1800"/>
      <c r="AH1800"/>
      <c r="AI1800"/>
      <c r="AJ1800"/>
      <c r="AK1800"/>
      <c r="AL1800"/>
    </row>
    <row r="1801">
      <c r="A1801" t="s">
        <v>235</v>
      </c>
      <c r="B1801" t="s">
        <v>238</v>
      </c>
      <c r="C1801" t="s">
        <v>231</v>
      </c>
      <c r="D1801" t="s">
        <v>213</v>
      </c>
      <c r="E1801" t="s">
        <v>272</v>
      </c>
      <c r="F1801" t="s">
        <v>272</v>
      </c>
      <c r="G1801" t="s">
        <v>269</v>
      </c>
      <c r="H1801" t="n">
        <v>12348</v>
      </c>
      <c r="I1801"/>
      <c r="J1801" t="n">
        <v>8297.86</v>
      </c>
      <c r="K1801" t="s">
        <v>285</v>
      </c>
      <c r="L1801"/>
      <c r="M1801"/>
      <c r="N1801" t="s">
        <v>222</v>
      </c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</row>
    <row r="1802">
      <c r="A1802" t="s">
        <v>233</v>
      </c>
      <c r="B1802" t="s">
        <v>240</v>
      </c>
      <c r="C1802" t="s">
        <v>241</v>
      </c>
      <c r="D1802" t="s">
        <v>213</v>
      </c>
      <c r="E1802" t="s">
        <v>272</v>
      </c>
      <c r="F1802" t="s">
        <v>272</v>
      </c>
      <c r="G1802" t="s">
        <v>269</v>
      </c>
      <c r="H1802" t="n">
        <v>436575</v>
      </c>
      <c r="I1802"/>
      <c r="J1802"/>
      <c r="K1802"/>
      <c r="L1802"/>
      <c r="M1802"/>
      <c r="N1802" t="s">
        <v>214</v>
      </c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 t="n">
        <v>755020</v>
      </c>
      <c r="AF1802"/>
      <c r="AG1802"/>
      <c r="AH1802"/>
      <c r="AI1802"/>
      <c r="AJ1802"/>
      <c r="AK1802"/>
      <c r="AL1802"/>
    </row>
    <row r="1803">
      <c r="A1803" t="s">
        <v>233</v>
      </c>
      <c r="B1803" t="s">
        <v>240</v>
      </c>
      <c r="C1803" t="s">
        <v>241</v>
      </c>
      <c r="D1803" t="s">
        <v>213</v>
      </c>
      <c r="E1803" t="s">
        <v>272</v>
      </c>
      <c r="F1803" t="s">
        <v>272</v>
      </c>
      <c r="G1803" t="s">
        <v>269</v>
      </c>
      <c r="H1803" t="n">
        <v>436575</v>
      </c>
      <c r="I1803"/>
      <c r="J1803"/>
      <c r="K1803"/>
      <c r="L1803"/>
      <c r="M1803"/>
      <c r="N1803" t="s">
        <v>215</v>
      </c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</row>
    <row r="1804">
      <c r="A1804" t="s">
        <v>233</v>
      </c>
      <c r="B1804" t="s">
        <v>240</v>
      </c>
      <c r="C1804" t="s">
        <v>241</v>
      </c>
      <c r="D1804" t="s">
        <v>213</v>
      </c>
      <c r="E1804" t="s">
        <v>272</v>
      </c>
      <c r="F1804" t="s">
        <v>272</v>
      </c>
      <c r="G1804" t="s">
        <v>269</v>
      </c>
      <c r="H1804" t="n">
        <v>436575</v>
      </c>
      <c r="I1804"/>
      <c r="J1804"/>
      <c r="K1804"/>
      <c r="L1804"/>
      <c r="M1804"/>
      <c r="N1804" t="s">
        <v>216</v>
      </c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 t="n">
        <v>130000</v>
      </c>
      <c r="AF1804"/>
      <c r="AG1804"/>
      <c r="AH1804"/>
      <c r="AI1804"/>
      <c r="AJ1804"/>
      <c r="AK1804"/>
      <c r="AL1804"/>
    </row>
    <row r="1805">
      <c r="A1805" t="s">
        <v>233</v>
      </c>
      <c r="B1805" t="s">
        <v>240</v>
      </c>
      <c r="C1805" t="s">
        <v>241</v>
      </c>
      <c r="D1805" t="s">
        <v>213</v>
      </c>
      <c r="E1805" t="s">
        <v>272</v>
      </c>
      <c r="F1805" t="s">
        <v>272</v>
      </c>
      <c r="G1805" t="s">
        <v>269</v>
      </c>
      <c r="H1805" t="n">
        <v>436575</v>
      </c>
      <c r="I1805"/>
      <c r="J1805"/>
      <c r="K1805"/>
      <c r="L1805"/>
      <c r="M1805"/>
      <c r="N1805" t="s">
        <v>217</v>
      </c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 t="n">
        <v>1061595</v>
      </c>
      <c r="AF1805"/>
      <c r="AG1805"/>
      <c r="AH1805"/>
      <c r="AI1805"/>
      <c r="AJ1805"/>
      <c r="AK1805"/>
      <c r="AL1805"/>
    </row>
    <row r="1806">
      <c r="A1806" t="s">
        <v>233</v>
      </c>
      <c r="B1806" t="s">
        <v>240</v>
      </c>
      <c r="C1806" t="s">
        <v>241</v>
      </c>
      <c r="D1806" t="s">
        <v>213</v>
      </c>
      <c r="E1806" t="s">
        <v>272</v>
      </c>
      <c r="F1806" t="s">
        <v>272</v>
      </c>
      <c r="G1806" t="s">
        <v>269</v>
      </c>
      <c r="H1806" t="n">
        <v>436575</v>
      </c>
      <c r="I1806"/>
      <c r="J1806"/>
      <c r="K1806"/>
      <c r="L1806"/>
      <c r="M1806"/>
      <c r="N1806" t="s">
        <v>218</v>
      </c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 t="n">
        <v>3</v>
      </c>
      <c r="AF1806"/>
      <c r="AG1806"/>
      <c r="AH1806"/>
      <c r="AI1806"/>
      <c r="AJ1806"/>
      <c r="AK1806"/>
      <c r="AL1806"/>
    </row>
    <row r="1807">
      <c r="A1807" t="s">
        <v>233</v>
      </c>
      <c r="B1807" t="s">
        <v>240</v>
      </c>
      <c r="C1807" t="s">
        <v>241</v>
      </c>
      <c r="D1807" t="s">
        <v>213</v>
      </c>
      <c r="E1807" t="s">
        <v>272</v>
      </c>
      <c r="F1807" t="s">
        <v>272</v>
      </c>
      <c r="G1807" t="s">
        <v>269</v>
      </c>
      <c r="H1807" t="n">
        <v>436575</v>
      </c>
      <c r="I1807"/>
      <c r="J1807"/>
      <c r="K1807"/>
      <c r="L1807"/>
      <c r="M1807"/>
      <c r="N1807" t="s">
        <v>219</v>
      </c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 t="n">
        <v>6</v>
      </c>
      <c r="AF1807"/>
      <c r="AG1807"/>
      <c r="AH1807"/>
      <c r="AI1807"/>
      <c r="AJ1807"/>
      <c r="AK1807"/>
      <c r="AL1807"/>
    </row>
    <row r="1808">
      <c r="A1808" t="s">
        <v>233</v>
      </c>
      <c r="B1808" t="s">
        <v>240</v>
      </c>
      <c r="C1808" t="s">
        <v>241</v>
      </c>
      <c r="D1808" t="s">
        <v>213</v>
      </c>
      <c r="E1808" t="s">
        <v>272</v>
      </c>
      <c r="F1808" t="s">
        <v>272</v>
      </c>
      <c r="G1808" t="s">
        <v>269</v>
      </c>
      <c r="H1808" t="n">
        <v>436575</v>
      </c>
      <c r="I1808"/>
      <c r="J1808"/>
      <c r="K1808"/>
      <c r="L1808"/>
      <c r="M1808"/>
      <c r="N1808" t="s">
        <v>220</v>
      </c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 t="n">
        <v>6</v>
      </c>
      <c r="AF1808"/>
      <c r="AG1808"/>
      <c r="AH1808"/>
      <c r="AI1808"/>
      <c r="AJ1808"/>
      <c r="AK1808"/>
      <c r="AL1808"/>
    </row>
    <row r="1809">
      <c r="A1809" t="s">
        <v>233</v>
      </c>
      <c r="B1809" t="s">
        <v>240</v>
      </c>
      <c r="C1809" t="s">
        <v>241</v>
      </c>
      <c r="D1809" t="s">
        <v>213</v>
      </c>
      <c r="E1809" t="s">
        <v>272</v>
      </c>
      <c r="F1809" t="s">
        <v>272</v>
      </c>
      <c r="G1809" t="s">
        <v>269</v>
      </c>
      <c r="H1809" t="n">
        <v>436575</v>
      </c>
      <c r="I1809"/>
      <c r="J1809"/>
      <c r="K1809"/>
      <c r="L1809"/>
      <c r="M1809"/>
      <c r="N1809" t="s">
        <v>221</v>
      </c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 t="n">
        <v>8.16611538461538</v>
      </c>
      <c r="AF1809"/>
      <c r="AG1809"/>
      <c r="AH1809"/>
      <c r="AI1809"/>
      <c r="AJ1809"/>
      <c r="AK1809"/>
      <c r="AL1809"/>
    </row>
    <row r="1810">
      <c r="A1810" t="s">
        <v>233</v>
      </c>
      <c r="B1810" t="s">
        <v>240</v>
      </c>
      <c r="C1810" t="s">
        <v>241</v>
      </c>
      <c r="D1810" t="s">
        <v>213</v>
      </c>
      <c r="E1810" t="s">
        <v>272</v>
      </c>
      <c r="F1810" t="s">
        <v>272</v>
      </c>
      <c r="G1810" t="s">
        <v>269</v>
      </c>
      <c r="H1810" t="n">
        <v>436575</v>
      </c>
      <c r="I1810"/>
      <c r="J1810"/>
      <c r="K1810"/>
      <c r="L1810"/>
      <c r="M1810"/>
      <c r="N1810" t="s">
        <v>222</v>
      </c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</row>
    <row r="1811">
      <c r="A1811" t="s">
        <v>233</v>
      </c>
      <c r="B1811" t="s">
        <v>245</v>
      </c>
      <c r="C1811" t="s">
        <v>246</v>
      </c>
      <c r="D1811" t="s">
        <v>213</v>
      </c>
      <c r="E1811" t="s">
        <v>272</v>
      </c>
      <c r="F1811" t="s">
        <v>272</v>
      </c>
      <c r="G1811" t="s">
        <v>269</v>
      </c>
      <c r="H1811" t="n">
        <v>784600</v>
      </c>
      <c r="I1811"/>
      <c r="J1811"/>
      <c r="K1811"/>
      <c r="L1811"/>
      <c r="M1811"/>
      <c r="N1811" t="s">
        <v>214</v>
      </c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 t="n">
        <v>2236400</v>
      </c>
      <c r="AF1811"/>
      <c r="AG1811"/>
      <c r="AH1811"/>
      <c r="AI1811"/>
      <c r="AJ1811"/>
      <c r="AK1811"/>
      <c r="AL1811"/>
    </row>
    <row r="1812">
      <c r="A1812" t="s">
        <v>233</v>
      </c>
      <c r="B1812" t="s">
        <v>245</v>
      </c>
      <c r="C1812" t="s">
        <v>246</v>
      </c>
      <c r="D1812" t="s">
        <v>213</v>
      </c>
      <c r="E1812" t="s">
        <v>272</v>
      </c>
      <c r="F1812" t="s">
        <v>272</v>
      </c>
      <c r="G1812" t="s">
        <v>269</v>
      </c>
      <c r="H1812" t="n">
        <v>784600</v>
      </c>
      <c r="I1812"/>
      <c r="J1812"/>
      <c r="K1812"/>
      <c r="L1812"/>
      <c r="M1812"/>
      <c r="N1812" t="s">
        <v>215</v>
      </c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</row>
    <row r="1813">
      <c r="A1813" t="s">
        <v>233</v>
      </c>
      <c r="B1813" t="s">
        <v>245</v>
      </c>
      <c r="C1813" t="s">
        <v>246</v>
      </c>
      <c r="D1813" t="s">
        <v>213</v>
      </c>
      <c r="E1813" t="s">
        <v>272</v>
      </c>
      <c r="F1813" t="s">
        <v>272</v>
      </c>
      <c r="G1813" t="s">
        <v>269</v>
      </c>
      <c r="H1813" t="n">
        <v>784600</v>
      </c>
      <c r="I1813"/>
      <c r="J1813"/>
      <c r="K1813"/>
      <c r="L1813"/>
      <c r="M1813"/>
      <c r="N1813" t="s">
        <v>216</v>
      </c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 t="n">
        <v>210000</v>
      </c>
      <c r="AF1813"/>
      <c r="AG1813"/>
      <c r="AH1813"/>
      <c r="AI1813"/>
      <c r="AJ1813"/>
      <c r="AK1813"/>
      <c r="AL1813"/>
    </row>
    <row r="1814">
      <c r="A1814" t="s">
        <v>233</v>
      </c>
      <c r="B1814" t="s">
        <v>245</v>
      </c>
      <c r="C1814" t="s">
        <v>246</v>
      </c>
      <c r="D1814" t="s">
        <v>213</v>
      </c>
      <c r="E1814" t="s">
        <v>272</v>
      </c>
      <c r="F1814" t="s">
        <v>272</v>
      </c>
      <c r="G1814" t="s">
        <v>269</v>
      </c>
      <c r="H1814" t="n">
        <v>784600</v>
      </c>
      <c r="I1814"/>
      <c r="J1814"/>
      <c r="K1814"/>
      <c r="L1814"/>
      <c r="M1814"/>
      <c r="N1814" t="s">
        <v>217</v>
      </c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 t="n">
        <v>2811000</v>
      </c>
      <c r="AF1814"/>
      <c r="AG1814"/>
      <c r="AH1814"/>
      <c r="AI1814"/>
      <c r="AJ1814"/>
      <c r="AK1814"/>
      <c r="AL1814"/>
    </row>
    <row r="1815">
      <c r="A1815" t="s">
        <v>233</v>
      </c>
      <c r="B1815" t="s">
        <v>245</v>
      </c>
      <c r="C1815" t="s">
        <v>246</v>
      </c>
      <c r="D1815" t="s">
        <v>213</v>
      </c>
      <c r="E1815" t="s">
        <v>272</v>
      </c>
      <c r="F1815" t="s">
        <v>272</v>
      </c>
      <c r="G1815" t="s">
        <v>269</v>
      </c>
      <c r="H1815" t="n">
        <v>784600</v>
      </c>
      <c r="I1815"/>
      <c r="J1815"/>
      <c r="K1815"/>
      <c r="L1815"/>
      <c r="M1815"/>
      <c r="N1815" t="s">
        <v>218</v>
      </c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 t="n">
        <v>3</v>
      </c>
      <c r="AF1815"/>
      <c r="AG1815"/>
      <c r="AH1815"/>
      <c r="AI1815"/>
      <c r="AJ1815"/>
      <c r="AK1815"/>
      <c r="AL1815"/>
    </row>
    <row r="1816">
      <c r="A1816" t="s">
        <v>233</v>
      </c>
      <c r="B1816" t="s">
        <v>245</v>
      </c>
      <c r="C1816" t="s">
        <v>246</v>
      </c>
      <c r="D1816" t="s">
        <v>213</v>
      </c>
      <c r="E1816" t="s">
        <v>272</v>
      </c>
      <c r="F1816" t="s">
        <v>272</v>
      </c>
      <c r="G1816" t="s">
        <v>269</v>
      </c>
      <c r="H1816" t="n">
        <v>784600</v>
      </c>
      <c r="I1816"/>
      <c r="J1816"/>
      <c r="K1816"/>
      <c r="L1816"/>
      <c r="M1816"/>
      <c r="N1816" t="s">
        <v>219</v>
      </c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 t="n">
        <v>6</v>
      </c>
      <c r="AF1816"/>
      <c r="AG1816"/>
      <c r="AH1816"/>
      <c r="AI1816"/>
      <c r="AJ1816"/>
      <c r="AK1816"/>
      <c r="AL1816"/>
    </row>
    <row r="1817">
      <c r="A1817" t="s">
        <v>233</v>
      </c>
      <c r="B1817" t="s">
        <v>245</v>
      </c>
      <c r="C1817" t="s">
        <v>246</v>
      </c>
      <c r="D1817" t="s">
        <v>213</v>
      </c>
      <c r="E1817" t="s">
        <v>272</v>
      </c>
      <c r="F1817" t="s">
        <v>272</v>
      </c>
      <c r="G1817" t="s">
        <v>269</v>
      </c>
      <c r="H1817" t="n">
        <v>784600</v>
      </c>
      <c r="I1817"/>
      <c r="J1817"/>
      <c r="K1817"/>
      <c r="L1817"/>
      <c r="M1817"/>
      <c r="N1817" t="s">
        <v>220</v>
      </c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 t="n">
        <v>6</v>
      </c>
      <c r="AF1817"/>
      <c r="AG1817"/>
      <c r="AH1817"/>
      <c r="AI1817"/>
      <c r="AJ1817"/>
      <c r="AK1817"/>
      <c r="AL1817"/>
    </row>
    <row r="1818">
      <c r="A1818" t="s">
        <v>233</v>
      </c>
      <c r="B1818" t="s">
        <v>245</v>
      </c>
      <c r="C1818" t="s">
        <v>246</v>
      </c>
      <c r="D1818" t="s">
        <v>213</v>
      </c>
      <c r="E1818" t="s">
        <v>272</v>
      </c>
      <c r="F1818" t="s">
        <v>272</v>
      </c>
      <c r="G1818" t="s">
        <v>269</v>
      </c>
      <c r="H1818" t="n">
        <v>784600</v>
      </c>
      <c r="I1818"/>
      <c r="J1818"/>
      <c r="K1818"/>
      <c r="L1818"/>
      <c r="M1818"/>
      <c r="N1818" t="s">
        <v>221</v>
      </c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 t="n">
        <v>13.3857142857143</v>
      </c>
      <c r="AF1818"/>
      <c r="AG1818"/>
      <c r="AH1818"/>
      <c r="AI1818"/>
      <c r="AJ1818"/>
      <c r="AK1818"/>
      <c r="AL1818"/>
    </row>
    <row r="1819">
      <c r="A1819" t="s">
        <v>233</v>
      </c>
      <c r="B1819" t="s">
        <v>245</v>
      </c>
      <c r="C1819" t="s">
        <v>246</v>
      </c>
      <c r="D1819" t="s">
        <v>213</v>
      </c>
      <c r="E1819" t="s">
        <v>272</v>
      </c>
      <c r="F1819" t="s">
        <v>272</v>
      </c>
      <c r="G1819" t="s">
        <v>269</v>
      </c>
      <c r="H1819" t="n">
        <v>784600</v>
      </c>
      <c r="I1819"/>
      <c r="J1819"/>
      <c r="K1819"/>
      <c r="L1819"/>
      <c r="M1819"/>
      <c r="N1819" t="s">
        <v>222</v>
      </c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</row>
    <row r="1820">
      <c r="A1820" t="s">
        <v>233</v>
      </c>
      <c r="B1820" t="s">
        <v>224</v>
      </c>
      <c r="C1820" t="s">
        <v>225</v>
      </c>
      <c r="D1820" t="s">
        <v>213</v>
      </c>
      <c r="E1820" t="s">
        <v>272</v>
      </c>
      <c r="F1820" t="s">
        <v>272</v>
      </c>
      <c r="G1820" t="s">
        <v>269</v>
      </c>
      <c r="H1820" t="n">
        <v>46329</v>
      </c>
      <c r="I1820"/>
      <c r="J1820"/>
      <c r="K1820"/>
      <c r="L1820"/>
      <c r="M1820"/>
      <c r="N1820" t="s">
        <v>214</v>
      </c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 t="n">
        <v>0</v>
      </c>
      <c r="AF1820"/>
      <c r="AG1820"/>
      <c r="AH1820"/>
      <c r="AI1820"/>
      <c r="AJ1820"/>
      <c r="AK1820"/>
      <c r="AL1820"/>
    </row>
    <row r="1821">
      <c r="A1821" t="s">
        <v>233</v>
      </c>
      <c r="B1821" t="s">
        <v>224</v>
      </c>
      <c r="C1821" t="s">
        <v>225</v>
      </c>
      <c r="D1821" t="s">
        <v>213</v>
      </c>
      <c r="E1821" t="s">
        <v>272</v>
      </c>
      <c r="F1821" t="s">
        <v>272</v>
      </c>
      <c r="G1821" t="s">
        <v>269</v>
      </c>
      <c r="H1821" t="n">
        <v>46329</v>
      </c>
      <c r="I1821"/>
      <c r="J1821"/>
      <c r="K1821"/>
      <c r="L1821"/>
      <c r="M1821"/>
      <c r="N1821" t="s">
        <v>215</v>
      </c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</row>
    <row r="1822">
      <c r="A1822" t="s">
        <v>233</v>
      </c>
      <c r="B1822" t="s">
        <v>224</v>
      </c>
      <c r="C1822" t="s">
        <v>225</v>
      </c>
      <c r="D1822" t="s">
        <v>213</v>
      </c>
      <c r="E1822" t="s">
        <v>272</v>
      </c>
      <c r="F1822" t="s">
        <v>272</v>
      </c>
      <c r="G1822" t="s">
        <v>269</v>
      </c>
      <c r="H1822" t="n">
        <v>46329</v>
      </c>
      <c r="I1822"/>
      <c r="J1822"/>
      <c r="K1822"/>
      <c r="L1822"/>
      <c r="M1822"/>
      <c r="N1822" t="s">
        <v>216</v>
      </c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 t="n">
        <v>21500</v>
      </c>
      <c r="AF1822"/>
      <c r="AG1822"/>
      <c r="AH1822"/>
      <c r="AI1822"/>
      <c r="AJ1822"/>
      <c r="AK1822"/>
      <c r="AL1822"/>
    </row>
    <row r="1823">
      <c r="A1823" t="s">
        <v>233</v>
      </c>
      <c r="B1823" t="s">
        <v>224</v>
      </c>
      <c r="C1823" t="s">
        <v>225</v>
      </c>
      <c r="D1823" t="s">
        <v>213</v>
      </c>
      <c r="E1823" t="s">
        <v>272</v>
      </c>
      <c r="F1823" t="s">
        <v>272</v>
      </c>
      <c r="G1823" t="s">
        <v>269</v>
      </c>
      <c r="H1823" t="n">
        <v>46329</v>
      </c>
      <c r="I1823"/>
      <c r="J1823"/>
      <c r="K1823"/>
      <c r="L1823"/>
      <c r="M1823"/>
      <c r="N1823" t="s">
        <v>217</v>
      </c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 t="n">
        <v>24829</v>
      </c>
      <c r="AF1823"/>
      <c r="AG1823"/>
      <c r="AH1823"/>
      <c r="AI1823"/>
      <c r="AJ1823"/>
      <c r="AK1823"/>
      <c r="AL1823"/>
    </row>
    <row r="1824">
      <c r="A1824" t="s">
        <v>233</v>
      </c>
      <c r="B1824" t="s">
        <v>224</v>
      </c>
      <c r="C1824" t="s">
        <v>225</v>
      </c>
      <c r="D1824" t="s">
        <v>213</v>
      </c>
      <c r="E1824" t="s">
        <v>272</v>
      </c>
      <c r="F1824" t="s">
        <v>272</v>
      </c>
      <c r="G1824" t="s">
        <v>269</v>
      </c>
      <c r="H1824" t="n">
        <v>46329</v>
      </c>
      <c r="I1824"/>
      <c r="J1824"/>
      <c r="K1824"/>
      <c r="L1824"/>
      <c r="M1824"/>
      <c r="N1824" t="s">
        <v>218</v>
      </c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 t="n">
        <v>3</v>
      </c>
      <c r="AF1824"/>
      <c r="AG1824"/>
      <c r="AH1824"/>
      <c r="AI1824"/>
      <c r="AJ1824"/>
      <c r="AK1824"/>
      <c r="AL1824"/>
    </row>
    <row r="1825">
      <c r="A1825" t="s">
        <v>233</v>
      </c>
      <c r="B1825" t="s">
        <v>224</v>
      </c>
      <c r="C1825" t="s">
        <v>225</v>
      </c>
      <c r="D1825" t="s">
        <v>213</v>
      </c>
      <c r="E1825" t="s">
        <v>272</v>
      </c>
      <c r="F1825" t="s">
        <v>272</v>
      </c>
      <c r="G1825" t="s">
        <v>269</v>
      </c>
      <c r="H1825" t="n">
        <v>46329</v>
      </c>
      <c r="I1825"/>
      <c r="J1825"/>
      <c r="K1825"/>
      <c r="L1825"/>
      <c r="M1825"/>
      <c r="N1825" t="s">
        <v>219</v>
      </c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 t="n">
        <v>6</v>
      </c>
      <c r="AF1825"/>
      <c r="AG1825"/>
      <c r="AH1825"/>
      <c r="AI1825"/>
      <c r="AJ1825"/>
      <c r="AK1825"/>
      <c r="AL1825"/>
    </row>
    <row r="1826">
      <c r="A1826" t="s">
        <v>233</v>
      </c>
      <c r="B1826" t="s">
        <v>224</v>
      </c>
      <c r="C1826" t="s">
        <v>225</v>
      </c>
      <c r="D1826" t="s">
        <v>213</v>
      </c>
      <c r="E1826" t="s">
        <v>272</v>
      </c>
      <c r="F1826" t="s">
        <v>272</v>
      </c>
      <c r="G1826" t="s">
        <v>269</v>
      </c>
      <c r="H1826" t="n">
        <v>46329</v>
      </c>
      <c r="I1826"/>
      <c r="J1826"/>
      <c r="K1826"/>
      <c r="L1826"/>
      <c r="M1826"/>
      <c r="N1826" t="s">
        <v>220</v>
      </c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 t="n">
        <v>6</v>
      </c>
      <c r="AF1826"/>
      <c r="AG1826"/>
      <c r="AH1826"/>
      <c r="AI1826"/>
      <c r="AJ1826"/>
      <c r="AK1826"/>
      <c r="AL1826"/>
    </row>
    <row r="1827">
      <c r="A1827" t="s">
        <v>233</v>
      </c>
      <c r="B1827" t="s">
        <v>224</v>
      </c>
      <c r="C1827" t="s">
        <v>225</v>
      </c>
      <c r="D1827" t="s">
        <v>213</v>
      </c>
      <c r="E1827" t="s">
        <v>272</v>
      </c>
      <c r="F1827" t="s">
        <v>272</v>
      </c>
      <c r="G1827" t="s">
        <v>269</v>
      </c>
      <c r="H1827" t="n">
        <v>46329</v>
      </c>
      <c r="I1827"/>
      <c r="J1827"/>
      <c r="K1827"/>
      <c r="L1827"/>
      <c r="M1827"/>
      <c r="N1827" t="s">
        <v>221</v>
      </c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 t="n">
        <v>1.15483720930233</v>
      </c>
      <c r="AF1827"/>
      <c r="AG1827"/>
      <c r="AH1827"/>
      <c r="AI1827"/>
      <c r="AJ1827"/>
      <c r="AK1827"/>
      <c r="AL1827"/>
    </row>
    <row r="1828">
      <c r="A1828" t="s">
        <v>233</v>
      </c>
      <c r="B1828" t="s">
        <v>224</v>
      </c>
      <c r="C1828" t="s">
        <v>225</v>
      </c>
      <c r="D1828" t="s">
        <v>213</v>
      </c>
      <c r="E1828" t="s">
        <v>272</v>
      </c>
      <c r="F1828" t="s">
        <v>272</v>
      </c>
      <c r="G1828" t="s">
        <v>269</v>
      </c>
      <c r="H1828" t="n">
        <v>46329</v>
      </c>
      <c r="I1828"/>
      <c r="J1828"/>
      <c r="K1828"/>
      <c r="L1828"/>
      <c r="M1828"/>
      <c r="N1828" t="s">
        <v>222</v>
      </c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</row>
    <row r="1829">
      <c r="A1829" t="s">
        <v>235</v>
      </c>
      <c r="B1829" t="s">
        <v>234</v>
      </c>
      <c r="C1829"/>
      <c r="D1829" t="s">
        <v>213</v>
      </c>
      <c r="E1829" t="s">
        <v>272</v>
      </c>
      <c r="F1829" t="s">
        <v>272</v>
      </c>
      <c r="G1829" t="s">
        <v>269</v>
      </c>
      <c r="H1829" t="n">
        <v>66920</v>
      </c>
      <c r="I1829"/>
      <c r="J1829" t="n">
        <v>22485</v>
      </c>
      <c r="K1829" t="s">
        <v>285</v>
      </c>
      <c r="L1829"/>
      <c r="M1829"/>
      <c r="N1829" t="s">
        <v>214</v>
      </c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 t="n">
        <v>0</v>
      </c>
      <c r="AF1829"/>
      <c r="AG1829"/>
      <c r="AH1829"/>
      <c r="AI1829"/>
      <c r="AJ1829"/>
      <c r="AK1829"/>
      <c r="AL1829"/>
    </row>
    <row r="1830">
      <c r="A1830" t="s">
        <v>235</v>
      </c>
      <c r="B1830" t="s">
        <v>234</v>
      </c>
      <c r="C1830"/>
      <c r="D1830" t="s">
        <v>213</v>
      </c>
      <c r="E1830" t="s">
        <v>272</v>
      </c>
      <c r="F1830" t="s">
        <v>272</v>
      </c>
      <c r="G1830" t="s">
        <v>269</v>
      </c>
      <c r="H1830" t="n">
        <v>66920</v>
      </c>
      <c r="I1830"/>
      <c r="J1830" t="n">
        <v>22485</v>
      </c>
      <c r="K1830" t="s">
        <v>285</v>
      </c>
      <c r="L1830"/>
      <c r="M1830"/>
      <c r="N1830" t="s">
        <v>215</v>
      </c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</row>
    <row r="1831">
      <c r="A1831" t="s">
        <v>235</v>
      </c>
      <c r="B1831" t="s">
        <v>234</v>
      </c>
      <c r="C1831"/>
      <c r="D1831" t="s">
        <v>213</v>
      </c>
      <c r="E1831" t="s">
        <v>272</v>
      </c>
      <c r="F1831" t="s">
        <v>272</v>
      </c>
      <c r="G1831" t="s">
        <v>269</v>
      </c>
      <c r="H1831" t="n">
        <v>66920</v>
      </c>
      <c r="I1831"/>
      <c r="J1831" t="n">
        <v>22485</v>
      </c>
      <c r="K1831" t="s">
        <v>285</v>
      </c>
      <c r="L1831"/>
      <c r="M1831"/>
      <c r="N1831" t="s">
        <v>216</v>
      </c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 t="n">
        <v>43147</v>
      </c>
      <c r="AF1831"/>
      <c r="AG1831"/>
      <c r="AH1831"/>
      <c r="AI1831"/>
      <c r="AJ1831"/>
      <c r="AK1831"/>
      <c r="AL1831"/>
    </row>
    <row r="1832">
      <c r="A1832" t="s">
        <v>235</v>
      </c>
      <c r="B1832" t="s">
        <v>234</v>
      </c>
      <c r="C1832"/>
      <c r="D1832" t="s">
        <v>213</v>
      </c>
      <c r="E1832" t="s">
        <v>272</v>
      </c>
      <c r="F1832" t="s">
        <v>272</v>
      </c>
      <c r="G1832" t="s">
        <v>269</v>
      </c>
      <c r="H1832" t="n">
        <v>66920</v>
      </c>
      <c r="I1832"/>
      <c r="J1832" t="n">
        <v>22485</v>
      </c>
      <c r="K1832" t="s">
        <v>285</v>
      </c>
      <c r="L1832"/>
      <c r="M1832"/>
      <c r="N1832" t="s">
        <v>217</v>
      </c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 t="n">
        <v>23773</v>
      </c>
      <c r="AF1832"/>
      <c r="AG1832"/>
      <c r="AH1832"/>
      <c r="AI1832"/>
      <c r="AJ1832"/>
      <c r="AK1832"/>
      <c r="AL1832"/>
    </row>
    <row r="1833">
      <c r="A1833" t="s">
        <v>235</v>
      </c>
      <c r="B1833" t="s">
        <v>234</v>
      </c>
      <c r="C1833"/>
      <c r="D1833" t="s">
        <v>213</v>
      </c>
      <c r="E1833" t="s">
        <v>272</v>
      </c>
      <c r="F1833" t="s">
        <v>272</v>
      </c>
      <c r="G1833" t="s">
        <v>269</v>
      </c>
      <c r="H1833" t="n">
        <v>66920</v>
      </c>
      <c r="I1833"/>
      <c r="J1833" t="n">
        <v>22485</v>
      </c>
      <c r="K1833" t="s">
        <v>285</v>
      </c>
      <c r="L1833"/>
      <c r="M1833"/>
      <c r="N1833" t="s">
        <v>218</v>
      </c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 t="n">
        <v>6</v>
      </c>
      <c r="AF1833"/>
      <c r="AG1833"/>
      <c r="AH1833"/>
      <c r="AI1833"/>
      <c r="AJ1833"/>
      <c r="AK1833"/>
      <c r="AL1833"/>
    </row>
    <row r="1834">
      <c r="A1834" t="s">
        <v>235</v>
      </c>
      <c r="B1834" t="s">
        <v>234</v>
      </c>
      <c r="C1834"/>
      <c r="D1834" t="s">
        <v>213</v>
      </c>
      <c r="E1834" t="s">
        <v>272</v>
      </c>
      <c r="F1834" t="s">
        <v>272</v>
      </c>
      <c r="G1834" t="s">
        <v>269</v>
      </c>
      <c r="H1834" t="n">
        <v>66920</v>
      </c>
      <c r="I1834"/>
      <c r="J1834" t="n">
        <v>22485</v>
      </c>
      <c r="K1834" t="s">
        <v>285</v>
      </c>
      <c r="L1834"/>
      <c r="M1834"/>
      <c r="N1834" t="s">
        <v>219</v>
      </c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 t="n">
        <v>12</v>
      </c>
      <c r="AF1834"/>
      <c r="AG1834"/>
      <c r="AH1834"/>
      <c r="AI1834"/>
      <c r="AJ1834"/>
      <c r="AK1834"/>
      <c r="AL1834"/>
    </row>
    <row r="1835">
      <c r="A1835" t="s">
        <v>235</v>
      </c>
      <c r="B1835" t="s">
        <v>234</v>
      </c>
      <c r="C1835"/>
      <c r="D1835" t="s">
        <v>213</v>
      </c>
      <c r="E1835" t="s">
        <v>272</v>
      </c>
      <c r="F1835" t="s">
        <v>272</v>
      </c>
      <c r="G1835" t="s">
        <v>269</v>
      </c>
      <c r="H1835" t="n">
        <v>66920</v>
      </c>
      <c r="I1835"/>
      <c r="J1835" t="n">
        <v>22485</v>
      </c>
      <c r="K1835" t="s">
        <v>285</v>
      </c>
      <c r="L1835"/>
      <c r="M1835"/>
      <c r="N1835" t="s">
        <v>220</v>
      </c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 t="n">
        <v>12</v>
      </c>
      <c r="AF1835"/>
      <c r="AG1835"/>
      <c r="AH1835"/>
      <c r="AI1835"/>
      <c r="AJ1835"/>
      <c r="AK1835"/>
      <c r="AL1835"/>
    </row>
    <row r="1836">
      <c r="A1836" t="s">
        <v>235</v>
      </c>
      <c r="B1836" t="s">
        <v>234</v>
      </c>
      <c r="C1836"/>
      <c r="D1836" t="s">
        <v>213</v>
      </c>
      <c r="E1836" t="s">
        <v>272</v>
      </c>
      <c r="F1836" t="s">
        <v>272</v>
      </c>
      <c r="G1836" t="s">
        <v>269</v>
      </c>
      <c r="H1836" t="n">
        <v>66920</v>
      </c>
      <c r="I1836"/>
      <c r="J1836" t="n">
        <v>22485</v>
      </c>
      <c r="K1836" t="s">
        <v>285</v>
      </c>
      <c r="L1836"/>
      <c r="M1836"/>
      <c r="N1836" t="s">
        <v>221</v>
      </c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 t="n">
        <v>0.550976892947366</v>
      </c>
      <c r="AF1836"/>
      <c r="AG1836"/>
      <c r="AH1836"/>
      <c r="AI1836"/>
      <c r="AJ1836"/>
      <c r="AK1836"/>
      <c r="AL1836"/>
    </row>
    <row r="1837">
      <c r="A1837" t="s">
        <v>235</v>
      </c>
      <c r="B1837" t="s">
        <v>234</v>
      </c>
      <c r="C1837"/>
      <c r="D1837" t="s">
        <v>213</v>
      </c>
      <c r="E1837" t="s">
        <v>272</v>
      </c>
      <c r="F1837" t="s">
        <v>272</v>
      </c>
      <c r="G1837" t="s">
        <v>269</v>
      </c>
      <c r="H1837" t="n">
        <v>66920</v>
      </c>
      <c r="I1837"/>
      <c r="J1837" t="n">
        <v>22485</v>
      </c>
      <c r="K1837" t="s">
        <v>285</v>
      </c>
      <c r="L1837"/>
      <c r="M1837"/>
      <c r="N1837" t="s">
        <v>222</v>
      </c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</row>
    <row r="1838">
      <c r="A1838" t="s">
        <v>261</v>
      </c>
      <c r="B1838" t="s">
        <v>262</v>
      </c>
      <c r="C1838" t="s">
        <v>212</v>
      </c>
      <c r="D1838" t="s">
        <v>213</v>
      </c>
      <c r="E1838" t="s">
        <v>272</v>
      </c>
      <c r="F1838" t="s">
        <v>272</v>
      </c>
      <c r="G1838" t="s">
        <v>269</v>
      </c>
      <c r="H1838" t="n">
        <v>522582</v>
      </c>
      <c r="I1838"/>
      <c r="J1838" t="n">
        <v>137962</v>
      </c>
      <c r="K1838" t="s">
        <v>286</v>
      </c>
      <c r="L1838"/>
      <c r="M1838"/>
      <c r="N1838" t="s">
        <v>214</v>
      </c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 t="n">
        <v>355213</v>
      </c>
      <c r="AG1838"/>
      <c r="AH1838"/>
      <c r="AI1838"/>
      <c r="AJ1838"/>
      <c r="AK1838"/>
      <c r="AL1838"/>
    </row>
    <row r="1839">
      <c r="A1839" t="s">
        <v>261</v>
      </c>
      <c r="B1839" t="s">
        <v>262</v>
      </c>
      <c r="C1839" t="s">
        <v>212</v>
      </c>
      <c r="D1839" t="s">
        <v>213</v>
      </c>
      <c r="E1839" t="s">
        <v>272</v>
      </c>
      <c r="F1839" t="s">
        <v>272</v>
      </c>
      <c r="G1839" t="s">
        <v>269</v>
      </c>
      <c r="H1839" t="n">
        <v>522582</v>
      </c>
      <c r="I1839"/>
      <c r="J1839" t="n">
        <v>137962</v>
      </c>
      <c r="K1839" t="s">
        <v>286</v>
      </c>
      <c r="L1839"/>
      <c r="M1839"/>
      <c r="N1839" t="s">
        <v>215</v>
      </c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</row>
    <row r="1840">
      <c r="A1840" t="s">
        <v>261</v>
      </c>
      <c r="B1840" t="s">
        <v>262</v>
      </c>
      <c r="C1840" t="s">
        <v>212</v>
      </c>
      <c r="D1840" t="s">
        <v>213</v>
      </c>
      <c r="E1840" t="s">
        <v>272</v>
      </c>
      <c r="F1840" t="s">
        <v>272</v>
      </c>
      <c r="G1840" t="s">
        <v>269</v>
      </c>
      <c r="H1840" t="n">
        <v>522582</v>
      </c>
      <c r="I1840"/>
      <c r="J1840" t="n">
        <v>137962</v>
      </c>
      <c r="K1840" t="s">
        <v>286</v>
      </c>
      <c r="L1840"/>
      <c r="M1840"/>
      <c r="N1840" t="s">
        <v>216</v>
      </c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 t="n">
        <v>94644</v>
      </c>
      <c r="AG1840"/>
      <c r="AH1840"/>
      <c r="AI1840"/>
      <c r="AJ1840"/>
      <c r="AK1840"/>
      <c r="AL1840"/>
    </row>
    <row r="1841">
      <c r="A1841" t="s">
        <v>261</v>
      </c>
      <c r="B1841" t="s">
        <v>262</v>
      </c>
      <c r="C1841" t="s">
        <v>212</v>
      </c>
      <c r="D1841" t="s">
        <v>213</v>
      </c>
      <c r="E1841" t="s">
        <v>272</v>
      </c>
      <c r="F1841" t="s">
        <v>272</v>
      </c>
      <c r="G1841" t="s">
        <v>269</v>
      </c>
      <c r="H1841" t="n">
        <v>522582</v>
      </c>
      <c r="I1841"/>
      <c r="J1841" t="n">
        <v>137962</v>
      </c>
      <c r="K1841" t="s">
        <v>286</v>
      </c>
      <c r="L1841"/>
      <c r="M1841"/>
      <c r="N1841" t="s">
        <v>217</v>
      </c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 t="n">
        <v>783151</v>
      </c>
      <c r="AG1841"/>
      <c r="AH1841"/>
      <c r="AI1841"/>
      <c r="AJ1841"/>
      <c r="AK1841"/>
      <c r="AL1841"/>
    </row>
    <row r="1842">
      <c r="A1842" t="s">
        <v>261</v>
      </c>
      <c r="B1842" t="s">
        <v>262</v>
      </c>
      <c r="C1842" t="s">
        <v>212</v>
      </c>
      <c r="D1842" t="s">
        <v>213</v>
      </c>
      <c r="E1842" t="s">
        <v>272</v>
      </c>
      <c r="F1842" t="s">
        <v>272</v>
      </c>
      <c r="G1842" t="s">
        <v>269</v>
      </c>
      <c r="H1842" t="n">
        <v>522582</v>
      </c>
      <c r="I1842"/>
      <c r="J1842" t="n">
        <v>137962</v>
      </c>
      <c r="K1842" t="s">
        <v>286</v>
      </c>
      <c r="L1842"/>
      <c r="M1842"/>
      <c r="N1842" t="s">
        <v>218</v>
      </c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 t="n">
        <v>9</v>
      </c>
      <c r="AG1842"/>
      <c r="AH1842"/>
      <c r="AI1842"/>
      <c r="AJ1842"/>
      <c r="AK1842"/>
      <c r="AL1842"/>
    </row>
    <row r="1843">
      <c r="A1843" t="s">
        <v>261</v>
      </c>
      <c r="B1843" t="s">
        <v>262</v>
      </c>
      <c r="C1843" t="s">
        <v>212</v>
      </c>
      <c r="D1843" t="s">
        <v>213</v>
      </c>
      <c r="E1843" t="s">
        <v>272</v>
      </c>
      <c r="F1843" t="s">
        <v>272</v>
      </c>
      <c r="G1843" t="s">
        <v>269</v>
      </c>
      <c r="H1843" t="n">
        <v>522582</v>
      </c>
      <c r="I1843"/>
      <c r="J1843" t="n">
        <v>137962</v>
      </c>
      <c r="K1843" t="s">
        <v>286</v>
      </c>
      <c r="L1843"/>
      <c r="M1843"/>
      <c r="N1843" t="s">
        <v>219</v>
      </c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 t="n">
        <v>14</v>
      </c>
      <c r="AG1843"/>
      <c r="AH1843"/>
      <c r="AI1843"/>
      <c r="AJ1843"/>
      <c r="AK1843"/>
      <c r="AL1843"/>
    </row>
    <row r="1844">
      <c r="A1844" t="s">
        <v>261</v>
      </c>
      <c r="B1844" t="s">
        <v>262</v>
      </c>
      <c r="C1844" t="s">
        <v>212</v>
      </c>
      <c r="D1844" t="s">
        <v>213</v>
      </c>
      <c r="E1844" t="s">
        <v>272</v>
      </c>
      <c r="F1844" t="s">
        <v>272</v>
      </c>
      <c r="G1844" t="s">
        <v>269</v>
      </c>
      <c r="H1844" t="n">
        <v>522582</v>
      </c>
      <c r="I1844"/>
      <c r="J1844" t="n">
        <v>137962</v>
      </c>
      <c r="K1844" t="s">
        <v>286</v>
      </c>
      <c r="L1844"/>
      <c r="M1844"/>
      <c r="N1844" t="s">
        <v>220</v>
      </c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 t="n">
        <v>13</v>
      </c>
      <c r="AG1844"/>
      <c r="AH1844"/>
      <c r="AI1844"/>
      <c r="AJ1844"/>
      <c r="AK1844"/>
      <c r="AL1844"/>
    </row>
    <row r="1845">
      <c r="A1845" t="s">
        <v>261</v>
      </c>
      <c r="B1845" t="s">
        <v>262</v>
      </c>
      <c r="C1845" t="s">
        <v>212</v>
      </c>
      <c r="D1845" t="s">
        <v>213</v>
      </c>
      <c r="E1845" t="s">
        <v>272</v>
      </c>
      <c r="F1845" t="s">
        <v>272</v>
      </c>
      <c r="G1845" t="s">
        <v>269</v>
      </c>
      <c r="H1845" t="n">
        <v>522582</v>
      </c>
      <c r="I1845"/>
      <c r="J1845" t="n">
        <v>137962</v>
      </c>
      <c r="K1845" t="s">
        <v>286</v>
      </c>
      <c r="L1845"/>
      <c r="M1845"/>
      <c r="N1845" t="s">
        <v>221</v>
      </c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 t="n">
        <v>8.27470309792485</v>
      </c>
      <c r="AG1845"/>
      <c r="AH1845"/>
      <c r="AI1845"/>
      <c r="AJ1845"/>
      <c r="AK1845"/>
      <c r="AL1845"/>
    </row>
    <row r="1846">
      <c r="A1846" t="s">
        <v>261</v>
      </c>
      <c r="B1846" t="s">
        <v>262</v>
      </c>
      <c r="C1846" t="s">
        <v>212</v>
      </c>
      <c r="D1846" t="s">
        <v>213</v>
      </c>
      <c r="E1846" t="s">
        <v>272</v>
      </c>
      <c r="F1846" t="s">
        <v>272</v>
      </c>
      <c r="G1846" t="s">
        <v>269</v>
      </c>
      <c r="H1846" t="n">
        <v>522582</v>
      </c>
      <c r="I1846"/>
      <c r="J1846" t="n">
        <v>137962</v>
      </c>
      <c r="K1846" t="s">
        <v>286</v>
      </c>
      <c r="L1846"/>
      <c r="M1846"/>
      <c r="N1846" t="s">
        <v>222</v>
      </c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</row>
    <row r="1847">
      <c r="A1847" t="s">
        <v>250</v>
      </c>
      <c r="B1847" t="s">
        <v>211</v>
      </c>
      <c r="C1847" t="s">
        <v>212</v>
      </c>
      <c r="D1847" t="s">
        <v>213</v>
      </c>
      <c r="E1847"/>
      <c r="F1847"/>
      <c r="G1847" t="s">
        <v>269</v>
      </c>
      <c r="H1847" t="n">
        <v>1286976</v>
      </c>
      <c r="I1847"/>
      <c r="J1847"/>
      <c r="K1847"/>
      <c r="L1847"/>
      <c r="M1847"/>
      <c r="N1847" t="s">
        <v>214</v>
      </c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 t="n">
        <v>1201898</v>
      </c>
      <c r="AG1847"/>
      <c r="AH1847"/>
      <c r="AI1847"/>
      <c r="AJ1847"/>
      <c r="AK1847"/>
      <c r="AL1847"/>
    </row>
    <row r="1848">
      <c r="A1848" t="s">
        <v>250</v>
      </c>
      <c r="B1848" t="s">
        <v>211</v>
      </c>
      <c r="C1848" t="s">
        <v>212</v>
      </c>
      <c r="D1848" t="s">
        <v>213</v>
      </c>
      <c r="E1848"/>
      <c r="F1848"/>
      <c r="G1848" t="s">
        <v>269</v>
      </c>
      <c r="H1848" t="n">
        <v>1286976</v>
      </c>
      <c r="I1848"/>
      <c r="J1848"/>
      <c r="K1848"/>
      <c r="L1848"/>
      <c r="M1848"/>
      <c r="N1848" t="s">
        <v>215</v>
      </c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</row>
    <row r="1849">
      <c r="A1849" t="s">
        <v>250</v>
      </c>
      <c r="B1849" t="s">
        <v>211</v>
      </c>
      <c r="C1849" t="s">
        <v>212</v>
      </c>
      <c r="D1849" t="s">
        <v>213</v>
      </c>
      <c r="E1849"/>
      <c r="F1849"/>
      <c r="G1849" t="s">
        <v>269</v>
      </c>
      <c r="H1849" t="n">
        <v>1286976</v>
      </c>
      <c r="I1849"/>
      <c r="J1849"/>
      <c r="K1849"/>
      <c r="L1849"/>
      <c r="M1849"/>
      <c r="N1849" t="s">
        <v>216</v>
      </c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 t="n">
        <v>156134</v>
      </c>
      <c r="AG1849"/>
      <c r="AH1849"/>
      <c r="AI1849"/>
      <c r="AJ1849"/>
      <c r="AK1849"/>
      <c r="AL1849"/>
    </row>
    <row r="1850">
      <c r="A1850" t="s">
        <v>250</v>
      </c>
      <c r="B1850" t="s">
        <v>211</v>
      </c>
      <c r="C1850" t="s">
        <v>212</v>
      </c>
      <c r="D1850" t="s">
        <v>213</v>
      </c>
      <c r="E1850"/>
      <c r="F1850"/>
      <c r="G1850" t="s">
        <v>269</v>
      </c>
      <c r="H1850" t="n">
        <v>1286976</v>
      </c>
      <c r="I1850"/>
      <c r="J1850"/>
      <c r="K1850"/>
      <c r="L1850"/>
      <c r="M1850"/>
      <c r="N1850" t="s">
        <v>217</v>
      </c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 t="n">
        <v>2332740</v>
      </c>
      <c r="AG1850"/>
      <c r="AH1850"/>
      <c r="AI1850"/>
      <c r="AJ1850"/>
      <c r="AK1850"/>
      <c r="AL1850"/>
    </row>
    <row r="1851">
      <c r="A1851" t="s">
        <v>250</v>
      </c>
      <c r="B1851" t="s">
        <v>211</v>
      </c>
      <c r="C1851" t="s">
        <v>212</v>
      </c>
      <c r="D1851" t="s">
        <v>213</v>
      </c>
      <c r="E1851"/>
      <c r="F1851"/>
      <c r="G1851" t="s">
        <v>269</v>
      </c>
      <c r="H1851" t="n">
        <v>1286976</v>
      </c>
      <c r="I1851"/>
      <c r="J1851"/>
      <c r="K1851"/>
      <c r="L1851"/>
      <c r="M1851"/>
      <c r="N1851" t="s">
        <v>218</v>
      </c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n">
        <v>7</v>
      </c>
      <c r="AG1851"/>
      <c r="AH1851"/>
      <c r="AI1851"/>
      <c r="AJ1851"/>
      <c r="AK1851"/>
      <c r="AL1851"/>
    </row>
    <row r="1852">
      <c r="A1852" t="s">
        <v>250</v>
      </c>
      <c r="B1852" t="s">
        <v>211</v>
      </c>
      <c r="C1852" t="s">
        <v>212</v>
      </c>
      <c r="D1852" t="s">
        <v>213</v>
      </c>
      <c r="E1852"/>
      <c r="F1852"/>
      <c r="G1852" t="s">
        <v>269</v>
      </c>
      <c r="H1852" t="n">
        <v>1286976</v>
      </c>
      <c r="I1852"/>
      <c r="J1852"/>
      <c r="K1852"/>
      <c r="L1852"/>
      <c r="M1852"/>
      <c r="N1852" t="s">
        <v>219</v>
      </c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 t="n">
        <v>15</v>
      </c>
      <c r="AG1852"/>
      <c r="AH1852"/>
      <c r="AI1852"/>
      <c r="AJ1852"/>
      <c r="AK1852"/>
      <c r="AL1852"/>
    </row>
    <row r="1853">
      <c r="A1853" t="s">
        <v>250</v>
      </c>
      <c r="B1853" t="s">
        <v>211</v>
      </c>
      <c r="C1853" t="s">
        <v>212</v>
      </c>
      <c r="D1853" t="s">
        <v>213</v>
      </c>
      <c r="E1853"/>
      <c r="F1853"/>
      <c r="G1853" t="s">
        <v>269</v>
      </c>
      <c r="H1853" t="n">
        <v>1286976</v>
      </c>
      <c r="I1853"/>
      <c r="J1853"/>
      <c r="K1853"/>
      <c r="L1853"/>
      <c r="M1853"/>
      <c r="N1853" t="s">
        <v>220</v>
      </c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 t="n">
        <v>15</v>
      </c>
      <c r="AG1853"/>
      <c r="AH1853"/>
      <c r="AI1853"/>
      <c r="AJ1853"/>
      <c r="AK1853"/>
      <c r="AL1853"/>
    </row>
    <row r="1854">
      <c r="A1854" t="s">
        <v>250</v>
      </c>
      <c r="B1854" t="s">
        <v>211</v>
      </c>
      <c r="C1854" t="s">
        <v>212</v>
      </c>
      <c r="D1854" t="s">
        <v>213</v>
      </c>
      <c r="E1854"/>
      <c r="F1854"/>
      <c r="G1854" t="s">
        <v>269</v>
      </c>
      <c r="H1854" t="n">
        <v>1286976</v>
      </c>
      <c r="I1854"/>
      <c r="J1854"/>
      <c r="K1854"/>
      <c r="L1854"/>
      <c r="M1854"/>
      <c r="N1854" t="s">
        <v>221</v>
      </c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 t="n">
        <v>14.9406279221694</v>
      </c>
      <c r="AG1854"/>
      <c r="AH1854"/>
      <c r="AI1854"/>
      <c r="AJ1854"/>
      <c r="AK1854"/>
      <c r="AL1854"/>
    </row>
    <row r="1855">
      <c r="A1855" t="s">
        <v>250</v>
      </c>
      <c r="B1855" t="s">
        <v>211</v>
      </c>
      <c r="C1855" t="s">
        <v>212</v>
      </c>
      <c r="D1855" t="s">
        <v>213</v>
      </c>
      <c r="E1855"/>
      <c r="F1855"/>
      <c r="G1855" t="s">
        <v>269</v>
      </c>
      <c r="H1855" t="n">
        <v>1286976</v>
      </c>
      <c r="I1855"/>
      <c r="J1855"/>
      <c r="K1855"/>
      <c r="L1855"/>
      <c r="M1855"/>
      <c r="N1855" t="s">
        <v>222</v>
      </c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</row>
    <row r="1856">
      <c r="A1856" t="s">
        <v>235</v>
      </c>
      <c r="B1856" t="s">
        <v>239</v>
      </c>
      <c r="C1856"/>
      <c r="D1856" t="s">
        <v>213</v>
      </c>
      <c r="E1856" t="s">
        <v>272</v>
      </c>
      <c r="F1856" t="s">
        <v>272</v>
      </c>
      <c r="G1856" t="s">
        <v>269</v>
      </c>
      <c r="H1856" t="n">
        <v>2199</v>
      </c>
      <c r="I1856"/>
      <c r="J1856" t="n">
        <v>3695</v>
      </c>
      <c r="K1856" t="s">
        <v>286</v>
      </c>
      <c r="L1856"/>
      <c r="M1856"/>
      <c r="N1856" t="s">
        <v>214</v>
      </c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0</v>
      </c>
      <c r="AG1856"/>
      <c r="AH1856"/>
      <c r="AI1856"/>
      <c r="AJ1856"/>
      <c r="AK1856"/>
      <c r="AL1856"/>
    </row>
    <row r="1857">
      <c r="A1857" t="s">
        <v>235</v>
      </c>
      <c r="B1857" t="s">
        <v>239</v>
      </c>
      <c r="C1857"/>
      <c r="D1857" t="s">
        <v>213</v>
      </c>
      <c r="E1857" t="s">
        <v>272</v>
      </c>
      <c r="F1857" t="s">
        <v>272</v>
      </c>
      <c r="G1857" t="s">
        <v>269</v>
      </c>
      <c r="H1857" t="n">
        <v>2199</v>
      </c>
      <c r="I1857"/>
      <c r="J1857" t="n">
        <v>3695</v>
      </c>
      <c r="K1857" t="s">
        <v>286</v>
      </c>
      <c r="L1857"/>
      <c r="M1857"/>
      <c r="N1857" t="s">
        <v>215</v>
      </c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</row>
    <row r="1858">
      <c r="A1858" t="s">
        <v>235</v>
      </c>
      <c r="B1858" t="s">
        <v>239</v>
      </c>
      <c r="C1858"/>
      <c r="D1858" t="s">
        <v>213</v>
      </c>
      <c r="E1858" t="s">
        <v>272</v>
      </c>
      <c r="F1858" t="s">
        <v>272</v>
      </c>
      <c r="G1858" t="s">
        <v>269</v>
      </c>
      <c r="H1858" t="n">
        <v>2199</v>
      </c>
      <c r="I1858"/>
      <c r="J1858" t="n">
        <v>3695</v>
      </c>
      <c r="K1858" t="s">
        <v>286</v>
      </c>
      <c r="L1858"/>
      <c r="M1858"/>
      <c r="N1858" t="s">
        <v>216</v>
      </c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n">
        <v>293</v>
      </c>
      <c r="AG1858"/>
      <c r="AH1858"/>
      <c r="AI1858"/>
      <c r="AJ1858"/>
      <c r="AK1858"/>
      <c r="AL1858"/>
    </row>
    <row r="1859">
      <c r="A1859" t="s">
        <v>235</v>
      </c>
      <c r="B1859" t="s">
        <v>239</v>
      </c>
      <c r="C1859"/>
      <c r="D1859" t="s">
        <v>213</v>
      </c>
      <c r="E1859" t="s">
        <v>272</v>
      </c>
      <c r="F1859" t="s">
        <v>272</v>
      </c>
      <c r="G1859" t="s">
        <v>269</v>
      </c>
      <c r="H1859" t="n">
        <v>2199</v>
      </c>
      <c r="I1859"/>
      <c r="J1859" t="n">
        <v>3695</v>
      </c>
      <c r="K1859" t="s">
        <v>286</v>
      </c>
      <c r="L1859"/>
      <c r="M1859"/>
      <c r="N1859" t="s">
        <v>217</v>
      </c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 t="n">
        <v>1906</v>
      </c>
      <c r="AG1859"/>
      <c r="AH1859"/>
      <c r="AI1859"/>
      <c r="AJ1859"/>
      <c r="AK1859"/>
      <c r="AL1859"/>
    </row>
    <row r="1860">
      <c r="A1860" t="s">
        <v>235</v>
      </c>
      <c r="B1860" t="s">
        <v>239</v>
      </c>
      <c r="C1860"/>
      <c r="D1860" t="s">
        <v>213</v>
      </c>
      <c r="E1860" t="s">
        <v>272</v>
      </c>
      <c r="F1860" t="s">
        <v>272</v>
      </c>
      <c r="G1860" t="s">
        <v>269</v>
      </c>
      <c r="H1860" t="n">
        <v>2199</v>
      </c>
      <c r="I1860"/>
      <c r="J1860" t="n">
        <v>3695</v>
      </c>
      <c r="K1860" t="s">
        <v>286</v>
      </c>
      <c r="L1860"/>
      <c r="M1860"/>
      <c r="N1860" t="s">
        <v>218</v>
      </c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 t="n">
        <v>6</v>
      </c>
      <c r="AG1860"/>
      <c r="AH1860"/>
      <c r="AI1860"/>
      <c r="AJ1860"/>
      <c r="AK1860"/>
      <c r="AL1860"/>
    </row>
    <row r="1861">
      <c r="A1861" t="s">
        <v>235</v>
      </c>
      <c r="B1861" t="s">
        <v>239</v>
      </c>
      <c r="C1861"/>
      <c r="D1861" t="s">
        <v>213</v>
      </c>
      <c r="E1861" t="s">
        <v>272</v>
      </c>
      <c r="F1861" t="s">
        <v>272</v>
      </c>
      <c r="G1861" t="s">
        <v>269</v>
      </c>
      <c r="H1861" t="n">
        <v>2199</v>
      </c>
      <c r="I1861"/>
      <c r="J1861" t="n">
        <v>3695</v>
      </c>
      <c r="K1861" t="s">
        <v>286</v>
      </c>
      <c r="L1861"/>
      <c r="M1861"/>
      <c r="N1861" t="s">
        <v>219</v>
      </c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 t="n">
        <v>12</v>
      </c>
      <c r="AG1861"/>
      <c r="AH1861"/>
      <c r="AI1861"/>
      <c r="AJ1861"/>
      <c r="AK1861"/>
      <c r="AL1861"/>
    </row>
    <row r="1862">
      <c r="A1862" t="s">
        <v>235</v>
      </c>
      <c r="B1862" t="s">
        <v>239</v>
      </c>
      <c r="C1862"/>
      <c r="D1862" t="s">
        <v>213</v>
      </c>
      <c r="E1862" t="s">
        <v>272</v>
      </c>
      <c r="F1862" t="s">
        <v>272</v>
      </c>
      <c r="G1862" t="s">
        <v>269</v>
      </c>
      <c r="H1862" t="n">
        <v>2199</v>
      </c>
      <c r="I1862"/>
      <c r="J1862" t="n">
        <v>3695</v>
      </c>
      <c r="K1862" t="s">
        <v>286</v>
      </c>
      <c r="L1862"/>
      <c r="M1862"/>
      <c r="N1862" t="s">
        <v>220</v>
      </c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 t="n">
        <v>12</v>
      </c>
      <c r="AG1862"/>
      <c r="AH1862"/>
      <c r="AI1862"/>
      <c r="AJ1862"/>
      <c r="AK1862"/>
      <c r="AL1862"/>
    </row>
    <row r="1863">
      <c r="A1863" t="s">
        <v>235</v>
      </c>
      <c r="B1863" t="s">
        <v>239</v>
      </c>
      <c r="C1863"/>
      <c r="D1863" t="s">
        <v>213</v>
      </c>
      <c r="E1863" t="s">
        <v>272</v>
      </c>
      <c r="F1863" t="s">
        <v>272</v>
      </c>
      <c r="G1863" t="s">
        <v>269</v>
      </c>
      <c r="H1863" t="n">
        <v>2199</v>
      </c>
      <c r="I1863"/>
      <c r="J1863" t="n">
        <v>3695</v>
      </c>
      <c r="K1863" t="s">
        <v>286</v>
      </c>
      <c r="L1863"/>
      <c r="M1863"/>
      <c r="N1863" t="s">
        <v>221</v>
      </c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 t="n">
        <v>6.50511945392492</v>
      </c>
      <c r="AG1863"/>
      <c r="AH1863"/>
      <c r="AI1863"/>
      <c r="AJ1863"/>
      <c r="AK1863"/>
      <c r="AL1863"/>
    </row>
    <row r="1864">
      <c r="A1864" t="s">
        <v>235</v>
      </c>
      <c r="B1864" t="s">
        <v>239</v>
      </c>
      <c r="C1864"/>
      <c r="D1864" t="s">
        <v>213</v>
      </c>
      <c r="E1864" t="s">
        <v>272</v>
      </c>
      <c r="F1864" t="s">
        <v>272</v>
      </c>
      <c r="G1864" t="s">
        <v>269</v>
      </c>
      <c r="H1864" t="n">
        <v>2199</v>
      </c>
      <c r="I1864"/>
      <c r="J1864" t="n">
        <v>3695</v>
      </c>
      <c r="K1864" t="s">
        <v>286</v>
      </c>
      <c r="L1864"/>
      <c r="M1864"/>
      <c r="N1864" t="s">
        <v>222</v>
      </c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</row>
    <row r="1865">
      <c r="A1865" t="s">
        <v>233</v>
      </c>
      <c r="B1865" t="s">
        <v>224</v>
      </c>
      <c r="C1865" t="s">
        <v>225</v>
      </c>
      <c r="D1865" t="s">
        <v>213</v>
      </c>
      <c r="E1865" t="s">
        <v>272</v>
      </c>
      <c r="F1865" t="s">
        <v>272</v>
      </c>
      <c r="G1865" t="s">
        <v>269</v>
      </c>
      <c r="H1865" t="n">
        <v>31336</v>
      </c>
      <c r="I1865"/>
      <c r="J1865"/>
      <c r="K1865"/>
      <c r="L1865"/>
      <c r="M1865"/>
      <c r="N1865" t="s">
        <v>214</v>
      </c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 t="n">
        <v>24829</v>
      </c>
      <c r="AG1865"/>
      <c r="AH1865"/>
      <c r="AI1865"/>
      <c r="AJ1865"/>
      <c r="AK1865"/>
      <c r="AL1865"/>
    </row>
    <row r="1866">
      <c r="A1866" t="s">
        <v>233</v>
      </c>
      <c r="B1866" t="s">
        <v>224</v>
      </c>
      <c r="C1866" t="s">
        <v>225</v>
      </c>
      <c r="D1866" t="s">
        <v>213</v>
      </c>
      <c r="E1866" t="s">
        <v>272</v>
      </c>
      <c r="F1866" t="s">
        <v>272</v>
      </c>
      <c r="G1866" t="s">
        <v>269</v>
      </c>
      <c r="H1866" t="n">
        <v>31336</v>
      </c>
      <c r="I1866"/>
      <c r="J1866"/>
      <c r="K1866"/>
      <c r="L1866"/>
      <c r="M1866"/>
      <c r="N1866" t="s">
        <v>215</v>
      </c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</row>
    <row r="1867">
      <c r="A1867" t="s">
        <v>233</v>
      </c>
      <c r="B1867" t="s">
        <v>224</v>
      </c>
      <c r="C1867" t="s">
        <v>225</v>
      </c>
      <c r="D1867" t="s">
        <v>213</v>
      </c>
      <c r="E1867" t="s">
        <v>272</v>
      </c>
      <c r="F1867" t="s">
        <v>272</v>
      </c>
      <c r="G1867" t="s">
        <v>269</v>
      </c>
      <c r="H1867" t="n">
        <v>31336</v>
      </c>
      <c r="I1867"/>
      <c r="J1867"/>
      <c r="K1867"/>
      <c r="L1867"/>
      <c r="M1867"/>
      <c r="N1867" t="s">
        <v>216</v>
      </c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 t="n">
        <v>21500</v>
      </c>
      <c r="AG1867"/>
      <c r="AH1867"/>
      <c r="AI1867"/>
      <c r="AJ1867"/>
      <c r="AK1867"/>
      <c r="AL1867"/>
    </row>
    <row r="1868">
      <c r="A1868" t="s">
        <v>233</v>
      </c>
      <c r="B1868" t="s">
        <v>224</v>
      </c>
      <c r="C1868" t="s">
        <v>225</v>
      </c>
      <c r="D1868" t="s">
        <v>213</v>
      </c>
      <c r="E1868" t="s">
        <v>272</v>
      </c>
      <c r="F1868" t="s">
        <v>272</v>
      </c>
      <c r="G1868" t="s">
        <v>269</v>
      </c>
      <c r="H1868" t="n">
        <v>31336</v>
      </c>
      <c r="I1868"/>
      <c r="J1868"/>
      <c r="K1868"/>
      <c r="L1868"/>
      <c r="M1868"/>
      <c r="N1868" t="s">
        <v>217</v>
      </c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 t="n">
        <v>34665</v>
      </c>
      <c r="AG1868"/>
      <c r="AH1868"/>
      <c r="AI1868"/>
      <c r="AJ1868"/>
      <c r="AK1868"/>
      <c r="AL1868"/>
    </row>
    <row r="1869">
      <c r="A1869" t="s">
        <v>233</v>
      </c>
      <c r="B1869" t="s">
        <v>224</v>
      </c>
      <c r="C1869" t="s">
        <v>225</v>
      </c>
      <c r="D1869" t="s">
        <v>213</v>
      </c>
      <c r="E1869" t="s">
        <v>272</v>
      </c>
      <c r="F1869" t="s">
        <v>272</v>
      </c>
      <c r="G1869" t="s">
        <v>269</v>
      </c>
      <c r="H1869" t="n">
        <v>31336</v>
      </c>
      <c r="I1869"/>
      <c r="J1869"/>
      <c r="K1869"/>
      <c r="L1869"/>
      <c r="M1869"/>
      <c r="N1869" t="s">
        <v>218</v>
      </c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 t="n">
        <v>3</v>
      </c>
      <c r="AG1869"/>
      <c r="AH1869"/>
      <c r="AI1869"/>
      <c r="AJ1869"/>
      <c r="AK1869"/>
      <c r="AL1869"/>
    </row>
    <row r="1870">
      <c r="A1870" t="s">
        <v>233</v>
      </c>
      <c r="B1870" t="s">
        <v>224</v>
      </c>
      <c r="C1870" t="s">
        <v>225</v>
      </c>
      <c r="D1870" t="s">
        <v>213</v>
      </c>
      <c r="E1870" t="s">
        <v>272</v>
      </c>
      <c r="F1870" t="s">
        <v>272</v>
      </c>
      <c r="G1870" t="s">
        <v>269</v>
      </c>
      <c r="H1870" t="n">
        <v>31336</v>
      </c>
      <c r="I1870"/>
      <c r="J1870"/>
      <c r="K1870"/>
      <c r="L1870"/>
      <c r="M1870"/>
      <c r="N1870" t="s">
        <v>219</v>
      </c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 t="n">
        <v>6</v>
      </c>
      <c r="AG1870"/>
      <c r="AH1870"/>
      <c r="AI1870"/>
      <c r="AJ1870"/>
      <c r="AK1870"/>
      <c r="AL1870"/>
    </row>
    <row r="1871">
      <c r="A1871" t="s">
        <v>233</v>
      </c>
      <c r="B1871" t="s">
        <v>224</v>
      </c>
      <c r="C1871" t="s">
        <v>225</v>
      </c>
      <c r="D1871" t="s">
        <v>213</v>
      </c>
      <c r="E1871" t="s">
        <v>272</v>
      </c>
      <c r="F1871" t="s">
        <v>272</v>
      </c>
      <c r="G1871" t="s">
        <v>269</v>
      </c>
      <c r="H1871" t="n">
        <v>31336</v>
      </c>
      <c r="I1871"/>
      <c r="J1871"/>
      <c r="K1871"/>
      <c r="L1871"/>
      <c r="M1871"/>
      <c r="N1871" t="s">
        <v>220</v>
      </c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 t="n">
        <v>6</v>
      </c>
      <c r="AG1871"/>
      <c r="AH1871"/>
      <c r="AI1871"/>
      <c r="AJ1871"/>
      <c r="AK1871"/>
      <c r="AL1871"/>
    </row>
    <row r="1872">
      <c r="A1872" t="s">
        <v>233</v>
      </c>
      <c r="B1872" t="s">
        <v>224</v>
      </c>
      <c r="C1872" t="s">
        <v>225</v>
      </c>
      <c r="D1872" t="s">
        <v>213</v>
      </c>
      <c r="E1872" t="s">
        <v>272</v>
      </c>
      <c r="F1872" t="s">
        <v>272</v>
      </c>
      <c r="G1872" t="s">
        <v>269</v>
      </c>
      <c r="H1872" t="n">
        <v>31336</v>
      </c>
      <c r="I1872"/>
      <c r="J1872"/>
      <c r="K1872"/>
      <c r="L1872"/>
      <c r="M1872"/>
      <c r="N1872" t="s">
        <v>221</v>
      </c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 t="n">
        <v>1.61232558139535</v>
      </c>
      <c r="AG1872"/>
      <c r="AH1872"/>
      <c r="AI1872"/>
      <c r="AJ1872"/>
      <c r="AK1872"/>
      <c r="AL1872"/>
    </row>
    <row r="1873">
      <c r="A1873" t="s">
        <v>233</v>
      </c>
      <c r="B1873" t="s">
        <v>224</v>
      </c>
      <c r="C1873" t="s">
        <v>225</v>
      </c>
      <c r="D1873" t="s">
        <v>213</v>
      </c>
      <c r="E1873" t="s">
        <v>272</v>
      </c>
      <c r="F1873" t="s">
        <v>272</v>
      </c>
      <c r="G1873" t="s">
        <v>269</v>
      </c>
      <c r="H1873" t="n">
        <v>31336</v>
      </c>
      <c r="I1873"/>
      <c r="J1873"/>
      <c r="K1873"/>
      <c r="L1873"/>
      <c r="M1873"/>
      <c r="N1873" t="s">
        <v>222</v>
      </c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</row>
    <row r="1874">
      <c r="A1874" t="s">
        <v>226</v>
      </c>
      <c r="B1874" t="s">
        <v>227</v>
      </c>
      <c r="C1874" t="s">
        <v>228</v>
      </c>
      <c r="D1874" t="s">
        <v>213</v>
      </c>
      <c r="E1874"/>
      <c r="F1874"/>
      <c r="G1874" t="s">
        <v>269</v>
      </c>
      <c r="H1874" t="n">
        <v>10466</v>
      </c>
      <c r="I1874"/>
      <c r="J1874" t="n">
        <v>6802.9</v>
      </c>
      <c r="K1874" t="s">
        <v>286</v>
      </c>
      <c r="L1874"/>
      <c r="M1874"/>
      <c r="N1874" t="s">
        <v>214</v>
      </c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 t="n">
        <v>66700</v>
      </c>
      <c r="AG1874"/>
      <c r="AH1874"/>
      <c r="AI1874"/>
      <c r="AJ1874"/>
      <c r="AK1874"/>
      <c r="AL1874"/>
    </row>
    <row r="1875">
      <c r="A1875" t="s">
        <v>226</v>
      </c>
      <c r="B1875" t="s">
        <v>227</v>
      </c>
      <c r="C1875" t="s">
        <v>228</v>
      </c>
      <c r="D1875" t="s">
        <v>213</v>
      </c>
      <c r="E1875"/>
      <c r="F1875"/>
      <c r="G1875" t="s">
        <v>269</v>
      </c>
      <c r="H1875" t="n">
        <v>10466</v>
      </c>
      <c r="I1875"/>
      <c r="J1875" t="n">
        <v>6802.9</v>
      </c>
      <c r="K1875" t="s">
        <v>286</v>
      </c>
      <c r="L1875"/>
      <c r="M1875"/>
      <c r="N1875" t="s">
        <v>215</v>
      </c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</row>
    <row r="1876">
      <c r="A1876" t="s">
        <v>226</v>
      </c>
      <c r="B1876" t="s">
        <v>227</v>
      </c>
      <c r="C1876" t="s">
        <v>228</v>
      </c>
      <c r="D1876" t="s">
        <v>213</v>
      </c>
      <c r="E1876"/>
      <c r="F1876"/>
      <c r="G1876" t="s">
        <v>269</v>
      </c>
      <c r="H1876" t="n">
        <v>10466</v>
      </c>
      <c r="I1876"/>
      <c r="J1876" t="n">
        <v>6802.9</v>
      </c>
      <c r="K1876" t="s">
        <v>286</v>
      </c>
      <c r="L1876"/>
      <c r="M1876"/>
      <c r="N1876" t="s">
        <v>216</v>
      </c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 t="n">
        <v>10000</v>
      </c>
      <c r="AG1876"/>
      <c r="AH1876"/>
      <c r="AI1876"/>
      <c r="AJ1876"/>
      <c r="AK1876"/>
      <c r="AL1876"/>
    </row>
    <row r="1877">
      <c r="A1877" t="s">
        <v>226</v>
      </c>
      <c r="B1877" t="s">
        <v>227</v>
      </c>
      <c r="C1877" t="s">
        <v>228</v>
      </c>
      <c r="D1877" t="s">
        <v>213</v>
      </c>
      <c r="E1877"/>
      <c r="F1877"/>
      <c r="G1877" t="s">
        <v>269</v>
      </c>
      <c r="H1877" t="n">
        <v>10466</v>
      </c>
      <c r="I1877"/>
      <c r="J1877" t="n">
        <v>6802.9</v>
      </c>
      <c r="K1877" t="s">
        <v>286</v>
      </c>
      <c r="L1877"/>
      <c r="M1877"/>
      <c r="N1877" t="s">
        <v>217</v>
      </c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 t="n">
        <v>67166</v>
      </c>
      <c r="AG1877"/>
      <c r="AH1877"/>
      <c r="AI1877"/>
      <c r="AJ1877"/>
      <c r="AK1877"/>
      <c r="AL1877"/>
    </row>
    <row r="1878">
      <c r="A1878" t="s">
        <v>226</v>
      </c>
      <c r="B1878" t="s">
        <v>227</v>
      </c>
      <c r="C1878" t="s">
        <v>228</v>
      </c>
      <c r="D1878" t="s">
        <v>213</v>
      </c>
      <c r="E1878"/>
      <c r="F1878"/>
      <c r="G1878" t="s">
        <v>269</v>
      </c>
      <c r="H1878" t="n">
        <v>10466</v>
      </c>
      <c r="I1878"/>
      <c r="J1878" t="n">
        <v>6802.9</v>
      </c>
      <c r="K1878" t="s">
        <v>286</v>
      </c>
      <c r="L1878"/>
      <c r="M1878"/>
      <c r="N1878" t="s">
        <v>218</v>
      </c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 t="n">
        <v>3</v>
      </c>
      <c r="AG1878"/>
      <c r="AH1878"/>
      <c r="AI1878"/>
      <c r="AJ1878"/>
      <c r="AK1878"/>
      <c r="AL1878"/>
    </row>
    <row r="1879">
      <c r="A1879" t="s">
        <v>226</v>
      </c>
      <c r="B1879" t="s">
        <v>227</v>
      </c>
      <c r="C1879" t="s">
        <v>228</v>
      </c>
      <c r="D1879" t="s">
        <v>213</v>
      </c>
      <c r="E1879"/>
      <c r="F1879"/>
      <c r="G1879" t="s">
        <v>269</v>
      </c>
      <c r="H1879" t="n">
        <v>10466</v>
      </c>
      <c r="I1879"/>
      <c r="J1879" t="n">
        <v>6802.9</v>
      </c>
      <c r="K1879" t="s">
        <v>286</v>
      </c>
      <c r="L1879"/>
      <c r="M1879"/>
      <c r="N1879" t="s">
        <v>219</v>
      </c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 t="n">
        <v>6</v>
      </c>
      <c r="AG1879"/>
      <c r="AH1879"/>
      <c r="AI1879"/>
      <c r="AJ1879"/>
      <c r="AK1879"/>
      <c r="AL1879"/>
    </row>
    <row r="1880">
      <c r="A1880" t="s">
        <v>226</v>
      </c>
      <c r="B1880" t="s">
        <v>227</v>
      </c>
      <c r="C1880" t="s">
        <v>228</v>
      </c>
      <c r="D1880" t="s">
        <v>213</v>
      </c>
      <c r="E1880"/>
      <c r="F1880"/>
      <c r="G1880" t="s">
        <v>269</v>
      </c>
      <c r="H1880" t="n">
        <v>10466</v>
      </c>
      <c r="I1880"/>
      <c r="J1880" t="n">
        <v>6802.9</v>
      </c>
      <c r="K1880" t="s">
        <v>286</v>
      </c>
      <c r="L1880"/>
      <c r="M1880"/>
      <c r="N1880" t="s">
        <v>220</v>
      </c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n">
        <v>6</v>
      </c>
      <c r="AG1880"/>
      <c r="AH1880"/>
      <c r="AI1880"/>
      <c r="AJ1880"/>
      <c r="AK1880"/>
      <c r="AL1880"/>
    </row>
    <row r="1881">
      <c r="A1881" t="s">
        <v>226</v>
      </c>
      <c r="B1881" t="s">
        <v>227</v>
      </c>
      <c r="C1881" t="s">
        <v>228</v>
      </c>
      <c r="D1881" t="s">
        <v>213</v>
      </c>
      <c r="E1881"/>
      <c r="F1881"/>
      <c r="G1881" t="s">
        <v>269</v>
      </c>
      <c r="H1881" t="n">
        <v>10466</v>
      </c>
      <c r="I1881"/>
      <c r="J1881" t="n">
        <v>6802.9</v>
      </c>
      <c r="K1881" t="s">
        <v>286</v>
      </c>
      <c r="L1881"/>
      <c r="M1881"/>
      <c r="N1881" t="s">
        <v>221</v>
      </c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 t="n">
        <v>6.7166</v>
      </c>
      <c r="AG1881"/>
      <c r="AH1881"/>
      <c r="AI1881"/>
      <c r="AJ1881"/>
      <c r="AK1881"/>
      <c r="AL1881"/>
    </row>
    <row r="1882">
      <c r="A1882" t="s">
        <v>226</v>
      </c>
      <c r="B1882" t="s">
        <v>227</v>
      </c>
      <c r="C1882" t="s">
        <v>228</v>
      </c>
      <c r="D1882" t="s">
        <v>213</v>
      </c>
      <c r="E1882"/>
      <c r="F1882"/>
      <c r="G1882" t="s">
        <v>269</v>
      </c>
      <c r="H1882" t="n">
        <v>10466</v>
      </c>
      <c r="I1882"/>
      <c r="J1882" t="n">
        <v>6802.9</v>
      </c>
      <c r="K1882" t="s">
        <v>286</v>
      </c>
      <c r="L1882"/>
      <c r="M1882"/>
      <c r="N1882" t="s">
        <v>222</v>
      </c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</row>
    <row r="1883">
      <c r="A1883" t="s">
        <v>261</v>
      </c>
      <c r="B1883" t="s">
        <v>248</v>
      </c>
      <c r="C1883" t="s">
        <v>231</v>
      </c>
      <c r="D1883" t="s">
        <v>213</v>
      </c>
      <c r="E1883" t="s">
        <v>272</v>
      </c>
      <c r="F1883" t="s">
        <v>272</v>
      </c>
      <c r="G1883" t="s">
        <v>269</v>
      </c>
      <c r="H1883" t="n">
        <v>40116</v>
      </c>
      <c r="I1883"/>
      <c r="J1883" t="n">
        <v>409183</v>
      </c>
      <c r="K1883" t="s">
        <v>286</v>
      </c>
      <c r="L1883"/>
      <c r="M1883"/>
      <c r="N1883" t="s">
        <v>214</v>
      </c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 t="n">
        <v>67624</v>
      </c>
      <c r="AG1883"/>
      <c r="AH1883"/>
      <c r="AI1883"/>
      <c r="AJ1883"/>
      <c r="AK1883"/>
      <c r="AL1883"/>
    </row>
    <row r="1884">
      <c r="A1884" t="s">
        <v>261</v>
      </c>
      <c r="B1884" t="s">
        <v>248</v>
      </c>
      <c r="C1884" t="s">
        <v>231</v>
      </c>
      <c r="D1884" t="s">
        <v>213</v>
      </c>
      <c r="E1884" t="s">
        <v>272</v>
      </c>
      <c r="F1884" t="s">
        <v>272</v>
      </c>
      <c r="G1884" t="s">
        <v>269</v>
      </c>
      <c r="H1884" t="n">
        <v>40116</v>
      </c>
      <c r="I1884"/>
      <c r="J1884" t="n">
        <v>409183</v>
      </c>
      <c r="K1884" t="s">
        <v>286</v>
      </c>
      <c r="L1884"/>
      <c r="M1884"/>
      <c r="N1884" t="s">
        <v>215</v>
      </c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</row>
    <row r="1885">
      <c r="A1885" t="s">
        <v>261</v>
      </c>
      <c r="B1885" t="s">
        <v>248</v>
      </c>
      <c r="C1885" t="s">
        <v>231</v>
      </c>
      <c r="D1885" t="s">
        <v>213</v>
      </c>
      <c r="E1885" t="s">
        <v>272</v>
      </c>
      <c r="F1885" t="s">
        <v>272</v>
      </c>
      <c r="G1885" t="s">
        <v>269</v>
      </c>
      <c r="H1885" t="n">
        <v>40116</v>
      </c>
      <c r="I1885"/>
      <c r="J1885" t="n">
        <v>409183</v>
      </c>
      <c r="K1885" t="s">
        <v>286</v>
      </c>
      <c r="L1885"/>
      <c r="M1885"/>
      <c r="N1885" t="s">
        <v>216</v>
      </c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 t="n">
        <v>7774</v>
      </c>
      <c r="AG1885"/>
      <c r="AH1885"/>
      <c r="AI1885"/>
      <c r="AJ1885"/>
      <c r="AK1885"/>
      <c r="AL1885"/>
    </row>
    <row r="1886">
      <c r="A1886" t="s">
        <v>261</v>
      </c>
      <c r="B1886" t="s">
        <v>248</v>
      </c>
      <c r="C1886" t="s">
        <v>231</v>
      </c>
      <c r="D1886" t="s">
        <v>213</v>
      </c>
      <c r="E1886" t="s">
        <v>272</v>
      </c>
      <c r="F1886" t="s">
        <v>272</v>
      </c>
      <c r="G1886" t="s">
        <v>269</v>
      </c>
      <c r="H1886" t="n">
        <v>40116</v>
      </c>
      <c r="I1886"/>
      <c r="J1886" t="n">
        <v>409183</v>
      </c>
      <c r="K1886" t="s">
        <v>286</v>
      </c>
      <c r="L1886"/>
      <c r="M1886"/>
      <c r="N1886" t="s">
        <v>217</v>
      </c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 t="n">
        <v>99966</v>
      </c>
      <c r="AG1886"/>
      <c r="AH1886"/>
      <c r="AI1886"/>
      <c r="AJ1886"/>
      <c r="AK1886"/>
      <c r="AL1886"/>
    </row>
    <row r="1887">
      <c r="A1887" t="s">
        <v>261</v>
      </c>
      <c r="B1887" t="s">
        <v>248</v>
      </c>
      <c r="C1887" t="s">
        <v>231</v>
      </c>
      <c r="D1887" t="s">
        <v>213</v>
      </c>
      <c r="E1887" t="s">
        <v>272</v>
      </c>
      <c r="F1887" t="s">
        <v>272</v>
      </c>
      <c r="G1887" t="s">
        <v>269</v>
      </c>
      <c r="H1887" t="n">
        <v>40116</v>
      </c>
      <c r="I1887"/>
      <c r="J1887" t="n">
        <v>409183</v>
      </c>
      <c r="K1887" t="s">
        <v>286</v>
      </c>
      <c r="L1887"/>
      <c r="M1887"/>
      <c r="N1887" t="s">
        <v>218</v>
      </c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 t="n">
        <v>9</v>
      </c>
      <c r="AG1887"/>
      <c r="AH1887"/>
      <c r="AI1887"/>
      <c r="AJ1887"/>
      <c r="AK1887"/>
      <c r="AL1887"/>
    </row>
    <row r="1888">
      <c r="A1888" t="s">
        <v>261</v>
      </c>
      <c r="B1888" t="s">
        <v>248</v>
      </c>
      <c r="C1888" t="s">
        <v>231</v>
      </c>
      <c r="D1888" t="s">
        <v>213</v>
      </c>
      <c r="E1888" t="s">
        <v>272</v>
      </c>
      <c r="F1888" t="s">
        <v>272</v>
      </c>
      <c r="G1888" t="s">
        <v>269</v>
      </c>
      <c r="H1888" t="n">
        <v>40116</v>
      </c>
      <c r="I1888"/>
      <c r="J1888" t="n">
        <v>409183</v>
      </c>
      <c r="K1888" t="s">
        <v>286</v>
      </c>
      <c r="L1888"/>
      <c r="M1888"/>
      <c r="N1888" t="s">
        <v>219</v>
      </c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 t="n">
        <v>14</v>
      </c>
      <c r="AG1888"/>
      <c r="AH1888"/>
      <c r="AI1888"/>
      <c r="AJ1888"/>
      <c r="AK1888"/>
      <c r="AL1888"/>
    </row>
    <row r="1889">
      <c r="A1889" t="s">
        <v>261</v>
      </c>
      <c r="B1889" t="s">
        <v>248</v>
      </c>
      <c r="C1889" t="s">
        <v>231</v>
      </c>
      <c r="D1889" t="s">
        <v>213</v>
      </c>
      <c r="E1889" t="s">
        <v>272</v>
      </c>
      <c r="F1889" t="s">
        <v>272</v>
      </c>
      <c r="G1889" t="s">
        <v>269</v>
      </c>
      <c r="H1889" t="n">
        <v>40116</v>
      </c>
      <c r="I1889"/>
      <c r="J1889" t="n">
        <v>409183</v>
      </c>
      <c r="K1889" t="s">
        <v>286</v>
      </c>
      <c r="L1889"/>
      <c r="M1889"/>
      <c r="N1889" t="s">
        <v>220</v>
      </c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 t="n">
        <v>13</v>
      </c>
      <c r="AG1889"/>
      <c r="AH1889"/>
      <c r="AI1889"/>
      <c r="AJ1889"/>
      <c r="AK1889"/>
      <c r="AL1889"/>
    </row>
    <row r="1890">
      <c r="A1890" t="s">
        <v>261</v>
      </c>
      <c r="B1890" t="s">
        <v>248</v>
      </c>
      <c r="C1890" t="s">
        <v>231</v>
      </c>
      <c r="D1890" t="s">
        <v>213</v>
      </c>
      <c r="E1890" t="s">
        <v>272</v>
      </c>
      <c r="F1890" t="s">
        <v>272</v>
      </c>
      <c r="G1890" t="s">
        <v>269</v>
      </c>
      <c r="H1890" t="n">
        <v>40116</v>
      </c>
      <c r="I1890"/>
      <c r="J1890" t="n">
        <v>409183</v>
      </c>
      <c r="K1890" t="s">
        <v>286</v>
      </c>
      <c r="L1890"/>
      <c r="M1890"/>
      <c r="N1890" t="s">
        <v>221</v>
      </c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 t="n">
        <v>12.8590172369437</v>
      </c>
      <c r="AG1890"/>
      <c r="AH1890"/>
      <c r="AI1890"/>
      <c r="AJ1890"/>
      <c r="AK1890"/>
      <c r="AL1890"/>
    </row>
    <row r="1891">
      <c r="A1891" t="s">
        <v>261</v>
      </c>
      <c r="B1891" t="s">
        <v>248</v>
      </c>
      <c r="C1891" t="s">
        <v>231</v>
      </c>
      <c r="D1891" t="s">
        <v>213</v>
      </c>
      <c r="E1891" t="s">
        <v>272</v>
      </c>
      <c r="F1891" t="s">
        <v>272</v>
      </c>
      <c r="G1891" t="s">
        <v>269</v>
      </c>
      <c r="H1891" t="n">
        <v>40116</v>
      </c>
      <c r="I1891"/>
      <c r="J1891" t="n">
        <v>409183</v>
      </c>
      <c r="K1891" t="s">
        <v>286</v>
      </c>
      <c r="L1891"/>
      <c r="M1891"/>
      <c r="N1891" t="s">
        <v>222</v>
      </c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</row>
    <row r="1892">
      <c r="A1892" t="s">
        <v>235</v>
      </c>
      <c r="B1892" t="s">
        <v>248</v>
      </c>
      <c r="C1892"/>
      <c r="D1892" t="s">
        <v>213</v>
      </c>
      <c r="E1892" t="s">
        <v>272</v>
      </c>
      <c r="F1892" t="s">
        <v>272</v>
      </c>
      <c r="G1892" t="s">
        <v>269</v>
      </c>
      <c r="H1892" t="n">
        <v>104609</v>
      </c>
      <c r="I1892"/>
      <c r="J1892" t="n">
        <v>995878</v>
      </c>
      <c r="K1892" t="s">
        <v>286</v>
      </c>
      <c r="L1892"/>
      <c r="M1892"/>
      <c r="N1892" t="s">
        <v>214</v>
      </c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 t="n">
        <v>164344</v>
      </c>
      <c r="AG1892"/>
      <c r="AH1892"/>
      <c r="AI1892"/>
      <c r="AJ1892"/>
      <c r="AK1892"/>
      <c r="AL1892"/>
    </row>
    <row r="1893">
      <c r="A1893" t="s">
        <v>235</v>
      </c>
      <c r="B1893" t="s">
        <v>248</v>
      </c>
      <c r="C1893"/>
      <c r="D1893" t="s">
        <v>213</v>
      </c>
      <c r="E1893" t="s">
        <v>272</v>
      </c>
      <c r="F1893" t="s">
        <v>272</v>
      </c>
      <c r="G1893" t="s">
        <v>269</v>
      </c>
      <c r="H1893" t="n">
        <v>104609</v>
      </c>
      <c r="I1893"/>
      <c r="J1893" t="n">
        <v>995878</v>
      </c>
      <c r="K1893" t="s">
        <v>286</v>
      </c>
      <c r="L1893"/>
      <c r="M1893"/>
      <c r="N1893" t="s">
        <v>215</v>
      </c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</row>
    <row r="1894">
      <c r="A1894" t="s">
        <v>235</v>
      </c>
      <c r="B1894" t="s">
        <v>248</v>
      </c>
      <c r="C1894"/>
      <c r="D1894" t="s">
        <v>213</v>
      </c>
      <c r="E1894" t="s">
        <v>272</v>
      </c>
      <c r="F1894" t="s">
        <v>272</v>
      </c>
      <c r="G1894" t="s">
        <v>269</v>
      </c>
      <c r="H1894" t="n">
        <v>104609</v>
      </c>
      <c r="I1894"/>
      <c r="J1894" t="n">
        <v>995878</v>
      </c>
      <c r="K1894" t="s">
        <v>286</v>
      </c>
      <c r="L1894"/>
      <c r="M1894"/>
      <c r="N1894" t="s">
        <v>216</v>
      </c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 t="n">
        <v>14621</v>
      </c>
      <c r="AG1894"/>
      <c r="AH1894"/>
      <c r="AI1894"/>
      <c r="AJ1894"/>
      <c r="AK1894"/>
      <c r="AL1894"/>
    </row>
    <row r="1895">
      <c r="A1895" t="s">
        <v>235</v>
      </c>
      <c r="B1895" t="s">
        <v>248</v>
      </c>
      <c r="C1895"/>
      <c r="D1895" t="s">
        <v>213</v>
      </c>
      <c r="E1895" t="s">
        <v>272</v>
      </c>
      <c r="F1895" t="s">
        <v>272</v>
      </c>
      <c r="G1895" t="s">
        <v>269</v>
      </c>
      <c r="H1895" t="n">
        <v>104609</v>
      </c>
      <c r="I1895"/>
      <c r="J1895" t="n">
        <v>995878</v>
      </c>
      <c r="K1895" t="s">
        <v>286</v>
      </c>
      <c r="L1895"/>
      <c r="M1895"/>
      <c r="N1895" t="s">
        <v>217</v>
      </c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 t="n">
        <v>254332</v>
      </c>
      <c r="AG1895"/>
      <c r="AH1895"/>
      <c r="AI1895"/>
      <c r="AJ1895"/>
      <c r="AK1895"/>
      <c r="AL1895"/>
    </row>
    <row r="1896">
      <c r="A1896" t="s">
        <v>235</v>
      </c>
      <c r="B1896" t="s">
        <v>248</v>
      </c>
      <c r="C1896"/>
      <c r="D1896" t="s">
        <v>213</v>
      </c>
      <c r="E1896" t="s">
        <v>272</v>
      </c>
      <c r="F1896" t="s">
        <v>272</v>
      </c>
      <c r="G1896" t="s">
        <v>269</v>
      </c>
      <c r="H1896" t="n">
        <v>104609</v>
      </c>
      <c r="I1896"/>
      <c r="J1896" t="n">
        <v>995878</v>
      </c>
      <c r="K1896" t="s">
        <v>286</v>
      </c>
      <c r="L1896"/>
      <c r="M1896"/>
      <c r="N1896" t="s">
        <v>218</v>
      </c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 t="n">
        <v>6</v>
      </c>
      <c r="AG1896"/>
      <c r="AH1896"/>
      <c r="AI1896"/>
      <c r="AJ1896"/>
      <c r="AK1896"/>
      <c r="AL1896"/>
    </row>
    <row r="1897">
      <c r="A1897" t="s">
        <v>235</v>
      </c>
      <c r="B1897" t="s">
        <v>248</v>
      </c>
      <c r="C1897"/>
      <c r="D1897" t="s">
        <v>213</v>
      </c>
      <c r="E1897" t="s">
        <v>272</v>
      </c>
      <c r="F1897" t="s">
        <v>272</v>
      </c>
      <c r="G1897" t="s">
        <v>269</v>
      </c>
      <c r="H1897" t="n">
        <v>104609</v>
      </c>
      <c r="I1897"/>
      <c r="J1897" t="n">
        <v>995878</v>
      </c>
      <c r="K1897" t="s">
        <v>286</v>
      </c>
      <c r="L1897"/>
      <c r="M1897"/>
      <c r="N1897" t="s">
        <v>219</v>
      </c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 t="n">
        <v>12</v>
      </c>
      <c r="AG1897"/>
      <c r="AH1897"/>
      <c r="AI1897"/>
      <c r="AJ1897"/>
      <c r="AK1897"/>
      <c r="AL1897"/>
    </row>
    <row r="1898">
      <c r="A1898" t="s">
        <v>235</v>
      </c>
      <c r="B1898" t="s">
        <v>248</v>
      </c>
      <c r="C1898"/>
      <c r="D1898" t="s">
        <v>213</v>
      </c>
      <c r="E1898" t="s">
        <v>272</v>
      </c>
      <c r="F1898" t="s">
        <v>272</v>
      </c>
      <c r="G1898" t="s">
        <v>269</v>
      </c>
      <c r="H1898" t="n">
        <v>104609</v>
      </c>
      <c r="I1898"/>
      <c r="J1898" t="n">
        <v>995878</v>
      </c>
      <c r="K1898" t="s">
        <v>286</v>
      </c>
      <c r="L1898"/>
      <c r="M1898"/>
      <c r="N1898" t="s">
        <v>220</v>
      </c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 t="n">
        <v>12</v>
      </c>
      <c r="AG1898"/>
      <c r="AH1898"/>
      <c r="AI1898"/>
      <c r="AJ1898"/>
      <c r="AK1898"/>
      <c r="AL1898"/>
    </row>
    <row r="1899">
      <c r="A1899" t="s">
        <v>235</v>
      </c>
      <c r="B1899" t="s">
        <v>248</v>
      </c>
      <c r="C1899"/>
      <c r="D1899" t="s">
        <v>213</v>
      </c>
      <c r="E1899" t="s">
        <v>272</v>
      </c>
      <c r="F1899" t="s">
        <v>272</v>
      </c>
      <c r="G1899" t="s">
        <v>269</v>
      </c>
      <c r="H1899" t="n">
        <v>104609</v>
      </c>
      <c r="I1899"/>
      <c r="J1899" t="n">
        <v>995878</v>
      </c>
      <c r="K1899" t="s">
        <v>286</v>
      </c>
      <c r="L1899"/>
      <c r="M1899"/>
      <c r="N1899" t="s">
        <v>221</v>
      </c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 t="n">
        <v>17.3949798235415</v>
      </c>
      <c r="AG1899"/>
      <c r="AH1899"/>
      <c r="AI1899"/>
      <c r="AJ1899"/>
      <c r="AK1899"/>
      <c r="AL1899"/>
    </row>
    <row r="1900">
      <c r="A1900" t="s">
        <v>235</v>
      </c>
      <c r="B1900" t="s">
        <v>248</v>
      </c>
      <c r="C1900"/>
      <c r="D1900" t="s">
        <v>213</v>
      </c>
      <c r="E1900" t="s">
        <v>272</v>
      </c>
      <c r="F1900" t="s">
        <v>272</v>
      </c>
      <c r="G1900" t="s">
        <v>269</v>
      </c>
      <c r="H1900" t="n">
        <v>104609</v>
      </c>
      <c r="I1900"/>
      <c r="J1900" t="n">
        <v>995878</v>
      </c>
      <c r="K1900" t="s">
        <v>286</v>
      </c>
      <c r="L1900"/>
      <c r="M1900"/>
      <c r="N1900" t="s">
        <v>222</v>
      </c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</row>
    <row r="1901">
      <c r="A1901" t="s">
        <v>261</v>
      </c>
      <c r="B1901" t="s">
        <v>232</v>
      </c>
      <c r="C1901" t="s">
        <v>265</v>
      </c>
      <c r="D1901" t="s">
        <v>213</v>
      </c>
      <c r="E1901" t="s">
        <v>272</v>
      </c>
      <c r="F1901" t="s">
        <v>272</v>
      </c>
      <c r="G1901" t="s">
        <v>269</v>
      </c>
      <c r="H1901" t="n">
        <v>6081587</v>
      </c>
      <c r="I1901"/>
      <c r="J1901" t="n">
        <v>218937</v>
      </c>
      <c r="K1901" t="s">
        <v>286</v>
      </c>
      <c r="L1901"/>
      <c r="M1901"/>
      <c r="N1901" t="s">
        <v>214</v>
      </c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 t="n">
        <v>15377544</v>
      </c>
      <c r="AG1901"/>
      <c r="AH1901"/>
      <c r="AI1901"/>
      <c r="AJ1901"/>
      <c r="AK1901"/>
      <c r="AL1901"/>
    </row>
    <row r="1902">
      <c r="A1902" t="s">
        <v>261</v>
      </c>
      <c r="B1902" t="s">
        <v>232</v>
      </c>
      <c r="C1902" t="s">
        <v>265</v>
      </c>
      <c r="D1902" t="s">
        <v>213</v>
      </c>
      <c r="E1902" t="s">
        <v>272</v>
      </c>
      <c r="F1902" t="s">
        <v>272</v>
      </c>
      <c r="G1902" t="s">
        <v>269</v>
      </c>
      <c r="H1902" t="n">
        <v>6081587</v>
      </c>
      <c r="I1902"/>
      <c r="J1902" t="n">
        <v>218937</v>
      </c>
      <c r="K1902" t="s">
        <v>286</v>
      </c>
      <c r="L1902"/>
      <c r="M1902"/>
      <c r="N1902" t="s">
        <v>215</v>
      </c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</row>
    <row r="1903">
      <c r="A1903" t="s">
        <v>261</v>
      </c>
      <c r="B1903" t="s">
        <v>232</v>
      </c>
      <c r="C1903" t="s">
        <v>265</v>
      </c>
      <c r="D1903" t="s">
        <v>213</v>
      </c>
      <c r="E1903" t="s">
        <v>272</v>
      </c>
      <c r="F1903" t="s">
        <v>272</v>
      </c>
      <c r="G1903" t="s">
        <v>269</v>
      </c>
      <c r="H1903" t="n">
        <v>6081587</v>
      </c>
      <c r="I1903"/>
      <c r="J1903" t="n">
        <v>218937</v>
      </c>
      <c r="K1903" t="s">
        <v>286</v>
      </c>
      <c r="L1903"/>
      <c r="M1903"/>
      <c r="N1903" t="s">
        <v>216</v>
      </c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 t="n">
        <v>1099123</v>
      </c>
      <c r="AG1903"/>
      <c r="AH1903"/>
      <c r="AI1903"/>
      <c r="AJ1903"/>
      <c r="AK1903"/>
      <c r="AL1903"/>
    </row>
    <row r="1904">
      <c r="A1904" t="s">
        <v>261</v>
      </c>
      <c r="B1904" t="s">
        <v>232</v>
      </c>
      <c r="C1904" t="s">
        <v>265</v>
      </c>
      <c r="D1904" t="s">
        <v>213</v>
      </c>
      <c r="E1904" t="s">
        <v>272</v>
      </c>
      <c r="F1904" t="s">
        <v>272</v>
      </c>
      <c r="G1904" t="s">
        <v>269</v>
      </c>
      <c r="H1904" t="n">
        <v>6081587</v>
      </c>
      <c r="I1904"/>
      <c r="J1904" t="n">
        <v>218937</v>
      </c>
      <c r="K1904" t="s">
        <v>286</v>
      </c>
      <c r="L1904"/>
      <c r="M1904"/>
      <c r="N1904" t="s">
        <v>217</v>
      </c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 t="n">
        <v>20360008</v>
      </c>
      <c r="AG1904"/>
      <c r="AH1904"/>
      <c r="AI1904"/>
      <c r="AJ1904"/>
      <c r="AK1904"/>
      <c r="AL1904"/>
    </row>
    <row r="1905">
      <c r="A1905" t="s">
        <v>261</v>
      </c>
      <c r="B1905" t="s">
        <v>232</v>
      </c>
      <c r="C1905" t="s">
        <v>265</v>
      </c>
      <c r="D1905" t="s">
        <v>213</v>
      </c>
      <c r="E1905" t="s">
        <v>272</v>
      </c>
      <c r="F1905" t="s">
        <v>272</v>
      </c>
      <c r="G1905" t="s">
        <v>269</v>
      </c>
      <c r="H1905" t="n">
        <v>6081587</v>
      </c>
      <c r="I1905"/>
      <c r="J1905" t="n">
        <v>218937</v>
      </c>
      <c r="K1905" t="s">
        <v>286</v>
      </c>
      <c r="L1905"/>
      <c r="M1905"/>
      <c r="N1905" t="s">
        <v>218</v>
      </c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n">
        <v>9</v>
      </c>
      <c r="AG1905"/>
      <c r="AH1905"/>
      <c r="AI1905"/>
      <c r="AJ1905"/>
      <c r="AK1905"/>
      <c r="AL1905"/>
    </row>
    <row r="1906">
      <c r="A1906" t="s">
        <v>261</v>
      </c>
      <c r="B1906" t="s">
        <v>232</v>
      </c>
      <c r="C1906" t="s">
        <v>265</v>
      </c>
      <c r="D1906" t="s">
        <v>213</v>
      </c>
      <c r="E1906" t="s">
        <v>272</v>
      </c>
      <c r="F1906" t="s">
        <v>272</v>
      </c>
      <c r="G1906" t="s">
        <v>269</v>
      </c>
      <c r="H1906" t="n">
        <v>6081587</v>
      </c>
      <c r="I1906"/>
      <c r="J1906" t="n">
        <v>218937</v>
      </c>
      <c r="K1906" t="s">
        <v>286</v>
      </c>
      <c r="L1906"/>
      <c r="M1906"/>
      <c r="N1906" t="s">
        <v>219</v>
      </c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 t="n">
        <v>14</v>
      </c>
      <c r="AG1906"/>
      <c r="AH1906"/>
      <c r="AI1906"/>
      <c r="AJ1906"/>
      <c r="AK1906"/>
      <c r="AL1906"/>
    </row>
    <row r="1907">
      <c r="A1907" t="s">
        <v>261</v>
      </c>
      <c r="B1907" t="s">
        <v>232</v>
      </c>
      <c r="C1907" t="s">
        <v>265</v>
      </c>
      <c r="D1907" t="s">
        <v>213</v>
      </c>
      <c r="E1907" t="s">
        <v>272</v>
      </c>
      <c r="F1907" t="s">
        <v>272</v>
      </c>
      <c r="G1907" t="s">
        <v>269</v>
      </c>
      <c r="H1907" t="n">
        <v>6081587</v>
      </c>
      <c r="I1907"/>
      <c r="J1907" t="n">
        <v>218937</v>
      </c>
      <c r="K1907" t="s">
        <v>286</v>
      </c>
      <c r="L1907"/>
      <c r="M1907"/>
      <c r="N1907" t="s">
        <v>220</v>
      </c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 t="n">
        <v>13</v>
      </c>
      <c r="AG1907"/>
      <c r="AH1907"/>
      <c r="AI1907"/>
      <c r="AJ1907"/>
      <c r="AK1907"/>
      <c r="AL1907"/>
    </row>
    <row r="1908">
      <c r="A1908" t="s">
        <v>261</v>
      </c>
      <c r="B1908" t="s">
        <v>232</v>
      </c>
      <c r="C1908" t="s">
        <v>265</v>
      </c>
      <c r="D1908" t="s">
        <v>213</v>
      </c>
      <c r="E1908" t="s">
        <v>272</v>
      </c>
      <c r="F1908" t="s">
        <v>272</v>
      </c>
      <c r="G1908" t="s">
        <v>269</v>
      </c>
      <c r="H1908" t="n">
        <v>6081587</v>
      </c>
      <c r="I1908"/>
      <c r="J1908" t="n">
        <v>218937</v>
      </c>
      <c r="K1908" t="s">
        <v>286</v>
      </c>
      <c r="L1908"/>
      <c r="M1908"/>
      <c r="N1908" t="s">
        <v>221</v>
      </c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 t="n">
        <v>18.523866755586</v>
      </c>
      <c r="AG1908"/>
      <c r="AH1908"/>
      <c r="AI1908"/>
      <c r="AJ1908"/>
      <c r="AK1908"/>
      <c r="AL1908"/>
    </row>
    <row r="1909">
      <c r="A1909" t="s">
        <v>261</v>
      </c>
      <c r="B1909" t="s">
        <v>232</v>
      </c>
      <c r="C1909" t="s">
        <v>265</v>
      </c>
      <c r="D1909" t="s">
        <v>213</v>
      </c>
      <c r="E1909" t="s">
        <v>272</v>
      </c>
      <c r="F1909" t="s">
        <v>272</v>
      </c>
      <c r="G1909" t="s">
        <v>269</v>
      </c>
      <c r="H1909" t="n">
        <v>6081587</v>
      </c>
      <c r="I1909"/>
      <c r="J1909" t="n">
        <v>218937</v>
      </c>
      <c r="K1909" t="s">
        <v>286</v>
      </c>
      <c r="L1909"/>
      <c r="M1909"/>
      <c r="N1909" t="s">
        <v>222</v>
      </c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</row>
    <row r="1910">
      <c r="A1910" t="s">
        <v>261</v>
      </c>
      <c r="B1910" t="s">
        <v>234</v>
      </c>
      <c r="C1910"/>
      <c r="D1910" t="s">
        <v>213</v>
      </c>
      <c r="E1910" t="s">
        <v>272</v>
      </c>
      <c r="F1910" t="s">
        <v>272</v>
      </c>
      <c r="G1910" t="s">
        <v>269</v>
      </c>
      <c r="H1910" t="n">
        <v>522582</v>
      </c>
      <c r="I1910"/>
      <c r="J1910" t="n">
        <v>137962</v>
      </c>
      <c r="K1910" t="s">
        <v>286</v>
      </c>
      <c r="L1910"/>
      <c r="M1910"/>
      <c r="N1910" t="s">
        <v>214</v>
      </c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 t="n">
        <v>1011136</v>
      </c>
      <c r="AG1910"/>
      <c r="AH1910"/>
      <c r="AI1910"/>
      <c r="AJ1910"/>
      <c r="AK1910"/>
      <c r="AL1910"/>
    </row>
    <row r="1911">
      <c r="A1911" t="s">
        <v>261</v>
      </c>
      <c r="B1911" t="s">
        <v>234</v>
      </c>
      <c r="C1911"/>
      <c r="D1911" t="s">
        <v>213</v>
      </c>
      <c r="E1911" t="s">
        <v>272</v>
      </c>
      <c r="F1911" t="s">
        <v>272</v>
      </c>
      <c r="G1911" t="s">
        <v>269</v>
      </c>
      <c r="H1911" t="n">
        <v>522582</v>
      </c>
      <c r="I1911"/>
      <c r="J1911" t="n">
        <v>137962</v>
      </c>
      <c r="K1911" t="s">
        <v>286</v>
      </c>
      <c r="L1911"/>
      <c r="M1911"/>
      <c r="N1911" t="s">
        <v>215</v>
      </c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</row>
    <row r="1912">
      <c r="A1912" t="s">
        <v>261</v>
      </c>
      <c r="B1912" t="s">
        <v>234</v>
      </c>
      <c r="C1912"/>
      <c r="D1912" t="s">
        <v>213</v>
      </c>
      <c r="E1912" t="s">
        <v>272</v>
      </c>
      <c r="F1912" t="s">
        <v>272</v>
      </c>
      <c r="G1912" t="s">
        <v>269</v>
      </c>
      <c r="H1912" t="n">
        <v>522582</v>
      </c>
      <c r="I1912"/>
      <c r="J1912" t="n">
        <v>137962</v>
      </c>
      <c r="K1912" t="s">
        <v>286</v>
      </c>
      <c r="L1912"/>
      <c r="M1912"/>
      <c r="N1912" t="s">
        <v>216</v>
      </c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n">
        <v>19077</v>
      </c>
      <c r="AG1912"/>
      <c r="AH1912"/>
      <c r="AI1912"/>
      <c r="AJ1912"/>
      <c r="AK1912"/>
      <c r="AL1912"/>
    </row>
    <row r="1913">
      <c r="A1913" t="s">
        <v>261</v>
      </c>
      <c r="B1913" t="s">
        <v>234</v>
      </c>
      <c r="C1913"/>
      <c r="D1913" t="s">
        <v>213</v>
      </c>
      <c r="E1913" t="s">
        <v>272</v>
      </c>
      <c r="F1913" t="s">
        <v>272</v>
      </c>
      <c r="G1913" t="s">
        <v>269</v>
      </c>
      <c r="H1913" t="n">
        <v>522582</v>
      </c>
      <c r="I1913"/>
      <c r="J1913" t="n">
        <v>137962</v>
      </c>
      <c r="K1913" t="s">
        <v>286</v>
      </c>
      <c r="L1913"/>
      <c r="M1913"/>
      <c r="N1913" t="s">
        <v>217</v>
      </c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 t="n">
        <v>1514641</v>
      </c>
      <c r="AG1913"/>
      <c r="AH1913"/>
      <c r="AI1913"/>
      <c r="AJ1913"/>
      <c r="AK1913"/>
      <c r="AL1913"/>
    </row>
    <row r="1914">
      <c r="A1914" t="s">
        <v>261</v>
      </c>
      <c r="B1914" t="s">
        <v>234</v>
      </c>
      <c r="C1914"/>
      <c r="D1914" t="s">
        <v>213</v>
      </c>
      <c r="E1914" t="s">
        <v>272</v>
      </c>
      <c r="F1914" t="s">
        <v>272</v>
      </c>
      <c r="G1914" t="s">
        <v>269</v>
      </c>
      <c r="H1914" t="n">
        <v>522582</v>
      </c>
      <c r="I1914"/>
      <c r="J1914" t="n">
        <v>137962</v>
      </c>
      <c r="K1914" t="s">
        <v>286</v>
      </c>
      <c r="L1914"/>
      <c r="M1914"/>
      <c r="N1914" t="s">
        <v>218</v>
      </c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 t="n">
        <v>9</v>
      </c>
      <c r="AG1914"/>
      <c r="AH1914"/>
      <c r="AI1914"/>
      <c r="AJ1914"/>
      <c r="AK1914"/>
      <c r="AL1914"/>
    </row>
    <row r="1915">
      <c r="A1915" t="s">
        <v>261</v>
      </c>
      <c r="B1915" t="s">
        <v>234</v>
      </c>
      <c r="C1915"/>
      <c r="D1915" t="s">
        <v>213</v>
      </c>
      <c r="E1915" t="s">
        <v>272</v>
      </c>
      <c r="F1915" t="s">
        <v>272</v>
      </c>
      <c r="G1915" t="s">
        <v>269</v>
      </c>
      <c r="H1915" t="n">
        <v>522582</v>
      </c>
      <c r="I1915"/>
      <c r="J1915" t="n">
        <v>137962</v>
      </c>
      <c r="K1915" t="s">
        <v>286</v>
      </c>
      <c r="L1915"/>
      <c r="M1915"/>
      <c r="N1915" t="s">
        <v>219</v>
      </c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 t="n">
        <v>14</v>
      </c>
      <c r="AG1915"/>
      <c r="AH1915"/>
      <c r="AI1915"/>
      <c r="AJ1915"/>
      <c r="AK1915"/>
      <c r="AL1915"/>
    </row>
    <row r="1916">
      <c r="A1916" t="s">
        <v>261</v>
      </c>
      <c r="B1916" t="s">
        <v>234</v>
      </c>
      <c r="C1916"/>
      <c r="D1916" t="s">
        <v>213</v>
      </c>
      <c r="E1916" t="s">
        <v>272</v>
      </c>
      <c r="F1916" t="s">
        <v>272</v>
      </c>
      <c r="G1916" t="s">
        <v>269</v>
      </c>
      <c r="H1916" t="n">
        <v>522582</v>
      </c>
      <c r="I1916"/>
      <c r="J1916" t="n">
        <v>137962</v>
      </c>
      <c r="K1916" t="s">
        <v>286</v>
      </c>
      <c r="L1916"/>
      <c r="M1916"/>
      <c r="N1916" t="s">
        <v>220</v>
      </c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 t="n">
        <v>13</v>
      </c>
      <c r="AG1916"/>
      <c r="AH1916"/>
      <c r="AI1916"/>
      <c r="AJ1916"/>
      <c r="AK1916"/>
      <c r="AL1916"/>
    </row>
    <row r="1917">
      <c r="A1917" t="s">
        <v>261</v>
      </c>
      <c r="B1917" t="s">
        <v>234</v>
      </c>
      <c r="C1917"/>
      <c r="D1917" t="s">
        <v>213</v>
      </c>
      <c r="E1917" t="s">
        <v>272</v>
      </c>
      <c r="F1917" t="s">
        <v>272</v>
      </c>
      <c r="G1917" t="s">
        <v>269</v>
      </c>
      <c r="H1917" t="n">
        <v>522582</v>
      </c>
      <c r="I1917"/>
      <c r="J1917" t="n">
        <v>137962</v>
      </c>
      <c r="K1917" t="s">
        <v>286</v>
      </c>
      <c r="L1917"/>
      <c r="M1917"/>
      <c r="N1917" t="s">
        <v>221</v>
      </c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 t="n">
        <v>79.3961838863553</v>
      </c>
      <c r="AG1917"/>
      <c r="AH1917"/>
      <c r="AI1917"/>
      <c r="AJ1917"/>
      <c r="AK1917"/>
      <c r="AL1917"/>
    </row>
    <row r="1918">
      <c r="A1918" t="s">
        <v>261</v>
      </c>
      <c r="B1918" t="s">
        <v>234</v>
      </c>
      <c r="C1918"/>
      <c r="D1918" t="s">
        <v>213</v>
      </c>
      <c r="E1918" t="s">
        <v>272</v>
      </c>
      <c r="F1918" t="s">
        <v>272</v>
      </c>
      <c r="G1918" t="s">
        <v>269</v>
      </c>
      <c r="H1918" t="n">
        <v>522582</v>
      </c>
      <c r="I1918"/>
      <c r="J1918" t="n">
        <v>137962</v>
      </c>
      <c r="K1918" t="s">
        <v>286</v>
      </c>
      <c r="L1918"/>
      <c r="M1918"/>
      <c r="N1918" t="s">
        <v>222</v>
      </c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</row>
    <row r="1919">
      <c r="A1919" t="s">
        <v>233</v>
      </c>
      <c r="B1919" t="s">
        <v>211</v>
      </c>
      <c r="C1919" t="s">
        <v>212</v>
      </c>
      <c r="D1919" t="s">
        <v>213</v>
      </c>
      <c r="E1919" t="s">
        <v>272</v>
      </c>
      <c r="F1919" t="s">
        <v>272</v>
      </c>
      <c r="G1919" t="s">
        <v>269</v>
      </c>
      <c r="H1919" t="n">
        <v>253500</v>
      </c>
      <c r="I1919"/>
      <c r="J1919"/>
      <c r="K1919"/>
      <c r="L1919"/>
      <c r="M1919"/>
      <c r="N1919" t="s">
        <v>214</v>
      </c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 t="n">
        <v>224417</v>
      </c>
      <c r="AH1919"/>
      <c r="AI1919"/>
      <c r="AJ1919"/>
      <c r="AK1919"/>
      <c r="AL1919"/>
    </row>
    <row r="1920">
      <c r="A1920" t="s">
        <v>233</v>
      </c>
      <c r="B1920" t="s">
        <v>211</v>
      </c>
      <c r="C1920" t="s">
        <v>212</v>
      </c>
      <c r="D1920" t="s">
        <v>213</v>
      </c>
      <c r="E1920" t="s">
        <v>272</v>
      </c>
      <c r="F1920" t="s">
        <v>272</v>
      </c>
      <c r="G1920" t="s">
        <v>269</v>
      </c>
      <c r="H1920" t="n">
        <v>253500</v>
      </c>
      <c r="I1920"/>
      <c r="J1920"/>
      <c r="K1920"/>
      <c r="L1920"/>
      <c r="M1920"/>
      <c r="N1920" t="s">
        <v>215</v>
      </c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</row>
    <row r="1921">
      <c r="A1921" t="s">
        <v>233</v>
      </c>
      <c r="B1921" t="s">
        <v>211</v>
      </c>
      <c r="C1921" t="s">
        <v>212</v>
      </c>
      <c r="D1921" t="s">
        <v>213</v>
      </c>
      <c r="E1921" t="s">
        <v>272</v>
      </c>
      <c r="F1921" t="s">
        <v>272</v>
      </c>
      <c r="G1921" t="s">
        <v>269</v>
      </c>
      <c r="H1921" t="n">
        <v>253500</v>
      </c>
      <c r="I1921"/>
      <c r="J1921"/>
      <c r="K1921"/>
      <c r="L1921"/>
      <c r="M1921"/>
      <c r="N1921" t="s">
        <v>216</v>
      </c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 t="n">
        <v>78000</v>
      </c>
      <c r="AH1921"/>
      <c r="AI1921"/>
      <c r="AJ1921"/>
      <c r="AK1921"/>
      <c r="AL1921"/>
    </row>
    <row r="1922">
      <c r="A1922" t="s">
        <v>233</v>
      </c>
      <c r="B1922" t="s">
        <v>211</v>
      </c>
      <c r="C1922" t="s">
        <v>212</v>
      </c>
      <c r="D1922" t="s">
        <v>213</v>
      </c>
      <c r="E1922" t="s">
        <v>272</v>
      </c>
      <c r="F1922" t="s">
        <v>272</v>
      </c>
      <c r="G1922" t="s">
        <v>269</v>
      </c>
      <c r="H1922" t="n">
        <v>253500</v>
      </c>
      <c r="I1922"/>
      <c r="J1922"/>
      <c r="K1922"/>
      <c r="L1922"/>
      <c r="M1922"/>
      <c r="N1922" t="s">
        <v>217</v>
      </c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 t="n">
        <v>399917</v>
      </c>
      <c r="AH1922"/>
      <c r="AI1922"/>
      <c r="AJ1922"/>
      <c r="AK1922"/>
      <c r="AL1922"/>
    </row>
    <row r="1923">
      <c r="A1923" t="s">
        <v>233</v>
      </c>
      <c r="B1923" t="s">
        <v>211</v>
      </c>
      <c r="C1923" t="s">
        <v>212</v>
      </c>
      <c r="D1923" t="s">
        <v>213</v>
      </c>
      <c r="E1923" t="s">
        <v>272</v>
      </c>
      <c r="F1923" t="s">
        <v>272</v>
      </c>
      <c r="G1923" t="s">
        <v>269</v>
      </c>
      <c r="H1923" t="n">
        <v>253500</v>
      </c>
      <c r="I1923"/>
      <c r="J1923"/>
      <c r="K1923"/>
      <c r="L1923"/>
      <c r="M1923"/>
      <c r="N1923" t="s">
        <v>218</v>
      </c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 t="n">
        <v>3</v>
      </c>
      <c r="AH1923"/>
      <c r="AI1923"/>
      <c r="AJ1923"/>
      <c r="AK1923"/>
      <c r="AL1923"/>
    </row>
    <row r="1924">
      <c r="A1924" t="s">
        <v>233</v>
      </c>
      <c r="B1924" t="s">
        <v>211</v>
      </c>
      <c r="C1924" t="s">
        <v>212</v>
      </c>
      <c r="D1924" t="s">
        <v>213</v>
      </c>
      <c r="E1924" t="s">
        <v>272</v>
      </c>
      <c r="F1924" t="s">
        <v>272</v>
      </c>
      <c r="G1924" t="s">
        <v>269</v>
      </c>
      <c r="H1924" t="n">
        <v>253500</v>
      </c>
      <c r="I1924"/>
      <c r="J1924"/>
      <c r="K1924"/>
      <c r="L1924"/>
      <c r="M1924"/>
      <c r="N1924" t="s">
        <v>219</v>
      </c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 t="n">
        <v>6</v>
      </c>
      <c r="AH1924"/>
      <c r="AI1924"/>
      <c r="AJ1924"/>
      <c r="AK1924"/>
      <c r="AL1924"/>
    </row>
    <row r="1925">
      <c r="A1925" t="s">
        <v>233</v>
      </c>
      <c r="B1925" t="s">
        <v>211</v>
      </c>
      <c r="C1925" t="s">
        <v>212</v>
      </c>
      <c r="D1925" t="s">
        <v>213</v>
      </c>
      <c r="E1925" t="s">
        <v>272</v>
      </c>
      <c r="F1925" t="s">
        <v>272</v>
      </c>
      <c r="G1925" t="s">
        <v>269</v>
      </c>
      <c r="H1925" t="n">
        <v>253500</v>
      </c>
      <c r="I1925"/>
      <c r="J1925"/>
      <c r="K1925"/>
      <c r="L1925"/>
      <c r="M1925"/>
      <c r="N1925" t="s">
        <v>220</v>
      </c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 t="n">
        <v>6</v>
      </c>
      <c r="AH1925"/>
      <c r="AI1925"/>
      <c r="AJ1925"/>
      <c r="AK1925"/>
      <c r="AL1925"/>
    </row>
    <row r="1926">
      <c r="A1926" t="s">
        <v>233</v>
      </c>
      <c r="B1926" t="s">
        <v>211</v>
      </c>
      <c r="C1926" t="s">
        <v>212</v>
      </c>
      <c r="D1926" t="s">
        <v>213</v>
      </c>
      <c r="E1926" t="s">
        <v>272</v>
      </c>
      <c r="F1926" t="s">
        <v>272</v>
      </c>
      <c r="G1926" t="s">
        <v>269</v>
      </c>
      <c r="H1926" t="n">
        <v>253500</v>
      </c>
      <c r="I1926"/>
      <c r="J1926"/>
      <c r="K1926"/>
      <c r="L1926"/>
      <c r="M1926"/>
      <c r="N1926" t="s">
        <v>221</v>
      </c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 t="n">
        <v>5.12714102564103</v>
      </c>
      <c r="AH1926"/>
      <c r="AI1926"/>
      <c r="AJ1926"/>
      <c r="AK1926"/>
      <c r="AL1926"/>
    </row>
    <row r="1927">
      <c r="A1927" t="s">
        <v>233</v>
      </c>
      <c r="B1927" t="s">
        <v>211</v>
      </c>
      <c r="C1927" t="s">
        <v>212</v>
      </c>
      <c r="D1927" t="s">
        <v>213</v>
      </c>
      <c r="E1927" t="s">
        <v>272</v>
      </c>
      <c r="F1927" t="s">
        <v>272</v>
      </c>
      <c r="G1927" t="s">
        <v>269</v>
      </c>
      <c r="H1927" t="n">
        <v>253500</v>
      </c>
      <c r="I1927"/>
      <c r="J1927"/>
      <c r="K1927"/>
      <c r="L1927"/>
      <c r="M1927"/>
      <c r="N1927" t="s">
        <v>222</v>
      </c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</row>
    <row r="1928">
      <c r="A1928" t="s">
        <v>233</v>
      </c>
      <c r="B1928" t="s">
        <v>245</v>
      </c>
      <c r="C1928" t="s">
        <v>246</v>
      </c>
      <c r="D1928" t="s">
        <v>213</v>
      </c>
      <c r="E1928" t="s">
        <v>272</v>
      </c>
      <c r="F1928" t="s">
        <v>272</v>
      </c>
      <c r="G1928" t="s">
        <v>269</v>
      </c>
      <c r="H1928" t="n">
        <v>242800</v>
      </c>
      <c r="I1928"/>
      <c r="J1928"/>
      <c r="K1928"/>
      <c r="L1928"/>
      <c r="M1928"/>
      <c r="N1928" t="s">
        <v>214</v>
      </c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 t="n">
        <v>2601000</v>
      </c>
      <c r="AH1928"/>
      <c r="AI1928"/>
      <c r="AJ1928"/>
      <c r="AK1928"/>
      <c r="AL1928"/>
    </row>
    <row r="1929">
      <c r="A1929" t="s">
        <v>233</v>
      </c>
      <c r="B1929" t="s">
        <v>245</v>
      </c>
      <c r="C1929" t="s">
        <v>246</v>
      </c>
      <c r="D1929" t="s">
        <v>213</v>
      </c>
      <c r="E1929" t="s">
        <v>272</v>
      </c>
      <c r="F1929" t="s">
        <v>272</v>
      </c>
      <c r="G1929" t="s">
        <v>269</v>
      </c>
      <c r="H1929" t="n">
        <v>242800</v>
      </c>
      <c r="I1929"/>
      <c r="J1929"/>
      <c r="K1929"/>
      <c r="L1929"/>
      <c r="M1929"/>
      <c r="N1929" t="s">
        <v>215</v>
      </c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</row>
    <row r="1930">
      <c r="A1930" t="s">
        <v>233</v>
      </c>
      <c r="B1930" t="s">
        <v>245</v>
      </c>
      <c r="C1930" t="s">
        <v>246</v>
      </c>
      <c r="D1930" t="s">
        <v>213</v>
      </c>
      <c r="E1930" t="s">
        <v>272</v>
      </c>
      <c r="F1930" t="s">
        <v>272</v>
      </c>
      <c r="G1930" t="s">
        <v>269</v>
      </c>
      <c r="H1930" t="n">
        <v>242800</v>
      </c>
      <c r="I1930"/>
      <c r="J1930"/>
      <c r="K1930"/>
      <c r="L1930"/>
      <c r="M1930"/>
      <c r="N1930" t="s">
        <v>216</v>
      </c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 t="n">
        <v>210000</v>
      </c>
      <c r="AH1930"/>
      <c r="AI1930"/>
      <c r="AJ1930"/>
      <c r="AK1930"/>
      <c r="AL1930"/>
    </row>
    <row r="1931">
      <c r="A1931" t="s">
        <v>233</v>
      </c>
      <c r="B1931" t="s">
        <v>245</v>
      </c>
      <c r="C1931" t="s">
        <v>246</v>
      </c>
      <c r="D1931" t="s">
        <v>213</v>
      </c>
      <c r="E1931" t="s">
        <v>272</v>
      </c>
      <c r="F1931" t="s">
        <v>272</v>
      </c>
      <c r="G1931" t="s">
        <v>269</v>
      </c>
      <c r="H1931" t="n">
        <v>242800</v>
      </c>
      <c r="I1931"/>
      <c r="J1931"/>
      <c r="K1931"/>
      <c r="L1931"/>
      <c r="M1931"/>
      <c r="N1931" t="s">
        <v>217</v>
      </c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 t="n">
        <v>2633800</v>
      </c>
      <c r="AH1931"/>
      <c r="AI1931"/>
      <c r="AJ1931"/>
      <c r="AK1931"/>
      <c r="AL1931"/>
    </row>
    <row r="1932">
      <c r="A1932" t="s">
        <v>233</v>
      </c>
      <c r="B1932" t="s">
        <v>245</v>
      </c>
      <c r="C1932" t="s">
        <v>246</v>
      </c>
      <c r="D1932" t="s">
        <v>213</v>
      </c>
      <c r="E1932" t="s">
        <v>272</v>
      </c>
      <c r="F1932" t="s">
        <v>272</v>
      </c>
      <c r="G1932" t="s">
        <v>269</v>
      </c>
      <c r="H1932" t="n">
        <v>242800</v>
      </c>
      <c r="I1932"/>
      <c r="J1932"/>
      <c r="K1932"/>
      <c r="L1932"/>
      <c r="M1932"/>
      <c r="N1932" t="s">
        <v>218</v>
      </c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 t="n">
        <v>3</v>
      </c>
      <c r="AH1932"/>
      <c r="AI1932"/>
      <c r="AJ1932"/>
      <c r="AK1932"/>
      <c r="AL1932"/>
    </row>
    <row r="1933">
      <c r="A1933" t="s">
        <v>233</v>
      </c>
      <c r="B1933" t="s">
        <v>245</v>
      </c>
      <c r="C1933" t="s">
        <v>246</v>
      </c>
      <c r="D1933" t="s">
        <v>213</v>
      </c>
      <c r="E1933" t="s">
        <v>272</v>
      </c>
      <c r="F1933" t="s">
        <v>272</v>
      </c>
      <c r="G1933" t="s">
        <v>269</v>
      </c>
      <c r="H1933" t="n">
        <v>242800</v>
      </c>
      <c r="I1933"/>
      <c r="J1933"/>
      <c r="K1933"/>
      <c r="L1933"/>
      <c r="M1933"/>
      <c r="N1933" t="s">
        <v>219</v>
      </c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 t="n">
        <v>6</v>
      </c>
      <c r="AH1933"/>
      <c r="AI1933"/>
      <c r="AJ1933"/>
      <c r="AK1933"/>
      <c r="AL1933"/>
    </row>
    <row r="1934">
      <c r="A1934" t="s">
        <v>233</v>
      </c>
      <c r="B1934" t="s">
        <v>245</v>
      </c>
      <c r="C1934" t="s">
        <v>246</v>
      </c>
      <c r="D1934" t="s">
        <v>213</v>
      </c>
      <c r="E1934" t="s">
        <v>272</v>
      </c>
      <c r="F1934" t="s">
        <v>272</v>
      </c>
      <c r="G1934" t="s">
        <v>269</v>
      </c>
      <c r="H1934" t="n">
        <v>242800</v>
      </c>
      <c r="I1934"/>
      <c r="J1934"/>
      <c r="K1934"/>
      <c r="L1934"/>
      <c r="M1934"/>
      <c r="N1934" t="s">
        <v>220</v>
      </c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 t="n">
        <v>6</v>
      </c>
      <c r="AH1934"/>
      <c r="AI1934"/>
      <c r="AJ1934"/>
      <c r="AK1934"/>
      <c r="AL1934"/>
    </row>
    <row r="1935">
      <c r="A1935" t="s">
        <v>233</v>
      </c>
      <c r="B1935" t="s">
        <v>245</v>
      </c>
      <c r="C1935" t="s">
        <v>246</v>
      </c>
      <c r="D1935" t="s">
        <v>213</v>
      </c>
      <c r="E1935" t="s">
        <v>272</v>
      </c>
      <c r="F1935" t="s">
        <v>272</v>
      </c>
      <c r="G1935" t="s">
        <v>269</v>
      </c>
      <c r="H1935" t="n">
        <v>242800</v>
      </c>
      <c r="I1935"/>
      <c r="J1935"/>
      <c r="K1935"/>
      <c r="L1935"/>
      <c r="M1935"/>
      <c r="N1935" t="s">
        <v>221</v>
      </c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 t="n">
        <v>12.5419047619048</v>
      </c>
      <c r="AH1935"/>
      <c r="AI1935"/>
      <c r="AJ1935"/>
      <c r="AK1935"/>
      <c r="AL1935"/>
    </row>
    <row r="1936">
      <c r="A1936" t="s">
        <v>233</v>
      </c>
      <c r="B1936" t="s">
        <v>245</v>
      </c>
      <c r="C1936" t="s">
        <v>246</v>
      </c>
      <c r="D1936" t="s">
        <v>213</v>
      </c>
      <c r="E1936" t="s">
        <v>272</v>
      </c>
      <c r="F1936" t="s">
        <v>272</v>
      </c>
      <c r="G1936" t="s">
        <v>269</v>
      </c>
      <c r="H1936" t="n">
        <v>242800</v>
      </c>
      <c r="I1936"/>
      <c r="J1936"/>
      <c r="K1936"/>
      <c r="L1936"/>
      <c r="M1936"/>
      <c r="N1936" t="s">
        <v>222</v>
      </c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</row>
    <row r="1937">
      <c r="A1937" t="s">
        <v>235</v>
      </c>
      <c r="B1937" t="s">
        <v>227</v>
      </c>
      <c r="C1937" t="s">
        <v>228</v>
      </c>
      <c r="D1937" t="s">
        <v>213</v>
      </c>
      <c r="E1937" t="s">
        <v>272</v>
      </c>
      <c r="F1937" t="s">
        <v>272</v>
      </c>
      <c r="G1937" t="s">
        <v>269</v>
      </c>
      <c r="H1937" t="n">
        <v>16354</v>
      </c>
      <c r="I1937"/>
      <c r="J1937" t="n">
        <v>9158</v>
      </c>
      <c r="K1937" t="s">
        <v>287</v>
      </c>
      <c r="L1937"/>
      <c r="M1937"/>
      <c r="N1937" t="s">
        <v>214</v>
      </c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 t="n">
        <v>0</v>
      </c>
      <c r="AH1937"/>
      <c r="AI1937"/>
      <c r="AJ1937"/>
      <c r="AK1937"/>
      <c r="AL1937"/>
    </row>
    <row r="1938">
      <c r="A1938" t="s">
        <v>235</v>
      </c>
      <c r="B1938" t="s">
        <v>227</v>
      </c>
      <c r="C1938" t="s">
        <v>228</v>
      </c>
      <c r="D1938" t="s">
        <v>213</v>
      </c>
      <c r="E1938" t="s">
        <v>272</v>
      </c>
      <c r="F1938" t="s">
        <v>272</v>
      </c>
      <c r="G1938" t="s">
        <v>269</v>
      </c>
      <c r="H1938" t="n">
        <v>16354</v>
      </c>
      <c r="I1938"/>
      <c r="J1938" t="n">
        <v>9158</v>
      </c>
      <c r="K1938" t="s">
        <v>287</v>
      </c>
      <c r="L1938"/>
      <c r="M1938"/>
      <c r="N1938" t="s">
        <v>215</v>
      </c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</row>
    <row r="1939">
      <c r="A1939" t="s">
        <v>235</v>
      </c>
      <c r="B1939" t="s">
        <v>227</v>
      </c>
      <c r="C1939" t="s">
        <v>228</v>
      </c>
      <c r="D1939" t="s">
        <v>213</v>
      </c>
      <c r="E1939" t="s">
        <v>272</v>
      </c>
      <c r="F1939" t="s">
        <v>272</v>
      </c>
      <c r="G1939" t="s">
        <v>269</v>
      </c>
      <c r="H1939" t="n">
        <v>16354</v>
      </c>
      <c r="I1939"/>
      <c r="J1939" t="n">
        <v>9158</v>
      </c>
      <c r="K1939" t="s">
        <v>287</v>
      </c>
      <c r="L1939"/>
      <c r="M1939"/>
      <c r="N1939" t="s">
        <v>216</v>
      </c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 t="n">
        <v>7816</v>
      </c>
      <c r="AH1939"/>
      <c r="AI1939"/>
      <c r="AJ1939"/>
      <c r="AK1939"/>
      <c r="AL1939"/>
    </row>
    <row r="1940">
      <c r="A1940" t="s">
        <v>235</v>
      </c>
      <c r="B1940" t="s">
        <v>227</v>
      </c>
      <c r="C1940" t="s">
        <v>228</v>
      </c>
      <c r="D1940" t="s">
        <v>213</v>
      </c>
      <c r="E1940" t="s">
        <v>272</v>
      </c>
      <c r="F1940" t="s">
        <v>272</v>
      </c>
      <c r="G1940" t="s">
        <v>269</v>
      </c>
      <c r="H1940" t="n">
        <v>16354</v>
      </c>
      <c r="I1940"/>
      <c r="J1940" t="n">
        <v>9158</v>
      </c>
      <c r="K1940" t="s">
        <v>287</v>
      </c>
      <c r="L1940"/>
      <c r="M1940"/>
      <c r="N1940" t="s">
        <v>217</v>
      </c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 t="n">
        <v>8538</v>
      </c>
      <c r="AH1940"/>
      <c r="AI1940"/>
      <c r="AJ1940"/>
      <c r="AK1940"/>
      <c r="AL1940"/>
    </row>
    <row r="1941">
      <c r="A1941" t="s">
        <v>235</v>
      </c>
      <c r="B1941" t="s">
        <v>227</v>
      </c>
      <c r="C1941" t="s">
        <v>228</v>
      </c>
      <c r="D1941" t="s">
        <v>213</v>
      </c>
      <c r="E1941" t="s">
        <v>272</v>
      </c>
      <c r="F1941" t="s">
        <v>272</v>
      </c>
      <c r="G1941" t="s">
        <v>269</v>
      </c>
      <c r="H1941" t="n">
        <v>16354</v>
      </c>
      <c r="I1941"/>
      <c r="J1941" t="n">
        <v>9158</v>
      </c>
      <c r="K1941" t="s">
        <v>287</v>
      </c>
      <c r="L1941"/>
      <c r="M1941"/>
      <c r="N1941" t="s">
        <v>218</v>
      </c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 t="n">
        <v>6</v>
      </c>
      <c r="AH1941"/>
      <c r="AI1941"/>
      <c r="AJ1941"/>
      <c r="AK1941"/>
      <c r="AL1941"/>
    </row>
    <row r="1942">
      <c r="A1942" t="s">
        <v>235</v>
      </c>
      <c r="B1942" t="s">
        <v>227</v>
      </c>
      <c r="C1942" t="s">
        <v>228</v>
      </c>
      <c r="D1942" t="s">
        <v>213</v>
      </c>
      <c r="E1942" t="s">
        <v>272</v>
      </c>
      <c r="F1942" t="s">
        <v>272</v>
      </c>
      <c r="G1942" t="s">
        <v>269</v>
      </c>
      <c r="H1942" t="n">
        <v>16354</v>
      </c>
      <c r="I1942"/>
      <c r="J1942" t="n">
        <v>9158</v>
      </c>
      <c r="K1942" t="s">
        <v>287</v>
      </c>
      <c r="L1942"/>
      <c r="M1942"/>
      <c r="N1942" t="s">
        <v>219</v>
      </c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 t="n">
        <v>12</v>
      </c>
      <c r="AH1942"/>
      <c r="AI1942"/>
      <c r="AJ1942"/>
      <c r="AK1942"/>
      <c r="AL1942"/>
    </row>
    <row r="1943">
      <c r="A1943" t="s">
        <v>235</v>
      </c>
      <c r="B1943" t="s">
        <v>227</v>
      </c>
      <c r="C1943" t="s">
        <v>228</v>
      </c>
      <c r="D1943" t="s">
        <v>213</v>
      </c>
      <c r="E1943" t="s">
        <v>272</v>
      </c>
      <c r="F1943" t="s">
        <v>272</v>
      </c>
      <c r="G1943" t="s">
        <v>269</v>
      </c>
      <c r="H1943" t="n">
        <v>16354</v>
      </c>
      <c r="I1943"/>
      <c r="J1943" t="n">
        <v>9158</v>
      </c>
      <c r="K1943" t="s">
        <v>287</v>
      </c>
      <c r="L1943"/>
      <c r="M1943"/>
      <c r="N1943" t="s">
        <v>220</v>
      </c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 t="n">
        <v>12</v>
      </c>
      <c r="AH1943"/>
      <c r="AI1943"/>
      <c r="AJ1943"/>
      <c r="AK1943"/>
      <c r="AL1943"/>
    </row>
    <row r="1944">
      <c r="A1944" t="s">
        <v>235</v>
      </c>
      <c r="B1944" t="s">
        <v>227</v>
      </c>
      <c r="C1944" t="s">
        <v>228</v>
      </c>
      <c r="D1944" t="s">
        <v>213</v>
      </c>
      <c r="E1944" t="s">
        <v>272</v>
      </c>
      <c r="F1944" t="s">
        <v>272</v>
      </c>
      <c r="G1944" t="s">
        <v>269</v>
      </c>
      <c r="H1944" t="n">
        <v>16354</v>
      </c>
      <c r="I1944"/>
      <c r="J1944" t="n">
        <v>9158</v>
      </c>
      <c r="K1944" t="s">
        <v>287</v>
      </c>
      <c r="L1944"/>
      <c r="M1944"/>
      <c r="N1944" t="s">
        <v>221</v>
      </c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 t="n">
        <v>1.09237461617195</v>
      </c>
      <c r="AH1944"/>
      <c r="AI1944"/>
      <c r="AJ1944"/>
      <c r="AK1944"/>
      <c r="AL1944"/>
    </row>
    <row r="1945">
      <c r="A1945" t="s">
        <v>235</v>
      </c>
      <c r="B1945" t="s">
        <v>227</v>
      </c>
      <c r="C1945" t="s">
        <v>228</v>
      </c>
      <c r="D1945" t="s">
        <v>213</v>
      </c>
      <c r="E1945" t="s">
        <v>272</v>
      </c>
      <c r="F1945" t="s">
        <v>272</v>
      </c>
      <c r="G1945" t="s">
        <v>269</v>
      </c>
      <c r="H1945" t="n">
        <v>16354</v>
      </c>
      <c r="I1945"/>
      <c r="J1945" t="n">
        <v>9158</v>
      </c>
      <c r="K1945" t="s">
        <v>287</v>
      </c>
      <c r="L1945"/>
      <c r="M1945"/>
      <c r="N1945" t="s">
        <v>222</v>
      </c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</row>
    <row r="1946">
      <c r="A1946" t="s">
        <v>250</v>
      </c>
      <c r="B1946" t="s">
        <v>232</v>
      </c>
      <c r="C1946"/>
      <c r="D1946" t="s">
        <v>213</v>
      </c>
      <c r="E1946"/>
      <c r="F1946"/>
      <c r="G1946" t="s">
        <v>269</v>
      </c>
      <c r="H1946" t="n">
        <v>33160</v>
      </c>
      <c r="I1946"/>
      <c r="J1946"/>
      <c r="K1946"/>
      <c r="L1946"/>
      <c r="M1946"/>
      <c r="N1946" t="s">
        <v>214</v>
      </c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 t="n">
        <v>25762</v>
      </c>
      <c r="AH1946"/>
      <c r="AI1946"/>
      <c r="AJ1946"/>
      <c r="AK1946"/>
      <c r="AL1946"/>
    </row>
    <row r="1947">
      <c r="A1947" t="s">
        <v>250</v>
      </c>
      <c r="B1947" t="s">
        <v>232</v>
      </c>
      <c r="C1947"/>
      <c r="D1947" t="s">
        <v>213</v>
      </c>
      <c r="E1947"/>
      <c r="F1947"/>
      <c r="G1947" t="s">
        <v>269</v>
      </c>
      <c r="H1947" t="n">
        <v>33160</v>
      </c>
      <c r="I1947"/>
      <c r="J1947"/>
      <c r="K1947"/>
      <c r="L1947"/>
      <c r="M1947"/>
      <c r="N1947" t="s">
        <v>215</v>
      </c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</row>
    <row r="1948">
      <c r="A1948" t="s">
        <v>250</v>
      </c>
      <c r="B1948" t="s">
        <v>232</v>
      </c>
      <c r="C1948"/>
      <c r="D1948" t="s">
        <v>213</v>
      </c>
      <c r="E1948"/>
      <c r="F1948"/>
      <c r="G1948" t="s">
        <v>269</v>
      </c>
      <c r="H1948" t="n">
        <v>33160</v>
      </c>
      <c r="I1948"/>
      <c r="J1948"/>
      <c r="K1948"/>
      <c r="L1948"/>
      <c r="M1948"/>
      <c r="N1948" t="s">
        <v>216</v>
      </c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 t="n">
        <v>3682</v>
      </c>
      <c r="AH1948"/>
      <c r="AI1948"/>
      <c r="AJ1948"/>
      <c r="AK1948"/>
      <c r="AL1948"/>
    </row>
    <row r="1949">
      <c r="A1949" t="s">
        <v>250</v>
      </c>
      <c r="B1949" t="s">
        <v>232</v>
      </c>
      <c r="C1949"/>
      <c r="D1949" t="s">
        <v>213</v>
      </c>
      <c r="E1949"/>
      <c r="F1949"/>
      <c r="G1949" t="s">
        <v>269</v>
      </c>
      <c r="H1949" t="n">
        <v>33160</v>
      </c>
      <c r="I1949"/>
      <c r="J1949"/>
      <c r="K1949"/>
      <c r="L1949"/>
      <c r="M1949"/>
      <c r="N1949" t="s">
        <v>217</v>
      </c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 t="n">
        <v>55240</v>
      </c>
      <c r="AH1949"/>
      <c r="AI1949"/>
      <c r="AJ1949"/>
      <c r="AK1949"/>
      <c r="AL1949"/>
    </row>
    <row r="1950">
      <c r="A1950" t="s">
        <v>250</v>
      </c>
      <c r="B1950" t="s">
        <v>232</v>
      </c>
      <c r="C1950"/>
      <c r="D1950" t="s">
        <v>213</v>
      </c>
      <c r="E1950"/>
      <c r="F1950"/>
      <c r="G1950" t="s">
        <v>269</v>
      </c>
      <c r="H1950" t="n">
        <v>33160</v>
      </c>
      <c r="I1950"/>
      <c r="J1950"/>
      <c r="K1950"/>
      <c r="L1950"/>
      <c r="M1950"/>
      <c r="N1950" t="s">
        <v>218</v>
      </c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 t="n">
        <v>7</v>
      </c>
      <c r="AH1950"/>
      <c r="AI1950"/>
      <c r="AJ1950"/>
      <c r="AK1950"/>
      <c r="AL1950"/>
    </row>
    <row r="1951">
      <c r="A1951" t="s">
        <v>250</v>
      </c>
      <c r="B1951" t="s">
        <v>232</v>
      </c>
      <c r="C1951"/>
      <c r="D1951" t="s">
        <v>213</v>
      </c>
      <c r="E1951"/>
      <c r="F1951"/>
      <c r="G1951" t="s">
        <v>269</v>
      </c>
      <c r="H1951" t="n">
        <v>33160</v>
      </c>
      <c r="I1951"/>
      <c r="J1951"/>
      <c r="K1951"/>
      <c r="L1951"/>
      <c r="M1951"/>
      <c r="N1951" t="s">
        <v>219</v>
      </c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 t="n">
        <v>15</v>
      </c>
      <c r="AH1951"/>
      <c r="AI1951"/>
      <c r="AJ1951"/>
      <c r="AK1951"/>
      <c r="AL1951"/>
    </row>
    <row r="1952">
      <c r="A1952" t="s">
        <v>250</v>
      </c>
      <c r="B1952" t="s">
        <v>232</v>
      </c>
      <c r="C1952"/>
      <c r="D1952" t="s">
        <v>213</v>
      </c>
      <c r="E1952"/>
      <c r="F1952"/>
      <c r="G1952" t="s">
        <v>269</v>
      </c>
      <c r="H1952" t="n">
        <v>33160</v>
      </c>
      <c r="I1952"/>
      <c r="J1952"/>
      <c r="K1952"/>
      <c r="L1952"/>
      <c r="M1952"/>
      <c r="N1952" t="s">
        <v>220</v>
      </c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 t="n">
        <v>15</v>
      </c>
      <c r="AH1952"/>
      <c r="AI1952"/>
      <c r="AJ1952"/>
      <c r="AK1952"/>
      <c r="AL1952"/>
    </row>
    <row r="1953">
      <c r="A1953" t="s">
        <v>250</v>
      </c>
      <c r="B1953" t="s">
        <v>232</v>
      </c>
      <c r="C1953"/>
      <c r="D1953" t="s">
        <v>213</v>
      </c>
      <c r="E1953"/>
      <c r="F1953"/>
      <c r="G1953" t="s">
        <v>269</v>
      </c>
      <c r="H1953" t="n">
        <v>33160</v>
      </c>
      <c r="I1953"/>
      <c r="J1953"/>
      <c r="K1953"/>
      <c r="L1953"/>
      <c r="M1953"/>
      <c r="N1953" t="s">
        <v>221</v>
      </c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 t="n">
        <v>15.0027159152634</v>
      </c>
      <c r="AH1953"/>
      <c r="AI1953"/>
      <c r="AJ1953"/>
      <c r="AK1953"/>
      <c r="AL1953"/>
    </row>
    <row r="1954">
      <c r="A1954" t="s">
        <v>250</v>
      </c>
      <c r="B1954" t="s">
        <v>232</v>
      </c>
      <c r="C1954"/>
      <c r="D1954" t="s">
        <v>213</v>
      </c>
      <c r="E1954"/>
      <c r="F1954"/>
      <c r="G1954" t="s">
        <v>269</v>
      </c>
      <c r="H1954" t="n">
        <v>33160</v>
      </c>
      <c r="I1954"/>
      <c r="J1954"/>
      <c r="K1954"/>
      <c r="L1954"/>
      <c r="M1954"/>
      <c r="N1954" t="s">
        <v>222</v>
      </c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</row>
    <row r="1955">
      <c r="A1955" t="s">
        <v>235</v>
      </c>
      <c r="B1955" t="s">
        <v>232</v>
      </c>
      <c r="C1955"/>
      <c r="D1955" t="s">
        <v>213</v>
      </c>
      <c r="E1955" t="s">
        <v>272</v>
      </c>
      <c r="F1955" t="s">
        <v>272</v>
      </c>
      <c r="G1955" t="s">
        <v>269</v>
      </c>
      <c r="H1955" t="n">
        <v>19296651</v>
      </c>
      <c r="I1955"/>
      <c r="J1955" t="n">
        <v>648368</v>
      </c>
      <c r="K1955" t="s">
        <v>287</v>
      </c>
      <c r="L1955"/>
      <c r="M1955"/>
      <c r="N1955" t="s">
        <v>214</v>
      </c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</row>
    <row r="1956">
      <c r="A1956" t="s">
        <v>235</v>
      </c>
      <c r="B1956" t="s">
        <v>232</v>
      </c>
      <c r="C1956"/>
      <c r="D1956" t="s">
        <v>213</v>
      </c>
      <c r="E1956" t="s">
        <v>272</v>
      </c>
      <c r="F1956" t="s">
        <v>272</v>
      </c>
      <c r="G1956" t="s">
        <v>269</v>
      </c>
      <c r="H1956" t="n">
        <v>19296651</v>
      </c>
      <c r="I1956"/>
      <c r="J1956" t="n">
        <v>648368</v>
      </c>
      <c r="K1956" t="s">
        <v>287</v>
      </c>
      <c r="L1956"/>
      <c r="M1956"/>
      <c r="N1956" t="s">
        <v>215</v>
      </c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</row>
    <row r="1957">
      <c r="A1957" t="s">
        <v>235</v>
      </c>
      <c r="B1957" t="s">
        <v>232</v>
      </c>
      <c r="C1957"/>
      <c r="D1957" t="s">
        <v>213</v>
      </c>
      <c r="E1957" t="s">
        <v>272</v>
      </c>
      <c r="F1957" t="s">
        <v>272</v>
      </c>
      <c r="G1957" t="s">
        <v>269</v>
      </c>
      <c r="H1957" t="n">
        <v>19296651</v>
      </c>
      <c r="I1957"/>
      <c r="J1957" t="n">
        <v>648368</v>
      </c>
      <c r="K1957" t="s">
        <v>287</v>
      </c>
      <c r="L1957"/>
      <c r="M1957"/>
      <c r="N1957" t="s">
        <v>216</v>
      </c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 t="n">
        <v>2556052</v>
      </c>
      <c r="AH1957"/>
      <c r="AI1957"/>
      <c r="AJ1957"/>
      <c r="AK1957"/>
      <c r="AL1957"/>
    </row>
    <row r="1958">
      <c r="A1958" t="s">
        <v>235</v>
      </c>
      <c r="B1958" t="s">
        <v>232</v>
      </c>
      <c r="C1958"/>
      <c r="D1958" t="s">
        <v>213</v>
      </c>
      <c r="E1958" t="s">
        <v>272</v>
      </c>
      <c r="F1958" t="s">
        <v>272</v>
      </c>
      <c r="G1958" t="s">
        <v>269</v>
      </c>
      <c r="H1958" t="n">
        <v>19296651</v>
      </c>
      <c r="I1958"/>
      <c r="J1958" t="n">
        <v>648368</v>
      </c>
      <c r="K1958" t="s">
        <v>287</v>
      </c>
      <c r="L1958"/>
      <c r="M1958"/>
      <c r="N1958" t="s">
        <v>217</v>
      </c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 t="n">
        <v>16740599</v>
      </c>
      <c r="AH1958"/>
      <c r="AI1958"/>
      <c r="AJ1958"/>
      <c r="AK1958"/>
      <c r="AL1958"/>
    </row>
    <row r="1959">
      <c r="A1959" t="s">
        <v>235</v>
      </c>
      <c r="B1959" t="s">
        <v>232</v>
      </c>
      <c r="C1959"/>
      <c r="D1959" t="s">
        <v>213</v>
      </c>
      <c r="E1959" t="s">
        <v>272</v>
      </c>
      <c r="F1959" t="s">
        <v>272</v>
      </c>
      <c r="G1959" t="s">
        <v>269</v>
      </c>
      <c r="H1959" t="n">
        <v>19296651</v>
      </c>
      <c r="I1959"/>
      <c r="J1959" t="n">
        <v>648368</v>
      </c>
      <c r="K1959" t="s">
        <v>287</v>
      </c>
      <c r="L1959"/>
      <c r="M1959"/>
      <c r="N1959" t="s">
        <v>218</v>
      </c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 t="n">
        <v>6</v>
      </c>
      <c r="AH1959"/>
      <c r="AI1959"/>
      <c r="AJ1959"/>
      <c r="AK1959"/>
      <c r="AL1959"/>
    </row>
    <row r="1960">
      <c r="A1960" t="s">
        <v>235</v>
      </c>
      <c r="B1960" t="s">
        <v>232</v>
      </c>
      <c r="C1960"/>
      <c r="D1960" t="s">
        <v>213</v>
      </c>
      <c r="E1960" t="s">
        <v>272</v>
      </c>
      <c r="F1960" t="s">
        <v>272</v>
      </c>
      <c r="G1960" t="s">
        <v>269</v>
      </c>
      <c r="H1960" t="n">
        <v>19296651</v>
      </c>
      <c r="I1960"/>
      <c r="J1960" t="n">
        <v>648368</v>
      </c>
      <c r="K1960" t="s">
        <v>287</v>
      </c>
      <c r="L1960"/>
      <c r="M1960"/>
      <c r="N1960" t="s">
        <v>219</v>
      </c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 t="n">
        <v>12</v>
      </c>
      <c r="AH1960"/>
      <c r="AI1960"/>
      <c r="AJ1960"/>
      <c r="AK1960"/>
      <c r="AL1960"/>
    </row>
    <row r="1961">
      <c r="A1961" t="s">
        <v>235</v>
      </c>
      <c r="B1961" t="s">
        <v>232</v>
      </c>
      <c r="C1961"/>
      <c r="D1961" t="s">
        <v>213</v>
      </c>
      <c r="E1961" t="s">
        <v>272</v>
      </c>
      <c r="F1961" t="s">
        <v>272</v>
      </c>
      <c r="G1961" t="s">
        <v>269</v>
      </c>
      <c r="H1961" t="n">
        <v>19296651</v>
      </c>
      <c r="I1961"/>
      <c r="J1961" t="n">
        <v>648368</v>
      </c>
      <c r="K1961" t="s">
        <v>287</v>
      </c>
      <c r="L1961"/>
      <c r="M1961"/>
      <c r="N1961" t="s">
        <v>220</v>
      </c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 t="n">
        <v>12</v>
      </c>
      <c r="AH1961"/>
      <c r="AI1961"/>
      <c r="AJ1961"/>
      <c r="AK1961"/>
      <c r="AL1961"/>
    </row>
    <row r="1962">
      <c r="A1962" t="s">
        <v>235</v>
      </c>
      <c r="B1962" t="s">
        <v>232</v>
      </c>
      <c r="C1962"/>
      <c r="D1962" t="s">
        <v>213</v>
      </c>
      <c r="E1962" t="s">
        <v>272</v>
      </c>
      <c r="F1962" t="s">
        <v>272</v>
      </c>
      <c r="G1962" t="s">
        <v>269</v>
      </c>
      <c r="H1962" t="n">
        <v>19296651</v>
      </c>
      <c r="I1962"/>
      <c r="J1962" t="n">
        <v>648368</v>
      </c>
      <c r="K1962" t="s">
        <v>287</v>
      </c>
      <c r="L1962"/>
      <c r="M1962"/>
      <c r="N1962" t="s">
        <v>221</v>
      </c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 t="n">
        <v>6.54939688237954</v>
      </c>
      <c r="AH1962"/>
      <c r="AI1962"/>
      <c r="AJ1962"/>
      <c r="AK1962"/>
      <c r="AL1962"/>
    </row>
    <row r="1963">
      <c r="A1963" t="s">
        <v>235</v>
      </c>
      <c r="B1963" t="s">
        <v>232</v>
      </c>
      <c r="C1963"/>
      <c r="D1963" t="s">
        <v>213</v>
      </c>
      <c r="E1963" t="s">
        <v>272</v>
      </c>
      <c r="F1963" t="s">
        <v>272</v>
      </c>
      <c r="G1963" t="s">
        <v>269</v>
      </c>
      <c r="H1963" t="n">
        <v>19296651</v>
      </c>
      <c r="I1963"/>
      <c r="J1963" t="n">
        <v>648368</v>
      </c>
      <c r="K1963" t="s">
        <v>287</v>
      </c>
      <c r="L1963"/>
      <c r="M1963"/>
      <c r="N1963" t="s">
        <v>222</v>
      </c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</row>
    <row r="1964">
      <c r="A1964" t="s">
        <v>250</v>
      </c>
      <c r="B1964" t="s">
        <v>238</v>
      </c>
      <c r="C1964" t="s">
        <v>231</v>
      </c>
      <c r="D1964" t="s">
        <v>213</v>
      </c>
      <c r="E1964"/>
      <c r="F1964"/>
      <c r="G1964" t="s">
        <v>269</v>
      </c>
      <c r="H1964" t="n">
        <v>13625</v>
      </c>
      <c r="I1964"/>
      <c r="J1964"/>
      <c r="K1964"/>
      <c r="L1964"/>
      <c r="M1964"/>
      <c r="N1964" t="s">
        <v>214</v>
      </c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 t="n">
        <v>13335</v>
      </c>
      <c r="AI1964"/>
      <c r="AJ1964"/>
      <c r="AK1964"/>
      <c r="AL1964"/>
    </row>
    <row r="1965">
      <c r="A1965" t="s">
        <v>250</v>
      </c>
      <c r="B1965" t="s">
        <v>238</v>
      </c>
      <c r="C1965" t="s">
        <v>231</v>
      </c>
      <c r="D1965" t="s">
        <v>213</v>
      </c>
      <c r="E1965"/>
      <c r="F1965"/>
      <c r="G1965" t="s">
        <v>269</v>
      </c>
      <c r="H1965" t="n">
        <v>13625</v>
      </c>
      <c r="I1965"/>
      <c r="J1965"/>
      <c r="K1965"/>
      <c r="L1965"/>
      <c r="M1965"/>
      <c r="N1965" t="s">
        <v>215</v>
      </c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</row>
    <row r="1966">
      <c r="A1966" t="s">
        <v>250</v>
      </c>
      <c r="B1966" t="s">
        <v>238</v>
      </c>
      <c r="C1966" t="s">
        <v>231</v>
      </c>
      <c r="D1966" t="s">
        <v>213</v>
      </c>
      <c r="E1966"/>
      <c r="F1966"/>
      <c r="G1966" t="s">
        <v>269</v>
      </c>
      <c r="H1966" t="n">
        <v>13625</v>
      </c>
      <c r="I1966"/>
      <c r="J1966"/>
      <c r="K1966"/>
      <c r="L1966"/>
      <c r="M1966"/>
      <c r="N1966" t="s">
        <v>216</v>
      </c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 t="n">
        <v>1685</v>
      </c>
      <c r="AI1966"/>
      <c r="AJ1966"/>
      <c r="AK1966"/>
      <c r="AL1966"/>
    </row>
    <row r="1967">
      <c r="A1967" t="s">
        <v>250</v>
      </c>
      <c r="B1967" t="s">
        <v>238</v>
      </c>
      <c r="C1967" t="s">
        <v>231</v>
      </c>
      <c r="D1967" t="s">
        <v>213</v>
      </c>
      <c r="E1967"/>
      <c r="F1967"/>
      <c r="G1967" t="s">
        <v>269</v>
      </c>
      <c r="H1967" t="n">
        <v>13625</v>
      </c>
      <c r="I1967"/>
      <c r="J1967"/>
      <c r="K1967"/>
      <c r="L1967"/>
      <c r="M1967"/>
      <c r="N1967" t="s">
        <v>217</v>
      </c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 t="n">
        <v>25275</v>
      </c>
      <c r="AI1967"/>
      <c r="AJ1967"/>
      <c r="AK1967"/>
      <c r="AL1967"/>
    </row>
    <row r="1968">
      <c r="A1968" t="s">
        <v>250</v>
      </c>
      <c r="B1968" t="s">
        <v>238</v>
      </c>
      <c r="C1968" t="s">
        <v>231</v>
      </c>
      <c r="D1968" t="s">
        <v>213</v>
      </c>
      <c r="E1968"/>
      <c r="F1968"/>
      <c r="G1968" t="s">
        <v>269</v>
      </c>
      <c r="H1968" t="n">
        <v>13625</v>
      </c>
      <c r="I1968"/>
      <c r="J1968"/>
      <c r="K1968"/>
      <c r="L1968"/>
      <c r="M1968"/>
      <c r="N1968" t="s">
        <v>218</v>
      </c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 t="n">
        <v>7</v>
      </c>
      <c r="AI1968"/>
      <c r="AJ1968"/>
      <c r="AK1968"/>
      <c r="AL1968"/>
    </row>
    <row r="1969">
      <c r="A1969" t="s">
        <v>250</v>
      </c>
      <c r="B1969" t="s">
        <v>238</v>
      </c>
      <c r="C1969" t="s">
        <v>231</v>
      </c>
      <c r="D1969" t="s">
        <v>213</v>
      </c>
      <c r="E1969"/>
      <c r="F1969"/>
      <c r="G1969" t="s">
        <v>269</v>
      </c>
      <c r="H1969" t="n">
        <v>13625</v>
      </c>
      <c r="I1969"/>
      <c r="J1969"/>
      <c r="K1969"/>
      <c r="L1969"/>
      <c r="M1969"/>
      <c r="N1969" t="s">
        <v>219</v>
      </c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 t="n">
        <v>15</v>
      </c>
      <c r="AI1969"/>
      <c r="AJ1969"/>
      <c r="AK1969"/>
      <c r="AL1969"/>
    </row>
    <row r="1970">
      <c r="A1970" t="s">
        <v>250</v>
      </c>
      <c r="B1970" t="s">
        <v>238</v>
      </c>
      <c r="C1970" t="s">
        <v>231</v>
      </c>
      <c r="D1970" t="s">
        <v>213</v>
      </c>
      <c r="E1970"/>
      <c r="F1970"/>
      <c r="G1970" t="s">
        <v>269</v>
      </c>
      <c r="H1970" t="n">
        <v>13625</v>
      </c>
      <c r="I1970"/>
      <c r="J1970"/>
      <c r="K1970"/>
      <c r="L1970"/>
      <c r="M1970"/>
      <c r="N1970" t="s">
        <v>220</v>
      </c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 t="n">
        <v>15</v>
      </c>
      <c r="AI1970"/>
      <c r="AJ1970"/>
      <c r="AK1970"/>
      <c r="AL1970"/>
    </row>
    <row r="1971">
      <c r="A1971" t="s">
        <v>250</v>
      </c>
      <c r="B1971" t="s">
        <v>238</v>
      </c>
      <c r="C1971" t="s">
        <v>231</v>
      </c>
      <c r="D1971" t="s">
        <v>213</v>
      </c>
      <c r="E1971"/>
      <c r="F1971"/>
      <c r="G1971" t="s">
        <v>269</v>
      </c>
      <c r="H1971" t="n">
        <v>13625</v>
      </c>
      <c r="I1971"/>
      <c r="J1971"/>
      <c r="K1971"/>
      <c r="L1971"/>
      <c r="M1971"/>
      <c r="N1971" t="s">
        <v>221</v>
      </c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 t="n">
        <v>15</v>
      </c>
      <c r="AI1971"/>
      <c r="AJ1971"/>
      <c r="AK1971"/>
      <c r="AL1971"/>
    </row>
    <row r="1972">
      <c r="A1972" t="s">
        <v>250</v>
      </c>
      <c r="B1972" t="s">
        <v>238</v>
      </c>
      <c r="C1972" t="s">
        <v>231</v>
      </c>
      <c r="D1972" t="s">
        <v>213</v>
      </c>
      <c r="E1972"/>
      <c r="F1972"/>
      <c r="G1972" t="s">
        <v>269</v>
      </c>
      <c r="H1972" t="n">
        <v>13625</v>
      </c>
      <c r="I1972"/>
      <c r="J1972"/>
      <c r="K1972"/>
      <c r="L1972"/>
      <c r="M1972"/>
      <c r="N1972" t="s">
        <v>222</v>
      </c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</row>
    <row r="1973">
      <c r="A1973" t="s">
        <v>233</v>
      </c>
      <c r="B1973" t="s">
        <v>240</v>
      </c>
      <c r="C1973" t="s">
        <v>241</v>
      </c>
      <c r="D1973" t="s">
        <v>213</v>
      </c>
      <c r="E1973" t="s">
        <v>272</v>
      </c>
      <c r="F1973" t="s">
        <v>272</v>
      </c>
      <c r="G1973" t="s">
        <v>269</v>
      </c>
      <c r="H1973" t="n">
        <v>650072</v>
      </c>
      <c r="I1973"/>
      <c r="J1973"/>
      <c r="K1973"/>
      <c r="L1973"/>
      <c r="M1973"/>
      <c r="N1973" t="s">
        <v>214</v>
      </c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 t="n">
        <v>801595</v>
      </c>
      <c r="AI1973"/>
      <c r="AJ1973"/>
      <c r="AK1973"/>
      <c r="AL1973"/>
    </row>
    <row r="1974">
      <c r="A1974" t="s">
        <v>233</v>
      </c>
      <c r="B1974" t="s">
        <v>240</v>
      </c>
      <c r="C1974" t="s">
        <v>241</v>
      </c>
      <c r="D1974" t="s">
        <v>213</v>
      </c>
      <c r="E1974" t="s">
        <v>272</v>
      </c>
      <c r="F1974" t="s">
        <v>272</v>
      </c>
      <c r="G1974" t="s">
        <v>269</v>
      </c>
      <c r="H1974" t="n">
        <v>650072</v>
      </c>
      <c r="I1974"/>
      <c r="J1974"/>
      <c r="K1974"/>
      <c r="L1974"/>
      <c r="M1974"/>
      <c r="N1974" t="s">
        <v>215</v>
      </c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</row>
    <row r="1975">
      <c r="A1975" t="s">
        <v>233</v>
      </c>
      <c r="B1975" t="s">
        <v>240</v>
      </c>
      <c r="C1975" t="s">
        <v>241</v>
      </c>
      <c r="D1975" t="s">
        <v>213</v>
      </c>
      <c r="E1975" t="s">
        <v>272</v>
      </c>
      <c r="F1975" t="s">
        <v>272</v>
      </c>
      <c r="G1975" t="s">
        <v>269</v>
      </c>
      <c r="H1975" t="n">
        <v>650072</v>
      </c>
      <c r="I1975"/>
      <c r="J1975"/>
      <c r="K1975"/>
      <c r="L1975"/>
      <c r="M1975"/>
      <c r="N1975" t="s">
        <v>216</v>
      </c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 t="n">
        <v>130000</v>
      </c>
      <c r="AI1975"/>
      <c r="AJ1975"/>
      <c r="AK1975"/>
      <c r="AL1975"/>
    </row>
    <row r="1976">
      <c r="A1976" t="s">
        <v>233</v>
      </c>
      <c r="B1976" t="s">
        <v>240</v>
      </c>
      <c r="C1976" t="s">
        <v>241</v>
      </c>
      <c r="D1976" t="s">
        <v>213</v>
      </c>
      <c r="E1976" t="s">
        <v>272</v>
      </c>
      <c r="F1976" t="s">
        <v>272</v>
      </c>
      <c r="G1976" t="s">
        <v>269</v>
      </c>
      <c r="H1976" t="n">
        <v>650072</v>
      </c>
      <c r="I1976"/>
      <c r="J1976"/>
      <c r="K1976"/>
      <c r="L1976"/>
      <c r="M1976"/>
      <c r="N1976" t="s">
        <v>217</v>
      </c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 t="n">
        <v>1321667</v>
      </c>
      <c r="AI1976"/>
      <c r="AJ1976"/>
      <c r="AK1976"/>
      <c r="AL1976"/>
    </row>
    <row r="1977">
      <c r="A1977" t="s">
        <v>233</v>
      </c>
      <c r="B1977" t="s">
        <v>240</v>
      </c>
      <c r="C1977" t="s">
        <v>241</v>
      </c>
      <c r="D1977" t="s">
        <v>213</v>
      </c>
      <c r="E1977" t="s">
        <v>272</v>
      </c>
      <c r="F1977" t="s">
        <v>272</v>
      </c>
      <c r="G1977" t="s">
        <v>269</v>
      </c>
      <c r="H1977" t="n">
        <v>650072</v>
      </c>
      <c r="I1977"/>
      <c r="J1977"/>
      <c r="K1977"/>
      <c r="L1977"/>
      <c r="M1977"/>
      <c r="N1977" t="s">
        <v>218</v>
      </c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 t="n">
        <v>3</v>
      </c>
      <c r="AI1977"/>
      <c r="AJ1977"/>
      <c r="AK1977"/>
      <c r="AL1977"/>
    </row>
    <row r="1978">
      <c r="A1978" t="s">
        <v>233</v>
      </c>
      <c r="B1978" t="s">
        <v>240</v>
      </c>
      <c r="C1978" t="s">
        <v>241</v>
      </c>
      <c r="D1978" t="s">
        <v>213</v>
      </c>
      <c r="E1978" t="s">
        <v>272</v>
      </c>
      <c r="F1978" t="s">
        <v>272</v>
      </c>
      <c r="G1978" t="s">
        <v>269</v>
      </c>
      <c r="H1978" t="n">
        <v>650072</v>
      </c>
      <c r="I1978"/>
      <c r="J1978"/>
      <c r="K1978"/>
      <c r="L1978"/>
      <c r="M1978"/>
      <c r="N1978" t="s">
        <v>219</v>
      </c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 t="n">
        <v>6</v>
      </c>
      <c r="AI1978"/>
      <c r="AJ1978"/>
      <c r="AK1978"/>
      <c r="AL1978"/>
    </row>
    <row r="1979">
      <c r="A1979" t="s">
        <v>233</v>
      </c>
      <c r="B1979" t="s">
        <v>240</v>
      </c>
      <c r="C1979" t="s">
        <v>241</v>
      </c>
      <c r="D1979" t="s">
        <v>213</v>
      </c>
      <c r="E1979" t="s">
        <v>272</v>
      </c>
      <c r="F1979" t="s">
        <v>272</v>
      </c>
      <c r="G1979" t="s">
        <v>269</v>
      </c>
      <c r="H1979" t="n">
        <v>650072</v>
      </c>
      <c r="I1979"/>
      <c r="J1979"/>
      <c r="K1979"/>
      <c r="L1979"/>
      <c r="M1979"/>
      <c r="N1979" t="s">
        <v>220</v>
      </c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 t="n">
        <v>6</v>
      </c>
      <c r="AI1979"/>
      <c r="AJ1979"/>
      <c r="AK1979"/>
      <c r="AL1979"/>
    </row>
    <row r="1980">
      <c r="A1980" t="s">
        <v>233</v>
      </c>
      <c r="B1980" t="s">
        <v>240</v>
      </c>
      <c r="C1980" t="s">
        <v>241</v>
      </c>
      <c r="D1980" t="s">
        <v>213</v>
      </c>
      <c r="E1980" t="s">
        <v>272</v>
      </c>
      <c r="F1980" t="s">
        <v>272</v>
      </c>
      <c r="G1980" t="s">
        <v>269</v>
      </c>
      <c r="H1980" t="n">
        <v>650072</v>
      </c>
      <c r="I1980"/>
      <c r="J1980"/>
      <c r="K1980"/>
      <c r="L1980"/>
      <c r="M1980"/>
      <c r="N1980" t="s">
        <v>221</v>
      </c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 t="n">
        <v>10.1666692307692</v>
      </c>
      <c r="AI1980"/>
      <c r="AJ1980"/>
      <c r="AK1980"/>
      <c r="AL1980"/>
    </row>
    <row r="1981">
      <c r="A1981" t="s">
        <v>233</v>
      </c>
      <c r="B1981" t="s">
        <v>240</v>
      </c>
      <c r="C1981" t="s">
        <v>241</v>
      </c>
      <c r="D1981" t="s">
        <v>213</v>
      </c>
      <c r="E1981" t="s">
        <v>272</v>
      </c>
      <c r="F1981" t="s">
        <v>272</v>
      </c>
      <c r="G1981" t="s">
        <v>269</v>
      </c>
      <c r="H1981" t="n">
        <v>650072</v>
      </c>
      <c r="I1981"/>
      <c r="J1981"/>
      <c r="K1981"/>
      <c r="L1981"/>
      <c r="M1981"/>
      <c r="N1981" t="s">
        <v>222</v>
      </c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</row>
    <row r="1982">
      <c r="A1982" t="s">
        <v>233</v>
      </c>
      <c r="B1982" t="s">
        <v>245</v>
      </c>
      <c r="C1982" t="s">
        <v>246</v>
      </c>
      <c r="D1982" t="s">
        <v>213</v>
      </c>
      <c r="E1982" t="s">
        <v>272</v>
      </c>
      <c r="F1982" t="s">
        <v>272</v>
      </c>
      <c r="G1982" t="s">
        <v>269</v>
      </c>
      <c r="H1982" t="n">
        <v>400000</v>
      </c>
      <c r="I1982"/>
      <c r="J1982"/>
      <c r="K1982"/>
      <c r="L1982"/>
      <c r="M1982"/>
      <c r="N1982" t="s">
        <v>214</v>
      </c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 t="n">
        <v>2633800</v>
      </c>
      <c r="AI1982"/>
      <c r="AJ1982"/>
      <c r="AK1982"/>
      <c r="AL1982"/>
    </row>
    <row r="1983">
      <c r="A1983" t="s">
        <v>233</v>
      </c>
      <c r="B1983" t="s">
        <v>245</v>
      </c>
      <c r="C1983" t="s">
        <v>246</v>
      </c>
      <c r="D1983" t="s">
        <v>213</v>
      </c>
      <c r="E1983" t="s">
        <v>272</v>
      </c>
      <c r="F1983" t="s">
        <v>272</v>
      </c>
      <c r="G1983" t="s">
        <v>269</v>
      </c>
      <c r="H1983" t="n">
        <v>400000</v>
      </c>
      <c r="I1983"/>
      <c r="J1983"/>
      <c r="K1983"/>
      <c r="L1983"/>
      <c r="M1983"/>
      <c r="N1983" t="s">
        <v>215</v>
      </c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</row>
    <row r="1984">
      <c r="A1984" t="s">
        <v>233</v>
      </c>
      <c r="B1984" t="s">
        <v>245</v>
      </c>
      <c r="C1984" t="s">
        <v>246</v>
      </c>
      <c r="D1984" t="s">
        <v>213</v>
      </c>
      <c r="E1984" t="s">
        <v>272</v>
      </c>
      <c r="F1984" t="s">
        <v>272</v>
      </c>
      <c r="G1984" t="s">
        <v>269</v>
      </c>
      <c r="H1984" t="n">
        <v>400000</v>
      </c>
      <c r="I1984"/>
      <c r="J1984"/>
      <c r="K1984"/>
      <c r="L1984"/>
      <c r="M1984"/>
      <c r="N1984" t="s">
        <v>216</v>
      </c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 t="n">
        <v>210000</v>
      </c>
      <c r="AI1984"/>
      <c r="AJ1984"/>
      <c r="AK1984"/>
      <c r="AL1984"/>
    </row>
    <row r="1985">
      <c r="A1985" t="s">
        <v>233</v>
      </c>
      <c r="B1985" t="s">
        <v>245</v>
      </c>
      <c r="C1985" t="s">
        <v>246</v>
      </c>
      <c r="D1985" t="s">
        <v>213</v>
      </c>
      <c r="E1985" t="s">
        <v>272</v>
      </c>
      <c r="F1985" t="s">
        <v>272</v>
      </c>
      <c r="G1985" t="s">
        <v>269</v>
      </c>
      <c r="H1985" t="n">
        <v>400000</v>
      </c>
      <c r="I1985"/>
      <c r="J1985"/>
      <c r="K1985"/>
      <c r="L1985"/>
      <c r="M1985"/>
      <c r="N1985" t="s">
        <v>217</v>
      </c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 t="n">
        <v>2823800</v>
      </c>
      <c r="AI1985"/>
      <c r="AJ1985"/>
      <c r="AK1985"/>
      <c r="AL1985"/>
    </row>
    <row r="1986">
      <c r="A1986" t="s">
        <v>233</v>
      </c>
      <c r="B1986" t="s">
        <v>245</v>
      </c>
      <c r="C1986" t="s">
        <v>246</v>
      </c>
      <c r="D1986" t="s">
        <v>213</v>
      </c>
      <c r="E1986" t="s">
        <v>272</v>
      </c>
      <c r="F1986" t="s">
        <v>272</v>
      </c>
      <c r="G1986" t="s">
        <v>269</v>
      </c>
      <c r="H1986" t="n">
        <v>400000</v>
      </c>
      <c r="I1986"/>
      <c r="J1986"/>
      <c r="K1986"/>
      <c r="L1986"/>
      <c r="M1986"/>
      <c r="N1986" t="s">
        <v>218</v>
      </c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 t="n">
        <v>3</v>
      </c>
      <c r="AI1986"/>
      <c r="AJ1986"/>
      <c r="AK1986"/>
      <c r="AL1986"/>
    </row>
    <row r="1987">
      <c r="A1987" t="s">
        <v>233</v>
      </c>
      <c r="B1987" t="s">
        <v>245</v>
      </c>
      <c r="C1987" t="s">
        <v>246</v>
      </c>
      <c r="D1987" t="s">
        <v>213</v>
      </c>
      <c r="E1987" t="s">
        <v>272</v>
      </c>
      <c r="F1987" t="s">
        <v>272</v>
      </c>
      <c r="G1987" t="s">
        <v>269</v>
      </c>
      <c r="H1987" t="n">
        <v>400000</v>
      </c>
      <c r="I1987"/>
      <c r="J1987"/>
      <c r="K1987"/>
      <c r="L1987"/>
      <c r="M1987"/>
      <c r="N1987" t="s">
        <v>219</v>
      </c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6</v>
      </c>
      <c r="AI1987"/>
      <c r="AJ1987"/>
      <c r="AK1987"/>
      <c r="AL1987"/>
    </row>
    <row r="1988">
      <c r="A1988" t="s">
        <v>233</v>
      </c>
      <c r="B1988" t="s">
        <v>245</v>
      </c>
      <c r="C1988" t="s">
        <v>246</v>
      </c>
      <c r="D1988" t="s">
        <v>213</v>
      </c>
      <c r="E1988" t="s">
        <v>272</v>
      </c>
      <c r="F1988" t="s">
        <v>272</v>
      </c>
      <c r="G1988" t="s">
        <v>269</v>
      </c>
      <c r="H1988" t="n">
        <v>400000</v>
      </c>
      <c r="I1988"/>
      <c r="J1988"/>
      <c r="K1988"/>
      <c r="L1988"/>
      <c r="M1988"/>
      <c r="N1988" t="s">
        <v>220</v>
      </c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 t="n">
        <v>6</v>
      </c>
      <c r="AI1988"/>
      <c r="AJ1988"/>
      <c r="AK1988"/>
      <c r="AL1988"/>
    </row>
    <row r="1989">
      <c r="A1989" t="s">
        <v>233</v>
      </c>
      <c r="B1989" t="s">
        <v>245</v>
      </c>
      <c r="C1989" t="s">
        <v>246</v>
      </c>
      <c r="D1989" t="s">
        <v>213</v>
      </c>
      <c r="E1989" t="s">
        <v>272</v>
      </c>
      <c r="F1989" t="s">
        <v>272</v>
      </c>
      <c r="G1989" t="s">
        <v>269</v>
      </c>
      <c r="H1989" t="n">
        <v>400000</v>
      </c>
      <c r="I1989"/>
      <c r="J1989"/>
      <c r="K1989"/>
      <c r="L1989"/>
      <c r="M1989"/>
      <c r="N1989" t="s">
        <v>221</v>
      </c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13.4466666666667</v>
      </c>
      <c r="AI1989"/>
      <c r="AJ1989"/>
      <c r="AK1989"/>
      <c r="AL1989"/>
    </row>
    <row r="1990">
      <c r="A1990" t="s">
        <v>233</v>
      </c>
      <c r="B1990" t="s">
        <v>245</v>
      </c>
      <c r="C1990" t="s">
        <v>246</v>
      </c>
      <c r="D1990" t="s">
        <v>213</v>
      </c>
      <c r="E1990" t="s">
        <v>272</v>
      </c>
      <c r="F1990" t="s">
        <v>272</v>
      </c>
      <c r="G1990" t="s">
        <v>269</v>
      </c>
      <c r="H1990" t="n">
        <v>400000</v>
      </c>
      <c r="I1990"/>
      <c r="J1990"/>
      <c r="K1990"/>
      <c r="L1990"/>
      <c r="M1990"/>
      <c r="N1990" t="s">
        <v>222</v>
      </c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</row>
    <row r="1991">
      <c r="A1991" t="s">
        <v>250</v>
      </c>
      <c r="B1991" t="s">
        <v>227</v>
      </c>
      <c r="C1991" t="s">
        <v>228</v>
      </c>
      <c r="D1991" t="s">
        <v>213</v>
      </c>
      <c r="E1991"/>
      <c r="F1991"/>
      <c r="G1991" t="s">
        <v>269</v>
      </c>
      <c r="H1991" t="n">
        <v>290</v>
      </c>
      <c r="I1991"/>
      <c r="J1991"/>
      <c r="K1991"/>
      <c r="L1991"/>
      <c r="M1991"/>
      <c r="N1991" t="s">
        <v>214</v>
      </c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 t="n">
        <v>231</v>
      </c>
      <c r="AI1991"/>
      <c r="AJ1991"/>
      <c r="AK1991"/>
      <c r="AL1991"/>
    </row>
    <row r="1992">
      <c r="A1992" t="s">
        <v>250</v>
      </c>
      <c r="B1992" t="s">
        <v>227</v>
      </c>
      <c r="C1992" t="s">
        <v>228</v>
      </c>
      <c r="D1992" t="s">
        <v>213</v>
      </c>
      <c r="E1992"/>
      <c r="F1992"/>
      <c r="G1992" t="s">
        <v>269</v>
      </c>
      <c r="H1992" t="n">
        <v>290</v>
      </c>
      <c r="I1992"/>
      <c r="J1992"/>
      <c r="K1992"/>
      <c r="L1992"/>
      <c r="M1992"/>
      <c r="N1992" t="s">
        <v>215</v>
      </c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</row>
    <row r="1993">
      <c r="A1993" t="s">
        <v>250</v>
      </c>
      <c r="B1993" t="s">
        <v>227</v>
      </c>
      <c r="C1993" t="s">
        <v>228</v>
      </c>
      <c r="D1993" t="s">
        <v>213</v>
      </c>
      <c r="E1993"/>
      <c r="F1993"/>
      <c r="G1993" t="s">
        <v>269</v>
      </c>
      <c r="H1993" t="n">
        <v>290</v>
      </c>
      <c r="I1993"/>
      <c r="J1993"/>
      <c r="K1993"/>
      <c r="L1993"/>
      <c r="M1993"/>
      <c r="N1993" t="s">
        <v>216</v>
      </c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 t="n">
        <v>32</v>
      </c>
      <c r="AI1993"/>
      <c r="AJ1993"/>
      <c r="AK1993"/>
      <c r="AL1993"/>
    </row>
    <row r="1994">
      <c r="A1994" t="s">
        <v>250</v>
      </c>
      <c r="B1994" t="s">
        <v>227</v>
      </c>
      <c r="C1994" t="s">
        <v>228</v>
      </c>
      <c r="D1994" t="s">
        <v>213</v>
      </c>
      <c r="E1994"/>
      <c r="F1994"/>
      <c r="G1994" t="s">
        <v>269</v>
      </c>
      <c r="H1994" t="n">
        <v>290</v>
      </c>
      <c r="I1994"/>
      <c r="J1994"/>
      <c r="K1994"/>
      <c r="L1994"/>
      <c r="M1994"/>
      <c r="N1994" t="s">
        <v>217</v>
      </c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 t="n">
        <v>489</v>
      </c>
      <c r="AI1994"/>
      <c r="AJ1994"/>
      <c r="AK1994"/>
      <c r="AL1994"/>
    </row>
    <row r="1995">
      <c r="A1995" t="s">
        <v>250</v>
      </c>
      <c r="B1995" t="s">
        <v>227</v>
      </c>
      <c r="C1995" t="s">
        <v>228</v>
      </c>
      <c r="D1995" t="s">
        <v>213</v>
      </c>
      <c r="E1995"/>
      <c r="F1995"/>
      <c r="G1995" t="s">
        <v>269</v>
      </c>
      <c r="H1995" t="n">
        <v>290</v>
      </c>
      <c r="I1995"/>
      <c r="J1995"/>
      <c r="K1995"/>
      <c r="L1995"/>
      <c r="M1995"/>
      <c r="N1995" t="s">
        <v>218</v>
      </c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 t="n">
        <v>7</v>
      </c>
      <c r="AI1995"/>
      <c r="AJ1995"/>
      <c r="AK1995"/>
      <c r="AL1995"/>
    </row>
    <row r="1996">
      <c r="A1996" t="s">
        <v>250</v>
      </c>
      <c r="B1996" t="s">
        <v>227</v>
      </c>
      <c r="C1996" t="s">
        <v>228</v>
      </c>
      <c r="D1996" t="s">
        <v>213</v>
      </c>
      <c r="E1996"/>
      <c r="F1996"/>
      <c r="G1996" t="s">
        <v>269</v>
      </c>
      <c r="H1996" t="n">
        <v>290</v>
      </c>
      <c r="I1996"/>
      <c r="J1996"/>
      <c r="K1996"/>
      <c r="L1996"/>
      <c r="M1996"/>
      <c r="N1996" t="s">
        <v>219</v>
      </c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 t="n">
        <v>15</v>
      </c>
      <c r="AI1996"/>
      <c r="AJ1996"/>
      <c r="AK1996"/>
      <c r="AL1996"/>
    </row>
    <row r="1997">
      <c r="A1997" t="s">
        <v>250</v>
      </c>
      <c r="B1997" t="s">
        <v>227</v>
      </c>
      <c r="C1997" t="s">
        <v>228</v>
      </c>
      <c r="D1997" t="s">
        <v>213</v>
      </c>
      <c r="E1997"/>
      <c r="F1997"/>
      <c r="G1997" t="s">
        <v>269</v>
      </c>
      <c r="H1997" t="n">
        <v>290</v>
      </c>
      <c r="I1997"/>
      <c r="J1997"/>
      <c r="K1997"/>
      <c r="L1997"/>
      <c r="M1997"/>
      <c r="N1997" t="s">
        <v>220</v>
      </c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 t="n">
        <v>15</v>
      </c>
      <c r="AI1997"/>
      <c r="AJ1997"/>
      <c r="AK1997"/>
      <c r="AL1997"/>
    </row>
    <row r="1998">
      <c r="A1998" t="s">
        <v>250</v>
      </c>
      <c r="B1998" t="s">
        <v>227</v>
      </c>
      <c r="C1998" t="s">
        <v>228</v>
      </c>
      <c r="D1998" t="s">
        <v>213</v>
      </c>
      <c r="E1998"/>
      <c r="F1998"/>
      <c r="G1998" t="s">
        <v>269</v>
      </c>
      <c r="H1998" t="n">
        <v>290</v>
      </c>
      <c r="I1998"/>
      <c r="J1998"/>
      <c r="K1998"/>
      <c r="L1998"/>
      <c r="M1998"/>
      <c r="N1998" t="s">
        <v>221</v>
      </c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 t="n">
        <v>15.28125</v>
      </c>
      <c r="AI1998"/>
      <c r="AJ1998"/>
      <c r="AK1998"/>
      <c r="AL1998"/>
    </row>
    <row r="1999">
      <c r="A1999" t="s">
        <v>250</v>
      </c>
      <c r="B1999" t="s">
        <v>227</v>
      </c>
      <c r="C1999" t="s">
        <v>228</v>
      </c>
      <c r="D1999" t="s">
        <v>213</v>
      </c>
      <c r="E1999"/>
      <c r="F1999"/>
      <c r="G1999" t="s">
        <v>269</v>
      </c>
      <c r="H1999" t="n">
        <v>290</v>
      </c>
      <c r="I1999"/>
      <c r="J1999"/>
      <c r="K1999"/>
      <c r="L1999"/>
      <c r="M1999"/>
      <c r="N1999" t="s">
        <v>222</v>
      </c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</row>
    <row r="2000">
      <c r="A2000" t="s">
        <v>226</v>
      </c>
      <c r="B2000" t="s">
        <v>227</v>
      </c>
      <c r="C2000" t="s">
        <v>228</v>
      </c>
      <c r="D2000" t="s">
        <v>213</v>
      </c>
      <c r="E2000"/>
      <c r="F2000"/>
      <c r="G2000" t="s">
        <v>269</v>
      </c>
      <c r="H2000" t="n">
        <v>4000</v>
      </c>
      <c r="I2000"/>
      <c r="J2000" t="n">
        <v>2600</v>
      </c>
      <c r="K2000" t="s">
        <v>288</v>
      </c>
      <c r="L2000"/>
      <c r="M2000"/>
      <c r="N2000" t="s">
        <v>214</v>
      </c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 t="n">
        <v>47166</v>
      </c>
      <c r="AJ2000"/>
      <c r="AK2000"/>
      <c r="AL2000"/>
    </row>
    <row r="2001">
      <c r="A2001" t="s">
        <v>226</v>
      </c>
      <c r="B2001" t="s">
        <v>227</v>
      </c>
      <c r="C2001" t="s">
        <v>228</v>
      </c>
      <c r="D2001" t="s">
        <v>213</v>
      </c>
      <c r="E2001"/>
      <c r="F2001"/>
      <c r="G2001" t="s">
        <v>269</v>
      </c>
      <c r="H2001" t="n">
        <v>4000</v>
      </c>
      <c r="I2001"/>
      <c r="J2001" t="n">
        <v>2600</v>
      </c>
      <c r="K2001" t="s">
        <v>288</v>
      </c>
      <c r="L2001"/>
      <c r="M2001"/>
      <c r="N2001" t="s">
        <v>215</v>
      </c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</row>
    <row r="2002">
      <c r="A2002" t="s">
        <v>226</v>
      </c>
      <c r="B2002" t="s">
        <v>227</v>
      </c>
      <c r="C2002" t="s">
        <v>228</v>
      </c>
      <c r="D2002" t="s">
        <v>213</v>
      </c>
      <c r="E2002"/>
      <c r="F2002"/>
      <c r="G2002" t="s">
        <v>269</v>
      </c>
      <c r="H2002" t="n">
        <v>4000</v>
      </c>
      <c r="I2002"/>
      <c r="J2002" t="n">
        <v>2600</v>
      </c>
      <c r="K2002" t="s">
        <v>288</v>
      </c>
      <c r="L2002"/>
      <c r="M2002"/>
      <c r="N2002" t="s">
        <v>216</v>
      </c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 t="n">
        <v>10000</v>
      </c>
      <c r="AJ2002"/>
      <c r="AK2002"/>
      <c r="AL2002"/>
    </row>
    <row r="2003">
      <c r="A2003" t="s">
        <v>226</v>
      </c>
      <c r="B2003" t="s">
        <v>227</v>
      </c>
      <c r="C2003" t="s">
        <v>228</v>
      </c>
      <c r="D2003" t="s">
        <v>213</v>
      </c>
      <c r="E2003"/>
      <c r="F2003"/>
      <c r="G2003" t="s">
        <v>269</v>
      </c>
      <c r="H2003" t="n">
        <v>4000</v>
      </c>
      <c r="I2003"/>
      <c r="J2003" t="n">
        <v>2600</v>
      </c>
      <c r="K2003" t="s">
        <v>288</v>
      </c>
      <c r="L2003"/>
      <c r="M2003"/>
      <c r="N2003" t="s">
        <v>217</v>
      </c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 t="n">
        <v>41166</v>
      </c>
      <c r="AJ2003"/>
      <c r="AK2003"/>
      <c r="AL2003"/>
    </row>
    <row r="2004">
      <c r="A2004" t="s">
        <v>226</v>
      </c>
      <c r="B2004" t="s">
        <v>227</v>
      </c>
      <c r="C2004" t="s">
        <v>228</v>
      </c>
      <c r="D2004" t="s">
        <v>213</v>
      </c>
      <c r="E2004"/>
      <c r="F2004"/>
      <c r="G2004" t="s">
        <v>269</v>
      </c>
      <c r="H2004" t="n">
        <v>4000</v>
      </c>
      <c r="I2004"/>
      <c r="J2004" t="n">
        <v>2600</v>
      </c>
      <c r="K2004" t="s">
        <v>288</v>
      </c>
      <c r="L2004"/>
      <c r="M2004"/>
      <c r="N2004" t="s">
        <v>218</v>
      </c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 t="n">
        <v>3</v>
      </c>
      <c r="AJ2004"/>
      <c r="AK2004"/>
      <c r="AL2004"/>
    </row>
    <row r="2005">
      <c r="A2005" t="s">
        <v>226</v>
      </c>
      <c r="B2005" t="s">
        <v>227</v>
      </c>
      <c r="C2005" t="s">
        <v>228</v>
      </c>
      <c r="D2005" t="s">
        <v>213</v>
      </c>
      <c r="E2005"/>
      <c r="F2005"/>
      <c r="G2005" t="s">
        <v>269</v>
      </c>
      <c r="H2005" t="n">
        <v>4000</v>
      </c>
      <c r="I2005"/>
      <c r="J2005" t="n">
        <v>2600</v>
      </c>
      <c r="K2005" t="s">
        <v>288</v>
      </c>
      <c r="L2005"/>
      <c r="M2005"/>
      <c r="N2005" t="s">
        <v>219</v>
      </c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 t="n">
        <v>6</v>
      </c>
      <c r="AJ2005"/>
      <c r="AK2005"/>
      <c r="AL2005"/>
    </row>
    <row r="2006">
      <c r="A2006" t="s">
        <v>226</v>
      </c>
      <c r="B2006" t="s">
        <v>227</v>
      </c>
      <c r="C2006" t="s">
        <v>228</v>
      </c>
      <c r="D2006" t="s">
        <v>213</v>
      </c>
      <c r="E2006"/>
      <c r="F2006"/>
      <c r="G2006" t="s">
        <v>269</v>
      </c>
      <c r="H2006" t="n">
        <v>4000</v>
      </c>
      <c r="I2006"/>
      <c r="J2006" t="n">
        <v>2600</v>
      </c>
      <c r="K2006" t="s">
        <v>288</v>
      </c>
      <c r="L2006"/>
      <c r="M2006"/>
      <c r="N2006" t="s">
        <v>220</v>
      </c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 t="n">
        <v>6</v>
      </c>
      <c r="AJ2006"/>
      <c r="AK2006"/>
      <c r="AL2006"/>
    </row>
    <row r="2007">
      <c r="A2007" t="s">
        <v>226</v>
      </c>
      <c r="B2007" t="s">
        <v>227</v>
      </c>
      <c r="C2007" t="s">
        <v>228</v>
      </c>
      <c r="D2007" t="s">
        <v>213</v>
      </c>
      <c r="E2007"/>
      <c r="F2007"/>
      <c r="G2007" t="s">
        <v>269</v>
      </c>
      <c r="H2007" t="n">
        <v>4000</v>
      </c>
      <c r="I2007"/>
      <c r="J2007" t="n">
        <v>2600</v>
      </c>
      <c r="K2007" t="s">
        <v>288</v>
      </c>
      <c r="L2007"/>
      <c r="M2007"/>
      <c r="N2007" t="s">
        <v>221</v>
      </c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 t="n">
        <v>4.1166</v>
      </c>
      <c r="AJ2007"/>
      <c r="AK2007"/>
      <c r="AL2007"/>
    </row>
    <row r="2008">
      <c r="A2008" t="s">
        <v>226</v>
      </c>
      <c r="B2008" t="s">
        <v>227</v>
      </c>
      <c r="C2008" t="s">
        <v>228</v>
      </c>
      <c r="D2008" t="s">
        <v>213</v>
      </c>
      <c r="E2008"/>
      <c r="F2008"/>
      <c r="G2008" t="s">
        <v>269</v>
      </c>
      <c r="H2008" t="n">
        <v>4000</v>
      </c>
      <c r="I2008"/>
      <c r="J2008" t="n">
        <v>2600</v>
      </c>
      <c r="K2008" t="s">
        <v>288</v>
      </c>
      <c r="L2008"/>
      <c r="M2008"/>
      <c r="N2008" t="s">
        <v>222</v>
      </c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</row>
    <row r="2009">
      <c r="A2009" t="s">
        <v>235</v>
      </c>
      <c r="B2009" t="s">
        <v>240</v>
      </c>
      <c r="C2009" t="s">
        <v>241</v>
      </c>
      <c r="D2009" t="s">
        <v>213</v>
      </c>
      <c r="E2009" t="s">
        <v>272</v>
      </c>
      <c r="F2009" t="s">
        <v>272</v>
      </c>
      <c r="G2009" t="s">
        <v>269</v>
      </c>
      <c r="H2009" t="n">
        <v>697032</v>
      </c>
      <c r="I2009"/>
      <c r="J2009" t="n">
        <v>601120</v>
      </c>
      <c r="K2009" t="s">
        <v>289</v>
      </c>
      <c r="L2009"/>
      <c r="M2009"/>
      <c r="N2009" t="s">
        <v>214</v>
      </c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 t="n">
        <v>703421</v>
      </c>
      <c r="AK2009"/>
      <c r="AL2009"/>
    </row>
    <row r="2010">
      <c r="A2010" t="s">
        <v>235</v>
      </c>
      <c r="B2010" t="s">
        <v>240</v>
      </c>
      <c r="C2010" t="s">
        <v>241</v>
      </c>
      <c r="D2010" t="s">
        <v>213</v>
      </c>
      <c r="E2010" t="s">
        <v>272</v>
      </c>
      <c r="F2010" t="s">
        <v>272</v>
      </c>
      <c r="G2010" t="s">
        <v>269</v>
      </c>
      <c r="H2010" t="n">
        <v>697032</v>
      </c>
      <c r="I2010"/>
      <c r="J2010" t="n">
        <v>601120</v>
      </c>
      <c r="K2010" t="s">
        <v>289</v>
      </c>
      <c r="L2010"/>
      <c r="M2010"/>
      <c r="N2010" t="s">
        <v>215</v>
      </c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</row>
    <row r="2011">
      <c r="A2011" t="s">
        <v>235</v>
      </c>
      <c r="B2011" t="s">
        <v>240</v>
      </c>
      <c r="C2011" t="s">
        <v>241</v>
      </c>
      <c r="D2011" t="s">
        <v>213</v>
      </c>
      <c r="E2011" t="s">
        <v>272</v>
      </c>
      <c r="F2011" t="s">
        <v>272</v>
      </c>
      <c r="G2011" t="s">
        <v>269</v>
      </c>
      <c r="H2011" t="n">
        <v>697032</v>
      </c>
      <c r="I2011"/>
      <c r="J2011" t="n">
        <v>601120</v>
      </c>
      <c r="K2011" t="s">
        <v>289</v>
      </c>
      <c r="L2011"/>
      <c r="M2011"/>
      <c r="N2011" t="s">
        <v>216</v>
      </c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 t="n">
        <v>110429</v>
      </c>
      <c r="AK2011"/>
      <c r="AL2011"/>
    </row>
    <row r="2012">
      <c r="A2012" t="s">
        <v>235</v>
      </c>
      <c r="B2012" t="s">
        <v>240</v>
      </c>
      <c r="C2012" t="s">
        <v>241</v>
      </c>
      <c r="D2012" t="s">
        <v>213</v>
      </c>
      <c r="E2012" t="s">
        <v>272</v>
      </c>
      <c r="F2012" t="s">
        <v>272</v>
      </c>
      <c r="G2012" t="s">
        <v>269</v>
      </c>
      <c r="H2012" t="n">
        <v>697032</v>
      </c>
      <c r="I2012"/>
      <c r="J2012" t="n">
        <v>601120</v>
      </c>
      <c r="K2012" t="s">
        <v>289</v>
      </c>
      <c r="L2012"/>
      <c r="M2012"/>
      <c r="N2012" t="s">
        <v>217</v>
      </c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 t="n">
        <v>1290024</v>
      </c>
      <c r="AK2012"/>
      <c r="AL2012"/>
    </row>
    <row r="2013">
      <c r="A2013" t="s">
        <v>235</v>
      </c>
      <c r="B2013" t="s">
        <v>240</v>
      </c>
      <c r="C2013" t="s">
        <v>241</v>
      </c>
      <c r="D2013" t="s">
        <v>213</v>
      </c>
      <c r="E2013" t="s">
        <v>272</v>
      </c>
      <c r="F2013" t="s">
        <v>272</v>
      </c>
      <c r="G2013" t="s">
        <v>269</v>
      </c>
      <c r="H2013" t="n">
        <v>697032</v>
      </c>
      <c r="I2013"/>
      <c r="J2013" t="n">
        <v>601120</v>
      </c>
      <c r="K2013" t="s">
        <v>289</v>
      </c>
      <c r="L2013"/>
      <c r="M2013"/>
      <c r="N2013" t="s">
        <v>218</v>
      </c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 t="n">
        <v>6</v>
      </c>
      <c r="AK2013"/>
      <c r="AL2013"/>
    </row>
    <row r="2014">
      <c r="A2014" t="s">
        <v>235</v>
      </c>
      <c r="B2014" t="s">
        <v>240</v>
      </c>
      <c r="C2014" t="s">
        <v>241</v>
      </c>
      <c r="D2014" t="s">
        <v>213</v>
      </c>
      <c r="E2014" t="s">
        <v>272</v>
      </c>
      <c r="F2014" t="s">
        <v>272</v>
      </c>
      <c r="G2014" t="s">
        <v>269</v>
      </c>
      <c r="H2014" t="n">
        <v>697032</v>
      </c>
      <c r="I2014"/>
      <c r="J2014" t="n">
        <v>601120</v>
      </c>
      <c r="K2014" t="s">
        <v>289</v>
      </c>
      <c r="L2014"/>
      <c r="M2014"/>
      <c r="N2014" t="s">
        <v>219</v>
      </c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 t="n">
        <v>12</v>
      </c>
      <c r="AK2014"/>
      <c r="AL2014"/>
    </row>
    <row r="2015">
      <c r="A2015" t="s">
        <v>235</v>
      </c>
      <c r="B2015" t="s">
        <v>240</v>
      </c>
      <c r="C2015" t="s">
        <v>241</v>
      </c>
      <c r="D2015" t="s">
        <v>213</v>
      </c>
      <c r="E2015" t="s">
        <v>272</v>
      </c>
      <c r="F2015" t="s">
        <v>272</v>
      </c>
      <c r="G2015" t="s">
        <v>269</v>
      </c>
      <c r="H2015" t="n">
        <v>697032</v>
      </c>
      <c r="I2015"/>
      <c r="J2015" t="n">
        <v>601120</v>
      </c>
      <c r="K2015" t="s">
        <v>289</v>
      </c>
      <c r="L2015"/>
      <c r="M2015"/>
      <c r="N2015" t="s">
        <v>220</v>
      </c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 t="n">
        <v>12</v>
      </c>
      <c r="AK2015"/>
      <c r="AL2015"/>
    </row>
    <row r="2016">
      <c r="A2016" t="s">
        <v>235</v>
      </c>
      <c r="B2016" t="s">
        <v>240</v>
      </c>
      <c r="C2016" t="s">
        <v>241</v>
      </c>
      <c r="D2016" t="s">
        <v>213</v>
      </c>
      <c r="E2016" t="s">
        <v>272</v>
      </c>
      <c r="F2016" t="s">
        <v>272</v>
      </c>
      <c r="G2016" t="s">
        <v>269</v>
      </c>
      <c r="H2016" t="n">
        <v>697032</v>
      </c>
      <c r="I2016"/>
      <c r="J2016" t="n">
        <v>601120</v>
      </c>
      <c r="K2016" t="s">
        <v>289</v>
      </c>
      <c r="L2016"/>
      <c r="M2016"/>
      <c r="N2016" t="s">
        <v>221</v>
      </c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 t="n">
        <v>11.6819313767217</v>
      </c>
      <c r="AK2016"/>
      <c r="AL2016"/>
    </row>
    <row r="2017">
      <c r="A2017" t="s">
        <v>235</v>
      </c>
      <c r="B2017" t="s">
        <v>240</v>
      </c>
      <c r="C2017" t="s">
        <v>241</v>
      </c>
      <c r="D2017" t="s">
        <v>213</v>
      </c>
      <c r="E2017" t="s">
        <v>272</v>
      </c>
      <c r="F2017" t="s">
        <v>272</v>
      </c>
      <c r="G2017" t="s">
        <v>269</v>
      </c>
      <c r="H2017" t="n">
        <v>697032</v>
      </c>
      <c r="I2017"/>
      <c r="J2017" t="n">
        <v>601120</v>
      </c>
      <c r="K2017" t="s">
        <v>289</v>
      </c>
      <c r="L2017"/>
      <c r="M2017"/>
      <c r="N2017" t="s">
        <v>222</v>
      </c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</row>
    <row r="2018">
      <c r="A2018" t="s">
        <v>235</v>
      </c>
      <c r="B2018" t="s">
        <v>238</v>
      </c>
      <c r="C2018" t="s">
        <v>231</v>
      </c>
      <c r="D2018" t="s">
        <v>213</v>
      </c>
      <c r="E2018" t="s">
        <v>272</v>
      </c>
      <c r="F2018" t="s">
        <v>272</v>
      </c>
      <c r="G2018" t="s">
        <v>269</v>
      </c>
      <c r="H2018" t="n">
        <v>12130</v>
      </c>
      <c r="I2018"/>
      <c r="J2018" t="n">
        <v>8151.36</v>
      </c>
      <c r="K2018" t="s">
        <v>290</v>
      </c>
      <c r="L2018"/>
      <c r="M2018"/>
      <c r="N2018" t="s">
        <v>214</v>
      </c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 t="n">
        <v>11495</v>
      </c>
      <c r="AL2018"/>
    </row>
    <row r="2019">
      <c r="A2019" t="s">
        <v>235</v>
      </c>
      <c r="B2019" t="s">
        <v>238</v>
      </c>
      <c r="C2019" t="s">
        <v>231</v>
      </c>
      <c r="D2019" t="s">
        <v>213</v>
      </c>
      <c r="E2019" t="s">
        <v>272</v>
      </c>
      <c r="F2019" t="s">
        <v>272</v>
      </c>
      <c r="G2019" t="s">
        <v>269</v>
      </c>
      <c r="H2019" t="n">
        <v>12130</v>
      </c>
      <c r="I2019"/>
      <c r="J2019" t="n">
        <v>8151.36</v>
      </c>
      <c r="K2019" t="s">
        <v>290</v>
      </c>
      <c r="L2019"/>
      <c r="M2019"/>
      <c r="N2019" t="s">
        <v>215</v>
      </c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</row>
    <row r="2020">
      <c r="A2020" t="s">
        <v>235</v>
      </c>
      <c r="B2020" t="s">
        <v>238</v>
      </c>
      <c r="C2020" t="s">
        <v>231</v>
      </c>
      <c r="D2020" t="s">
        <v>213</v>
      </c>
      <c r="E2020" t="s">
        <v>272</v>
      </c>
      <c r="F2020" t="s">
        <v>272</v>
      </c>
      <c r="G2020" t="s">
        <v>269</v>
      </c>
      <c r="H2020" t="n">
        <v>12130</v>
      </c>
      <c r="I2020"/>
      <c r="J2020" t="n">
        <v>8151.36</v>
      </c>
      <c r="K2020" t="s">
        <v>290</v>
      </c>
      <c r="L2020"/>
      <c r="M2020"/>
      <c r="N2020" t="s">
        <v>216</v>
      </c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 t="n">
        <v>1785</v>
      </c>
      <c r="AL2020"/>
    </row>
    <row r="2021">
      <c r="A2021" t="s">
        <v>235</v>
      </c>
      <c r="B2021" t="s">
        <v>238</v>
      </c>
      <c r="C2021" t="s">
        <v>231</v>
      </c>
      <c r="D2021" t="s">
        <v>213</v>
      </c>
      <c r="E2021" t="s">
        <v>272</v>
      </c>
      <c r="F2021" t="s">
        <v>272</v>
      </c>
      <c r="G2021" t="s">
        <v>269</v>
      </c>
      <c r="H2021" t="n">
        <v>12130</v>
      </c>
      <c r="I2021"/>
      <c r="J2021" t="n">
        <v>8151.36</v>
      </c>
      <c r="K2021" t="s">
        <v>290</v>
      </c>
      <c r="L2021"/>
      <c r="M2021"/>
      <c r="N2021" t="s">
        <v>217</v>
      </c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 t="n">
        <v>21840</v>
      </c>
      <c r="AL2021"/>
    </row>
    <row r="2022">
      <c r="A2022" t="s">
        <v>235</v>
      </c>
      <c r="B2022" t="s">
        <v>238</v>
      </c>
      <c r="C2022" t="s">
        <v>231</v>
      </c>
      <c r="D2022" t="s">
        <v>213</v>
      </c>
      <c r="E2022" t="s">
        <v>272</v>
      </c>
      <c r="F2022" t="s">
        <v>272</v>
      </c>
      <c r="G2022" t="s">
        <v>269</v>
      </c>
      <c r="H2022" t="n">
        <v>12130</v>
      </c>
      <c r="I2022"/>
      <c r="J2022" t="n">
        <v>8151.36</v>
      </c>
      <c r="K2022" t="s">
        <v>290</v>
      </c>
      <c r="L2022"/>
      <c r="M2022"/>
      <c r="N2022" t="s">
        <v>218</v>
      </c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 t="n">
        <v>6</v>
      </c>
      <c r="AL2022"/>
    </row>
    <row r="2023">
      <c r="A2023" t="s">
        <v>235</v>
      </c>
      <c r="B2023" t="s">
        <v>238</v>
      </c>
      <c r="C2023" t="s">
        <v>231</v>
      </c>
      <c r="D2023" t="s">
        <v>213</v>
      </c>
      <c r="E2023" t="s">
        <v>272</v>
      </c>
      <c r="F2023" t="s">
        <v>272</v>
      </c>
      <c r="G2023" t="s">
        <v>269</v>
      </c>
      <c r="H2023" t="n">
        <v>12130</v>
      </c>
      <c r="I2023"/>
      <c r="J2023" t="n">
        <v>8151.36</v>
      </c>
      <c r="K2023" t="s">
        <v>290</v>
      </c>
      <c r="L2023"/>
      <c r="M2023"/>
      <c r="N2023" t="s">
        <v>219</v>
      </c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 t="n">
        <v>12</v>
      </c>
      <c r="AL2023"/>
    </row>
    <row r="2024">
      <c r="A2024" t="s">
        <v>235</v>
      </c>
      <c r="B2024" t="s">
        <v>238</v>
      </c>
      <c r="C2024" t="s">
        <v>231</v>
      </c>
      <c r="D2024" t="s">
        <v>213</v>
      </c>
      <c r="E2024" t="s">
        <v>272</v>
      </c>
      <c r="F2024" t="s">
        <v>272</v>
      </c>
      <c r="G2024" t="s">
        <v>269</v>
      </c>
      <c r="H2024" t="n">
        <v>12130</v>
      </c>
      <c r="I2024"/>
      <c r="J2024" t="n">
        <v>8151.36</v>
      </c>
      <c r="K2024" t="s">
        <v>290</v>
      </c>
      <c r="L2024"/>
      <c r="M2024"/>
      <c r="N2024" t="s">
        <v>220</v>
      </c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 t="n">
        <v>12</v>
      </c>
      <c r="AL2024"/>
    </row>
    <row r="2025">
      <c r="A2025" t="s">
        <v>235</v>
      </c>
      <c r="B2025" t="s">
        <v>238</v>
      </c>
      <c r="C2025" t="s">
        <v>231</v>
      </c>
      <c r="D2025" t="s">
        <v>213</v>
      </c>
      <c r="E2025" t="s">
        <v>272</v>
      </c>
      <c r="F2025" t="s">
        <v>272</v>
      </c>
      <c r="G2025" t="s">
        <v>269</v>
      </c>
      <c r="H2025" t="n">
        <v>12130</v>
      </c>
      <c r="I2025"/>
      <c r="J2025" t="n">
        <v>8151.36</v>
      </c>
      <c r="K2025" t="s">
        <v>290</v>
      </c>
      <c r="L2025"/>
      <c r="M2025"/>
      <c r="N2025" t="s">
        <v>221</v>
      </c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 t="n">
        <v>12.2352941176471</v>
      </c>
      <c r="AL2025"/>
    </row>
    <row r="2026">
      <c r="A2026" t="s">
        <v>235</v>
      </c>
      <c r="B2026" t="s">
        <v>238</v>
      </c>
      <c r="C2026" t="s">
        <v>231</v>
      </c>
      <c r="D2026" t="s">
        <v>213</v>
      </c>
      <c r="E2026" t="s">
        <v>272</v>
      </c>
      <c r="F2026" t="s">
        <v>272</v>
      </c>
      <c r="G2026" t="s">
        <v>269</v>
      </c>
      <c r="H2026" t="n">
        <v>12130</v>
      </c>
      <c r="I2026"/>
      <c r="J2026" t="n">
        <v>8151.36</v>
      </c>
      <c r="K2026" t="s">
        <v>290</v>
      </c>
      <c r="L2026"/>
      <c r="M2026"/>
      <c r="N2026" t="s">
        <v>222</v>
      </c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</row>
    <row r="2027">
      <c r="A2027" t="s">
        <v>235</v>
      </c>
      <c r="B2027" t="s">
        <v>211</v>
      </c>
      <c r="C2027" t="s">
        <v>212</v>
      </c>
      <c r="D2027" t="s">
        <v>213</v>
      </c>
      <c r="E2027" t="s">
        <v>272</v>
      </c>
      <c r="F2027" t="s">
        <v>272</v>
      </c>
      <c r="G2027" t="s">
        <v>269</v>
      </c>
      <c r="H2027" t="n">
        <v>268891</v>
      </c>
      <c r="I2027"/>
      <c r="J2027" t="n">
        <v>78302</v>
      </c>
      <c r="K2027" t="s">
        <v>291</v>
      </c>
      <c r="L2027"/>
      <c r="M2027"/>
      <c r="N2027" t="s">
        <v>214</v>
      </c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 t="n">
        <v>378245</v>
      </c>
    </row>
    <row r="2028">
      <c r="A2028" t="s">
        <v>235</v>
      </c>
      <c r="B2028" t="s">
        <v>211</v>
      </c>
      <c r="C2028" t="s">
        <v>212</v>
      </c>
      <c r="D2028" t="s">
        <v>213</v>
      </c>
      <c r="E2028" t="s">
        <v>272</v>
      </c>
      <c r="F2028" t="s">
        <v>272</v>
      </c>
      <c r="G2028" t="s">
        <v>269</v>
      </c>
      <c r="H2028" t="n">
        <v>268891</v>
      </c>
      <c r="I2028"/>
      <c r="J2028" t="n">
        <v>78302</v>
      </c>
      <c r="K2028" t="s">
        <v>291</v>
      </c>
      <c r="L2028"/>
      <c r="M2028"/>
      <c r="N2028" t="s">
        <v>215</v>
      </c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</row>
    <row r="2029">
      <c r="A2029" t="s">
        <v>235</v>
      </c>
      <c r="B2029" t="s">
        <v>211</v>
      </c>
      <c r="C2029" t="s">
        <v>212</v>
      </c>
      <c r="D2029" t="s">
        <v>213</v>
      </c>
      <c r="E2029" t="s">
        <v>272</v>
      </c>
      <c r="F2029" t="s">
        <v>272</v>
      </c>
      <c r="G2029" t="s">
        <v>269</v>
      </c>
      <c r="H2029" t="n">
        <v>268891</v>
      </c>
      <c r="I2029"/>
      <c r="J2029" t="n">
        <v>78302</v>
      </c>
      <c r="K2029" t="s">
        <v>291</v>
      </c>
      <c r="L2029"/>
      <c r="M2029"/>
      <c r="N2029" t="s">
        <v>216</v>
      </c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 t="n">
        <v>43147</v>
      </c>
    </row>
    <row r="2030">
      <c r="A2030" t="s">
        <v>235</v>
      </c>
      <c r="B2030" t="s">
        <v>211</v>
      </c>
      <c r="C2030" t="s">
        <v>212</v>
      </c>
      <c r="D2030" t="s">
        <v>213</v>
      </c>
      <c r="E2030" t="s">
        <v>272</v>
      </c>
      <c r="F2030" t="s">
        <v>272</v>
      </c>
      <c r="G2030" t="s">
        <v>269</v>
      </c>
      <c r="H2030" t="n">
        <v>268891</v>
      </c>
      <c r="I2030"/>
      <c r="J2030" t="n">
        <v>78302</v>
      </c>
      <c r="K2030" t="s">
        <v>291</v>
      </c>
      <c r="L2030"/>
      <c r="M2030"/>
      <c r="N2030" t="s">
        <v>217</v>
      </c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 t="n">
        <v>603989</v>
      </c>
    </row>
    <row r="2031">
      <c r="A2031" t="s">
        <v>235</v>
      </c>
      <c r="B2031" t="s">
        <v>211</v>
      </c>
      <c r="C2031" t="s">
        <v>212</v>
      </c>
      <c r="D2031" t="s">
        <v>213</v>
      </c>
      <c r="E2031" t="s">
        <v>272</v>
      </c>
      <c r="F2031" t="s">
        <v>272</v>
      </c>
      <c r="G2031" t="s">
        <v>269</v>
      </c>
      <c r="H2031" t="n">
        <v>268891</v>
      </c>
      <c r="I2031"/>
      <c r="J2031" t="n">
        <v>78302</v>
      </c>
      <c r="K2031" t="s">
        <v>291</v>
      </c>
      <c r="L2031"/>
      <c r="M2031"/>
      <c r="N2031" t="s">
        <v>218</v>
      </c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 t="n">
        <v>6</v>
      </c>
    </row>
    <row r="2032">
      <c r="A2032" t="s">
        <v>235</v>
      </c>
      <c r="B2032" t="s">
        <v>211</v>
      </c>
      <c r="C2032" t="s">
        <v>212</v>
      </c>
      <c r="D2032" t="s">
        <v>213</v>
      </c>
      <c r="E2032" t="s">
        <v>272</v>
      </c>
      <c r="F2032" t="s">
        <v>272</v>
      </c>
      <c r="G2032" t="s">
        <v>269</v>
      </c>
      <c r="H2032" t="n">
        <v>268891</v>
      </c>
      <c r="I2032"/>
      <c r="J2032" t="n">
        <v>78302</v>
      </c>
      <c r="K2032" t="s">
        <v>291</v>
      </c>
      <c r="L2032"/>
      <c r="M2032"/>
      <c r="N2032" t="s">
        <v>219</v>
      </c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 t="n">
        <v>12</v>
      </c>
    </row>
    <row r="2033">
      <c r="A2033" t="s">
        <v>235</v>
      </c>
      <c r="B2033" t="s">
        <v>211</v>
      </c>
      <c r="C2033" t="s">
        <v>212</v>
      </c>
      <c r="D2033" t="s">
        <v>213</v>
      </c>
      <c r="E2033" t="s">
        <v>272</v>
      </c>
      <c r="F2033" t="s">
        <v>272</v>
      </c>
      <c r="G2033" t="s">
        <v>269</v>
      </c>
      <c r="H2033" t="n">
        <v>268891</v>
      </c>
      <c r="I2033"/>
      <c r="J2033" t="n">
        <v>78302</v>
      </c>
      <c r="K2033" t="s">
        <v>291</v>
      </c>
      <c r="L2033"/>
      <c r="M2033"/>
      <c r="N2033" t="s">
        <v>220</v>
      </c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 t="n">
        <v>12</v>
      </c>
    </row>
    <row r="2034">
      <c r="A2034" t="s">
        <v>235</v>
      </c>
      <c r="B2034" t="s">
        <v>211</v>
      </c>
      <c r="C2034" t="s">
        <v>212</v>
      </c>
      <c r="D2034" t="s">
        <v>213</v>
      </c>
      <c r="E2034" t="s">
        <v>272</v>
      </c>
      <c r="F2034" t="s">
        <v>272</v>
      </c>
      <c r="G2034" t="s">
        <v>269</v>
      </c>
      <c r="H2034" t="n">
        <v>268891</v>
      </c>
      <c r="I2034"/>
      <c r="J2034" t="n">
        <v>78302</v>
      </c>
      <c r="K2034" t="s">
        <v>291</v>
      </c>
      <c r="L2034"/>
      <c r="M2034"/>
      <c r="N2034" t="s">
        <v>221</v>
      </c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 t="n">
        <v>13.9984008158157</v>
      </c>
    </row>
    <row r="2035">
      <c r="A2035" t="s">
        <v>235</v>
      </c>
      <c r="B2035" t="s">
        <v>211</v>
      </c>
      <c r="C2035" t="s">
        <v>212</v>
      </c>
      <c r="D2035" t="s">
        <v>213</v>
      </c>
      <c r="E2035" t="s">
        <v>272</v>
      </c>
      <c r="F2035" t="s">
        <v>272</v>
      </c>
      <c r="G2035" t="s">
        <v>269</v>
      </c>
      <c r="H2035" t="n">
        <v>268891</v>
      </c>
      <c r="I2035"/>
      <c r="J2035" t="n">
        <v>78302</v>
      </c>
      <c r="K2035" t="s">
        <v>291</v>
      </c>
      <c r="L2035"/>
      <c r="M2035"/>
      <c r="N2035" t="s">
        <v>222</v>
      </c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</row>
    <row r="2036">
      <c r="A2036" t="s">
        <v>235</v>
      </c>
      <c r="B2036" t="s">
        <v>239</v>
      </c>
      <c r="C2036"/>
      <c r="D2036" t="s">
        <v>213</v>
      </c>
      <c r="E2036" t="s">
        <v>272</v>
      </c>
      <c r="F2036" t="s">
        <v>272</v>
      </c>
      <c r="G2036" t="s">
        <v>269</v>
      </c>
      <c r="H2036" t="n">
        <v>2061</v>
      </c>
      <c r="I2036"/>
      <c r="J2036" t="n">
        <v>3462</v>
      </c>
      <c r="K2036" t="s">
        <v>291</v>
      </c>
      <c r="L2036"/>
      <c r="M2036"/>
      <c r="N2036" t="s">
        <v>214</v>
      </c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 t="n">
        <v>441</v>
      </c>
    </row>
    <row r="2037">
      <c r="A2037" t="s">
        <v>235</v>
      </c>
      <c r="B2037" t="s">
        <v>239</v>
      </c>
      <c r="C2037"/>
      <c r="D2037" t="s">
        <v>213</v>
      </c>
      <c r="E2037" t="s">
        <v>272</v>
      </c>
      <c r="F2037" t="s">
        <v>272</v>
      </c>
      <c r="G2037" t="s">
        <v>269</v>
      </c>
      <c r="H2037" t="n">
        <v>2061</v>
      </c>
      <c r="I2037"/>
      <c r="J2037" t="n">
        <v>3462</v>
      </c>
      <c r="K2037" t="s">
        <v>291</v>
      </c>
      <c r="L2037"/>
      <c r="M2037"/>
      <c r="N2037" t="s">
        <v>215</v>
      </c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</row>
    <row r="2038">
      <c r="A2038" t="s">
        <v>235</v>
      </c>
      <c r="B2038" t="s">
        <v>239</v>
      </c>
      <c r="C2038"/>
      <c r="D2038" t="s">
        <v>213</v>
      </c>
      <c r="E2038" t="s">
        <v>272</v>
      </c>
      <c r="F2038" t="s">
        <v>272</v>
      </c>
      <c r="G2038" t="s">
        <v>269</v>
      </c>
      <c r="H2038" t="n">
        <v>2061</v>
      </c>
      <c r="I2038"/>
      <c r="J2038" t="n">
        <v>3462</v>
      </c>
      <c r="K2038" t="s">
        <v>291</v>
      </c>
      <c r="L2038"/>
      <c r="M2038"/>
      <c r="N2038" t="s">
        <v>216</v>
      </c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 t="n">
        <v>293</v>
      </c>
    </row>
    <row r="2039">
      <c r="A2039" t="s">
        <v>235</v>
      </c>
      <c r="B2039" t="s">
        <v>239</v>
      </c>
      <c r="C2039"/>
      <c r="D2039" t="s">
        <v>213</v>
      </c>
      <c r="E2039" t="s">
        <v>272</v>
      </c>
      <c r="F2039" t="s">
        <v>272</v>
      </c>
      <c r="G2039" t="s">
        <v>269</v>
      </c>
      <c r="H2039" t="n">
        <v>2061</v>
      </c>
      <c r="I2039"/>
      <c r="J2039" t="n">
        <v>3462</v>
      </c>
      <c r="K2039" t="s">
        <v>291</v>
      </c>
      <c r="L2039"/>
      <c r="M2039"/>
      <c r="N2039" t="s">
        <v>217</v>
      </c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 t="n">
        <v>2209</v>
      </c>
    </row>
    <row r="2040">
      <c r="A2040" t="s">
        <v>235</v>
      </c>
      <c r="B2040" t="s">
        <v>239</v>
      </c>
      <c r="C2040"/>
      <c r="D2040" t="s">
        <v>213</v>
      </c>
      <c r="E2040" t="s">
        <v>272</v>
      </c>
      <c r="F2040" t="s">
        <v>272</v>
      </c>
      <c r="G2040" t="s">
        <v>269</v>
      </c>
      <c r="H2040" t="n">
        <v>2061</v>
      </c>
      <c r="I2040"/>
      <c r="J2040" t="n">
        <v>3462</v>
      </c>
      <c r="K2040" t="s">
        <v>291</v>
      </c>
      <c r="L2040"/>
      <c r="M2040"/>
      <c r="N2040" t="s">
        <v>218</v>
      </c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 t="n">
        <v>6</v>
      </c>
    </row>
    <row r="2041">
      <c r="A2041" t="s">
        <v>235</v>
      </c>
      <c r="B2041" t="s">
        <v>239</v>
      </c>
      <c r="C2041"/>
      <c r="D2041" t="s">
        <v>213</v>
      </c>
      <c r="E2041" t="s">
        <v>272</v>
      </c>
      <c r="F2041" t="s">
        <v>272</v>
      </c>
      <c r="G2041" t="s">
        <v>269</v>
      </c>
      <c r="H2041" t="n">
        <v>2061</v>
      </c>
      <c r="I2041"/>
      <c r="J2041" t="n">
        <v>3462</v>
      </c>
      <c r="K2041" t="s">
        <v>291</v>
      </c>
      <c r="L2041"/>
      <c r="M2041"/>
      <c r="N2041" t="s">
        <v>219</v>
      </c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 t="n">
        <v>12</v>
      </c>
    </row>
    <row r="2042">
      <c r="A2042" t="s">
        <v>235</v>
      </c>
      <c r="B2042" t="s">
        <v>239</v>
      </c>
      <c r="C2042"/>
      <c r="D2042" t="s">
        <v>213</v>
      </c>
      <c r="E2042" t="s">
        <v>272</v>
      </c>
      <c r="F2042" t="s">
        <v>272</v>
      </c>
      <c r="G2042" t="s">
        <v>269</v>
      </c>
      <c r="H2042" t="n">
        <v>2061</v>
      </c>
      <c r="I2042"/>
      <c r="J2042" t="n">
        <v>3462</v>
      </c>
      <c r="K2042" t="s">
        <v>291</v>
      </c>
      <c r="L2042"/>
      <c r="M2042"/>
      <c r="N2042" t="s">
        <v>220</v>
      </c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 t="n">
        <v>12</v>
      </c>
    </row>
    <row r="2043">
      <c r="A2043" t="s">
        <v>235</v>
      </c>
      <c r="B2043" t="s">
        <v>239</v>
      </c>
      <c r="C2043"/>
      <c r="D2043" t="s">
        <v>213</v>
      </c>
      <c r="E2043" t="s">
        <v>272</v>
      </c>
      <c r="F2043" t="s">
        <v>272</v>
      </c>
      <c r="G2043" t="s">
        <v>269</v>
      </c>
      <c r="H2043" t="n">
        <v>2061</v>
      </c>
      <c r="I2043"/>
      <c r="J2043" t="n">
        <v>3462</v>
      </c>
      <c r="K2043" t="s">
        <v>291</v>
      </c>
      <c r="L2043"/>
      <c r="M2043"/>
      <c r="N2043" t="s">
        <v>221</v>
      </c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 t="n">
        <v>7.53924914675768</v>
      </c>
    </row>
    <row r="2044">
      <c r="A2044" t="s">
        <v>235</v>
      </c>
      <c r="B2044" t="s">
        <v>239</v>
      </c>
      <c r="C2044"/>
      <c r="D2044" t="s">
        <v>213</v>
      </c>
      <c r="E2044" t="s">
        <v>272</v>
      </c>
      <c r="F2044" t="s">
        <v>272</v>
      </c>
      <c r="G2044" t="s">
        <v>269</v>
      </c>
      <c r="H2044" t="n">
        <v>2061</v>
      </c>
      <c r="I2044"/>
      <c r="J2044" t="n">
        <v>3462</v>
      </c>
      <c r="K2044" t="s">
        <v>291</v>
      </c>
      <c r="L2044"/>
      <c r="M2044"/>
      <c r="N2044" t="s">
        <v>222</v>
      </c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</row>
    <row r="2045">
      <c r="A2045" t="s">
        <v>226</v>
      </c>
      <c r="B2045" t="s">
        <v>227</v>
      </c>
      <c r="C2045" t="s">
        <v>228</v>
      </c>
      <c r="D2045" t="s">
        <v>213</v>
      </c>
      <c r="E2045"/>
      <c r="F2045"/>
      <c r="G2045" t="s">
        <v>269</v>
      </c>
      <c r="H2045" t="n">
        <v>30973</v>
      </c>
      <c r="I2045"/>
      <c r="J2045" t="n">
        <v>20458.1</v>
      </c>
      <c r="K2045" t="s">
        <v>291</v>
      </c>
      <c r="L2045"/>
      <c r="M2045"/>
      <c r="N2045" t="s">
        <v>214</v>
      </c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 t="n">
        <v>21166</v>
      </c>
    </row>
    <row r="2046">
      <c r="A2046" t="s">
        <v>226</v>
      </c>
      <c r="B2046" t="s">
        <v>227</v>
      </c>
      <c r="C2046" t="s">
        <v>228</v>
      </c>
      <c r="D2046" t="s">
        <v>213</v>
      </c>
      <c r="E2046"/>
      <c r="F2046"/>
      <c r="G2046" t="s">
        <v>269</v>
      </c>
      <c r="H2046" t="n">
        <v>30973</v>
      </c>
      <c r="I2046"/>
      <c r="J2046" t="n">
        <v>20458.1</v>
      </c>
      <c r="K2046" t="s">
        <v>291</v>
      </c>
      <c r="L2046"/>
      <c r="M2046"/>
      <c r="N2046" t="s">
        <v>215</v>
      </c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</row>
    <row r="2047">
      <c r="A2047" t="s">
        <v>226</v>
      </c>
      <c r="B2047" t="s">
        <v>227</v>
      </c>
      <c r="C2047" t="s">
        <v>228</v>
      </c>
      <c r="D2047" t="s">
        <v>213</v>
      </c>
      <c r="E2047"/>
      <c r="F2047"/>
      <c r="G2047" t="s">
        <v>269</v>
      </c>
      <c r="H2047" t="n">
        <v>30973</v>
      </c>
      <c r="I2047"/>
      <c r="J2047" t="n">
        <v>20458.1</v>
      </c>
      <c r="K2047" t="s">
        <v>291</v>
      </c>
      <c r="L2047"/>
      <c r="M2047"/>
      <c r="N2047" t="s">
        <v>216</v>
      </c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 t="n">
        <v>10000</v>
      </c>
    </row>
    <row r="2048">
      <c r="A2048" t="s">
        <v>226</v>
      </c>
      <c r="B2048" t="s">
        <v>227</v>
      </c>
      <c r="C2048" t="s">
        <v>228</v>
      </c>
      <c r="D2048" t="s">
        <v>213</v>
      </c>
      <c r="E2048"/>
      <c r="F2048"/>
      <c r="G2048" t="s">
        <v>269</v>
      </c>
      <c r="H2048" t="n">
        <v>30973</v>
      </c>
      <c r="I2048"/>
      <c r="J2048" t="n">
        <v>20458.1</v>
      </c>
      <c r="K2048" t="s">
        <v>291</v>
      </c>
      <c r="L2048"/>
      <c r="M2048"/>
      <c r="N2048" t="s">
        <v>217</v>
      </c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 t="n">
        <v>42139</v>
      </c>
    </row>
    <row r="2049">
      <c r="A2049" t="s">
        <v>226</v>
      </c>
      <c r="B2049" t="s">
        <v>227</v>
      </c>
      <c r="C2049" t="s">
        <v>228</v>
      </c>
      <c r="D2049" t="s">
        <v>213</v>
      </c>
      <c r="E2049"/>
      <c r="F2049"/>
      <c r="G2049" t="s">
        <v>269</v>
      </c>
      <c r="H2049" t="n">
        <v>30973</v>
      </c>
      <c r="I2049"/>
      <c r="J2049" t="n">
        <v>20458.1</v>
      </c>
      <c r="K2049" t="s">
        <v>291</v>
      </c>
      <c r="L2049"/>
      <c r="M2049"/>
      <c r="N2049" t="s">
        <v>218</v>
      </c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 t="n">
        <v>3</v>
      </c>
    </row>
    <row r="2050">
      <c r="A2050" t="s">
        <v>226</v>
      </c>
      <c r="B2050" t="s">
        <v>227</v>
      </c>
      <c r="C2050" t="s">
        <v>228</v>
      </c>
      <c r="D2050" t="s">
        <v>213</v>
      </c>
      <c r="E2050"/>
      <c r="F2050"/>
      <c r="G2050" t="s">
        <v>269</v>
      </c>
      <c r="H2050" t="n">
        <v>30973</v>
      </c>
      <c r="I2050"/>
      <c r="J2050" t="n">
        <v>20458.1</v>
      </c>
      <c r="K2050" t="s">
        <v>291</v>
      </c>
      <c r="L2050"/>
      <c r="M2050"/>
      <c r="N2050" t="s">
        <v>219</v>
      </c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 t="n">
        <v>6</v>
      </c>
    </row>
    <row r="2051">
      <c r="A2051" t="s">
        <v>226</v>
      </c>
      <c r="B2051" t="s">
        <v>227</v>
      </c>
      <c r="C2051" t="s">
        <v>228</v>
      </c>
      <c r="D2051" t="s">
        <v>213</v>
      </c>
      <c r="E2051"/>
      <c r="F2051"/>
      <c r="G2051" t="s">
        <v>269</v>
      </c>
      <c r="H2051" t="n">
        <v>30973</v>
      </c>
      <c r="I2051"/>
      <c r="J2051" t="n">
        <v>20458.1</v>
      </c>
      <c r="K2051" t="s">
        <v>291</v>
      </c>
      <c r="L2051"/>
      <c r="M2051"/>
      <c r="N2051" t="s">
        <v>220</v>
      </c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 t="n">
        <v>6</v>
      </c>
    </row>
    <row r="2052">
      <c r="A2052" t="s">
        <v>226</v>
      </c>
      <c r="B2052" t="s">
        <v>227</v>
      </c>
      <c r="C2052" t="s">
        <v>228</v>
      </c>
      <c r="D2052" t="s">
        <v>213</v>
      </c>
      <c r="E2052"/>
      <c r="F2052"/>
      <c r="G2052" t="s">
        <v>269</v>
      </c>
      <c r="H2052" t="n">
        <v>30973</v>
      </c>
      <c r="I2052"/>
      <c r="J2052" t="n">
        <v>20458.1</v>
      </c>
      <c r="K2052" t="s">
        <v>291</v>
      </c>
      <c r="L2052"/>
      <c r="M2052"/>
      <c r="N2052" t="s">
        <v>221</v>
      </c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 t="n">
        <v>4.2139</v>
      </c>
    </row>
    <row r="2053">
      <c r="A2053" t="s">
        <v>226</v>
      </c>
      <c r="B2053" t="s">
        <v>227</v>
      </c>
      <c r="C2053" t="s">
        <v>228</v>
      </c>
      <c r="D2053" t="s">
        <v>213</v>
      </c>
      <c r="E2053"/>
      <c r="F2053"/>
      <c r="G2053" t="s">
        <v>269</v>
      </c>
      <c r="H2053" t="n">
        <v>30973</v>
      </c>
      <c r="I2053"/>
      <c r="J2053" t="n">
        <v>20458.1</v>
      </c>
      <c r="K2053" t="s">
        <v>291</v>
      </c>
      <c r="L2053"/>
      <c r="M2053"/>
      <c r="N2053" t="s">
        <v>222</v>
      </c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</row>
    <row r="2054">
      <c r="A2054" t="s">
        <v>235</v>
      </c>
      <c r="B2054" t="s">
        <v>247</v>
      </c>
      <c r="C2054" t="s">
        <v>231</v>
      </c>
      <c r="D2054" t="s">
        <v>213</v>
      </c>
      <c r="E2054" t="s">
        <v>272</v>
      </c>
      <c r="F2054" t="s">
        <v>272</v>
      </c>
      <c r="G2054" t="s">
        <v>269</v>
      </c>
      <c r="H2054" t="n">
        <v>97342</v>
      </c>
      <c r="I2054"/>
      <c r="J2054" t="n">
        <v>926268</v>
      </c>
      <c r="K2054" t="s">
        <v>291</v>
      </c>
      <c r="L2054"/>
      <c r="M2054"/>
      <c r="N2054" t="s">
        <v>214</v>
      </c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 t="n">
        <v>185445</v>
      </c>
    </row>
    <row r="2055">
      <c r="A2055" t="s">
        <v>235</v>
      </c>
      <c r="B2055" t="s">
        <v>247</v>
      </c>
      <c r="C2055" t="s">
        <v>231</v>
      </c>
      <c r="D2055" t="s">
        <v>213</v>
      </c>
      <c r="E2055" t="s">
        <v>272</v>
      </c>
      <c r="F2055" t="s">
        <v>272</v>
      </c>
      <c r="G2055" t="s">
        <v>269</v>
      </c>
      <c r="H2055" t="n">
        <v>97342</v>
      </c>
      <c r="I2055"/>
      <c r="J2055" t="n">
        <v>926268</v>
      </c>
      <c r="K2055" t="s">
        <v>291</v>
      </c>
      <c r="L2055"/>
      <c r="M2055"/>
      <c r="N2055" t="s">
        <v>215</v>
      </c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</row>
    <row r="2056">
      <c r="A2056" t="s">
        <v>235</v>
      </c>
      <c r="B2056" t="s">
        <v>247</v>
      </c>
      <c r="C2056" t="s">
        <v>231</v>
      </c>
      <c r="D2056" t="s">
        <v>213</v>
      </c>
      <c r="E2056" t="s">
        <v>272</v>
      </c>
      <c r="F2056" t="s">
        <v>272</v>
      </c>
      <c r="G2056" t="s">
        <v>269</v>
      </c>
      <c r="H2056" t="n">
        <v>97342</v>
      </c>
      <c r="I2056"/>
      <c r="J2056" t="n">
        <v>926268</v>
      </c>
      <c r="K2056" t="s">
        <v>291</v>
      </c>
      <c r="L2056"/>
      <c r="M2056"/>
      <c r="N2056" t="s">
        <v>216</v>
      </c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 t="n">
        <v>14536</v>
      </c>
    </row>
    <row r="2057">
      <c r="A2057" t="s">
        <v>235</v>
      </c>
      <c r="B2057" t="s">
        <v>247</v>
      </c>
      <c r="C2057" t="s">
        <v>231</v>
      </c>
      <c r="D2057" t="s">
        <v>213</v>
      </c>
      <c r="E2057" t="s">
        <v>272</v>
      </c>
      <c r="F2057" t="s">
        <v>272</v>
      </c>
      <c r="G2057" t="s">
        <v>269</v>
      </c>
      <c r="H2057" t="n">
        <v>97342</v>
      </c>
      <c r="I2057"/>
      <c r="J2057" t="n">
        <v>926268</v>
      </c>
      <c r="K2057" t="s">
        <v>291</v>
      </c>
      <c r="L2057"/>
      <c r="M2057"/>
      <c r="N2057" t="s">
        <v>217</v>
      </c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 t="n">
        <v>268251</v>
      </c>
    </row>
    <row r="2058">
      <c r="A2058" t="s">
        <v>235</v>
      </c>
      <c r="B2058" t="s">
        <v>247</v>
      </c>
      <c r="C2058" t="s">
        <v>231</v>
      </c>
      <c r="D2058" t="s">
        <v>213</v>
      </c>
      <c r="E2058" t="s">
        <v>272</v>
      </c>
      <c r="F2058" t="s">
        <v>272</v>
      </c>
      <c r="G2058" t="s">
        <v>269</v>
      </c>
      <c r="H2058" t="n">
        <v>97342</v>
      </c>
      <c r="I2058"/>
      <c r="J2058" t="n">
        <v>926268</v>
      </c>
      <c r="K2058" t="s">
        <v>291</v>
      </c>
      <c r="L2058"/>
      <c r="M2058"/>
      <c r="N2058" t="s">
        <v>218</v>
      </c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 t="n">
        <v>6</v>
      </c>
    </row>
    <row r="2059">
      <c r="A2059" t="s">
        <v>235</v>
      </c>
      <c r="B2059" t="s">
        <v>247</v>
      </c>
      <c r="C2059" t="s">
        <v>231</v>
      </c>
      <c r="D2059" t="s">
        <v>213</v>
      </c>
      <c r="E2059" t="s">
        <v>272</v>
      </c>
      <c r="F2059" t="s">
        <v>272</v>
      </c>
      <c r="G2059" t="s">
        <v>269</v>
      </c>
      <c r="H2059" t="n">
        <v>97342</v>
      </c>
      <c r="I2059"/>
      <c r="J2059" t="n">
        <v>926268</v>
      </c>
      <c r="K2059" t="s">
        <v>291</v>
      </c>
      <c r="L2059"/>
      <c r="M2059"/>
      <c r="N2059" t="s">
        <v>219</v>
      </c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 t="n">
        <v>12</v>
      </c>
    </row>
    <row r="2060">
      <c r="A2060" t="s">
        <v>235</v>
      </c>
      <c r="B2060" t="s">
        <v>247</v>
      </c>
      <c r="C2060" t="s">
        <v>231</v>
      </c>
      <c r="D2060" t="s">
        <v>213</v>
      </c>
      <c r="E2060" t="s">
        <v>272</v>
      </c>
      <c r="F2060" t="s">
        <v>272</v>
      </c>
      <c r="G2060" t="s">
        <v>269</v>
      </c>
      <c r="H2060" t="n">
        <v>97342</v>
      </c>
      <c r="I2060"/>
      <c r="J2060" t="n">
        <v>926268</v>
      </c>
      <c r="K2060" t="s">
        <v>291</v>
      </c>
      <c r="L2060"/>
      <c r="M2060"/>
      <c r="N2060" t="s">
        <v>220</v>
      </c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 t="n">
        <v>12</v>
      </c>
    </row>
    <row r="2061">
      <c r="A2061" t="s">
        <v>235</v>
      </c>
      <c r="B2061" t="s">
        <v>247</v>
      </c>
      <c r="C2061" t="s">
        <v>231</v>
      </c>
      <c r="D2061" t="s">
        <v>213</v>
      </c>
      <c r="E2061" t="s">
        <v>272</v>
      </c>
      <c r="F2061" t="s">
        <v>272</v>
      </c>
      <c r="G2061" t="s">
        <v>269</v>
      </c>
      <c r="H2061" t="n">
        <v>97342</v>
      </c>
      <c r="I2061"/>
      <c r="J2061" t="n">
        <v>926268</v>
      </c>
      <c r="K2061" t="s">
        <v>291</v>
      </c>
      <c r="L2061"/>
      <c r="M2061"/>
      <c r="N2061" t="s">
        <v>221</v>
      </c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 t="n">
        <v>18.4542515134838</v>
      </c>
    </row>
    <row r="2062">
      <c r="A2062" t="s">
        <v>235</v>
      </c>
      <c r="B2062" t="s">
        <v>247</v>
      </c>
      <c r="C2062" t="s">
        <v>231</v>
      </c>
      <c r="D2062" t="s">
        <v>213</v>
      </c>
      <c r="E2062" t="s">
        <v>272</v>
      </c>
      <c r="F2062" t="s">
        <v>272</v>
      </c>
      <c r="G2062" t="s">
        <v>269</v>
      </c>
      <c r="H2062" t="n">
        <v>97342</v>
      </c>
      <c r="I2062"/>
      <c r="J2062" t="n">
        <v>926268</v>
      </c>
      <c r="K2062" t="s">
        <v>291</v>
      </c>
      <c r="L2062"/>
      <c r="M2062"/>
      <c r="N2062" t="s">
        <v>222</v>
      </c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</row>
    <row r="2063">
      <c r="A2063" t="s">
        <v>235</v>
      </c>
      <c r="B2063" t="s">
        <v>248</v>
      </c>
      <c r="C2063"/>
      <c r="D2063" t="s">
        <v>213</v>
      </c>
      <c r="E2063" t="s">
        <v>272</v>
      </c>
      <c r="F2063" t="s">
        <v>272</v>
      </c>
      <c r="G2063" t="s">
        <v>269</v>
      </c>
      <c r="H2063" t="n">
        <v>98035</v>
      </c>
      <c r="I2063"/>
      <c r="J2063" t="n">
        <v>933294</v>
      </c>
      <c r="K2063" t="s">
        <v>291</v>
      </c>
      <c r="L2063"/>
      <c r="M2063"/>
      <c r="N2063" t="s">
        <v>214</v>
      </c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 t="n">
        <v>181227</v>
      </c>
    </row>
    <row r="2064">
      <c r="A2064" t="s">
        <v>235</v>
      </c>
      <c r="B2064" t="s">
        <v>248</v>
      </c>
      <c r="C2064"/>
      <c r="D2064" t="s">
        <v>213</v>
      </c>
      <c r="E2064" t="s">
        <v>272</v>
      </c>
      <c r="F2064" t="s">
        <v>272</v>
      </c>
      <c r="G2064" t="s">
        <v>269</v>
      </c>
      <c r="H2064" t="n">
        <v>98035</v>
      </c>
      <c r="I2064"/>
      <c r="J2064" t="n">
        <v>933294</v>
      </c>
      <c r="K2064" t="s">
        <v>291</v>
      </c>
      <c r="L2064"/>
      <c r="M2064"/>
      <c r="N2064" t="s">
        <v>215</v>
      </c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</row>
    <row r="2065">
      <c r="A2065" t="s">
        <v>235</v>
      </c>
      <c r="B2065" t="s">
        <v>248</v>
      </c>
      <c r="C2065"/>
      <c r="D2065" t="s">
        <v>213</v>
      </c>
      <c r="E2065" t="s">
        <v>272</v>
      </c>
      <c r="F2065" t="s">
        <v>272</v>
      </c>
      <c r="G2065" t="s">
        <v>269</v>
      </c>
      <c r="H2065" t="n">
        <v>98035</v>
      </c>
      <c r="I2065"/>
      <c r="J2065" t="n">
        <v>933294</v>
      </c>
      <c r="K2065" t="s">
        <v>291</v>
      </c>
      <c r="L2065"/>
      <c r="M2065"/>
      <c r="N2065" t="s">
        <v>216</v>
      </c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 t="n">
        <v>14621</v>
      </c>
    </row>
    <row r="2066">
      <c r="A2066" t="s">
        <v>235</v>
      </c>
      <c r="B2066" t="s">
        <v>248</v>
      </c>
      <c r="C2066"/>
      <c r="D2066" t="s">
        <v>213</v>
      </c>
      <c r="E2066" t="s">
        <v>272</v>
      </c>
      <c r="F2066" t="s">
        <v>272</v>
      </c>
      <c r="G2066" t="s">
        <v>269</v>
      </c>
      <c r="H2066" t="n">
        <v>98035</v>
      </c>
      <c r="I2066"/>
      <c r="J2066" t="n">
        <v>933294</v>
      </c>
      <c r="K2066" t="s">
        <v>291</v>
      </c>
      <c r="L2066"/>
      <c r="M2066"/>
      <c r="N2066" t="s">
        <v>217</v>
      </c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 t="n">
        <v>264641</v>
      </c>
    </row>
    <row r="2067">
      <c r="A2067" t="s">
        <v>235</v>
      </c>
      <c r="B2067" t="s">
        <v>248</v>
      </c>
      <c r="C2067"/>
      <c r="D2067" t="s">
        <v>213</v>
      </c>
      <c r="E2067" t="s">
        <v>272</v>
      </c>
      <c r="F2067" t="s">
        <v>272</v>
      </c>
      <c r="G2067" t="s">
        <v>269</v>
      </c>
      <c r="H2067" t="n">
        <v>98035</v>
      </c>
      <c r="I2067"/>
      <c r="J2067" t="n">
        <v>933294</v>
      </c>
      <c r="K2067" t="s">
        <v>291</v>
      </c>
      <c r="L2067"/>
      <c r="M2067"/>
      <c r="N2067" t="s">
        <v>218</v>
      </c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 t="n">
        <v>6</v>
      </c>
    </row>
    <row r="2068">
      <c r="A2068" t="s">
        <v>235</v>
      </c>
      <c r="B2068" t="s">
        <v>248</v>
      </c>
      <c r="C2068"/>
      <c r="D2068" t="s">
        <v>213</v>
      </c>
      <c r="E2068" t="s">
        <v>272</v>
      </c>
      <c r="F2068" t="s">
        <v>272</v>
      </c>
      <c r="G2068" t="s">
        <v>269</v>
      </c>
      <c r="H2068" t="n">
        <v>98035</v>
      </c>
      <c r="I2068"/>
      <c r="J2068" t="n">
        <v>933294</v>
      </c>
      <c r="K2068" t="s">
        <v>291</v>
      </c>
      <c r="L2068"/>
      <c r="M2068"/>
      <c r="N2068" t="s">
        <v>219</v>
      </c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 t="n">
        <v>12</v>
      </c>
    </row>
    <row r="2069">
      <c r="A2069" t="s">
        <v>235</v>
      </c>
      <c r="B2069" t="s">
        <v>248</v>
      </c>
      <c r="C2069"/>
      <c r="D2069" t="s">
        <v>213</v>
      </c>
      <c r="E2069" t="s">
        <v>272</v>
      </c>
      <c r="F2069" t="s">
        <v>272</v>
      </c>
      <c r="G2069" t="s">
        <v>269</v>
      </c>
      <c r="H2069" t="n">
        <v>98035</v>
      </c>
      <c r="I2069"/>
      <c r="J2069" t="n">
        <v>933294</v>
      </c>
      <c r="K2069" t="s">
        <v>291</v>
      </c>
      <c r="L2069"/>
      <c r="M2069"/>
      <c r="N2069" t="s">
        <v>220</v>
      </c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 t="n">
        <v>12</v>
      </c>
    </row>
    <row r="2070">
      <c r="A2070" t="s">
        <v>235</v>
      </c>
      <c r="B2070" t="s">
        <v>248</v>
      </c>
      <c r="C2070"/>
      <c r="D2070" t="s">
        <v>213</v>
      </c>
      <c r="E2070" t="s">
        <v>272</v>
      </c>
      <c r="F2070" t="s">
        <v>272</v>
      </c>
      <c r="G2070" t="s">
        <v>269</v>
      </c>
      <c r="H2070" t="n">
        <v>98035</v>
      </c>
      <c r="I2070"/>
      <c r="J2070" t="n">
        <v>933294</v>
      </c>
      <c r="K2070" t="s">
        <v>291</v>
      </c>
      <c r="L2070"/>
      <c r="M2070"/>
      <c r="N2070" t="s">
        <v>221</v>
      </c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 t="n">
        <v>18.1000615552972</v>
      </c>
    </row>
    <row r="2071">
      <c r="A2071" t="s">
        <v>235</v>
      </c>
      <c r="B2071" t="s">
        <v>248</v>
      </c>
      <c r="C2071"/>
      <c r="D2071" t="s">
        <v>213</v>
      </c>
      <c r="E2071" t="s">
        <v>272</v>
      </c>
      <c r="F2071" t="s">
        <v>272</v>
      </c>
      <c r="G2071" t="s">
        <v>269</v>
      </c>
      <c r="H2071" t="n">
        <v>98035</v>
      </c>
      <c r="I2071"/>
      <c r="J2071" t="n">
        <v>933294</v>
      </c>
      <c r="K2071" t="s">
        <v>291</v>
      </c>
      <c r="L2071"/>
      <c r="M2071"/>
      <c r="N2071" t="s">
        <v>222</v>
      </c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</row>
    <row r="2072">
      <c r="A2072" t="s">
        <v>235</v>
      </c>
      <c r="B2072" t="s">
        <v>232</v>
      </c>
      <c r="C2072"/>
      <c r="D2072" t="s">
        <v>213</v>
      </c>
      <c r="E2072" t="s">
        <v>292</v>
      </c>
      <c r="F2072" t="s">
        <v>292</v>
      </c>
      <c r="G2072" t="s">
        <v>259</v>
      </c>
      <c r="H2072" t="n">
        <v>15426864</v>
      </c>
      <c r="I2072"/>
      <c r="J2072" t="n">
        <v>518343</v>
      </c>
      <c r="K2072" t="s">
        <v>291</v>
      </c>
      <c r="L2072"/>
      <c r="M2072"/>
      <c r="N2072" t="s">
        <v>214</v>
      </c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</row>
    <row r="2073">
      <c r="A2073" t="s">
        <v>235</v>
      </c>
      <c r="B2073" t="s">
        <v>232</v>
      </c>
      <c r="C2073"/>
      <c r="D2073" t="s">
        <v>213</v>
      </c>
      <c r="E2073" t="s">
        <v>292</v>
      </c>
      <c r="F2073" t="s">
        <v>292</v>
      </c>
      <c r="G2073" t="s">
        <v>259</v>
      </c>
      <c r="H2073" t="n">
        <v>15426864</v>
      </c>
      <c r="I2073"/>
      <c r="J2073" t="n">
        <v>518343</v>
      </c>
      <c r="K2073" t="s">
        <v>291</v>
      </c>
      <c r="L2073"/>
      <c r="M2073"/>
      <c r="N2073" t="s">
        <v>215</v>
      </c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</row>
    <row r="2074">
      <c r="A2074" t="s">
        <v>235</v>
      </c>
      <c r="B2074" t="s">
        <v>232</v>
      </c>
      <c r="C2074"/>
      <c r="D2074" t="s">
        <v>213</v>
      </c>
      <c r="E2074" t="s">
        <v>292</v>
      </c>
      <c r="F2074" t="s">
        <v>292</v>
      </c>
      <c r="G2074" t="s">
        <v>259</v>
      </c>
      <c r="H2074" t="n">
        <v>15426864</v>
      </c>
      <c r="I2074"/>
      <c r="J2074" t="n">
        <v>518343</v>
      </c>
      <c r="K2074" t="s">
        <v>291</v>
      </c>
      <c r="L2074"/>
      <c r="M2074"/>
      <c r="N2074" t="s">
        <v>216</v>
      </c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 t="n">
        <v>2556052</v>
      </c>
    </row>
    <row r="2075">
      <c r="A2075" t="s">
        <v>235</v>
      </c>
      <c r="B2075" t="s">
        <v>232</v>
      </c>
      <c r="C2075"/>
      <c r="D2075" t="s">
        <v>213</v>
      </c>
      <c r="E2075" t="s">
        <v>292</v>
      </c>
      <c r="F2075" t="s">
        <v>292</v>
      </c>
      <c r="G2075" t="s">
        <v>259</v>
      </c>
      <c r="H2075" t="n">
        <v>15426864</v>
      </c>
      <c r="I2075"/>
      <c r="J2075" t="n">
        <v>518343</v>
      </c>
      <c r="K2075" t="s">
        <v>291</v>
      </c>
      <c r="L2075"/>
      <c r="M2075"/>
      <c r="N2075" t="s">
        <v>217</v>
      </c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 t="n">
        <v>12870812</v>
      </c>
    </row>
    <row r="2076">
      <c r="A2076" t="s">
        <v>235</v>
      </c>
      <c r="B2076" t="s">
        <v>232</v>
      </c>
      <c r="C2076"/>
      <c r="D2076" t="s">
        <v>213</v>
      </c>
      <c r="E2076" t="s">
        <v>292</v>
      </c>
      <c r="F2076" t="s">
        <v>292</v>
      </c>
      <c r="G2076" t="s">
        <v>259</v>
      </c>
      <c r="H2076" t="n">
        <v>15426864</v>
      </c>
      <c r="I2076"/>
      <c r="J2076" t="n">
        <v>518343</v>
      </c>
      <c r="K2076" t="s">
        <v>291</v>
      </c>
      <c r="L2076"/>
      <c r="M2076"/>
      <c r="N2076" t="s">
        <v>218</v>
      </c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 t="n">
        <v>6</v>
      </c>
    </row>
    <row r="2077">
      <c r="A2077" t="s">
        <v>235</v>
      </c>
      <c r="B2077" t="s">
        <v>232</v>
      </c>
      <c r="C2077"/>
      <c r="D2077" t="s">
        <v>213</v>
      </c>
      <c r="E2077" t="s">
        <v>292</v>
      </c>
      <c r="F2077" t="s">
        <v>292</v>
      </c>
      <c r="G2077" t="s">
        <v>259</v>
      </c>
      <c r="H2077" t="n">
        <v>15426864</v>
      </c>
      <c r="I2077"/>
      <c r="J2077" t="n">
        <v>518343</v>
      </c>
      <c r="K2077" t="s">
        <v>291</v>
      </c>
      <c r="L2077"/>
      <c r="M2077"/>
      <c r="N2077" t="s">
        <v>219</v>
      </c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 t="n">
        <v>12</v>
      </c>
    </row>
    <row r="2078">
      <c r="A2078" t="s">
        <v>235</v>
      </c>
      <c r="B2078" t="s">
        <v>232</v>
      </c>
      <c r="C2078"/>
      <c r="D2078" t="s">
        <v>213</v>
      </c>
      <c r="E2078" t="s">
        <v>292</v>
      </c>
      <c r="F2078" t="s">
        <v>292</v>
      </c>
      <c r="G2078" t="s">
        <v>259</v>
      </c>
      <c r="H2078" t="n">
        <v>15426864</v>
      </c>
      <c r="I2078"/>
      <c r="J2078" t="n">
        <v>518343</v>
      </c>
      <c r="K2078" t="s">
        <v>291</v>
      </c>
      <c r="L2078"/>
      <c r="M2078"/>
      <c r="N2078" t="s">
        <v>220</v>
      </c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 t="n">
        <v>12</v>
      </c>
    </row>
    <row r="2079">
      <c r="A2079" t="s">
        <v>235</v>
      </c>
      <c r="B2079" t="s">
        <v>232</v>
      </c>
      <c r="C2079"/>
      <c r="D2079" t="s">
        <v>213</v>
      </c>
      <c r="E2079" t="s">
        <v>292</v>
      </c>
      <c r="F2079" t="s">
        <v>292</v>
      </c>
      <c r="G2079" t="s">
        <v>259</v>
      </c>
      <c r="H2079" t="n">
        <v>15426864</v>
      </c>
      <c r="I2079"/>
      <c r="J2079" t="n">
        <v>518343</v>
      </c>
      <c r="K2079" t="s">
        <v>291</v>
      </c>
      <c r="L2079"/>
      <c r="M2079"/>
      <c r="N2079" t="s">
        <v>221</v>
      </c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 t="n">
        <v>5.03542650931984</v>
      </c>
    </row>
    <row r="2080">
      <c r="A2080" t="s">
        <v>235</v>
      </c>
      <c r="B2080" t="s">
        <v>232</v>
      </c>
      <c r="C2080"/>
      <c r="D2080" t="s">
        <v>213</v>
      </c>
      <c r="E2080" t="s">
        <v>292</v>
      </c>
      <c r="F2080" t="s">
        <v>292</v>
      </c>
      <c r="G2080" t="s">
        <v>259</v>
      </c>
      <c r="H2080" t="n">
        <v>15426864</v>
      </c>
      <c r="I2080"/>
      <c r="J2080" t="n">
        <v>518343</v>
      </c>
      <c r="K2080" t="s">
        <v>291</v>
      </c>
      <c r="L2080"/>
      <c r="M2080"/>
      <c r="N2080" t="s">
        <v>222</v>
      </c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</row>
    <row r="2081">
      <c r="A2081" t="s">
        <v>235</v>
      </c>
      <c r="B2081" t="s">
        <v>234</v>
      </c>
      <c r="C2081"/>
      <c r="D2081" t="s">
        <v>213</v>
      </c>
      <c r="E2081" t="s">
        <v>272</v>
      </c>
      <c r="F2081" t="s">
        <v>272</v>
      </c>
      <c r="G2081" t="s">
        <v>269</v>
      </c>
      <c r="H2081" t="n">
        <v>67378</v>
      </c>
      <c r="I2081"/>
      <c r="J2081" t="n">
        <v>22639</v>
      </c>
      <c r="K2081" t="s">
        <v>291</v>
      </c>
      <c r="L2081"/>
      <c r="M2081"/>
      <c r="N2081" t="s">
        <v>214</v>
      </c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 t="n">
        <v>0</v>
      </c>
    </row>
    <row r="2082">
      <c r="A2082" t="s">
        <v>235</v>
      </c>
      <c r="B2082" t="s">
        <v>234</v>
      </c>
      <c r="C2082"/>
      <c r="D2082" t="s">
        <v>213</v>
      </c>
      <c r="E2082" t="s">
        <v>272</v>
      </c>
      <c r="F2082" t="s">
        <v>272</v>
      </c>
      <c r="G2082" t="s">
        <v>269</v>
      </c>
      <c r="H2082" t="n">
        <v>67378</v>
      </c>
      <c r="I2082"/>
      <c r="J2082" t="n">
        <v>22639</v>
      </c>
      <c r="K2082" t="s">
        <v>291</v>
      </c>
      <c r="L2082"/>
      <c r="M2082"/>
      <c r="N2082" t="s">
        <v>215</v>
      </c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</row>
    <row r="2083">
      <c r="A2083" t="s">
        <v>235</v>
      </c>
      <c r="B2083" t="s">
        <v>234</v>
      </c>
      <c r="C2083"/>
      <c r="D2083" t="s">
        <v>213</v>
      </c>
      <c r="E2083" t="s">
        <v>272</v>
      </c>
      <c r="F2083" t="s">
        <v>272</v>
      </c>
      <c r="G2083" t="s">
        <v>269</v>
      </c>
      <c r="H2083" t="n">
        <v>67378</v>
      </c>
      <c r="I2083"/>
      <c r="J2083" t="n">
        <v>22639</v>
      </c>
      <c r="K2083" t="s">
        <v>291</v>
      </c>
      <c r="L2083"/>
      <c r="M2083"/>
      <c r="N2083" t="s">
        <v>216</v>
      </c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 t="n">
        <v>43147</v>
      </c>
    </row>
    <row r="2084">
      <c r="A2084" t="s">
        <v>235</v>
      </c>
      <c r="B2084" t="s">
        <v>234</v>
      </c>
      <c r="C2084"/>
      <c r="D2084" t="s">
        <v>213</v>
      </c>
      <c r="E2084" t="s">
        <v>272</v>
      </c>
      <c r="F2084" t="s">
        <v>272</v>
      </c>
      <c r="G2084" t="s">
        <v>269</v>
      </c>
      <c r="H2084" t="n">
        <v>67378</v>
      </c>
      <c r="I2084"/>
      <c r="J2084" t="n">
        <v>22639</v>
      </c>
      <c r="K2084" t="s">
        <v>291</v>
      </c>
      <c r="L2084"/>
      <c r="M2084"/>
      <c r="N2084" t="s">
        <v>217</v>
      </c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 t="n">
        <v>24231</v>
      </c>
    </row>
    <row r="2085">
      <c r="A2085" t="s">
        <v>235</v>
      </c>
      <c r="B2085" t="s">
        <v>234</v>
      </c>
      <c r="C2085"/>
      <c r="D2085" t="s">
        <v>213</v>
      </c>
      <c r="E2085" t="s">
        <v>272</v>
      </c>
      <c r="F2085" t="s">
        <v>272</v>
      </c>
      <c r="G2085" t="s">
        <v>269</v>
      </c>
      <c r="H2085" t="n">
        <v>67378</v>
      </c>
      <c r="I2085"/>
      <c r="J2085" t="n">
        <v>22639</v>
      </c>
      <c r="K2085" t="s">
        <v>291</v>
      </c>
      <c r="L2085"/>
      <c r="M2085"/>
      <c r="N2085" t="s">
        <v>218</v>
      </c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 t="n">
        <v>6</v>
      </c>
    </row>
    <row r="2086">
      <c r="A2086" t="s">
        <v>235</v>
      </c>
      <c r="B2086" t="s">
        <v>234</v>
      </c>
      <c r="C2086"/>
      <c r="D2086" t="s">
        <v>213</v>
      </c>
      <c r="E2086" t="s">
        <v>272</v>
      </c>
      <c r="F2086" t="s">
        <v>272</v>
      </c>
      <c r="G2086" t="s">
        <v>269</v>
      </c>
      <c r="H2086" t="n">
        <v>67378</v>
      </c>
      <c r="I2086"/>
      <c r="J2086" t="n">
        <v>22639</v>
      </c>
      <c r="K2086" t="s">
        <v>291</v>
      </c>
      <c r="L2086"/>
      <c r="M2086"/>
      <c r="N2086" t="s">
        <v>219</v>
      </c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 t="n">
        <v>12</v>
      </c>
    </row>
    <row r="2087">
      <c r="A2087" t="s">
        <v>235</v>
      </c>
      <c r="B2087" t="s">
        <v>234</v>
      </c>
      <c r="C2087"/>
      <c r="D2087" t="s">
        <v>213</v>
      </c>
      <c r="E2087" t="s">
        <v>272</v>
      </c>
      <c r="F2087" t="s">
        <v>272</v>
      </c>
      <c r="G2087" t="s">
        <v>269</v>
      </c>
      <c r="H2087" t="n">
        <v>67378</v>
      </c>
      <c r="I2087"/>
      <c r="J2087" t="n">
        <v>22639</v>
      </c>
      <c r="K2087" t="s">
        <v>291</v>
      </c>
      <c r="L2087"/>
      <c r="M2087"/>
      <c r="N2087" t="s">
        <v>220</v>
      </c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 t="n">
        <v>12</v>
      </c>
    </row>
    <row r="2088">
      <c r="A2088" t="s">
        <v>235</v>
      </c>
      <c r="B2088" t="s">
        <v>234</v>
      </c>
      <c r="C2088"/>
      <c r="D2088" t="s">
        <v>213</v>
      </c>
      <c r="E2088" t="s">
        <v>272</v>
      </c>
      <c r="F2088" t="s">
        <v>272</v>
      </c>
      <c r="G2088" t="s">
        <v>269</v>
      </c>
      <c r="H2088" t="n">
        <v>67378</v>
      </c>
      <c r="I2088"/>
      <c r="J2088" t="n">
        <v>22639</v>
      </c>
      <c r="K2088" t="s">
        <v>291</v>
      </c>
      <c r="L2088"/>
      <c r="M2088"/>
      <c r="N2088" t="s">
        <v>221</v>
      </c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 t="n">
        <v>0.561591767677938</v>
      </c>
    </row>
    <row r="2089">
      <c r="A2089" t="s">
        <v>235</v>
      </c>
      <c r="B2089" t="s">
        <v>234</v>
      </c>
      <c r="C2089"/>
      <c r="D2089" t="s">
        <v>213</v>
      </c>
      <c r="E2089" t="s">
        <v>272</v>
      </c>
      <c r="F2089" t="s">
        <v>272</v>
      </c>
      <c r="G2089" t="s">
        <v>269</v>
      </c>
      <c r="H2089" t="n">
        <v>67378</v>
      </c>
      <c r="I2089"/>
      <c r="J2089" t="n">
        <v>22639</v>
      </c>
      <c r="K2089" t="s">
        <v>291</v>
      </c>
      <c r="L2089"/>
      <c r="M2089"/>
      <c r="N2089" t="s">
        <v>222</v>
      </c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Mumbia</dc:creator>
  <cp:keywords/>
  <dc:description/>
  <cp:lastModifiedBy>Daniel Mumbia</cp:lastModifiedBy>
  <cp:revision/>
  <dcterms:created xsi:type="dcterms:W3CDTF">2025-06-23T11:14:22Z</dcterms:created>
  <dcterms:modified xsi:type="dcterms:W3CDTF">2025-09-26T21:18:22Z</dcterms:modified>
  <cp:category/>
  <cp:contentStatus/>
</cp:coreProperties>
</file>